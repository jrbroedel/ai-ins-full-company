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72C4BDAB-BDEC-4D9D-9268-B635C22EBEC5}" xr6:coauthVersionLast="47" xr6:coauthVersionMax="47" xr10:uidLastSave="{00000000-0000-0000-0000-000000000000}"/>
  <bookViews>
    <workbookView xWindow="7665" yWindow="7665" windowWidth="14145" windowHeight="23445" tabRatio="500" activeTab="1" xr2:uid="{00000000-000D-0000-FFFF-FFFF00000000}"/>
  </bookViews>
  <sheets>
    <sheet name="README" sheetId="1" r:id="rId1"/>
    <sheet name="Header" sheetId="2" r:id="rId2"/>
    <sheet name="UW Bordereaux" sheetId="3" r:id="rId3"/>
    <sheet name="Reconciliation" sheetId="4" r:id="rId4"/>
    <sheet name="Field Definitions" sheetId="5" r:id="rId5"/>
    <sheet name="Lists" sheetId="6" r:id="rId6"/>
  </sheets>
  <externalReferences>
    <externalReference r:id="rId7"/>
  </externalReferenc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<sst xmlns="http://schemas.openxmlformats.org/spreadsheetml/2006/main" count="621" uniqueCount="445">
  <si>
    <t>EXOTIC &amp; COLLECTOR AUTOMOBILE MGA  —  UNDERWRITING BORDEREAUX</t>
  </si>
  <si>
    <t>Monthly delegated authority underwriting reporting to the Lloyd's syndicate panel. Distinct from the claims bordereaux — this reports bound policies, not claims.</t>
  </si>
  <si>
    <t>SHEETS IN THIS WORKBOOK</t>
  </si>
  <si>
    <t>Header</t>
  </si>
  <si>
    <t>Contract identification, reporting period, binding and discount authority limits, syndicate participation table, and a live submission control summary linking to the bordereaux data.</t>
  </si>
  <si>
    <t>UW Bordereaux</t>
  </si>
  <si>
    <t>The data sheet. One row per policy per reporting period. 56 columns, 200 pre-formatted rows. Blue columns are for entry; grey columns calculate. Report every risk — new business, renewals, endorsements, cancellations.</t>
  </si>
  <si>
    <t>Reconciliation</t>
  </si>
  <si>
    <t>Premium reconciliation (GWP minus commission equals net to capacity; total due reconciles through fees and tax) plus twelve automated submission control checks. Run before every submission.</t>
  </si>
  <si>
    <t>Field Definitions</t>
  </si>
  <si>
    <t>Every column explained with its population rule and source.</t>
  </si>
  <si>
    <t>Lists</t>
  </si>
  <si>
    <t>Source of every drop-down. Amend here to change available options.</t>
  </si>
  <si>
    <t>HOW THIS BORDEREAUX DIFFERS FROM THE CLAIMS BORDEREAUX</t>
  </si>
  <si>
    <t>-  The underwriting bordereaux reports POLICIES BOUND. The claims bordereaux reports CLAIMS NOTIFIED. Both go to the same syndicate panel under the same binding authority, but they are separate documents with separate submission schedules.</t>
  </si>
  <si>
    <t>-  The underwriting bordereaux is typically submitted monthly (or quarterly for lower-volume binders) and covers every risk bound, renewed, endorsed or cancelled in the period. It is the primary document the syndicates use to monitor premium volume, rate adequacy and class mix.</t>
  </si>
  <si>
    <t>-  Rate adequacy is the metric the lead syndicate watches most closely on a delegated motor book. The rate adequacy column and the Header summary are the underwriting bdx's equivalent of the loss ratio on the claims bdx — they tell the syndicate whether the coverholder is generating business at an adequate price.</t>
  </si>
  <si>
    <t>-  This bordereaux does not feed the claims bdx automatically — the two documents are matched by certificate number and insured name at the syndicate level during the bureau reconciliation process.</t>
  </si>
  <si>
    <t>HOW TO USE</t>
  </si>
  <si>
    <t>-  Complete the Header sheet before the first submission: UMR, coverholder name, PIN, reporting period, authority limits. These cells carry through to every calculation in the bordereaux data sheet.</t>
  </si>
  <si>
    <t>-  Enter one row per policy. For endorsements and renewals, carry the original certificate number and set the movement type accordingly — do not create a new certificate number.</t>
  </si>
  <si>
    <t>-  The technical premium column (AB) must be entered manually or copied from the Portfolio Register. It represents the rate-adequate price the rater produced before any UW judgement adjustment. If it is left blank, the GWP, rate adequacy and all downstream commission calculations will be blank too.</t>
  </si>
  <si>
    <t>-  Surplus lines tax rate (column AF) must be entered for every bound risk. The formula calculates the dollar amount, but the rate itself is your responsibility — verify it with the stamping office or your filing service before the bordereaux is sent.</t>
  </si>
  <si>
    <t>-  Run the Reconciliation sheet before every submission. Any FAIL must be resolved. A WARN on rate adequacy should be noted and explained to the lead syndicate; it does not block submission but will be questioned.</t>
  </si>
  <si>
    <t>-  Six specimen risks are pre-loaded to show the intended level of detail. Delete them before issuing to the syndicates.</t>
  </si>
  <si>
    <t>IMPORTANT — This template follows the general structure and field set of Lloyd's coverholder underwriting reporting, but it is NOT a certified Lloyd's Coverholder Reporting Standards file. Before your first submission, obtain the exact required template, mandatory field list and column order from your Lloyd's broker or the lead syndicate's delegated authority team. Requirements differ by syndicate, by class and by year of account, and they change annually. The LCRS v5.2 schema (and its successors) governs the accepted electronic format.</t>
  </si>
  <si>
    <t>UNDERWRITING BORDEREAUX  —  HEADER AND SUBMISSION DETAILS</t>
  </si>
  <si>
    <t>Complete before every submission. These fields identify the contract and reporting period.</t>
  </si>
  <si>
    <t>Commission stack: 25% total = 12.5% broker + 12.5% Torque Underwriters (MGA). Net to capacity 75%.</t>
  </si>
  <si>
    <t>Total ceding</t>
  </si>
  <si>
    <t>Broker</t>
  </si>
  <si>
    <t>Torque (MGA)</t>
  </si>
  <si>
    <t>PC hurdle</t>
  </si>
  <si>
    <t>PC share</t>
  </si>
  <si>
    <t>SECTION A  —  CONTRACT IDENTIFICATION</t>
  </si>
  <si>
    <t>Unique Market Reference (UMR)</t>
  </si>
  <si>
    <t>B1234EXOTIC26</t>
  </si>
  <si>
    <t>Must match exactly on every submission and on every certificate issued under the binder.</t>
  </si>
  <si>
    <t>Binding authority reference</t>
  </si>
  <si>
    <t>BA-EXO-2026-01</t>
  </si>
  <si>
    <t>Coverholder name</t>
  </si>
  <si>
    <t>[Your MGA legal entity name]</t>
  </si>
  <si>
    <t>Lloyd's coverholder PIN</t>
  </si>
  <si>
    <t>[PIN]</t>
  </si>
  <si>
    <t>Issued on coverholder approval. Required on every submission.</t>
  </si>
  <si>
    <t>Risk code</t>
  </si>
  <si>
    <t>MT</t>
  </si>
  <si>
    <t>Lloyd's risk code. MT = Motor. Confirm with your Lloyd's broker.</t>
  </si>
  <si>
    <t>Year of account</t>
  </si>
  <si>
    <t>Class of business</t>
  </si>
  <si>
    <t>Exotic, supercar and collector automobile</t>
  </si>
  <si>
    <t>Reporting period start</t>
  </si>
  <si>
    <t>Reporting period end</t>
  </si>
  <si>
    <t>Submission date</t>
  </si>
  <si>
    <t>Most binders require submission within 15–30 days of period end. Verify yours.</t>
  </si>
  <si>
    <t>Prepared by</t>
  </si>
  <si>
    <t>[Name, title]</t>
  </si>
  <si>
    <t>Reporting currency</t>
  </si>
  <si>
    <t>USD</t>
  </si>
  <si>
    <t>Settlement currency</t>
  </si>
  <si>
    <t>Coverholder binding authority limit (AV)</t>
  </si>
  <si>
    <t>$2,000,000</t>
  </si>
  <si>
    <t>Per Technical Premium row 16. Risks above this value require individual referral.</t>
  </si>
  <si>
    <t>Discount authority limit</t>
  </si>
  <si>
    <t>−15.0%</t>
  </si>
  <si>
    <t>Per Technical Premium row 19. Risks priced beyond this require senior approval.</t>
  </si>
  <si>
    <t>Minimum premium per policy</t>
  </si>
  <si>
    <t>Confirm in the binding authority wording. Applies irrespective of the formula result.</t>
  </si>
  <si>
    <t>SECTION B  —  SYNDICATE PARTICIPATION AND SHARE ALLOCATION</t>
  </si>
  <si>
    <t>Syndicate</t>
  </si>
  <si>
    <t>Managing agent</t>
  </si>
  <si>
    <t>Line % (share of risk)</t>
  </si>
  <si>
    <t>GWP at line</t>
  </si>
  <si>
    <t>Technical prem at line</t>
  </si>
  <si>
    <t>NET TO CAPACITY at line</t>
  </si>
  <si>
    <t>2623 / 623</t>
  </si>
  <si>
    <t>Beazley Furlonge Ltd</t>
  </si>
  <si>
    <t>33</t>
  </si>
  <si>
    <t>Hiscox Syndicates Ltd</t>
  </si>
  <si>
    <t>1084</t>
  </si>
  <si>
    <t>Chaucer Syndicates Ltd</t>
  </si>
  <si>
    <t>4020</t>
  </si>
  <si>
    <t>Ark Syndicate Management</t>
  </si>
  <si>
    <t>2987</t>
  </si>
  <si>
    <t>Brit Syndicates Ltd</t>
  </si>
  <si>
    <t>4444</t>
  </si>
  <si>
    <t>Canopius Managing Agents</t>
  </si>
  <si>
    <t>1969</t>
  </si>
  <si>
    <t>Apollo Syndicate Management</t>
  </si>
  <si>
    <t>1274</t>
  </si>
  <si>
    <t>Antares Managing Agency</t>
  </si>
  <si>
    <t>2001</t>
  </si>
  <si>
    <t>MS Amlin Underwriting</t>
  </si>
  <si>
    <t>1414</t>
  </si>
  <si>
    <t>Ascot Underwriting Ltd</t>
  </si>
  <si>
    <t>PANEL TOTAL</t>
  </si>
  <si>
    <t>SECTION C  —  SUBMISSION CONTROL SUMMARY  (live from UW Bordereaux)</t>
  </si>
  <si>
    <t>Policies reported this period</t>
  </si>
  <si>
    <t xml:space="preserve">  of which bound</t>
  </si>
  <si>
    <t xml:space="preserve">  of which declined / lapsed</t>
  </si>
  <si>
    <t>TOTAL GWP BOUND</t>
  </si>
  <si>
    <t>TOTAL TECHNICAL PREMIUM</t>
  </si>
  <si>
    <t>PORTFOLIO RATE ADEQUACY</t>
  </si>
  <si>
    <t>Total net premium to capacity</t>
  </si>
  <si>
    <t>Total policy fees collected</t>
  </si>
  <si>
    <t>Total surplus lines tax collected</t>
  </si>
  <si>
    <t>Risks above auto-bind limit</t>
  </si>
  <si>
    <t>Risks bound beyond discount auth.</t>
  </si>
  <si>
    <t>Missing certificate numbers</t>
  </si>
  <si>
    <t>Rows failing mandatory checks</t>
  </si>
  <si>
    <t>UNDERWRITING BORDEREAUX</t>
  </si>
  <si>
    <t>One row per policy per reporting period. Blue columns are for entry; grey columns calculate from the Portfolio Register or from other inputs. Report every bound risk — new business, renewals and endorsements.</t>
  </si>
  <si>
    <t>POLICY IDENTIFICATION</t>
  </si>
  <si>
    <t>RISK DATA</t>
  </si>
  <si>
    <t>GARAGING &amp; CAT</t>
  </si>
  <si>
    <t>COVERAGE TERMS</t>
  </si>
  <si>
    <t>PREMIUM  —  100% GROSS</t>
  </si>
  <si>
    <t>COMMISSION &amp; NET</t>
  </si>
  <si>
    <t>RATING METRICS</t>
  </si>
  <si>
    <t>CONTROLS</t>
  </si>
  <si>
    <t>DATA QUALITY</t>
  </si>
  <si>
    <t>Certificate / policy ref</t>
  </si>
  <si>
    <t>Named insured</t>
  </si>
  <si>
    <t>Effective date</t>
  </si>
  <si>
    <t>Binding status</t>
  </si>
  <si>
    <t>Movement type</t>
  </si>
  <si>
    <t>UMR</t>
  </si>
  <si>
    <t>Vehicle year</t>
  </si>
  <si>
    <t>Make</t>
  </si>
  <si>
    <t>Model</t>
  </si>
  <si>
    <t>VIN / chassis</t>
  </si>
  <si>
    <t>Vehicle class</t>
  </si>
  <si>
    <t>Agreed value (USD)</t>
  </si>
  <si>
    <t>Policy type</t>
  </si>
  <si>
    <t>Usage description</t>
  </si>
  <si>
    <t>Annual mileage band</t>
  </si>
  <si>
    <t>Garaging state</t>
  </si>
  <si>
    <t>Garaging ZIP</t>
  </si>
  <si>
    <t>Catastrophe zone</t>
  </si>
  <si>
    <t>Zone multiplier</t>
  </si>
  <si>
    <t>Cat deductible</t>
  </si>
  <si>
    <t>Valuation basis</t>
  </si>
  <si>
    <t>PD deductible</t>
  </si>
  <si>
    <t>Liability limit (CSL)</t>
  </si>
  <si>
    <t>Endorsements / special terms</t>
  </si>
  <si>
    <t>Conditions</t>
  </si>
  <si>
    <t>Surplus lines / admitted</t>
  </si>
  <si>
    <t>Technical premium (100%)</t>
  </si>
  <si>
    <t>UW judgement adj %</t>
  </si>
  <si>
    <t>GROSS WRITTEN PREMIUM (100%)</t>
  </si>
  <si>
    <t>Policy fee (100%)</t>
  </si>
  <si>
    <t>Inspection / appraisal fee</t>
  </si>
  <si>
    <t>Surplus lines tax %</t>
  </si>
  <si>
    <t>Surplus lines tax $</t>
  </si>
  <si>
    <t>Stamping fee $</t>
  </si>
  <si>
    <t>TOTAL DUE FROM INSURED (100%)</t>
  </si>
  <si>
    <t>Rate adequacy check</t>
  </si>
  <si>
    <t>Bind band</t>
  </si>
  <si>
    <t>Total ceding commission %</t>
  </si>
  <si>
    <t>Commission $ (100%)</t>
  </si>
  <si>
    <t>Broker commission $ 12.5% (100%)</t>
  </si>
  <si>
    <t>Torque (MGA) commission $ 12.5% (100%)</t>
  </si>
  <si>
    <t>NET TO CAPACITY 75% (100%)</t>
  </si>
  <si>
    <t>GWP at signed line</t>
  </si>
  <si>
    <t>Tech prem at signed line</t>
  </si>
  <si>
    <t>Technical rate per $100</t>
  </si>
  <si>
    <t>Charged rate per $100</t>
  </si>
  <si>
    <t>Portfolio rate adequacy</t>
  </si>
  <si>
    <t>Profit commission accrual</t>
  </si>
  <si>
    <t>MANDATORY FIELD CHECK</t>
  </si>
  <si>
    <t>Above auto-bind limit?</t>
  </si>
  <si>
    <t>Min premium met?</t>
  </si>
  <si>
    <t>Surplus lines tax verified?</t>
  </si>
  <si>
    <t>Signed by approver?</t>
  </si>
  <si>
    <t>Notes</t>
  </si>
  <si>
    <t>Class / year consistency</t>
  </si>
  <si>
    <t>Row foots to GWP</t>
  </si>
  <si>
    <t>EXO-2026-C-0001</t>
  </si>
  <si>
    <t>Carrera Holdings LLC</t>
  </si>
  <si>
    <t>Bound - within authority</t>
  </si>
  <si>
    <t>New business</t>
  </si>
  <si>
    <t>Ferrari</t>
  </si>
  <si>
    <t>296 GTB</t>
  </si>
  <si>
    <t>ZFF01SMA5P0290114</t>
  </si>
  <si>
    <t>03 - Supercar</t>
  </si>
  <si>
    <t>Personal</t>
  </si>
  <si>
    <t>Personal - regular use</t>
  </si>
  <si>
    <t>2,500 - 5,000</t>
  </si>
  <si>
    <t>Florida</t>
  </si>
  <si>
    <t>33139</t>
  </si>
  <si>
    <t>Tier 1 - Coastal wind / surge (0-1 mile, FEMA V or Coastal A)</t>
  </si>
  <si>
    <t>2% of agreed value, minimum $10,000</t>
  </si>
  <si>
    <t>Agreed Value</t>
  </si>
  <si>
    <t>$5,000</t>
  </si>
  <si>
    <t>$1,000,000 CSL</t>
  </si>
  <si>
    <t>EX-14 OEM parts guarantee</t>
  </si>
  <si>
    <t>Surplus Lines</t>
  </si>
  <si>
    <t>EXO-2026-C-0002</t>
  </si>
  <si>
    <t>Sonoran Collection Trust</t>
  </si>
  <si>
    <t>Bound - approved referral</t>
  </si>
  <si>
    <t>Bugatti</t>
  </si>
  <si>
    <t>Chiron Pur Sport</t>
  </si>
  <si>
    <t>VF9SP3V33MM795112</t>
  </si>
  <si>
    <t>04 - Hypercar</t>
  </si>
  <si>
    <t>Collector - pleasure use only</t>
  </si>
  <si>
    <t>Under 1,000</t>
  </si>
  <si>
    <t>Arizona</t>
  </si>
  <si>
    <t>85253</t>
  </si>
  <si>
    <t>Severe convective - hail / tornado (moderate)</t>
  </si>
  <si>
    <t>Agreed Value + Appreciation clause</t>
  </si>
  <si>
    <t>$100,000</t>
  </si>
  <si>
    <t>$5,000,000 CSL</t>
  </si>
  <si>
    <t>EX-04 Appreciation; EX-05 DIV; EX-09 Worldwide 90 days</t>
  </si>
  <si>
    <t>EXO-2026-C-0003</t>
  </si>
  <si>
    <t>Shelby</t>
  </si>
  <si>
    <t>Cobra 427</t>
  </si>
  <si>
    <t>CSX3178</t>
  </si>
  <si>
    <t>07 - Post-War Classic (1946-1972)</t>
  </si>
  <si>
    <t>Club touring / rallies (non-timed)</t>
  </si>
  <si>
    <t>1,000 - 2,500</t>
  </si>
  <si>
    <t>1% of agreed value, minimum $5,000</t>
  </si>
  <si>
    <t>$25,000</t>
  </si>
  <si>
    <t>$2,000,000 CSL</t>
  </si>
  <si>
    <t>EX-17 Pair &amp; Set</t>
  </si>
  <si>
    <t>EXO-2026-C-0004</t>
  </si>
  <si>
    <t>Meridian Motorcars LLC</t>
  </si>
  <si>
    <t>Lamborghini</t>
  </si>
  <si>
    <t>Huracan Tecnica</t>
  </si>
  <si>
    <t>ZHWUT4ZF2PLA20441</t>
  </si>
  <si>
    <t>Commercial</t>
  </si>
  <si>
    <t>Rental / exotic driving experience</t>
  </si>
  <si>
    <t>Over 15,000</t>
  </si>
  <si>
    <t>Nevada</t>
  </si>
  <si>
    <t>89109</t>
  </si>
  <si>
    <t>Low hazard - inland benign</t>
  </si>
  <si>
    <t>None - flat deductible applies</t>
  </si>
  <si>
    <t>Stated Value (up to)</t>
  </si>
  <si>
    <t>$10,000</t>
  </si>
  <si>
    <t>Renter agreement; GPS active</t>
  </si>
  <si>
    <t>EXO-2026-C-0005</t>
  </si>
  <si>
    <t>K. Reyes</t>
  </si>
  <si>
    <t>Porsche</t>
  </si>
  <si>
    <t>911 GT3 (991.2)</t>
  </si>
  <si>
    <t>WP0AC2A94HS270118</t>
  </si>
  <si>
    <t>02 - Sports / GT</t>
  </si>
  <si>
    <t>Rhode Island</t>
  </si>
  <si>
    <t>02906</t>
  </si>
  <si>
    <t>Tier 2 - Coastal wind (1-25 miles)</t>
  </si>
  <si>
    <t>HPDE certificate on file</t>
  </si>
  <si>
    <t>EXO-2026-C-0006</t>
  </si>
  <si>
    <t>Pacific Crest Garage LLC</t>
  </si>
  <si>
    <t>Singer Vehicle Design</t>
  </si>
  <si>
    <t>DLS Turbo Study</t>
  </si>
  <si>
    <t>SVD-TS-0042</t>
  </si>
  <si>
    <t>11 - Restomod / Coachbuilt / Bespoke</t>
  </si>
  <si>
    <t>California</t>
  </si>
  <si>
    <t>91302</t>
  </si>
  <si>
    <t>Wildfire - WUI high hazard</t>
  </si>
  <si>
    <t>1% of agreed value</t>
  </si>
  <si>
    <t>EX-05 DIV; EX-16 full glass</t>
  </si>
  <si>
    <t>UNDERWRITING BORDEREAUX  —  RECONCILIATION AND CONTROL CHECKS</t>
  </si>
  <si>
    <t>Run every check before submitting. A bordereaux with missing mandatory fields or a panel that does not sign 100% will be rejected.</t>
  </si>
  <si>
    <t>SECTION A  —  PREMIUM RECONCILIATION</t>
  </si>
  <si>
    <t>TOTAL GROSS WRITTEN PREMIUM (bound risks, 100%)</t>
  </si>
  <si>
    <t xml:space="preserve">  less: total commission (100%)</t>
  </si>
  <si>
    <t>NET PREMIUM TO CAPACITY (100%)</t>
  </si>
  <si>
    <t xml:space="preserve">  check: GWP less commission</t>
  </si>
  <si>
    <t>VARIANCE (should be zero)</t>
  </si>
  <si>
    <t>TOTAL DUE FROM INSUREDS</t>
  </si>
  <si>
    <t>Sum of GWP + fees + tax (check)</t>
  </si>
  <si>
    <t>Lead syndicate GWP at signed line</t>
  </si>
  <si>
    <t>Panel total GWP at signed line</t>
  </si>
  <si>
    <t>SECTION B  —  SUBMISSION CONTROL CHECKS</t>
  </si>
  <si>
    <t>Check</t>
  </si>
  <si>
    <t>Result</t>
  </si>
  <si>
    <t>Every bound risk has a certificate number</t>
  </si>
  <si>
    <t>Every row has a binding status</t>
  </si>
  <si>
    <t>Effective date present on all bound risks</t>
  </si>
  <si>
    <t>Technical premium entered on all bound risks</t>
  </si>
  <si>
    <t>Surplus lines tax % entered on all bound risks</t>
  </si>
  <si>
    <t>Verify rate with the stamping office before invoicing. Do not rely on defaults.</t>
  </si>
  <si>
    <t>No negative agreed values</t>
  </si>
  <si>
    <t>No agreed value below programme minimum ($100,000)</t>
  </si>
  <si>
    <t>Syndicate panel signs 100%</t>
  </si>
  <si>
    <t>Rate adequacy — no risk below 85%</t>
  </si>
  <si>
    <t>Warning only — not a hard stop. Refer risks below 85% to the lead syndicate.</t>
  </si>
  <si>
    <t>Risks at or above auto-bind limit</t>
  </si>
  <si>
    <t>Risks bound beyond discount authority</t>
  </si>
  <si>
    <t>Mandatory field check — all rows passing</t>
  </si>
  <si>
    <t>Do not submit until all rows show PASS in column AW of the bordereaux.</t>
  </si>
  <si>
    <t>Vehicle class matches vehicle year</t>
  </si>
  <si>
    <t>Every row foots: broker + Torque + net = GWP</t>
  </si>
  <si>
    <t>Commission splits sum to total ceding rate</t>
  </si>
  <si>
    <t>10 markets each at a 10% line, panel = 100%</t>
  </si>
  <si>
    <t>COMMISSION RECONCILIATION</t>
  </si>
  <si>
    <t>Gross written premium (100%)</t>
  </si>
  <si>
    <t xml:space="preserve">  Broker commission 12.5%</t>
  </si>
  <si>
    <t xml:space="preserve">  Torque (MGA) commission 12.5%</t>
  </si>
  <si>
    <t xml:space="preserve">  Net to capacity 75%</t>
  </si>
  <si>
    <t>Sum of the three components</t>
  </si>
  <si>
    <t>VARIANCE TO GWP</t>
  </si>
  <si>
    <t>Broker as % of GWP</t>
  </si>
  <si>
    <t>Torque as % of GWP</t>
  </si>
  <si>
    <t>Net to capacity as % of GWP</t>
  </si>
  <si>
    <t>Each 10% line receives (% of GWP)</t>
  </si>
  <si>
    <t>Rounding: broker and Torque commission are each ROUNDed to 2 decimals; net to capacity is derived as GWP less the two rounded commissions. Every row therefore foots to the cent and the book total foots exactly - no rounding plug is ever required.</t>
  </si>
  <si>
    <t>UNDERWRITING BORDEREAUX  —  FIELD DEFINITIONS</t>
  </si>
  <si>
    <t>Every column explained, with population rules and source.</t>
  </si>
  <si>
    <t>Col</t>
  </si>
  <si>
    <t>Field</t>
  </si>
  <si>
    <t>Type</t>
  </si>
  <si>
    <t>Source / notes</t>
  </si>
  <si>
    <t>A</t>
  </si>
  <si>
    <t>Free text</t>
  </si>
  <si>
    <t>Your unique certificate number for this risk. Must be consistent across all submissions and across both the claims and underwriting bordereaux for the same policy.</t>
  </si>
  <si>
    <t>B</t>
  </si>
  <si>
    <t>C</t>
  </si>
  <si>
    <t>Date</t>
  </si>
  <si>
    <t>D</t>
  </si>
  <si>
    <t>Drop-down</t>
  </si>
  <si>
    <t>E</t>
  </si>
  <si>
    <t>F</t>
  </si>
  <si>
    <t>G</t>
  </si>
  <si>
    <t>CALCULATED</t>
  </si>
  <si>
    <t>Calculated from the effective date. Lloyd's accounts are managed by year of account; do not use the reporting period date.</t>
  </si>
  <si>
    <t>H</t>
  </si>
  <si>
    <t>Number</t>
  </si>
  <si>
    <t>I</t>
  </si>
  <si>
    <t>J</t>
  </si>
  <si>
    <t>K</t>
  </si>
  <si>
    <t>L</t>
  </si>
  <si>
    <t>M</t>
  </si>
  <si>
    <t>Currency</t>
  </si>
  <si>
    <t>N</t>
  </si>
  <si>
    <t>O</t>
  </si>
  <si>
    <t>P</t>
  </si>
  <si>
    <t>Q</t>
  </si>
  <si>
    <t>R</t>
  </si>
  <si>
    <t>S</t>
  </si>
  <si>
    <t>T</t>
  </si>
  <si>
    <t>Calculated from the catastrophe zone using the multipliers on the Natural Catastrophe sheet. Feeds into the cat load component of the technical premium.</t>
  </si>
  <si>
    <t>U</t>
  </si>
  <si>
    <t>V</t>
  </si>
  <si>
    <t>W</t>
  </si>
  <si>
    <t>X</t>
  </si>
  <si>
    <t>Y</t>
  </si>
  <si>
    <t>Z</t>
  </si>
  <si>
    <t>AA</t>
  </si>
  <si>
    <t>AB</t>
  </si>
  <si>
    <t>Enter the technical premium from the Portfolio Register or the Rating Engine for this risk. It must reflect the rate-adequate price before any UW judgement adjustment.</t>
  </si>
  <si>
    <t>AC</t>
  </si>
  <si>
    <t>Percentage</t>
  </si>
  <si>
    <t>The adjustment applied above or below technical. Negative = below. Feeds the GWP calculation. Must be consistent with the value entered on the Portfolio Register.</t>
  </si>
  <si>
    <t>AD</t>
  </si>
  <si>
    <t>Calculated: technical premium × (1 + UW judgement adjustment %). Report at 100% of the risk regardless of syndicate share.</t>
  </si>
  <si>
    <t>AE</t>
  </si>
  <si>
    <t>AF</t>
  </si>
  <si>
    <t>AG</t>
  </si>
  <si>
    <t>AH</t>
  </si>
  <si>
    <t>Calculated: (GWP + policy fee + inspection fee) × surplus lines tax %. Verify the rate for every state — rates change frequently and the formula carries the rate you enter, not a live lookup.</t>
  </si>
  <si>
    <t>AI</t>
  </si>
  <si>
    <t>AJ</t>
  </si>
  <si>
    <t>Calculated: GWP + policy fee + inspection fee + surplus lines tax + stamping fee. This is the gross invoice amount before any commission is netted off.</t>
  </si>
  <si>
    <t>AK</t>
  </si>
  <si>
    <t>Calculated: total due ÷ technical premium. The portfolio rate adequacy in the Header summary uses GWP; this cell uses total due including fees, so it will be slightly above 100% even at technical.</t>
  </si>
  <si>
    <t>AL</t>
  </si>
  <si>
    <t>Whether the risk was written above, at, or below technical rate. BEYOND AUTHORITY means the discount exceeded the authority limit. Must match the Portfolio Register for the same risk.</t>
  </si>
  <si>
    <t>AM</t>
  </si>
  <si>
    <t>Linked from the Commission Structure sheet. If the commission rate is specific to this risk (e.g. a non-standard agreement), override manually and note it in the Notes column.</t>
  </si>
  <si>
    <t>AN</t>
  </si>
  <si>
    <t>From Portfolio Register</t>
  </si>
  <si>
    <t>AO</t>
  </si>
  <si>
    <t>Broker commission $ (100%)</t>
  </si>
  <si>
    <t>AP</t>
  </si>
  <si>
    <t>MGA net commission $ (100%)</t>
  </si>
  <si>
    <t>AQ</t>
  </si>
  <si>
    <t>GWP less total ceding commission. This is what reaches the Lloyd's trust fund before deduction of Lloyd's charges, central fund contributions and reinsurance.</t>
  </si>
  <si>
    <t>AR</t>
  </si>
  <si>
    <t>The lead syndicate's proportional share of GWP. Uses the lead line from the Header panel table; adjust if the lead line differs by risk.</t>
  </si>
  <si>
    <t>AS</t>
  </si>
  <si>
    <t>AT</t>
  </si>
  <si>
    <t>AU</t>
  </si>
  <si>
    <t>AV</t>
  </si>
  <si>
    <t>AW</t>
  </si>
  <si>
    <t>AX</t>
  </si>
  <si>
    <t>Calculated. Reads PASS when all sixteen mandatory fields are populated, FAIL followed by a description of what is missing when any are blank. Do not submit rows showing FAIL.</t>
  </si>
  <si>
    <t>AY</t>
  </si>
  <si>
    <t>Calculated against the threshold in Header row 18. A YES means an individual referral must be on file in the Referral Log before this row is submitted.</t>
  </si>
  <si>
    <t>AZ</t>
  </si>
  <si>
    <t>Calculated against the minimum premium in Header row 20. BELOW MIN PREMIUM means the premium must be loaded to the minimum, subject to the insured's consent.</t>
  </si>
  <si>
    <t>BA</t>
  </si>
  <si>
    <t>BB</t>
  </si>
  <si>
    <t>BC</t>
  </si>
  <si>
    <t>VALIDATION LISTS</t>
  </si>
  <si>
    <t>Source of every drop-down in this workbook.</t>
  </si>
  <si>
    <t>Movement Type</t>
  </si>
  <si>
    <t>Binding Status</t>
  </si>
  <si>
    <t>Policy Type</t>
  </si>
  <si>
    <t>Vehicle Class</t>
  </si>
  <si>
    <t>Valuation Basis</t>
  </si>
  <si>
    <t>Liability Limit</t>
  </si>
  <si>
    <t>Cat Zone</t>
  </si>
  <si>
    <t>Bind Band</t>
  </si>
  <si>
    <t>Yes No</t>
  </si>
  <si>
    <t>Surplus Lines Admitted</t>
  </si>
  <si>
    <t>01 - Luxury Sedan / SUV</t>
  </si>
  <si>
    <t>$300,000 CSL</t>
  </si>
  <si>
    <t>Above technical</t>
  </si>
  <si>
    <t>Yes</t>
  </si>
  <si>
    <t>Renewal</t>
  </si>
  <si>
    <t>$500,000 CSL</t>
  </si>
  <si>
    <t>At technical</t>
  </si>
  <si>
    <t>GBP</t>
  </si>
  <si>
    <t>No</t>
  </si>
  <si>
    <t>Admitted</t>
  </si>
  <si>
    <t>Mid-term endorsement</t>
  </si>
  <si>
    <t>Quoted - not yet bound</t>
  </si>
  <si>
    <t>Tier 3 - Coastal wind (25-100 miles)</t>
  </si>
  <si>
    <t>BELOW technical</t>
  </si>
  <si>
    <t>EUR</t>
  </si>
  <si>
    <t>London Direct</t>
  </si>
  <si>
    <t>Mid-term cancellation</t>
  </si>
  <si>
    <t>Declined</t>
  </si>
  <si>
    <t>Actual Cash Value</t>
  </si>
  <si>
    <t>Inland - hurricane remnant only (100+ miles)</t>
  </si>
  <si>
    <t>BEYOND AUTHORITY</t>
  </si>
  <si>
    <t>CAD</t>
  </si>
  <si>
    <t>Reinstatement</t>
  </si>
  <si>
    <t>Cancelled</t>
  </si>
  <si>
    <t>05 - Limited Edition / Track-Focused</t>
  </si>
  <si>
    <t>Severe convective - hail alley (high)</t>
  </si>
  <si>
    <t>Correction / restatement</t>
  </si>
  <si>
    <t>Lapsed</t>
  </si>
  <si>
    <t>06 - Vintage Pre-War (pre-1946)</t>
  </si>
  <si>
    <t>$10,000,000 CSL</t>
  </si>
  <si>
    <t>No change this period</t>
  </si>
  <si>
    <t>Void</t>
  </si>
  <si>
    <t>08 - Modern Classic (1973-1999)</t>
  </si>
  <si>
    <t>Wildfire - moderate hazard</t>
  </si>
  <si>
    <t>09 - Youngtimer / Collectible (2000-2010)</t>
  </si>
  <si>
    <t>Earthquake - high (CA, Cascadia, New Madrid)</t>
  </si>
  <si>
    <t>10 - Competition / Race Car</t>
  </si>
  <si>
    <t>Flood - FEMA SFHA (zone A / AE / V)</t>
  </si>
  <si>
    <t>Winter freeze / ice / severe road salt</t>
  </si>
  <si>
    <t>12 - Performance EV / Electric Hyper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</si>
</sst>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quot;($&quot;#,##0\);\-"/>
    <numFmt numFmtId="165" formatCode="dd\-mmm\-yyyy"/>
    <numFmt numFmtId="166" formatCode="\$#,##0"/>
    <numFmt numFmtId="167" formatCode="0.0%"/>
    <numFmt numFmtId="168" formatCode="0.000"/>
    <numFmt numFmtId="169" formatCode="0.00%;\(0.00%\);\-"/>
    <numFmt numFmtId="170" formatCode="0.0%;\(0.0%\);\-"/>
    <numFmt numFmtId="171" formatCode="\$0.000"/>
    <numFmt numFmtId="172" formatCode="\$#,##0.00"/>
    <numFmt numFmtId="173" formatCode="0.000%"/>
  </numFmts>
  <fonts count="19"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b/>
      <i/>
      <sz val="9"/>
      <color rgb="FFC00000"/>
      <name val="Arial"/>
      <charset val="1"/>
    </font>
    <font>
      <i/>
      <sz val="9"/>
      <color rgb="FF595959"/>
      <name val="Arial"/>
      <charset val="1"/>
    </font>
    <font>
      <sz val="9"/>
      <color rgb="FF0000FF"/>
      <name val="Arial"/>
      <charset val="1"/>
    </font>
    <font>
      <sz val="10"/>
      <name val="Arial"/>
      <charset val="1"/>
    </font>
    <font>
      <b/>
      <sz val="8"/>
      <color rgb="FFFFFFFF"/>
      <name val="Arial"/>
      <charset val="1"/>
    </font>
    <font>
      <b/>
      <sz val="11"/>
      <color rgb="FF1F3864"/>
      <name val="Arial"/>
      <charset val="1"/>
    </font>
    <font>
      <b/>
      <sz val="9"/>
      <color rgb="FFFFFFFF"/>
      <name val="Arial"/>
      <charset val="1"/>
    </font>
    <font>
      <sz val="8"/>
      <color rgb="FF0000FF"/>
      <name val="Arial"/>
      <charset val="1"/>
    </font>
    <font>
      <sz val="8"/>
      <color rgb="FF000000"/>
      <name val="Arial"/>
      <charset val="1"/>
    </font>
    <font>
      <b/>
      <sz val="8"/>
      <color rgb="FF1F3864"/>
      <name val="Arial"/>
      <charset val="1"/>
    </font>
    <font>
      <sz val="8"/>
      <name val="Arial"/>
      <charset val="1"/>
    </font>
    <font>
      <b/>
      <sz val="9"/>
      <color rgb="FFC00000"/>
      <name val="Arial"/>
      <charset val="1"/>
    </font>
    <font>
      <b/>
      <sz val="9"/>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EDEDED"/>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bottom/>
      <diagonal/>
    </border>
  </borders>
  <cellStyleXfs count="1">
    <xf numFmtId="0" fontId="0" fillId="0" borderId="0"/>
  </cellStyleXfs>
  <cellXfs count="82">
    <xf numFmtId="0" fontId="0" fillId="0" borderId="0" xfId="0"/>
    <xf numFmtId="0" fontId="12" fillId="3" borderId="0" xfId="0" applyFont="1" applyFill="1" applyAlignment="1">
      <alignment horizontal="center"/>
    </xf>
    <xf numFmtId="0" fontId="6" fillId="0" borderId="0" xfId="0" applyFont="1"/>
    <xf numFmtId="0" fontId="5" fillId="0" borderId="0" xfId="0" applyFont="1" applyAlignment="1">
      <alignment vertical="top" wrapText="1"/>
    </xf>
    <xf numFmtId="0" fontId="4" fillId="0" borderId="0" xfId="0" applyFont="1"/>
    <xf numFmtId="0" fontId="5" fillId="0" borderId="0" xfId="0" applyFont="1"/>
    <xf numFmtId="10" fontId="8" fillId="4" borderId="1" xfId="0" applyNumberFormat="1" applyFont="1" applyFill="1" applyBorder="1" applyAlignment="1">
      <alignment horizontal="center"/>
    </xf>
    <xf numFmtId="0" fontId="9" fillId="0" borderId="0" xfId="0" applyFont="1"/>
    <xf numFmtId="0" fontId="8" fillId="4" borderId="1" xfId="0" applyFont="1" applyFill="1" applyBorder="1" applyAlignment="1">
      <alignment horizontal="center"/>
    </xf>
    <xf numFmtId="0" fontId="7" fillId="0" borderId="0" xfId="0" applyFont="1"/>
    <xf numFmtId="164" fontId="8" fillId="4" borderId="1" xfId="0" applyNumberFormat="1" applyFont="1" applyFill="1" applyBorder="1" applyAlignment="1">
      <alignment horizontal="center"/>
    </xf>
    <xf numFmtId="165" fontId="8" fillId="4" borderId="1" xfId="0" applyNumberFormat="1" applyFont="1" applyFill="1" applyBorder="1" applyAlignment="1">
      <alignment horizontal="center"/>
    </xf>
    <xf numFmtId="0" fontId="10" fillId="3" borderId="1" xfId="0" applyFont="1" applyFill="1" applyBorder="1" applyAlignment="1">
      <alignment horizontal="center" vertical="center" wrapText="1"/>
    </xf>
    <xf numFmtId="0" fontId="4" fillId="0" borderId="1" xfId="0" applyFont="1" applyBorder="1" applyAlignment="1">
      <alignment horizontal="center"/>
    </xf>
    <xf numFmtId="0" fontId="5" fillId="0" borderId="1" xfId="0" applyFont="1" applyBorder="1" applyAlignment="1">
      <alignment horizontal="left"/>
    </xf>
    <xf numFmtId="164" fontId="5" fillId="0" borderId="1" xfId="0" applyNumberFormat="1" applyFont="1" applyBorder="1" applyAlignment="1">
      <alignment horizontal="center"/>
    </xf>
    <xf numFmtId="0" fontId="4" fillId="5" borderId="1" xfId="0" applyFont="1" applyFill="1" applyBorder="1" applyAlignment="1">
      <alignment horizontal="center"/>
    </xf>
    <xf numFmtId="0" fontId="5" fillId="5" borderId="1" xfId="0" applyFont="1" applyFill="1" applyBorder="1" applyAlignment="1">
      <alignment horizontal="left"/>
    </xf>
    <xf numFmtId="10" fontId="8" fillId="5" borderId="1" xfId="0" applyNumberFormat="1" applyFont="1" applyFill="1" applyBorder="1" applyAlignment="1">
      <alignment horizontal="center"/>
    </xf>
    <xf numFmtId="164" fontId="5" fillId="5" borderId="1" xfId="0" applyNumberFormat="1" applyFont="1" applyFill="1" applyBorder="1" applyAlignment="1">
      <alignment horizontal="center"/>
    </xf>
    <xf numFmtId="0" fontId="11" fillId="6" borderId="1" xfId="0" applyFont="1" applyFill="1" applyBorder="1" applyAlignment="1">
      <alignment horizontal="center"/>
    </xf>
    <xf numFmtId="10" fontId="11" fillId="6" borderId="1" xfId="0" applyNumberFormat="1" applyFont="1" applyFill="1" applyBorder="1" applyAlignment="1">
      <alignment horizontal="center"/>
    </xf>
    <xf numFmtId="164" fontId="11" fillId="6" borderId="1" xfId="0" applyNumberFormat="1" applyFont="1" applyFill="1" applyBorder="1" applyAlignment="1">
      <alignment horizontal="center"/>
    </xf>
    <xf numFmtId="0" fontId="9" fillId="0" borderId="1" xfId="0" applyFont="1" applyBorder="1"/>
    <xf numFmtId="3" fontId="9" fillId="0" borderId="1" xfId="0" applyNumberFormat="1" applyFont="1" applyBorder="1" applyAlignment="1">
      <alignment horizontal="center"/>
    </xf>
    <xf numFmtId="0" fontId="11" fillId="6" borderId="1" xfId="0" applyFont="1" applyFill="1" applyBorder="1"/>
    <xf numFmtId="166" fontId="11" fillId="6" borderId="1" xfId="0" applyNumberFormat="1" applyFont="1" applyFill="1" applyBorder="1" applyAlignment="1">
      <alignment horizontal="center"/>
    </xf>
    <xf numFmtId="167" fontId="11" fillId="6" borderId="1" xfId="0" applyNumberFormat="1" applyFont="1" applyFill="1" applyBorder="1" applyAlignment="1">
      <alignment horizontal="center"/>
    </xf>
    <xf numFmtId="166" fontId="9" fillId="0" borderId="1" xfId="0" applyNumberFormat="1" applyFont="1" applyBorder="1" applyAlignment="1">
      <alignment horizontal="center"/>
    </xf>
    <xf numFmtId="0" fontId="0" fillId="3" borderId="0" xfId="0" applyFill="1"/>
    <xf numFmtId="0" fontId="13" fillId="0" borderId="1" xfId="0" applyFont="1" applyBorder="1" applyAlignment="1">
      <alignment horizontal="left" vertical="center" wrapText="1"/>
    </xf>
    <xf numFmtId="165" fontId="1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3" fontId="14" fillId="7" borderId="1" xfId="0" applyNumberFormat="1" applyFont="1" applyFill="1" applyBorder="1" applyAlignment="1">
      <alignment horizontal="center" vertical="center" wrapText="1"/>
    </xf>
    <xf numFmtId="3" fontId="13" fillId="0" borderId="1" xfId="0" applyNumberFormat="1" applyFont="1" applyBorder="1" applyAlignment="1">
      <alignment horizontal="center" vertical="center" wrapText="1"/>
    </xf>
    <xf numFmtId="164" fontId="13" fillId="0" borderId="1" xfId="0" applyNumberFormat="1" applyFont="1" applyBorder="1" applyAlignment="1">
      <alignment horizontal="center" vertical="center" wrapText="1"/>
    </xf>
    <xf numFmtId="168" fontId="14" fillId="7" borderId="1" xfId="0" applyNumberFormat="1" applyFont="1" applyFill="1" applyBorder="1" applyAlignment="1">
      <alignment horizontal="center" vertical="center" wrapText="1"/>
    </xf>
    <xf numFmtId="169" fontId="13" fillId="0" borderId="1" xfId="0" applyNumberFormat="1" applyFont="1" applyBorder="1" applyAlignment="1">
      <alignment horizontal="center" vertical="center" wrapText="1"/>
    </xf>
    <xf numFmtId="164" fontId="15" fillId="7" borderId="1" xfId="0" applyNumberFormat="1" applyFont="1" applyFill="1" applyBorder="1" applyAlignment="1">
      <alignment horizontal="center" vertical="center" wrapText="1"/>
    </xf>
    <xf numFmtId="164" fontId="14" fillId="7" borderId="1" xfId="0" applyNumberFormat="1" applyFont="1" applyFill="1" applyBorder="1" applyAlignment="1">
      <alignment horizontal="center" vertical="center" wrapText="1"/>
    </xf>
    <xf numFmtId="170" fontId="14" fillId="7" borderId="1" xfId="0" applyNumberFormat="1" applyFont="1" applyFill="1" applyBorder="1" applyAlignment="1">
      <alignment horizontal="center" vertical="center" wrapText="1"/>
    </xf>
    <xf numFmtId="169" fontId="14" fillId="7" borderId="1" xfId="0" applyNumberFormat="1" applyFont="1" applyFill="1" applyBorder="1" applyAlignment="1">
      <alignment horizontal="center" vertical="center" wrapText="1"/>
    </xf>
    <xf numFmtId="171" fontId="14" fillId="7"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6" fillId="0" borderId="1" xfId="0" applyFont="1" applyBorder="1" applyAlignment="1">
      <alignment horizontal="center" wrapText="1"/>
    </xf>
    <xf numFmtId="0" fontId="13" fillId="5" borderId="1" xfId="0" applyFont="1" applyFill="1" applyBorder="1" applyAlignment="1">
      <alignment horizontal="left" vertical="center" wrapText="1"/>
    </xf>
    <xf numFmtId="165" fontId="13" fillId="5" borderId="1" xfId="0" applyNumberFormat="1" applyFont="1" applyFill="1" applyBorder="1" applyAlignment="1">
      <alignment horizontal="center" vertical="center" wrapText="1"/>
    </xf>
    <xf numFmtId="0" fontId="13" fillId="5" borderId="1" xfId="0" applyFont="1" applyFill="1" applyBorder="1" applyAlignment="1">
      <alignment horizontal="center" vertical="center" wrapText="1"/>
    </xf>
    <xf numFmtId="3" fontId="13" fillId="5" borderId="1" xfId="0" applyNumberFormat="1" applyFont="1" applyFill="1" applyBorder="1" applyAlignment="1">
      <alignment horizontal="center" vertical="center" wrapText="1"/>
    </xf>
    <xf numFmtId="164" fontId="13" fillId="5" borderId="1" xfId="0" applyNumberFormat="1" applyFont="1" applyFill="1" applyBorder="1" applyAlignment="1">
      <alignment horizontal="center" vertical="center" wrapText="1"/>
    </xf>
    <xf numFmtId="169" fontId="13" fillId="5" borderId="1" xfId="0" applyNumberFormat="1" applyFont="1" applyFill="1" applyBorder="1" applyAlignment="1">
      <alignment horizontal="center" vertical="center" wrapText="1"/>
    </xf>
    <xf numFmtId="164" fontId="9" fillId="0" borderId="1" xfId="0" applyNumberFormat="1" applyFont="1" applyBorder="1" applyAlignment="1">
      <alignment horizontal="center"/>
    </xf>
    <xf numFmtId="0" fontId="17" fillId="0" borderId="0" xfId="0" applyFont="1"/>
    <xf numFmtId="172" fontId="9" fillId="0" borderId="1" xfId="0" applyNumberFormat="1" applyFont="1" applyBorder="1" applyAlignment="1">
      <alignment horizontal="center"/>
    </xf>
    <xf numFmtId="0" fontId="5" fillId="0" borderId="1" xfId="0" applyFont="1" applyBorder="1"/>
    <xf numFmtId="0" fontId="5" fillId="5" borderId="1" xfId="0" applyFont="1" applyFill="1" applyBorder="1"/>
    <xf numFmtId="0" fontId="5" fillId="0" borderId="1" xfId="0" applyFont="1" applyBorder="1" applyAlignment="1">
      <alignment vertical="top" wrapText="1"/>
    </xf>
    <xf numFmtId="172" fontId="11" fillId="6" borderId="1" xfId="0" applyNumberFormat="1" applyFont="1" applyFill="1" applyBorder="1" applyAlignment="1">
      <alignment horizontal="center"/>
    </xf>
    <xf numFmtId="172" fontId="5" fillId="0" borderId="1" xfId="0" applyNumberFormat="1" applyFont="1" applyBorder="1" applyAlignment="1">
      <alignment horizontal="center"/>
    </xf>
    <xf numFmtId="173" fontId="5" fillId="0" borderId="1" xfId="0" applyNumberFormat="1" applyFont="1" applyBorder="1" applyAlignment="1">
      <alignment horizontal="center"/>
    </xf>
    <xf numFmtId="0" fontId="5" fillId="0" borderId="1" xfId="0" applyFont="1" applyBorder="1" applyAlignment="1">
      <alignment horizontal="center"/>
    </xf>
    <xf numFmtId="0" fontId="4" fillId="0" borderId="1" xfId="0" applyFont="1" applyBorder="1"/>
    <xf numFmtId="0" fontId="5" fillId="5" borderId="1" xfId="0" applyFont="1" applyFill="1" applyBorder="1" applyAlignment="1">
      <alignment horizontal="center"/>
    </xf>
    <xf numFmtId="0" fontId="4" fillId="5" borderId="1" xfId="0" applyFont="1" applyFill="1" applyBorder="1"/>
    <xf numFmtId="0" fontId="17" fillId="0" borderId="1" xfId="0" applyFont="1" applyBorder="1" applyAlignment="1">
      <alignment horizontal="center"/>
    </xf>
    <xf numFmtId="0" fontId="17" fillId="5" borderId="1" xfId="0" applyFont="1" applyFill="1" applyBorder="1" applyAlignment="1">
      <alignment horizontal="center"/>
    </xf>
    <xf numFmtId="0" fontId="6" fillId="0" borderId="0" xfId="0" applyFont="1"/>
    <xf numFmtId="0" fontId="3" fillId="3" borderId="0" xfId="0" applyFont="1" applyFill="1"/>
    <xf numFmtId="0" fontId="1" fillId="2" borderId="0" xfId="0" applyFont="1" applyFill="1"/>
    <xf numFmtId="0" fontId="2" fillId="2" borderId="0" xfId="0" applyFont="1" applyFill="1"/>
    <xf numFmtId="0" fontId="7" fillId="0" borderId="0" xfId="0" applyFont="1" applyAlignment="1">
      <alignment wrapText="1"/>
    </xf>
    <xf numFmtId="0" fontId="6" fillId="0" borderId="0" xfId="0" applyFont="1" applyAlignment="1">
      <alignment vertical="top" wrapText="1"/>
    </xf>
    <xf numFmtId="0" fontId="5" fillId="0" borderId="0" xfId="0" applyFont="1" applyAlignment="1">
      <alignment vertical="top" wrapText="1"/>
    </xf>
    <xf numFmtId="0" fontId="12" fillId="3" borderId="0" xfId="0" applyFont="1" applyFill="1" applyAlignment="1">
      <alignment horizontal="center"/>
    </xf>
    <xf numFmtId="0" fontId="18" fillId="5" borderId="1" xfId="0" applyFont="1" applyFill="1" applyBorder="1"/>
    <xf numFmtId="0" fontId="18" fillId="0" borderId="1" xfId="0" applyFont="1" applyBorder="1"/>
    <xf numFmtId="0" fontId="7" fillId="0" borderId="0" xfId="0" applyFont="1" applyAlignment="1">
      <alignment vertical="top" wrapText="1"/>
    </xf>
    <xf numFmtId="0" fontId="7" fillId="0" borderId="2" xfId="0" applyFont="1" applyBorder="1"/>
    <xf numFmtId="0" fontId="7" fillId="5" borderId="2" xfId="0" applyFont="1" applyFill="1" applyBorder="1"/>
    <xf numFmtId="0" fontId="5" fillId="5" borderId="1" xfId="0" applyFont="1" applyFill="1" applyBorder="1" applyAlignment="1">
      <alignment vertical="center"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natural%20catastroph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tural catastrophe"/>
    </sheetNames>
    <sheetDataSet>
      <sheetData sheetId="0"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showGridLines="0" zoomScaleNormal="100" workbookViewId="0"/>
  </sheetViews>
  <sheetFormatPr defaultColWidth="8.5703125" defaultRowHeight="15" x14ac:dyDescent="0.25"/>
  <cols>
    <col min="1" max="1" width="2" customWidth="1"/>
    <col min="2" max="2" width="30" customWidth="1"/>
    <col min="3" max="3" width="100" customWidth="1"/>
    <col min="4" max="7" width="14" customWidth="1"/>
  </cols>
  <sheetData>
    <row r="1" spans="1:7" ht="25.5" customHeight="1" x14ac:dyDescent="0.25">
      <c r="A1" s="69" t="s">
        <v>0</v>
      </c>
      <c r="B1" s="69"/>
      <c r="C1" s="69"/>
      <c r="D1" s="69"/>
      <c r="E1" s="69"/>
      <c r="F1" s="69"/>
      <c r="G1" s="69"/>
    </row>
    <row r="2" spans="1:7" ht="15" customHeight="1" x14ac:dyDescent="0.25">
      <c r="A2" s="70" t="s">
        <v>1</v>
      </c>
      <c r="B2" s="70"/>
      <c r="C2" s="70"/>
      <c r="D2" s="70"/>
      <c r="E2" s="70"/>
      <c r="F2" s="70"/>
      <c r="G2" s="70"/>
    </row>
    <row r="4" spans="1:7" ht="18" customHeight="1" x14ac:dyDescent="0.25">
      <c r="B4" s="68" t="s">
        <v>2</v>
      </c>
      <c r="C4" s="68"/>
      <c r="D4" s="68"/>
      <c r="E4" s="68"/>
      <c r="F4" s="68"/>
      <c r="G4" s="68"/>
    </row>
    <row r="6" spans="1:7" ht="31.5" customHeight="1" x14ac:dyDescent="0.25">
      <c r="B6" s="4" t="s">
        <v>3</v>
      </c>
      <c r="C6" s="3" t="s">
        <v>4</v>
      </c>
    </row>
    <row r="7" spans="1:7" ht="31.5" customHeight="1" x14ac:dyDescent="0.25">
      <c r="B7" s="4" t="s">
        <v>5</v>
      </c>
      <c r="C7" s="3" t="s">
        <v>6</v>
      </c>
    </row>
    <row r="8" spans="1:7" ht="31.5" customHeight="1" x14ac:dyDescent="0.25">
      <c r="B8" s="4" t="s">
        <v>7</v>
      </c>
      <c r="C8" s="3" t="s">
        <v>8</v>
      </c>
    </row>
    <row r="9" spans="1:7" ht="31.5" customHeight="1" x14ac:dyDescent="0.25">
      <c r="B9" s="4" t="s">
        <v>9</v>
      </c>
      <c r="C9" s="3" t="s">
        <v>10</v>
      </c>
    </row>
    <row r="10" spans="1:7" ht="31.5" customHeight="1" x14ac:dyDescent="0.25">
      <c r="B10" s="4" t="s">
        <v>11</v>
      </c>
      <c r="C10" s="3" t="s">
        <v>12</v>
      </c>
    </row>
    <row r="12" spans="1:7" ht="18" customHeight="1" x14ac:dyDescent="0.25">
      <c r="B12" s="68" t="s">
        <v>13</v>
      </c>
      <c r="C12" s="68"/>
      <c r="D12" s="68"/>
      <c r="E12" s="68"/>
      <c r="F12" s="68"/>
      <c r="G12" s="68"/>
    </row>
    <row r="14" spans="1:7" ht="30" customHeight="1" x14ac:dyDescent="0.25">
      <c r="B14" s="73" t="s">
        <v>14</v>
      </c>
      <c r="C14" s="73"/>
      <c r="D14" s="73"/>
      <c r="E14" s="73"/>
      <c r="F14" s="73"/>
      <c r="G14" s="73"/>
    </row>
    <row r="15" spans="1:7" ht="30" customHeight="1" x14ac:dyDescent="0.25">
      <c r="B15" s="73" t="s">
        <v>15</v>
      </c>
      <c r="C15" s="73"/>
      <c r="D15" s="73"/>
      <c r="E15" s="73"/>
      <c r="F15" s="73"/>
      <c r="G15" s="73"/>
    </row>
    <row r="16" spans="1:7" ht="30" customHeight="1" x14ac:dyDescent="0.25">
      <c r="B16" s="73" t="s">
        <v>16</v>
      </c>
      <c r="C16" s="73"/>
      <c r="D16" s="73"/>
      <c r="E16" s="73"/>
      <c r="F16" s="73"/>
      <c r="G16" s="73"/>
    </row>
    <row r="17" spans="2:7" ht="30" customHeight="1" x14ac:dyDescent="0.25">
      <c r="B17" s="73" t="s">
        <v>17</v>
      </c>
      <c r="C17" s="73"/>
      <c r="D17" s="73"/>
      <c r="E17" s="73"/>
      <c r="F17" s="73"/>
      <c r="G17" s="73"/>
    </row>
    <row r="19" spans="2:7" ht="18" customHeight="1" x14ac:dyDescent="0.25">
      <c r="B19" s="68" t="s">
        <v>18</v>
      </c>
      <c r="C19" s="68"/>
      <c r="D19" s="68"/>
      <c r="E19" s="68"/>
      <c r="F19" s="68"/>
      <c r="G19" s="68"/>
    </row>
    <row r="21" spans="2:7" ht="27.75" customHeight="1" x14ac:dyDescent="0.25">
      <c r="B21" s="73" t="s">
        <v>19</v>
      </c>
      <c r="C21" s="73"/>
      <c r="D21" s="73"/>
      <c r="E21" s="73"/>
      <c r="F21" s="73"/>
      <c r="G21" s="73"/>
    </row>
    <row r="22" spans="2:7" ht="27.75" customHeight="1" x14ac:dyDescent="0.25">
      <c r="B22" s="73" t="s">
        <v>20</v>
      </c>
      <c r="C22" s="73"/>
      <c r="D22" s="73"/>
      <c r="E22" s="73"/>
      <c r="F22" s="73"/>
      <c r="G22" s="73"/>
    </row>
    <row r="23" spans="2:7" ht="27.75" customHeight="1" x14ac:dyDescent="0.25">
      <c r="B23" s="73" t="s">
        <v>21</v>
      </c>
      <c r="C23" s="73"/>
      <c r="D23" s="73"/>
      <c r="E23" s="73"/>
      <c r="F23" s="73"/>
      <c r="G23" s="73"/>
    </row>
    <row r="24" spans="2:7" ht="27.75" customHeight="1" x14ac:dyDescent="0.25">
      <c r="B24" s="73" t="s">
        <v>22</v>
      </c>
      <c r="C24" s="73"/>
      <c r="D24" s="73"/>
      <c r="E24" s="73"/>
      <c r="F24" s="73"/>
      <c r="G24" s="73"/>
    </row>
    <row r="25" spans="2:7" ht="27.75" customHeight="1" x14ac:dyDescent="0.25">
      <c r="B25" s="73" t="s">
        <v>23</v>
      </c>
      <c r="C25" s="73"/>
      <c r="D25" s="73"/>
      <c r="E25" s="73"/>
      <c r="F25" s="73"/>
      <c r="G25" s="73"/>
    </row>
    <row r="26" spans="2:7" ht="27.75" customHeight="1" x14ac:dyDescent="0.25">
      <c r="B26" s="73" t="s">
        <v>24</v>
      </c>
      <c r="C26" s="73"/>
      <c r="D26" s="73"/>
      <c r="E26" s="73"/>
      <c r="F26" s="73"/>
      <c r="G26" s="73"/>
    </row>
    <row r="28" spans="2:7" ht="15" customHeight="1" x14ac:dyDescent="0.25">
      <c r="B28" s="72" t="s">
        <v>25</v>
      </c>
      <c r="C28" s="72"/>
      <c r="D28" s="72"/>
      <c r="E28" s="72"/>
      <c r="F28" s="72"/>
      <c r="G28" s="72"/>
    </row>
    <row r="29" spans="2:7" ht="15" customHeight="1" x14ac:dyDescent="0.25">
      <c r="B29" s="72"/>
      <c r="C29" s="72"/>
      <c r="D29" s="72"/>
      <c r="E29" s="72"/>
      <c r="F29" s="72"/>
      <c r="G29" s="72"/>
    </row>
    <row r="30" spans="2:7" ht="15" customHeight="1" x14ac:dyDescent="0.25">
      <c r="B30" s="72"/>
      <c r="C30" s="72"/>
      <c r="D30" s="72"/>
      <c r="E30" s="72"/>
      <c r="F30" s="72"/>
      <c r="G30" s="72"/>
    </row>
    <row r="31" spans="2:7" ht="15" customHeight="1" x14ac:dyDescent="0.25">
      <c r="B31" s="72"/>
      <c r="C31" s="72"/>
      <c r="D31" s="72"/>
      <c r="E31" s="72"/>
      <c r="F31" s="72"/>
      <c r="G31" s="72"/>
    </row>
  </sheetData>
  <mergeCells count="16">
    <mergeCell ref="A1:G1"/>
    <mergeCell ref="A2:G2"/>
    <mergeCell ref="B4:G4"/>
    <mergeCell ref="B12:G12"/>
    <mergeCell ref="B14:G14"/>
    <mergeCell ref="B15:G15"/>
    <mergeCell ref="B16:G16"/>
    <mergeCell ref="B17:G17"/>
    <mergeCell ref="B19:G19"/>
    <mergeCell ref="B21:G21"/>
    <mergeCell ref="B28:G31"/>
    <mergeCell ref="B22:G22"/>
    <mergeCell ref="B23:G23"/>
    <mergeCell ref="B24:G24"/>
    <mergeCell ref="B25:G25"/>
    <mergeCell ref="B26:G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0"/>
  <sheetViews>
    <sheetView showGridLines="0" tabSelected="1" topLeftCell="A13" zoomScaleNormal="100" workbookViewId="0">
      <selection activeCell="A28" sqref="A28"/>
    </sheetView>
  </sheetViews>
  <sheetFormatPr defaultColWidth="8.5703125" defaultRowHeight="15" x14ac:dyDescent="0.25"/>
  <cols>
    <col min="1" max="1" width="2" customWidth="1"/>
    <col min="2" max="2" width="40" customWidth="1"/>
    <col min="3" max="3" width="34" customWidth="1"/>
    <col min="4" max="6" width="16" customWidth="1"/>
    <col min="7" max="7" width="62" customWidth="1"/>
  </cols>
  <sheetData>
    <row r="1" spans="1:18" ht="25.5" customHeight="1" x14ac:dyDescent="0.25">
      <c r="A1" s="69" t="s">
        <v>26</v>
      </c>
      <c r="B1" s="69"/>
      <c r="C1" s="69"/>
      <c r="D1" s="69"/>
      <c r="E1" s="69"/>
      <c r="F1" s="69"/>
      <c r="G1" s="69"/>
    </row>
    <row r="2" spans="1:18" ht="15" customHeight="1" x14ac:dyDescent="0.25">
      <c r="A2" s="70" t="s">
        <v>27</v>
      </c>
      <c r="B2" s="70"/>
      <c r="C2" s="70"/>
      <c r="D2" s="70"/>
      <c r="E2" s="70"/>
      <c r="F2" s="70"/>
      <c r="G2" s="70"/>
    </row>
    <row r="3" spans="1:18" ht="27.75" customHeight="1" x14ac:dyDescent="0.25">
      <c r="B3" s="71" t="s">
        <v>28</v>
      </c>
      <c r="C3" s="71"/>
      <c r="D3" s="71"/>
      <c r="E3" s="71"/>
      <c r="F3" s="71"/>
      <c r="G3" s="71"/>
      <c r="H3" s="5" t="s">
        <v>29</v>
      </c>
      <c r="I3" s="6">
        <v>0.25</v>
      </c>
      <c r="J3" s="5" t="s">
        <v>30</v>
      </c>
      <c r="K3" s="6">
        <v>0.125</v>
      </c>
      <c r="L3" s="5" t="s">
        <v>31</v>
      </c>
      <c r="M3" s="6">
        <v>0.125</v>
      </c>
      <c r="N3" s="5" t="s">
        <v>32</v>
      </c>
      <c r="O3" s="6">
        <v>0.6</v>
      </c>
      <c r="P3" s="5" t="s">
        <v>33</v>
      </c>
      <c r="Q3" s="6">
        <v>0.15</v>
      </c>
      <c r="R3" s="2" t="str">
        <f>IF(ROUND($K$3+$M$3-$I$3,6)=0,"Splits foot — OK","ERROR: broker + Torque &lt;&gt; total")</f>
      </c>
    </row>
    <row r="4" spans="1:18" ht="18" customHeight="1" x14ac:dyDescent="0.25">
      <c r="B4" s="68" t="s">
        <v>34</v>
      </c>
      <c r="C4" s="68"/>
      <c r="D4" s="68"/>
      <c r="E4" s="68"/>
      <c r="F4" s="68"/>
      <c r="G4" s="68"/>
    </row>
    <row r="5" spans="1:18" ht="15" customHeight="1" x14ac:dyDescent="0.25">
      <c r="B5" s="7" t="s">
        <v>35</v>
      </c>
      <c r="C5" s="8" t="s">
        <v>36</v>
      </c>
      <c r="G5" s="9" t="s">
        <v>37</v>
      </c>
    </row>
    <row r="6" spans="1:18" ht="15" customHeight="1" x14ac:dyDescent="0.25">
      <c r="B6" s="7" t="s">
        <v>38</v>
      </c>
      <c r="C6" s="8" t="s">
        <v>39</v>
      </c>
      <c r="G6" s="9"/>
    </row>
    <row r="7" spans="1:18" ht="15" customHeight="1" x14ac:dyDescent="0.25">
      <c r="B7" s="7" t="s">
        <v>40</v>
      </c>
      <c r="C7" s="8" t="s">
        <v>41</v>
      </c>
      <c r="G7" s="9"/>
    </row>
    <row r="8" spans="1:18" ht="15" customHeight="1" x14ac:dyDescent="0.25">
      <c r="B8" s="7" t="s">
        <v>42</v>
      </c>
      <c r="C8" s="8" t="s">
        <v>43</v>
      </c>
      <c r="G8" s="9" t="s">
        <v>44</v>
      </c>
    </row>
    <row r="9" spans="1:18" ht="15" customHeight="1" x14ac:dyDescent="0.25">
      <c r="B9" s="7" t="s">
        <v>45</v>
      </c>
      <c r="C9" s="8" t="s">
        <v>46</v>
      </c>
      <c r="G9" s="9" t="s">
        <v>47</v>
      </c>
    </row>
    <row r="10" spans="1:18" ht="15" customHeight="1" x14ac:dyDescent="0.25">
      <c r="B10" s="7" t="s">
        <v>48</v>
      </c>
      <c r="C10" s="10">
        <v>2026</v>
      </c>
      <c r="G10" s="9"/>
    </row>
    <row r="11" spans="1:18" ht="15" customHeight="1" x14ac:dyDescent="0.25">
      <c r="B11" s="7" t="s">
        <v>49</v>
      </c>
      <c r="C11" s="8" t="s">
        <v>50</v>
      </c>
      <c r="G11" s="9"/>
    </row>
    <row r="12" spans="1:18" ht="15" customHeight="1" x14ac:dyDescent="0.25">
      <c r="B12" s="7" t="s">
        <v>51</v>
      </c>
      <c r="C12" s="11">
        <v>46204</v>
      </c>
      <c r="G12" s="9"/>
    </row>
    <row r="13" spans="1:18" ht="15" customHeight="1" x14ac:dyDescent="0.25">
      <c r="B13" s="7" t="s">
        <v>52</v>
      </c>
      <c r="C13" s="11">
        <v>46234</v>
      </c>
      <c r="G13" s="9"/>
    </row>
    <row r="14" spans="1:18" ht="15" customHeight="1" x14ac:dyDescent="0.25">
      <c r="B14" s="7" t="s">
        <v>53</v>
      </c>
      <c r="C14" s="11">
        <v>46244</v>
      </c>
      <c r="G14" s="9" t="s">
        <v>54</v>
      </c>
    </row>
    <row r="15" spans="1:18" ht="15" customHeight="1" x14ac:dyDescent="0.25">
      <c r="B15" s="7" t="s">
        <v>55</v>
      </c>
      <c r="C15" s="8" t="s">
        <v>56</v>
      </c>
      <c r="G15" s="9"/>
    </row>
    <row r="16" spans="1:18" ht="15" customHeight="1" x14ac:dyDescent="0.25">
      <c r="B16" s="7" t="s">
        <v>57</v>
      </c>
      <c r="C16" s="8" t="s">
        <v>58</v>
      </c>
      <c r="G16" s="9"/>
    </row>
    <row r="17" spans="2:7" ht="15" customHeight="1" x14ac:dyDescent="0.25">
      <c r="B17" s="7" t="s">
        <v>59</v>
      </c>
      <c r="C17" s="8" t="s">
        <v>58</v>
      </c>
      <c r="G17" s="9"/>
    </row>
    <row r="18" spans="2:7" ht="15" customHeight="1" x14ac:dyDescent="0.25">
      <c r="B18" s="7" t="s">
        <v>60</v>
      </c>
      <c r="C18" s="8" t="s">
        <v>61</v>
      </c>
      <c r="G18" s="9" t="s">
        <v>62</v>
      </c>
    </row>
    <row r="19" spans="2:7" ht="15" customHeight="1" x14ac:dyDescent="0.25">
      <c r="B19" s="7" t="s">
        <v>63</v>
      </c>
      <c r="C19" s="8" t="s">
        <v>64</v>
      </c>
      <c r="G19" s="9" t="s">
        <v>65</v>
      </c>
    </row>
    <row r="20" spans="2:7" ht="15" customHeight="1" x14ac:dyDescent="0.25">
      <c r="B20" s="7" t="s">
        <v>66</v>
      </c>
      <c r="C20" s="10">
        <v>5000</v>
      </c>
      <c r="G20" s="9" t="s">
        <v>67</v>
      </c>
    </row>
    <row r="22" spans="2:7" ht="18" customHeight="1" x14ac:dyDescent="0.25">
      <c r="B22" s="68" t="s">
        <v>68</v>
      </c>
      <c r="C22" s="68"/>
      <c r="D22" s="68"/>
      <c r="E22" s="68"/>
      <c r="F22" s="68"/>
      <c r="G22" s="68"/>
    </row>
    <row r="23" spans="2:7" ht="33.75" customHeight="1" x14ac:dyDescent="0.25">
      <c r="B23" s="12" t="s">
        <v>69</v>
      </c>
      <c r="C23" s="12" t="s">
        <v>70</v>
      </c>
      <c r="D23" s="12" t="s">
        <v>71</v>
      </c>
      <c r="E23" s="12" t="s">
        <v>72</v>
      </c>
      <c r="F23" s="12" t="s">
        <v>73</v>
      </c>
      <c r="G23" s="12" t="s">
        <v>74</v>
      </c>
    </row>
    <row r="24" spans="2:7" ht="15" customHeight="1" x14ac:dyDescent="0.25">
      <c r="B24" s="13" t="s">
        <v>75</v>
      </c>
      <c r="C24" s="14" t="s">
        <v>76</v>
      </c>
      <c r="D24" s="6">
        <v>0.1</v>
      </c>
      <c r="E24" s="15">
        <f>(SUMIF('UW Bordereaux'!$D$5:$D$411,"Bound*",'UW Bordereaux'!$AD$5:$AD$411))*$D24</f>
      </c>
      <c r="F24" s="15">
        <f>(SUMIF('UW Bordereaux'!$D$5:$D$411,"Bound*",'UW Bordereaux'!$AB$5:$AB$411))*$D24</f>
      </c>
      <c r="G24" s="15">
        <f>(SUMIF('UW Bordereaux'!$D$5:$D$411,"Bound*",'UW Bordereaux'!$AQ$5:$AQ$411))*$D24</f>
      </c>
    </row>
    <row r="25" spans="2:7" ht="15" customHeight="1" x14ac:dyDescent="0.25">
      <c r="B25" s="16" t="s">
        <v>77</v>
      </c>
      <c r="C25" s="17" t="s">
        <v>78</v>
      </c>
      <c r="D25" s="18">
        <v>0.1</v>
      </c>
      <c r="E25" s="19">
        <f>(SUMIF('UW Bordereaux'!$D$5:$D$411,"Bound*",'UW Bordereaux'!$AD$5:$AD$411))*$D25</f>
      </c>
      <c r="F25" s="19">
        <f>(SUMIF('UW Bordereaux'!$D$5:$D$411,"Bound*",'UW Bordereaux'!$AB$5:$AB$411))*$D25</f>
      </c>
      <c r="G25" s="19">
        <f>(SUMIF('UW Bordereaux'!$D$5:$D$411,"Bound*",'UW Bordereaux'!$AQ$5:$AQ$411))*$D25</f>
      </c>
    </row>
    <row r="26" spans="2:7" ht="15" customHeight="1" x14ac:dyDescent="0.25">
      <c r="B26" s="13" t="s">
        <v>79</v>
      </c>
      <c r="C26" s="14" t="s">
        <v>80</v>
      </c>
      <c r="D26" s="6">
        <v>0.1</v>
      </c>
      <c r="E26" s="15">
        <f>(SUMIF('UW Bordereaux'!$D$5:$D$411,"Bound*",'UW Bordereaux'!$AD$5:$AD$411))*$D26</f>
      </c>
      <c r="F26" s="15">
        <f>(SUMIF('UW Bordereaux'!$D$5:$D$411,"Bound*",'UW Bordereaux'!$AB$5:$AB$411))*$D26</f>
      </c>
      <c r="G26" s="15">
        <f>(SUMIF('UW Bordereaux'!$D$5:$D$411,"Bound*",'UW Bordereaux'!$AQ$5:$AQ$411))*$D26</f>
      </c>
    </row>
    <row r="27" spans="2:7" ht="15" customHeight="1" x14ac:dyDescent="0.25">
      <c r="B27" s="16" t="s">
        <v>81</v>
      </c>
      <c r="C27" s="17" t="s">
        <v>82</v>
      </c>
      <c r="D27" s="18">
        <v>0.1</v>
      </c>
      <c r="E27" s="19">
        <f>(SUMIF('UW Bordereaux'!$D$5:$D$411,"Bound*",'UW Bordereaux'!$AD$5:$AD$411))*$D27</f>
      </c>
      <c r="F27" s="19">
        <f>(SUMIF('UW Bordereaux'!$D$5:$D$411,"Bound*",'UW Bordereaux'!$AB$5:$AB$411))*$D27</f>
      </c>
      <c r="G27" s="19">
        <f>(SUMIF('UW Bordereaux'!$D$5:$D$411,"Bound*",'UW Bordereaux'!$AQ$5:$AQ$411))*$D27</f>
      </c>
    </row>
    <row r="28" spans="2:7" ht="15" customHeight="1" x14ac:dyDescent="0.25">
      <c r="B28" s="13" t="s">
        <v>83</v>
      </c>
      <c r="C28" s="14" t="s">
        <v>84</v>
      </c>
      <c r="D28" s="6">
        <v>0.1</v>
      </c>
      <c r="E28" s="15">
        <f>(SUMIF('UW Bordereaux'!$D$5:$D$411,"Bound*",'UW Bordereaux'!$AD$5:$AD$411))*$D28</f>
      </c>
      <c r="F28" s="15">
        <f>(SUMIF('UW Bordereaux'!$D$5:$D$411,"Bound*",'UW Bordereaux'!$AB$5:$AB$411))*$D28</f>
      </c>
      <c r="G28" s="15">
        <f>(SUMIF('UW Bordereaux'!$D$5:$D$411,"Bound*",'UW Bordereaux'!$AQ$5:$AQ$411))*$D28</f>
      </c>
    </row>
    <row r="29" spans="2:7" ht="15" customHeight="1" x14ac:dyDescent="0.25">
      <c r="B29" s="16" t="s">
        <v>85</v>
      </c>
      <c r="C29" s="17" t="s">
        <v>86</v>
      </c>
      <c r="D29" s="18">
        <v>0.1</v>
      </c>
      <c r="E29" s="19">
        <f>(SUMIF('UW Bordereaux'!$D$5:$D$411,"Bound*",'UW Bordereaux'!$AD$5:$AD$411))*$D29</f>
      </c>
      <c r="F29" s="19">
        <f>(SUMIF('UW Bordereaux'!$D$5:$D$411,"Bound*",'UW Bordereaux'!$AB$5:$AB$411))*$D29</f>
      </c>
      <c r="G29" s="19">
        <f>(SUMIF('UW Bordereaux'!$D$5:$D$411,"Bound*",'UW Bordereaux'!$AQ$5:$AQ$411))*$D29</f>
      </c>
    </row>
    <row r="30" spans="2:7" ht="15" customHeight="1" x14ac:dyDescent="0.25">
      <c r="B30" s="13" t="s">
        <v>87</v>
      </c>
      <c r="C30" s="14" t="s">
        <v>88</v>
      </c>
      <c r="D30" s="6">
        <v>0.1</v>
      </c>
      <c r="E30" s="15">
        <f>(SUMIF('UW Bordereaux'!$D$5:$D$411,"Bound*",'UW Bordereaux'!$AD$5:$AD$411))*$D30</f>
      </c>
      <c r="F30" s="15">
        <f>(SUMIF('UW Bordereaux'!$D$5:$D$411,"Bound*",'UW Bordereaux'!$AB$5:$AB$411))*$D30</f>
      </c>
      <c r="G30" s="15">
        <f>(SUMIF('UW Bordereaux'!$D$5:$D$411,"Bound*",'UW Bordereaux'!$AQ$5:$AQ$411))*$D30</f>
      </c>
    </row>
    <row r="31" spans="2:7" ht="15" customHeight="1" x14ac:dyDescent="0.25">
      <c r="B31" s="16" t="s">
        <v>89</v>
      </c>
      <c r="C31" s="17" t="s">
        <v>90</v>
      </c>
      <c r="D31" s="18">
        <v>0.1</v>
      </c>
      <c r="E31" s="19">
        <f>(SUMIF('UW Bordereaux'!$D$5:$D$411,"Bound*",'UW Bordereaux'!$AD$5:$AD$411))*$D31</f>
      </c>
      <c r="F31" s="19">
        <f>(SUMIF('UW Bordereaux'!$D$5:$D$411,"Bound*",'UW Bordereaux'!$AB$5:$AB$411))*$D31</f>
      </c>
      <c r="G31" s="19">
        <f>(SUMIF('UW Bordereaux'!$D$5:$D$411,"Bound*",'UW Bordereaux'!$AQ$5:$AQ$411))*$D31</f>
      </c>
    </row>
    <row r="32" spans="2:7" ht="15" customHeight="1" x14ac:dyDescent="0.25">
      <c r="B32" s="13" t="s">
        <v>91</v>
      </c>
      <c r="C32" s="14" t="s">
        <v>92</v>
      </c>
      <c r="D32" s="6">
        <v>0.1</v>
      </c>
      <c r="E32" s="15">
        <f>(SUMIF('UW Bordereaux'!$D$5:$D$411,"Bound*",'UW Bordereaux'!$AD$5:$AD$411))*$D32</f>
      </c>
      <c r="F32" s="15">
        <f>(SUMIF('UW Bordereaux'!$D$5:$D$411,"Bound*",'UW Bordereaux'!$AB$5:$AB$411))*$D32</f>
      </c>
      <c r="G32" s="15">
        <f>(SUMIF('UW Bordereaux'!$D$5:$D$411,"Bound*",'UW Bordereaux'!$AQ$5:$AQ$411))*$D32</f>
      </c>
    </row>
    <row r="33" spans="2:7" ht="15" customHeight="1" x14ac:dyDescent="0.25">
      <c r="B33" s="16" t="s">
        <v>93</v>
      </c>
      <c r="C33" s="17" t="s">
        <v>94</v>
      </c>
      <c r="D33" s="18">
        <v>0.1</v>
      </c>
      <c r="E33" s="19">
        <f>(SUMIF('UW Bordereaux'!$D$5:$D$411,"Bound*",'UW Bordereaux'!$AD$5:$AD$411))*$D33</f>
      </c>
      <c r="F33" s="19">
        <f>(SUMIF('UW Bordereaux'!$D$5:$D$411,"Bound*",'UW Bordereaux'!$AB$5:$AB$411))*$D33</f>
      </c>
      <c r="G33" s="19">
        <f>(SUMIF('UW Bordereaux'!$D$5:$D$411,"Bound*",'UW Bordereaux'!$AQ$5:$AQ$411))*$D33</f>
      </c>
    </row>
    <row r="34" spans="2:7" ht="15" customHeight="1" x14ac:dyDescent="0.25">
      <c r="C34" s="20" t="s">
        <v>95</v>
      </c>
      <c r="D34" s="21">
        <f>SUM(D24:D33)</f>
      </c>
      <c r="E34" s="22">
        <f>SUMIF('UW Bordereaux'!$D$5:$D$411,"Bound*",'UW Bordereaux'!$AD$5:$AD$411)</f>
      </c>
      <c r="F34" s="22">
        <f>SUMIF('UW Bordereaux'!$D$5:$D$411,"Bound*",'UW Bordereaux'!$AB$5:$AB$411)</f>
      </c>
      <c r="G34" s="22">
        <f>SUMIF('UW Bordereaux'!$D$5:$D$411,"Bound*",'UW Bordereaux'!$AQ$5:$AQ$411)</f>
      </c>
    </row>
    <row r="35" spans="2:7" ht="15" customHeight="1" x14ac:dyDescent="0.25">
      <c r="D35" s="67" t="str">
        <f>IF(ROUND(D34,6)=1,"Panel signs 100% — OK","ERROR: panel signs "&amp;TEXT(D34,"0.00%"))</f>
      </c>
      <c r="E35" s="67"/>
      <c r="F35" s="67"/>
      <c r="G35" s="67"/>
    </row>
    <row r="37" spans="2:7" ht="18" customHeight="1" x14ac:dyDescent="0.25">
      <c r="B37" s="68" t="s">
        <v>96</v>
      </c>
      <c r="C37" s="68"/>
      <c r="D37" s="68"/>
      <c r="E37" s="68"/>
      <c r="F37" s="68"/>
      <c r="G37" s="68"/>
    </row>
    <row r="38" spans="2:7" ht="15" customHeight="1" x14ac:dyDescent="0.25">
      <c r="B38" s="23" t="s">
        <v>97</v>
      </c>
      <c r="C38" s="24">
        <f>COUNTA('UW Bordereaux'!$A$5:$A$411)</f>
      </c>
    </row>
    <row r="39" spans="2:7" ht="15" customHeight="1" x14ac:dyDescent="0.25">
      <c r="B39" s="23" t="s">
        <v>98</v>
      </c>
      <c r="C39" s="24">
        <f>COUNTIF('UW Bordereaux'!$D$5:$D$411,"Bound*")</f>
      </c>
    </row>
    <row r="40" spans="2:7" ht="15" customHeight="1" x14ac:dyDescent="0.25">
      <c r="B40" s="23" t="s">
        <v>99</v>
      </c>
      <c r="C40" s="24">
        <f>COUNTIF('UW Bordereaux'!$D$5:$D$411,"Declined")+COUNTIF('UW Bordereaux'!$D$5:$D$411,"Cancelled")+COUNTIF('UW Bordereaux'!$D$5:$D$411,"Lapsed")</f>
      </c>
    </row>
    <row r="41" spans="2:7" ht="15" customHeight="1" x14ac:dyDescent="0.25">
      <c r="B41" s="25" t="s">
        <v>100</v>
      </c>
      <c r="C41" s="26">
        <f>SUMIF('UW Bordereaux'!$D$5:$D$411,"Bound*",'UW Bordereaux'!$AD$5:$AD$411)</f>
      </c>
    </row>
    <row r="42" spans="2:7" ht="15" customHeight="1" x14ac:dyDescent="0.25">
      <c r="B42" s="25" t="s">
        <v>101</v>
      </c>
      <c r="C42" s="26">
        <f>SUMIF('UW Bordereaux'!$D$5:$D$411,"Bound*",'UW Bordereaux'!$AB$5:$AB$411)</f>
      </c>
    </row>
    <row r="43" spans="2:7" ht="15" customHeight="1" x14ac:dyDescent="0.25">
      <c r="B43" s="25" t="s">
        <v>102</v>
      </c>
      <c r="C43" s="27">
        <f>IFERROR((SUMIF('UW Bordereaux'!$D$5:$D$411,"Bound*",'UW Bordereaux'!$AD$5:$AD$411))/(SUMIF('UW Bordereaux'!$D$5:$D$411,"Bound*",'UW Bordereaux'!$AB$5:$AB$411)),0)</f>
      </c>
    </row>
    <row r="44" spans="2:7" ht="15" customHeight="1" x14ac:dyDescent="0.25">
      <c r="B44" s="23" t="s">
        <v>103</v>
      </c>
      <c r="C44" s="28">
        <f>SUMIF('UW Bordereaux'!$D$5:$D$411,"Bound*",'UW Bordereaux'!$AQ$5:$AQ$411)</f>
      </c>
    </row>
    <row r="45" spans="2:7" ht="15" customHeight="1" x14ac:dyDescent="0.25">
      <c r="B45" s="23" t="s">
        <v>104</v>
      </c>
      <c r="C45" s="28">
        <f>SUMIF('UW Bordereaux'!$D$5:$D$411,"Bound*",'UW Bordereaux'!$AE$5:$AE$411)</f>
      </c>
    </row>
    <row r="46" spans="2:7" ht="15" customHeight="1" x14ac:dyDescent="0.25">
      <c r="B46" s="23" t="s">
        <v>105</v>
      </c>
      <c r="C46" s="28">
        <f>SUMIF('UW Bordereaux'!$D$5:$D$411,"Bound*",'UW Bordereaux'!$AH$5:$AH$411)</f>
      </c>
    </row>
    <row r="47" spans="2:7" ht="15" customHeight="1" x14ac:dyDescent="0.25">
      <c r="B47" s="23" t="s">
        <v>106</v>
      </c>
      <c r="C47" s="24">
        <f>COUNTIFS('UW Bordereaux'!$AD$5:$AD$411,"&gt;="&amp;Header!$C$18,'UW Bordereaux'!$D$5:$D$411,"Bound*")</f>
      </c>
    </row>
    <row r="48" spans="2:7" ht="15" customHeight="1" x14ac:dyDescent="0.25">
      <c r="B48" s="23" t="s">
        <v>107</v>
      </c>
      <c r="C48" s="24">
        <f>COUNTIF('UW Bordereaux'!$AL$5:$AL$411,"BEYOND AUTHORITY")</f>
      </c>
    </row>
    <row r="49" spans="2:3" ht="15" customHeight="1" x14ac:dyDescent="0.25">
      <c r="B49" s="23" t="s">
        <v>108</v>
      </c>
      <c r="C49" s="24">
        <f>COUNTA('UW Bordereaux'!$A$5:$A$411)-COUNTIF('UW Bordereaux'!$D$5:$D$411,"Bound*")-COUNTIF('UW Bordereaux'!$D$5:$D$411,"Declined")-COUNTIF('UW Bordereaux'!$D$5:$D$411,"Cancelled")-COUNTIF('UW Bordereaux'!$D$5:$D$411,"Lapsed")-COUNTIF('UW Bordereaux'!$D$5:$D$411,"Quoted*")-COUNTIF('UW Bordereaux'!$D$5:$D$411,"Void")-COUNTIF('UW Bordereaux'!$D$5:$D$411,"Reinstatement")</f>
      </c>
    </row>
    <row r="50" spans="2:3" ht="15" customHeight="1" x14ac:dyDescent="0.25">
      <c r="B50" s="23" t="s">
        <v>109</v>
      </c>
      <c r="C50" s="24">
        <f>COUNTIF('UW Bordereaux'!$AX$5:$AX$411,"FAIL*")</f>
      </c>
    </row>
  </sheetData>
  <mergeCells count="7">
    <mergeCell ref="D35:G35"/>
    <mergeCell ref="B37:G37"/>
    <mergeCell ref="A1:G1"/>
    <mergeCell ref="A2:G2"/>
    <mergeCell ref="B3:G3"/>
    <mergeCell ref="B4:G4"/>
    <mergeCell ref="B22:G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411"/>
  <sheetViews>
    <sheetView showGridLines="0" zoomScaleNormal="100" workbookViewId="0">
      <pane xSplit="8" ySplit="4" topLeftCell="I5" activePane="bottomRight" state="frozen"/>
      <selection pane="topRight" activeCell="I1" sqref="I1"/>
      <selection pane="bottomLeft" activeCell="A5" sqref="A5"/>
      <selection pane="bottomRight"/>
    </sheetView>
  </sheetViews>
  <sheetFormatPr defaultColWidth="8.5703125" defaultRowHeight="15" x14ac:dyDescent="0.25"/>
  <cols>
    <col min="1" max="1" width="14" customWidth="1"/>
    <col min="2" max="2" width="22" customWidth="1"/>
    <col min="3" max="3" width="12" customWidth="1"/>
    <col min="4" max="5" width="20" customWidth="1"/>
    <col min="6" max="6" width="14" customWidth="1"/>
    <col min="7" max="7" width="10" customWidth="1"/>
    <col min="8" max="8" width="9" customWidth="1"/>
    <col min="9" max="9" width="16" customWidth="1"/>
    <col min="10" max="10" width="20" customWidth="1"/>
    <col min="11" max="11" width="18" customWidth="1"/>
    <col min="12" max="12" width="24" customWidth="1"/>
    <col min="13" max="13" width="13" customWidth="1"/>
    <col min="14" max="14" width="11" customWidth="1"/>
    <col min="15" max="15" width="22" customWidth="1"/>
    <col min="16" max="16" width="13" customWidth="1"/>
    <col min="17" max="17" width="11" customWidth="1"/>
    <col min="18" max="18" width="10" customWidth="1"/>
    <col min="19" max="19" width="26" customWidth="1"/>
    <col min="20" max="20" width="10" customWidth="1"/>
    <col min="21" max="21" width="22" customWidth="1"/>
    <col min="22" max="22" width="18" customWidth="1"/>
    <col min="23" max="23" width="13" customWidth="1"/>
    <col min="24" max="24" width="14" customWidth="1"/>
    <col min="25" max="25" width="26" customWidth="1"/>
    <col min="26" max="26" width="22" customWidth="1"/>
    <col min="27" max="27" width="18" customWidth="1"/>
    <col min="28" max="28" width="15" customWidth="1"/>
    <col min="29" max="29" width="10" customWidth="1"/>
    <col min="30" max="30" width="16" customWidth="1"/>
    <col min="31" max="32" width="12" customWidth="1"/>
    <col min="33" max="33" width="10" customWidth="1"/>
    <col min="34" max="34" width="12" customWidth="1"/>
    <col min="35" max="35" width="10" customWidth="1"/>
    <col min="36" max="36" width="16" customWidth="1"/>
    <col min="37" max="37" width="14" customWidth="1"/>
    <col min="38" max="38" width="16" customWidth="1"/>
    <col min="39" max="39" width="14" customWidth="1"/>
    <col min="40" max="42" width="13" customWidth="1"/>
    <col min="43" max="43" width="16" customWidth="1"/>
    <col min="44" max="45" width="13" customWidth="1"/>
    <col min="46" max="48" width="11" customWidth="1"/>
    <col min="49" max="49" width="12" customWidth="1"/>
    <col min="50" max="50" width="18" customWidth="1"/>
    <col min="51" max="52" width="12" customWidth="1"/>
    <col min="53" max="54" width="14" customWidth="1"/>
    <col min="55" max="55" width="36" customWidth="1"/>
    <col min="57" max="57" width="16" customWidth="1"/>
    <col min="58" max="58" width="14" customWidth="1"/>
  </cols>
  <sheetData>
    <row r="1" spans="1:58" ht="25.5" customHeight="1" x14ac:dyDescent="0.25">
      <c r="A1" s="69" t="s">
        <v>110</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row>
    <row r="2" spans="1:58" ht="15" customHeight="1" x14ac:dyDescent="0.25">
      <c r="A2" s="70" t="s">
        <v>111</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row>
    <row r="3" spans="1:58" ht="19.5" customHeight="1" x14ac:dyDescent="0.25">
      <c r="A3" s="74" t="s">
        <v>112</v>
      </c>
      <c r="B3" s="74"/>
      <c r="C3" s="74"/>
      <c r="D3" s="74"/>
      <c r="E3" s="74"/>
      <c r="F3" s="74"/>
      <c r="G3" s="74"/>
      <c r="H3" s="74" t="s">
        <v>113</v>
      </c>
      <c r="I3" s="74"/>
      <c r="J3" s="74"/>
      <c r="K3" s="74"/>
      <c r="L3" s="74"/>
      <c r="M3" s="74"/>
      <c r="N3" s="74"/>
      <c r="O3" s="74"/>
      <c r="P3" s="74"/>
      <c r="Q3" s="74"/>
      <c r="R3" s="74" t="s">
        <v>114</v>
      </c>
      <c r="S3" s="74"/>
      <c r="T3" s="74"/>
      <c r="U3" s="74"/>
      <c r="V3" s="74"/>
      <c r="W3" s="74" t="s">
        <v>115</v>
      </c>
      <c r="X3" s="74"/>
      <c r="Y3" s="74"/>
      <c r="Z3" s="74"/>
      <c r="AA3" s="74"/>
      <c r="AB3" s="74"/>
      <c r="AC3" s="74" t="s">
        <v>116</v>
      </c>
      <c r="AD3" s="74"/>
      <c r="AE3" s="74"/>
      <c r="AF3" s="74"/>
      <c r="AG3" s="74"/>
      <c r="AH3" s="74"/>
      <c r="AI3" s="74"/>
      <c r="AJ3" s="74"/>
      <c r="AK3" s="74"/>
      <c r="AL3" s="74"/>
      <c r="AM3" s="74"/>
      <c r="AN3" s="74"/>
      <c r="AO3" s="74" t="s">
        <v>117</v>
      </c>
      <c r="AP3" s="74"/>
      <c r="AQ3" s="74"/>
      <c r="AR3" s="74"/>
      <c r="AS3" s="74"/>
      <c r="AT3" s="74" t="s">
        <v>118</v>
      </c>
      <c r="AU3" s="74"/>
      <c r="AV3" s="74"/>
      <c r="AW3" s="74"/>
      <c r="AX3" s="74"/>
      <c r="AY3" s="74"/>
      <c r="AZ3" s="74" t="s">
        <v>119</v>
      </c>
      <c r="BA3" s="74"/>
      <c r="BB3" s="74"/>
      <c r="BC3" s="74"/>
      <c r="BD3" s="74"/>
      <c r="BE3" s="1" t="s">
        <v>120</v>
      </c>
      <c r="BF3" s="29"/>
    </row>
    <row r="4" spans="1:58" ht="43.5" customHeight="1" x14ac:dyDescent="0.25">
      <c r="A4" s="12" t="s">
        <v>121</v>
      </c>
      <c r="B4" s="12" t="s">
        <v>122</v>
      </c>
      <c r="C4" s="12" t="s">
        <v>123</v>
      </c>
      <c r="D4" s="12" t="s">
        <v>124</v>
      </c>
      <c r="E4" s="12" t="s">
        <v>125</v>
      </c>
      <c r="F4" s="12" t="s">
        <v>126</v>
      </c>
      <c r="G4" s="12" t="s">
        <v>48</v>
      </c>
      <c r="H4" s="12" t="s">
        <v>127</v>
      </c>
      <c r="I4" s="12" t="s">
        <v>128</v>
      </c>
      <c r="J4" s="12" t="s">
        <v>129</v>
      </c>
      <c r="K4" s="12" t="s">
        <v>130</v>
      </c>
      <c r="L4" s="12" t="s">
        <v>131</v>
      </c>
      <c r="M4" s="12" t="s">
        <v>132</v>
      </c>
      <c r="N4" s="12" t="s">
        <v>133</v>
      </c>
      <c r="O4" s="12" t="s">
        <v>134</v>
      </c>
      <c r="P4" s="12" t="s">
        <v>135</v>
      </c>
      <c r="Q4" s="12" t="s">
        <v>136</v>
      </c>
      <c r="R4" s="12" t="s">
        <v>137</v>
      </c>
      <c r="S4" s="12" t="s">
        <v>138</v>
      </c>
      <c r="T4" s="12" t="s">
        <v>139</v>
      </c>
      <c r="U4" s="12" t="s">
        <v>140</v>
      </c>
      <c r="V4" s="12" t="s">
        <v>141</v>
      </c>
      <c r="W4" s="12" t="s">
        <v>142</v>
      </c>
      <c r="X4" s="12" t="s">
        <v>143</v>
      </c>
      <c r="Y4" s="12" t="s">
        <v>144</v>
      </c>
      <c r="Z4" s="12" t="s">
        <v>145</v>
      </c>
      <c r="AA4" s="12" t="s">
        <v>146</v>
      </c>
      <c r="AB4" s="12" t="s">
        <v>147</v>
      </c>
      <c r="AC4" s="12" t="s">
        <v>148</v>
      </c>
      <c r="AD4" s="12" t="s">
        <v>149</v>
      </c>
      <c r="AE4" s="12" t="s">
        <v>150</v>
      </c>
      <c r="AF4" s="12" t="s">
        <v>151</v>
      </c>
      <c r="AG4" s="12" t="s">
        <v>152</v>
      </c>
      <c r="AH4" s="12" t="s">
        <v>153</v>
      </c>
      <c r="AI4" s="12" t="s">
        <v>154</v>
      </c>
      <c r="AJ4" s="12" t="s">
        <v>155</v>
      </c>
      <c r="AK4" s="12" t="s">
        <v>156</v>
      </c>
      <c r="AL4" s="12" t="s">
        <v>157</v>
      </c>
      <c r="AM4" s="12" t="s">
        <v>158</v>
      </c>
      <c r="AN4" s="12" t="s">
        <v>159</v>
      </c>
      <c r="AO4" s="12" t="s">
        <v>160</v>
      </c>
      <c r="AP4" s="12" t="s">
        <v>161</v>
      </c>
      <c r="AQ4" s="12" t="s">
        <v>162</v>
      </c>
      <c r="AR4" s="12" t="s">
        <v>163</v>
      </c>
      <c r="AS4" s="12" t="s">
        <v>164</v>
      </c>
      <c r="AT4" s="12" t="s">
        <v>165</v>
      </c>
      <c r="AU4" s="12" t="s">
        <v>166</v>
      </c>
      <c r="AV4" s="12" t="s">
        <v>167</v>
      </c>
      <c r="AW4" s="12" t="s">
        <v>168</v>
      </c>
      <c r="AX4" s="12" t="s">
        <v>169</v>
      </c>
      <c r="AY4" s="12" t="s">
        <v>170</v>
      </c>
      <c r="AZ4" s="12" t="s">
        <v>171</v>
      </c>
      <c r="BA4" s="12" t="s">
        <v>172</v>
      </c>
      <c r="BB4" s="12" t="s">
        <v>173</v>
      </c>
      <c r="BC4" s="12" t="s">
        <v>174</v>
      </c>
      <c r="BE4" s="12" t="s">
        <v>175</v>
      </c>
      <c r="BF4" s="12" t="s">
        <v>176</v>
      </c>
    </row>
    <row r="5" spans="1:58" ht="18.75" customHeight="1" x14ac:dyDescent="0.25">
      <c r="A5" s="30" t="inlineStr">
        <is>
          <t xml:space="preserve">CANON-202508-000003</t>
        </is>
      </c>
      <c r="B5" s="30" t="inlineStr">
        <is>
          <t xml:space="preserve">Everett Delacroix</t>
        </is>
      </c>
      <c r="C5" s="31">
        <v>45889</v>
      </c>
      <c r="D5" s="32" t="inlineStr">
        <is>
          <t xml:space="preserve">Bound - within authority</t>
        </is>
      </c>
      <c r="E5" s="32" t="inlineStr">
        <is>
          <t xml:space="preserve">New business</t>
        </is>
      </c>
      <c r="F5" s="30" t="inlineStr">
        <is>
          <t xml:space="preserve">B1234EXOTIC26</t>
        </is>
      </c>
      <c r="G5" s="33">
        <f>IF($A5="","",IF($C5="","",YEAR($C5)))</f>
      </c>
      <c r="H5" s="34">
        <v>1984</v>
      </c>
      <c r="I5" s="30" t="inlineStr">
        <is>
          <t xml:space="preserve">Porsche</t>
        </is>
      </c>
      <c r="J5" s="30" t="inlineStr">
        <is>
          <t xml:space="preserve">911 Turbo S</t>
        </is>
      </c>
      <c r="K5" s="30" t="inlineStr">
        <is>
          <t xml:space="preserve">H7E6FX0TRJ83PRTRW</t>
        </is>
      </c>
      <c r="L5" s="32" t="inlineStr">
        <is>
          <t xml:space="preserve">02 - Sports / GT</t>
        </is>
      </c>
      <c r="M5" s="35">
        <v>190000</v>
      </c>
      <c r="N5" s="32" t="inlineStr">
        <is>
          <t xml:space="preserve">Personal</t>
        </is>
      </c>
      <c r="O5" s="30" t="inlineStr">
        <is>
          <t xml:space="preserve">Personal - regular use</t>
        </is>
      </c>
      <c r="P5" s="30" t="inlineStr">
        <is>
          <t xml:space="preserve">1,000 - 2,500</t>
        </is>
      </c>
      <c r="Q5" s="30" t="inlineStr">
        <is>
          <t xml:space="preserve">Kansas</t>
        </is>
      </c>
      <c r="R5" s="30" t="inlineStr">
        <is>
          <t xml:space="preserve">66603</t>
        </is>
      </c>
      <c r="S5" s="32" t="inlineStr">
        <is>
          <t xml:space="preserve">Severe convective - hail alley (high)</t>
        </is>
      </c>
      <c r="T5" s="36">
        <f>IF($A5="","",IF($S5="","",IFERROR(INDEX('[1]natural catastrophe'!$D$6:$D$17,MATCH($S5,'[1]natural catastrophe'!$B$6:$B$17,0)),"?")))</f>
      </c>
      <c r="U5" s="30" t="inlineStr">
        <is>
          <t xml:space="preserve">$5,000</t>
        </is>
      </c>
      <c r="V5" s="32" t="inlineStr">
        <is>
          <t xml:space="preserve">Agreed Value</t>
        </is>
      </c>
      <c r="W5" s="30" t="inlineStr">
        <is>
          <t xml:space="preserve">$1,000</t>
        </is>
      </c>
      <c r="X5" s="32" t="inlineStr">
        <is>
          <t xml:space="preserve">$1,000,000 CSL</t>
        </is>
      </c>
      <c r="Y5" s="30"/>
      <c r="Z5" s="30"/>
      <c r="AA5" s="32" t="inlineStr">
        <is>
          <t xml:space="preserve">Surplus Lines</t>
        </is>
      </c>
      <c r="AB5" s="35">
        <v>3199.17</v>
      </c>
      <c r="AC5" s="37">
        <v>0</v>
      </c>
      <c r="AD5" s="38">
        <f>IF(ISNUMBER($AB5),$AB5*(1+N($AC5)),"")</f>
      </c>
      <c r="AE5" s="35">
        <v>350</v>
      </c>
      <c r="AF5" s="35">
        <v>0</v>
      </c>
      <c r="AG5" s="37"/>
      <c r="AH5" s="39">
        <f>IF(ISNUMBER($AD5),($AD5+$AE5+$AF5)*$AG5,"")</f>
      </c>
      <c r="AI5" s="35"/>
      <c r="AJ5" s="38">
        <f>IF(ISNUMBER($AD5),SUM($AD5:$AH5),"")</f>
      </c>
      <c r="AK5" s="40">
        <f>IF(AND(ISNUMBER($AB5),ISNUMBER($AD5)),IF($AB5&gt;0,$AD5/$AB5,""),"")</f>
      </c>
      <c r="AL5" s="32" t="inlineStr">
        <is>
          <t xml:space="preserve">At technical</t>
        </is>
      </c>
      <c r="AM5" s="41">
        <f>IF(ISNUMBER($AD5),Header!$I$3,"")</f>
      </c>
      <c r="AN5" s="39">
        <f>IF(ISNUMBER($AD5),$AO5+$AP5,"")</f>
      </c>
      <c r="AO5" s="39">
        <f>IF(ISNUMBER($AD5),ROUND($AD5*Header!$K$3,2),"")</f>
      </c>
      <c r="AP5" s="39">
        <f>IF(ISNUMBER($AD5),ROUND($AD5*Header!$M$3,2),"")</f>
      </c>
      <c r="AQ5" s="38">
        <f>IF(ISNUMBER($AD5),ROUND($AD5,2)-$AO5-$AP5,"")</f>
      </c>
      <c r="AR5" s="39">
        <f>IF(ISNUMBER($AD5),IF(Header!$D$34="","?",$AD5*Header!$D$34),"")</f>
      </c>
      <c r="AS5" s="39">
        <f>IF(ISNUMBER($AB5),IF(Header!$D$34="","?",$AB5*Header!$D$34),"")</f>
      </c>
      <c r="AT5" s="42">
        <f>IF(AND(ISNUMBER($AB5),$M5&gt;0),$AB5/$M5*100,"")</f>
      </c>
      <c r="AU5" s="42">
        <f>IF(AND(ISNUMBER($AD5),$M5&gt;0),$AD5/$M5*100,"")</f>
      </c>
      <c r="AV5" s="40">
        <f>IF(AND(ISNUMBER($AB5),ISNUMBER($AD5),ABS($AB5)&gt;0),$AD5/$AB5,"")</f>
      </c>
      <c r="AW5" s="39">
        <f>IF(ISNUMBER($AD5),MAX(0,(1-0.55-Header!$O$3)*Header!$Q$3*$AQ5),"")</f>
      </c>
      <c r="AX5" s="43">
        <f>IF($A5="","",IF(TRIM(IF($A5="","Missing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",""))="","PASS","FAIL: "&amp;TRIM(IF($A5="","Missing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f>
      </c>
      <c r="AY5" s="44">
        <f>IF($M5="","",IF(ISNUMBER($M5),IF($M5&gt;=Header!$C$18,"YES — refer","No"),""))</f>
      </c>
      <c r="AZ5" s="44">
        <f>IF($AD5="","",IF(ISNUMBER($AD5),IF($AD5&lt;Header!$C$20,"BELOW MIN PREMIUM","OK"),""))</f>
      </c>
      <c r="BA5" s="32" t="inlineStr">
        <is>
          <t xml:space="preserve">Yes</t>
        </is>
      </c>
      <c r="BB5" s="32" t="inlineStr">
        <is>
          <t xml:space="preserve">Yes</t>
        </is>
      </c>
      <c r="BC5" s="30" t="inlineStr">
        <is>
          <t xml:space="preserve">Synthetic demo data</t>
        </is>
      </c>
      <c r="BE5" s="45">
        <f>IF(OR($A5="",$L5="",$H5=""),"",IF(AND(LEFT($L5,2)="06",$H5&gt;1945),"FAIL - pre-war class, year "&amp;$H5,IF(AND(LEFT($L5,2)="07",OR($H5&lt;1946,$H5&gt;1972)),"FAIL - 1946-72 class, year "&amp;$H5,IF(AND(LEFT($L5,2)="08",OR($H5&lt;1973,$H5&gt;1999)),"FAIL - 1973-99 class, year "&amp;$H5,IF(AND(LEFT($L5,2)="09",OR($H5&lt;2000,$H5&gt;2010)),"FAIL - 2000-10 class, year "&amp;$H5,"OK")))))</f>
      </c>
      <c r="BF5" s="45">
        <f>IF($AD5="","",IF(ROUND($AO5+$AP5+$AQ5-$AD5,2)=0,"OK","FAIL - out by "&amp;TEXT($AO5+$AP5+$AQ5-$AD5,"$0.00")))</f>
      </c>
    </row>
    <row r="6" spans="1:58" ht="18.75" customHeight="1" x14ac:dyDescent="0.25">
      <c r="A6" s="46" t="inlineStr">
        <is>
          <t xml:space="preserve">CANON-202508-000004</t>
        </is>
      </c>
      <c r="B6" s="46" t="inlineStr">
        <is>
          <t xml:space="preserve">Desmond Underwood</t>
        </is>
      </c>
      <c r="C6" s="47">
        <v>45885</v>
      </c>
      <c r="D6" s="48" t="inlineStr">
        <is>
          <t xml:space="preserve">Bound - within authority</t>
        </is>
      </c>
      <c r="E6" s="48" t="inlineStr">
        <is>
          <t xml:space="preserve">New business</t>
        </is>
      </c>
      <c r="F6" s="46" t="inlineStr">
        <is>
          <t xml:space="preserve">B1234EXOTIC26</t>
        </is>
      </c>
      <c r="G6" s="33">
        <f>IF($A6="","",IF($C6="","",YEAR($C6)))</f>
      </c>
      <c r="H6" s="49">
        <v>1957</v>
      </c>
      <c r="I6" s="46" t="inlineStr">
        <is>
          <t xml:space="preserve">Ferrari</t>
        </is>
      </c>
      <c r="J6" s="46" t="inlineStr">
        <is>
          <t xml:space="preserve">296 GTB</t>
        </is>
      </c>
      <c r="K6" s="46" t="inlineStr">
        <is>
          <t xml:space="preserve">6NCW36EALANFZMAC9</t>
        </is>
      </c>
      <c r="L6" s="48" t="inlineStr">
        <is>
          <t xml:space="preserve">03 - Supercar</t>
        </is>
      </c>
      <c r="M6" s="50">
        <v>570000</v>
      </c>
      <c r="N6" s="48" t="inlineStr">
        <is>
          <t xml:space="preserve">Personal</t>
        </is>
      </c>
      <c r="O6" s="46" t="inlineStr">
        <is>
          <t xml:space="preserve">Personal - regular use</t>
        </is>
      </c>
      <c r="P6" s="46" t="inlineStr">
        <is>
          <t xml:space="preserve">2,500 - 5,000</t>
        </is>
      </c>
      <c r="Q6" s="46" t="inlineStr">
        <is>
          <t xml:space="preserve">Nevada</t>
        </is>
      </c>
      <c r="R6" s="46" t="inlineStr">
        <is>
          <t xml:space="preserve">89101</t>
        </is>
      </c>
      <c r="S6" s="48" t="inlineStr">
        <is>
          <t xml:space="preserve">Wildfire - WUI high hazard</t>
        </is>
      </c>
      <c r="T6" s="36">
        <f>IF($A6="","",IF($S6="","",IFERROR(INDEX('[1]natural catastrophe'!$D$6:$D$17,MATCH($S6,'[1]natural catastrophe'!$B$6:$B$17,0)),"?")))</f>
      </c>
      <c r="U6" s="46" t="inlineStr">
        <is>
          <t xml:space="preserve">$5,000</t>
        </is>
      </c>
      <c r="V6" s="48" t="inlineStr">
        <is>
          <t xml:space="preserve">Agreed Value</t>
        </is>
      </c>
      <c r="W6" s="46" t="inlineStr">
        <is>
          <t xml:space="preserve">$1,000</t>
        </is>
      </c>
      <c r="X6" s="48" t="inlineStr">
        <is>
          <t xml:space="preserve">$1,000,000 CSL</t>
        </is>
      </c>
      <c r="Y6" s="46"/>
      <c r="Z6" s="46"/>
      <c r="AA6" s="48" t="inlineStr">
        <is>
          <t xml:space="preserve">Surplus Lines</t>
        </is>
      </c>
      <c r="AB6" s="50">
        <v>11953.87</v>
      </c>
      <c r="AC6" s="51">
        <v>0</v>
      </c>
      <c r="AD6" s="38">
        <f>IF(ISNUMBER($AB6),$AB6*(1+N($AC6)),"")</f>
      </c>
      <c r="AE6" s="50">
        <v>350</v>
      </c>
      <c r="AF6" s="50">
        <v>0</v>
      </c>
      <c r="AG6" s="51"/>
      <c r="AH6" s="39">
        <f>IF(ISNUMBER($AD6),($AD6+$AE6+$AF6)*$AG6,"")</f>
      </c>
      <c r="AI6" s="50"/>
      <c r="AJ6" s="38">
        <f>IF(ISNUMBER($AD6),SUM($AD6:$AH6),"")</f>
      </c>
      <c r="AK6" s="40">
        <f>IF(AND(ISNUMBER($AB6),ISNUMBER($AD6)),IF($AB6&gt;0,$AD6/$AB6,""),"")</f>
      </c>
      <c r="AL6" s="48" t="inlineStr">
        <is>
          <t xml:space="preserve">At technical</t>
        </is>
      </c>
      <c r="AM6" s="41">
        <f>IF(ISNUMBER($AD6),Header!$I$3,"")</f>
      </c>
      <c r="AN6" s="39">
        <f>IF(ISNUMBER($AD6),$AO6+$AP6,"")</f>
      </c>
      <c r="AO6" s="39">
        <f>IF(ISNUMBER($AD6),ROUND($AD6*Header!$K$3,2),"")</f>
      </c>
      <c r="AP6" s="39">
        <f>IF(ISNUMBER($AD6),ROUND($AD6*Header!$M$3,2),"")</f>
      </c>
      <c r="AQ6" s="38">
        <f>IF(ISNUMBER($AD6),ROUND($AD6,2)-$AO6-$AP6,"")</f>
      </c>
      <c r="AR6" s="39">
        <f>IF(ISNUMBER($AD6),IF(Header!$D$34="","?",$AD6*Header!$D$34),"")</f>
      </c>
      <c r="AS6" s="39">
        <f>IF(ISNUMBER($AB6),IF(Header!$D$34="","?",$AB6*Header!$D$34),"")</f>
      </c>
      <c r="AT6" s="42">
        <f>IF(AND(ISNUMBER($AB6),$M6&gt;0),$AB6/$M6*100,"")</f>
      </c>
      <c r="AU6" s="42">
        <f>IF(AND(ISNUMBER($AD6),$M6&gt;0),$AD6/$M6*100,"")</f>
      </c>
      <c r="AV6" s="40">
        <f>IF(AND(ISNUMBER($AB6),ISNUMBER($AD6),ABS($AB6)&gt;0),$AD6/$AB6,"")</f>
      </c>
      <c r="AW6" s="39">
        <f>IF(ISNUMBER($AD6),MAX(0,(1-0.55-Header!$O$3)*Header!$Q$3*$AQ6),"")</f>
      </c>
      <c r="AX6" s="43">
        <f>IF($A6="","",IF(TRIM(IF($A6="","Missing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",""))="","PASS","FAIL: "&amp;TRIM(IF($A6="","Missing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f>
      </c>
      <c r="AY6" s="44">
        <f>IF($M6="","",IF(ISNUMBER($M6),IF($M6&gt;=Header!$C$18,"YES — refer","No"),""))</f>
      </c>
      <c r="AZ6" s="44">
        <f>IF($AD6="","",IF(ISNUMBER($AD6),IF($AD6&lt;Header!$C$20,"BELOW MIN PREMIUM","OK"),""))</f>
      </c>
      <c r="BA6" s="48" t="inlineStr">
        <is>
          <t xml:space="preserve">Yes</t>
        </is>
      </c>
      <c r="BB6" s="48" t="inlineStr">
        <is>
          <t xml:space="preserve">Yes</t>
        </is>
      </c>
      <c r="BC6" s="46" t="inlineStr">
        <is>
          <t xml:space="preserve">Synthetic demo data</t>
        </is>
      </c>
      <c r="BE6" s="45">
        <f>IF(OR($A6="",$L6="",$H6=""),"",IF(AND(LEFT($L6,2)="06",$H6&gt;1945),"FAIL - pre-war class, year "&amp;$H6,IF(AND(LEFT($L6,2)="07",OR($H6&lt;1946,$H6&gt;1972)),"FAIL - 1946-72 class, year "&amp;$H6,IF(AND(LEFT($L6,2)="08",OR($H6&lt;1973,$H6&gt;1999)),"FAIL - 1973-99 class, year "&amp;$H6,IF(AND(LEFT($L6,2)="09",OR($H6&lt;2000,$H6&gt;2010)),"FAIL - 2000-10 class, year "&amp;$H6,"OK")))))</f>
      </c>
      <c r="BF6" s="45">
        <f>IF($AD6="","",IF(ROUND($AO6+$AP6+$AQ6-$AD6,2)=0,"OK","FAIL - out by "&amp;TEXT($AO6+$AP6+$AQ6-$AD6,"$0.00")))</f>
      </c>
    </row>
    <row r="7" spans="1:58" ht="18.75" customHeight="1" x14ac:dyDescent="0.25">
      <c r="A7" s="30" t="inlineStr">
        <is>
          <t xml:space="preserve">CANON-202508-000008</t>
        </is>
      </c>
      <c r="B7" s="30" t="inlineStr">
        <is>
          <t xml:space="preserve">Callum Rourke</t>
        </is>
      </c>
      <c r="C7" s="31">
        <v>45879</v>
      </c>
      <c r="D7" s="32" t="inlineStr">
        <is>
          <t xml:space="preserve">Bound - within authority</t>
        </is>
      </c>
      <c r="E7" s="32" t="inlineStr">
        <is>
          <t xml:space="preserve">New business</t>
        </is>
      </c>
      <c r="F7" s="30" t="inlineStr">
        <is>
          <t xml:space="preserve">B1234EXOTIC26</t>
        </is>
      </c>
      <c r="G7" s="33">
        <f>IF($A7="","",IF($C7="","",YEAR($C7)))</f>
      </c>
      <c r="H7" s="34">
        <v>1998</v>
      </c>
      <c r="I7" s="30" t="inlineStr">
        <is>
          <t xml:space="preserve">Ferrari</t>
        </is>
      </c>
      <c r="J7" s="30" t="inlineStr">
        <is>
          <t xml:space="preserve">296 GTB</t>
        </is>
      </c>
      <c r="K7" s="30" t="inlineStr">
        <is>
          <t xml:space="preserve">HA9H172MS7HR73NDT</t>
        </is>
      </c>
      <c r="L7" s="32" t="inlineStr">
        <is>
          <t xml:space="preserve">03 - Supercar</t>
        </is>
      </c>
      <c r="M7" s="35">
        <v>750000</v>
      </c>
      <c r="N7" s="32" t="inlineStr">
        <is>
          <t xml:space="preserve">Personal</t>
        </is>
      </c>
      <c r="O7" s="30" t="inlineStr">
        <is>
          <t xml:space="preserve">Personal - regular use</t>
        </is>
      </c>
      <c r="P7" s="30" t="inlineStr">
        <is>
          <t xml:space="preserve">1,000 - 2,500</t>
        </is>
      </c>
      <c r="Q7" s="30" t="inlineStr">
        <is>
          <t xml:space="preserve">Alabama</t>
        </is>
      </c>
      <c r="R7" s="30" t="inlineStr">
        <is>
          <t xml:space="preserve">35203</t>
        </is>
      </c>
      <c r="S7" s="32" t="inlineStr">
        <is>
          <t xml:space="preserve">Tier 2 - Coastal wind (1-25 miles)</t>
        </is>
      </c>
      <c r="T7" s="36">
        <f>IF($A7="","",IF($S7="","",IFERROR(INDEX('[1]natural catastrophe'!$D$6:$D$17,MATCH($S7,'[1]natural catastrophe'!$B$6:$B$17,0)),"?")))</f>
      </c>
      <c r="U7" s="30" t="inlineStr">
        <is>
          <t xml:space="preserve">2% of agreed value, minimum $10,000</t>
        </is>
      </c>
      <c r="V7" s="32" t="inlineStr">
        <is>
          <t xml:space="preserve">Agreed Value</t>
        </is>
      </c>
      <c r="W7" s="30" t="inlineStr">
        <is>
          <t xml:space="preserve">$1,000</t>
        </is>
      </c>
      <c r="X7" s="32" t="inlineStr">
        <is>
          <t xml:space="preserve">$1,000,000 CSL</t>
        </is>
      </c>
      <c r="Y7" s="30"/>
      <c r="Z7" s="30"/>
      <c r="AA7" s="32" t="inlineStr">
        <is>
          <t xml:space="preserve">Surplus Lines</t>
        </is>
      </c>
      <c r="AB7" s="35">
        <v>17073.11</v>
      </c>
      <c r="AC7" s="37">
        <v>0</v>
      </c>
      <c r="AD7" s="38">
        <f>IF(ISNUMBER($AB7),$AB7*(1+N($AC7)),"")</f>
      </c>
      <c r="AE7" s="35">
        <v>350</v>
      </c>
      <c r="AF7" s="35">
        <v>0</v>
      </c>
      <c r="AG7" s="37"/>
      <c r="AH7" s="39">
        <f>IF(ISNUMBER($AD7),($AD7+$AE7+$AF7)*$AG7,"")</f>
      </c>
      <c r="AI7" s="35"/>
      <c r="AJ7" s="38">
        <f>IF(ISNUMBER($AD7),SUM($AD7:$AH7),"")</f>
      </c>
      <c r="AK7" s="40">
        <f>IF(AND(ISNUMBER($AB7),ISNUMBER($AD7)),IF($AB7&gt;0,$AD7/$AB7,""),"")</f>
      </c>
      <c r="AL7" s="32" t="inlineStr">
        <is>
          <t xml:space="preserve">At technical</t>
        </is>
      </c>
      <c r="AM7" s="41">
        <f>IF(ISNUMBER($AD7),Header!$I$3,"")</f>
      </c>
      <c r="AN7" s="39">
        <f>IF(ISNUMBER($AD7),$AO7+$AP7,"")</f>
      </c>
      <c r="AO7" s="39">
        <f>IF(ISNUMBER($AD7),ROUND($AD7*Header!$K$3,2),"")</f>
      </c>
      <c r="AP7" s="39">
        <f>IF(ISNUMBER($AD7),ROUND($AD7*Header!$M$3,2),"")</f>
      </c>
      <c r="AQ7" s="38">
        <f>IF(ISNUMBER($AD7),ROUND($AD7,2)-$AO7-$AP7,"")</f>
      </c>
      <c r="AR7" s="39">
        <f>IF(ISNUMBER($AD7),IF(Header!$D$34="","?",$AD7*Header!$D$34),"")</f>
      </c>
      <c r="AS7" s="39">
        <f>IF(ISNUMBER($AB7),IF(Header!$D$34="","?",$AB7*Header!$D$34),"")</f>
      </c>
      <c r="AT7" s="42">
        <f>IF(AND(ISNUMBER($AB7),$M7&gt;0),$AB7/$M7*100,"")</f>
      </c>
      <c r="AU7" s="42">
        <f>IF(AND(ISNUMBER($AD7),$M7&gt;0),$AD7/$M7*100,"")</f>
      </c>
      <c r="AV7" s="40">
        <f>IF(AND(ISNUMBER($AB7),ISNUMBER($AD7),ABS($AB7)&gt;0),$AD7/$AB7,"")</f>
      </c>
      <c r="AW7" s="39">
        <f>IF(ISNUMBER($AD7),MAX(0,(1-0.55-Header!$O$3)*Header!$Q$3*$AQ7),"")</f>
      </c>
      <c r="AX7" s="43">
        <f>IF($A7="","",IF(TRIM(IF($A7="","Missing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",""))="","PASS","FAIL: "&amp;TRIM(IF($A7="","Missing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f>
      </c>
      <c r="AY7" s="44">
        <f>IF($M7="","",IF(ISNUMBER($M7),IF($M7&gt;=Header!$C$18,"YES — refer","No"),""))</f>
      </c>
      <c r="AZ7" s="44">
        <f>IF($AD7="","",IF(ISNUMBER($AD7),IF($AD7&lt;Header!$C$20,"BELOW MIN PREMIUM","OK"),""))</f>
      </c>
      <c r="BA7" s="32" t="inlineStr">
        <is>
          <t xml:space="preserve">Yes</t>
        </is>
      </c>
      <c r="BB7" s="32" t="inlineStr">
        <is>
          <t xml:space="preserve">Yes</t>
        </is>
      </c>
      <c r="BC7" s="30" t="inlineStr">
        <is>
          <t xml:space="preserve">Synthetic demo data</t>
        </is>
      </c>
      <c r="BE7" s="45">
        <f>IF(OR($A7="",$L7="",$H7=""),"",IF(AND(LEFT($L7,2)="06",$H7&gt;1945),"FAIL - pre-war class, year "&amp;$H7,IF(AND(LEFT($L7,2)="07",OR($H7&lt;1946,$H7&gt;1972)),"FAIL - 1946-72 class, year "&amp;$H7,IF(AND(LEFT($L7,2)="08",OR($H7&lt;1973,$H7&gt;1999)),"FAIL - 1973-99 class, year "&amp;$H7,IF(AND(LEFT($L7,2)="09",OR($H7&lt;2000,$H7&gt;2010)),"FAIL - 2000-10 class, year "&amp;$H7,"OK")))))</f>
      </c>
      <c r="BF7" s="45">
        <f>IF($AD7="","",IF(ROUND($AO7+$AP7+$AQ7-$AD7,2)=0,"OK","FAIL - out by "&amp;TEXT($AO7+$AP7+$AQ7-$AD7,"$0.00")))</f>
      </c>
    </row>
    <row r="8" spans="1:58" ht="18.75" customHeight="1" x14ac:dyDescent="0.25">
      <c r="A8" s="46" t="inlineStr">
        <is>
          <t xml:space="preserve">CANON-202508-000009</t>
        </is>
      </c>
      <c r="B8" s="46" t="inlineStr">
        <is>
          <t xml:space="preserve">Ottilie Vandermeer</t>
        </is>
      </c>
      <c r="C8" s="47">
        <v>45870</v>
      </c>
      <c r="D8" s="48" t="inlineStr">
        <is>
          <t xml:space="preserve">Bound - within authority</t>
        </is>
      </c>
      <c r="E8" s="48" t="inlineStr">
        <is>
          <t xml:space="preserve">New business</t>
        </is>
      </c>
      <c r="F8" s="46" t="inlineStr">
        <is>
          <t xml:space="preserve">B1234EXOTIC26</t>
        </is>
      </c>
      <c r="G8" s="33">
        <f>IF($A8="","",IF($C8="","",YEAR($C8)))</f>
      </c>
      <c r="H8" s="49">
        <v>2020</v>
      </c>
      <c r="I8" s="46" t="inlineStr">
        <is>
          <t xml:space="preserve">Ferrari</t>
        </is>
      </c>
      <c r="J8" s="46" t="inlineStr">
        <is>
          <t xml:space="preserve">296 GTB</t>
        </is>
      </c>
      <c r="K8" s="46" t="inlineStr">
        <is>
          <t xml:space="preserve">M4PU85LNXR94D371W</t>
        </is>
      </c>
      <c r="L8" s="48" t="inlineStr">
        <is>
          <t xml:space="preserve">03 - Supercar</t>
        </is>
      </c>
      <c r="M8" s="50">
        <v>605000</v>
      </c>
      <c r="N8" s="48" t="inlineStr">
        <is>
          <t xml:space="preserve">Personal</t>
        </is>
      </c>
      <c r="O8" s="46" t="inlineStr">
        <is>
          <t xml:space="preserve">Personal - regular use</t>
        </is>
      </c>
      <c r="P8" s="46" t="inlineStr">
        <is>
          <t xml:space="preserve">Under 1,000</t>
        </is>
      </c>
      <c r="Q8" s="46" t="inlineStr">
        <is>
          <t xml:space="preserve">New Mexico</t>
        </is>
      </c>
      <c r="R8" s="46" t="inlineStr">
        <is>
          <t xml:space="preserve">87501</t>
        </is>
      </c>
      <c r="S8" s="48" t="inlineStr">
        <is>
          <t xml:space="preserve">Wildfire - WUI high hazard</t>
        </is>
      </c>
      <c r="T8" s="36">
        <f>IF($A8="","",IF($S8="","",IFERROR(INDEX('[1]natural catastrophe'!$D$6:$D$17,MATCH($S8,'[1]natural catastrophe'!$B$6:$B$17,0)),"?")))</f>
      </c>
      <c r="U8" s="46" t="inlineStr">
        <is>
          <t xml:space="preserve">$5,000</t>
        </is>
      </c>
      <c r="V8" s="48" t="inlineStr">
        <is>
          <t xml:space="preserve">Agreed Value</t>
        </is>
      </c>
      <c r="W8" s="46" t="inlineStr">
        <is>
          <t xml:space="preserve">$1,000</t>
        </is>
      </c>
      <c r="X8" s="48" t="inlineStr">
        <is>
          <t xml:space="preserve">$1,000,000 CSL</t>
        </is>
      </c>
      <c r="Y8" s="46"/>
      <c r="Z8" s="46"/>
      <c r="AA8" s="48" t="inlineStr">
        <is>
          <t xml:space="preserve">Surplus Lines</t>
        </is>
      </c>
      <c r="AB8" s="50">
        <v>13880.75</v>
      </c>
      <c r="AC8" s="51">
        <v>0</v>
      </c>
      <c r="AD8" s="38">
        <f>IF(ISNUMBER($AB8),$AB8*(1+N($AC8)),"")</f>
      </c>
      <c r="AE8" s="50">
        <v>350</v>
      </c>
      <c r="AF8" s="50">
        <v>0</v>
      </c>
      <c r="AG8" s="51"/>
      <c r="AH8" s="39">
        <f>IF(ISNUMBER($AD8),($AD8+$AE8+$AF8)*$AG8,"")</f>
      </c>
      <c r="AI8" s="50"/>
      <c r="AJ8" s="38">
        <f>IF(ISNUMBER($AD8),SUM($AD8:$AH8),"")</f>
      </c>
      <c r="AK8" s="40">
        <f>IF(AND(ISNUMBER($AB8),ISNUMBER($AD8)),IF($AB8&gt;0,$AD8/$AB8,""),"")</f>
      </c>
      <c r="AL8" s="48" t="inlineStr">
        <is>
          <t xml:space="preserve">At technical</t>
        </is>
      </c>
      <c r="AM8" s="41">
        <f>IF(ISNUMBER($AD8),Header!$I$3,"")</f>
      </c>
      <c r="AN8" s="39">
        <f>IF(ISNUMBER($AD8),$AO8+$AP8,"")</f>
      </c>
      <c r="AO8" s="39">
        <f>IF(ISNUMBER($AD8),ROUND($AD8*Header!$K$3,2),"")</f>
      </c>
      <c r="AP8" s="39">
        <f>IF(ISNUMBER($AD8),ROUND($AD8*Header!$M$3,2),"")</f>
      </c>
      <c r="AQ8" s="38">
        <f>IF(ISNUMBER($AD8),ROUND($AD8,2)-$AO8-$AP8,"")</f>
      </c>
      <c r="AR8" s="39">
        <f>IF(ISNUMBER($AD8),IF(Header!$D$34="","?",$AD8*Header!$D$34),"")</f>
      </c>
      <c r="AS8" s="39">
        <f>IF(ISNUMBER($AB8),IF(Header!$D$34="","?",$AB8*Header!$D$34),"")</f>
      </c>
      <c r="AT8" s="42">
        <f>IF(AND(ISNUMBER($AB8),$M8&gt;0),$AB8/$M8*100,"")</f>
      </c>
      <c r="AU8" s="42">
        <f>IF(AND(ISNUMBER($AD8),$M8&gt;0),$AD8/$M8*100,"")</f>
      </c>
      <c r="AV8" s="40">
        <f>IF(AND(ISNUMBER($AB8),ISNUMBER($AD8),ABS($AB8)&gt;0),$AD8/$AB8,"")</f>
      </c>
      <c r="AW8" s="39">
        <f>IF(ISNUMBER($AD8),MAX(0,(1-0.55-Header!$O$3)*Header!$Q$3*$AQ8),"")</f>
      </c>
      <c r="AX8" s="43">
        <f>IF($A8="","",IF(TRIM(IF($A8="","Missing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",""))="","PASS","FAIL: "&amp;TRIM(IF($A8="","Missing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f>
      </c>
      <c r="AY8" s="44">
        <f>IF($M8="","",IF(ISNUMBER($M8),IF($M8&gt;=Header!$C$18,"YES — refer","No"),""))</f>
      </c>
      <c r="AZ8" s="44">
        <f>IF($AD8="","",IF(ISNUMBER($AD8),IF($AD8&lt;Header!$C$20,"BELOW MIN PREMIUM","OK"),""))</f>
      </c>
      <c r="BA8" s="48" t="inlineStr">
        <is>
          <t xml:space="preserve">Yes</t>
        </is>
      </c>
      <c r="BB8" s="48" t="inlineStr">
        <is>
          <t xml:space="preserve">Yes</t>
        </is>
      </c>
      <c r="BC8" s="46" t="inlineStr">
        <is>
          <t xml:space="preserve">Synthetic demo data</t>
        </is>
      </c>
      <c r="BE8" s="45">
        <f>IF(OR($A8="",$L8="",$H8=""),"",IF(AND(LEFT($L8,2)="06",$H8&gt;1945),"FAIL - pre-war class, year "&amp;$H8,IF(AND(LEFT($L8,2)="07",OR($H8&lt;1946,$H8&gt;1972)),"FAIL - 1946-72 class, year "&amp;$H8,IF(AND(LEFT($L8,2)="08",OR($H8&lt;1973,$H8&gt;1999)),"FAIL - 1973-99 class, year "&amp;$H8,IF(AND(LEFT($L8,2)="09",OR($H8&lt;2000,$H8&gt;2010)),"FAIL - 2000-10 class, year "&amp;$H8,"OK")))))</f>
      </c>
      <c r="BF8" s="45">
        <f>IF($AD8="","",IF(ROUND($AO8+$AP8+$AQ8-$AD8,2)=0,"OK","FAIL - out by "&amp;TEXT($AO8+$AP8+$AQ8-$AD8,"$0.00")))</f>
      </c>
    </row>
    <row r="9" spans="1:58" ht="18.75" customHeight="1" x14ac:dyDescent="0.25">
      <c r="A9" s="30" t="inlineStr">
        <is>
          <t xml:space="preserve">CANON-202508-000011</t>
        </is>
      </c>
      <c r="B9" s="30" t="inlineStr">
        <is>
          <t xml:space="preserve">Desmond Thistlewood</t>
        </is>
      </c>
      <c r="C9" s="31">
        <v>45874</v>
      </c>
      <c r="D9" s="32" t="inlineStr">
        <is>
          <t xml:space="preserve">Bound - within authority</t>
        </is>
      </c>
      <c r="E9" s="32" t="inlineStr">
        <is>
          <t xml:space="preserve">New business</t>
        </is>
      </c>
      <c r="F9" s="30" t="inlineStr">
        <is>
          <t xml:space="preserve">B1234EXOTIC26</t>
        </is>
      </c>
      <c r="G9" s="33">
        <f>IF($A9="","",IF($C9="","",YEAR($C9)))</f>
      </c>
      <c r="H9" s="34">
        <v>2004</v>
      </c>
      <c r="I9" s="30" t="inlineStr">
        <is>
          <t xml:space="preserve">Ferrari</t>
        </is>
      </c>
      <c r="J9" s="30" t="inlineStr">
        <is>
          <t xml:space="preserve">296 GTB</t>
        </is>
      </c>
      <c r="K9" s="30" t="inlineStr">
        <is>
          <t xml:space="preserve">YX2B9J4X9TVWAE128</t>
        </is>
      </c>
      <c r="L9" s="32" t="inlineStr">
        <is>
          <t xml:space="preserve">03 - Supercar</t>
        </is>
      </c>
      <c r="M9" s="35">
        <v>1950000</v>
      </c>
      <c r="N9" s="32" t="inlineStr">
        <is>
          <t xml:space="preserve">Personal</t>
        </is>
      </c>
      <c r="O9" s="30" t="inlineStr">
        <is>
          <t xml:space="preserve">Personal - regular use</t>
        </is>
      </c>
      <c r="P9" s="30" t="inlineStr">
        <is>
          <t xml:space="preserve">2,500 - 5,000</t>
        </is>
      </c>
      <c r="Q9" s="30" t="inlineStr">
        <is>
          <t xml:space="preserve">Ohio</t>
        </is>
      </c>
      <c r="R9" s="30" t="inlineStr">
        <is>
          <t xml:space="preserve">43215</t>
        </is>
      </c>
      <c r="S9" s="32" t="inlineStr">
        <is>
          <t xml:space="preserve">Severe convective - hail / tornado (moderate)</t>
        </is>
      </c>
      <c r="T9" s="36">
        <f>IF($A9="","",IF($S9="","",IFERROR(INDEX('[1]natural catastrophe'!$D$6:$D$17,MATCH($S9,'[1]natural catastrophe'!$B$6:$B$17,0)),"?")))</f>
      </c>
      <c r="U9" s="30" t="inlineStr">
        <is>
          <t xml:space="preserve">$5,000</t>
        </is>
      </c>
      <c r="V9" s="32" t="inlineStr">
        <is>
          <t xml:space="preserve">Agreed Value</t>
        </is>
      </c>
      <c r="W9" s="30" t="inlineStr">
        <is>
          <t xml:space="preserve">$1,000</t>
        </is>
      </c>
      <c r="X9" s="32" t="inlineStr">
        <is>
          <t xml:space="preserve">$1,000,000 CSL</t>
        </is>
      </c>
      <c r="Y9" s="30"/>
      <c r="Z9" s="30"/>
      <c r="AA9" s="32" t="inlineStr">
        <is>
          <t xml:space="preserve">Surplus Lines</t>
        </is>
      </c>
      <c r="AB9" s="35">
        <v>40913.21</v>
      </c>
      <c r="AC9" s="37">
        <v>0</v>
      </c>
      <c r="AD9" s="38">
        <f>IF(ISNUMBER($AB9),$AB9*(1+N($AC9)),"")</f>
      </c>
      <c r="AE9" s="35">
        <v>350</v>
      </c>
      <c r="AF9" s="35">
        <v>250</v>
      </c>
      <c r="AG9" s="37"/>
      <c r="AH9" s="39">
        <f>IF(ISNUMBER($AD9),($AD9+$AE9+$AF9)*$AG9,"")</f>
      </c>
      <c r="AI9" s="35"/>
      <c r="AJ9" s="38">
        <f>IF(ISNUMBER($AD9),SUM($AD9:$AH9),"")</f>
      </c>
      <c r="AK9" s="40">
        <f>IF(AND(ISNUMBER($AB9),ISNUMBER($AD9)),IF($AB9&gt;0,$AD9/$AB9,""),"")</f>
      </c>
      <c r="AL9" s="32" t="inlineStr">
        <is>
          <t xml:space="preserve">At technical</t>
        </is>
      </c>
      <c r="AM9" s="41">
        <f>IF(ISNUMBER($AD9),Header!$I$3,"")</f>
      </c>
      <c r="AN9" s="39">
        <f>IF(ISNUMBER($AD9),$AO9+$AP9,"")</f>
      </c>
      <c r="AO9" s="39">
        <f>IF(ISNUMBER($AD9),ROUND($AD9*Header!$K$3,2),"")</f>
      </c>
      <c r="AP9" s="39">
        <f>IF(ISNUMBER($AD9),ROUND($AD9*Header!$M$3,2),"")</f>
      </c>
      <c r="AQ9" s="38">
        <f>IF(ISNUMBER($AD9),ROUND($AD9,2)-$AO9-$AP9,"")</f>
      </c>
      <c r="AR9" s="39">
        <f>IF(ISNUMBER($AD9),IF(Header!$D$34="","?",$AD9*Header!$D$34),"")</f>
      </c>
      <c r="AS9" s="39">
        <f>IF(ISNUMBER($AB9),IF(Header!$D$34="","?",$AB9*Header!$D$34),"")</f>
      </c>
      <c r="AT9" s="42">
        <f>IF(AND(ISNUMBER($AB9),$M9&gt;0),$AB9/$M9*100,"")</f>
      </c>
      <c r="AU9" s="42">
        <f>IF(AND(ISNUMBER($AD9),$M9&gt;0),$AD9/$M9*100,"")</f>
      </c>
      <c r="AV9" s="40">
        <f>IF(AND(ISNUMBER($AB9),ISNUMBER($AD9),ABS($AB9)&gt;0),$AD9/$AB9,"")</f>
      </c>
      <c r="AW9" s="39">
        <f>IF(ISNUMBER($AD9),MAX(0,(1-0.55-Header!$O$3)*Header!$Q$3*$AQ9),"")</f>
      </c>
      <c r="AX9" s="43">
        <f>IF($A9="","",IF(TRIM(IF($A9="","Missing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",""))="","PASS","FAIL: "&amp;TRIM(IF($A9="","Missing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f>
      </c>
      <c r="AY9" s="44">
        <f>IF($M9="","",IF(ISNUMBER($M9),IF($M9&gt;=Header!$C$18,"YES — refer","No"),""))</f>
      </c>
      <c r="AZ9" s="44">
        <f>IF($AD9="","",IF(ISNUMBER($AD9),IF($AD9&lt;Header!$C$20,"BELOW MIN PREMIUM","OK"),""))</f>
      </c>
      <c r="BA9" s="32" t="inlineStr">
        <is>
          <t xml:space="preserve">Yes</t>
        </is>
      </c>
      <c r="BB9" s="32" t="inlineStr">
        <is>
          <t xml:space="preserve">Yes</t>
        </is>
      </c>
      <c r="BC9" s="30" t="inlineStr">
        <is>
          <t xml:space="preserve">Synthetic demo data</t>
        </is>
      </c>
      <c r="BE9" s="45">
        <f>IF(OR($A9="",$L9="",$H9=""),"",IF(AND(LEFT($L9,2)="06",$H9&gt;1945),"FAIL - pre-war class, year "&amp;$H9,IF(AND(LEFT($L9,2)="07",OR($H9&lt;1946,$H9&gt;1972)),"FAIL - 1946-72 class, year "&amp;$H9,IF(AND(LEFT($L9,2)="08",OR($H9&lt;1973,$H9&gt;1999)),"FAIL - 1973-99 class, year "&amp;$H9,IF(AND(LEFT($L9,2)="09",OR($H9&lt;2000,$H9&gt;2010)),"FAIL - 2000-10 class, year "&amp;$H9,"OK")))))</f>
      </c>
      <c r="BF9" s="45">
        <f>IF($AD9="","",IF(ROUND($AO9+$AP9+$AQ9-$AD9,2)=0,"OK","FAIL - out by "&amp;TEXT($AO9+$AP9+$AQ9-$AD9,"$0.00")))</f>
      </c>
    </row>
    <row r="10" spans="1:58" ht="18.75" customHeight="1" x14ac:dyDescent="0.25">
      <c r="A10" s="46" t="inlineStr">
        <is>
          <t xml:space="preserve">CANON-202508-000012</t>
        </is>
      </c>
      <c r="B10" s="46" t="inlineStr">
        <is>
          <t xml:space="preserve">Callum Thistlewood</t>
        </is>
      </c>
      <c r="C10" s="47">
        <v>45899</v>
      </c>
      <c r="D10" s="48" t="inlineStr">
        <is>
          <t xml:space="preserve">Bound - within authority</t>
        </is>
      </c>
      <c r="E10" s="48" t="inlineStr">
        <is>
          <t xml:space="preserve">New business</t>
        </is>
      </c>
      <c r="F10" s="46" t="inlineStr">
        <is>
          <t xml:space="preserve">B1234EXOTIC26</t>
        </is>
      </c>
      <c r="G10" s="33">
        <f>IF($A10="","",IF($C10="","",YEAR($C10)))</f>
      </c>
      <c r="H10" s="49">
        <v>2022</v>
      </c>
      <c r="I10" s="46" t="inlineStr">
        <is>
          <t xml:space="preserve">Maserati</t>
        </is>
      </c>
      <c r="J10" s="46" t="inlineStr">
        <is>
          <t xml:space="preserve">GranTurismo</t>
        </is>
      </c>
      <c r="K10" s="46" t="inlineStr">
        <is>
          <t xml:space="preserve">1Y7NEJZ5550ZB203F</t>
        </is>
      </c>
      <c r="L10" s="48" t="inlineStr">
        <is>
          <t xml:space="preserve">02 - Sports / GT</t>
        </is>
      </c>
      <c r="M10" s="50">
        <v>1415000</v>
      </c>
      <c r="N10" s="48" t="inlineStr">
        <is>
          <t xml:space="preserve">Personal</t>
        </is>
      </c>
      <c r="O10" s="46" t="inlineStr">
        <is>
          <t xml:space="preserve">Personal - regular use</t>
        </is>
      </c>
      <c r="P10" s="46" t="inlineStr">
        <is>
          <t xml:space="preserve">2,500 - 5,000</t>
        </is>
      </c>
      <c r="Q10" s="46" t="inlineStr">
        <is>
          <t xml:space="preserve">California</t>
        </is>
      </c>
      <c r="R10" s="46" t="inlineStr">
        <is>
          <t xml:space="preserve">90012</t>
        </is>
      </c>
      <c r="S10" s="48" t="inlineStr">
        <is>
          <t xml:space="preserve">Earthquake - high (CA, Cascadia, New Madrid)</t>
        </is>
      </c>
      <c r="T10" s="36">
        <f>IF($A10="","",IF($S10="","",IFERROR(INDEX('[1]natural catastrophe'!$D$6:$D$17,MATCH($S10,'[1]natural catastrophe'!$B$6:$B$17,0)),"?")))</f>
      </c>
      <c r="U10" s="46" t="inlineStr">
        <is>
          <t xml:space="preserve">$5,000</t>
        </is>
      </c>
      <c r="V10" s="48" t="inlineStr">
        <is>
          <t xml:space="preserve">Agreed Value</t>
        </is>
      </c>
      <c r="W10" s="46" t="inlineStr">
        <is>
          <t xml:space="preserve">$1,000</t>
        </is>
      </c>
      <c r="X10" s="48" t="inlineStr">
        <is>
          <t xml:space="preserve">$1,000,000 CSL</t>
        </is>
      </c>
      <c r="Y10" s="46"/>
      <c r="Z10" s="46"/>
      <c r="AA10" s="48" t="inlineStr">
        <is>
          <t xml:space="preserve">Surplus Lines</t>
        </is>
      </c>
      <c r="AB10" s="50">
        <v>19823.35</v>
      </c>
      <c r="AC10" s="51">
        <v>0</v>
      </c>
      <c r="AD10" s="38">
        <f>IF(ISNUMBER($AB10),$AB10*(1+N($AC10)),"")</f>
      </c>
      <c r="AE10" s="50">
        <v>350</v>
      </c>
      <c r="AF10" s="50">
        <v>250</v>
      </c>
      <c r="AG10" s="51"/>
      <c r="AH10" s="39">
        <f>IF(ISNUMBER($AD10),($AD10+$AE10+$AF10)*$AG10,"")</f>
      </c>
      <c r="AI10" s="50"/>
      <c r="AJ10" s="38">
        <f>IF(ISNUMBER($AD10),SUM($AD10:$AH10),"")</f>
      </c>
      <c r="AK10" s="40">
        <f>IF(AND(ISNUMBER($AB10),ISNUMBER($AD10)),IF($AB10&gt;0,$AD10/$AB10,""),"")</f>
      </c>
      <c r="AL10" s="48" t="inlineStr">
        <is>
          <t xml:space="preserve">At technical</t>
        </is>
      </c>
      <c r="AM10" s="41">
        <f>IF(ISNUMBER($AD10),Header!$I$3,"")</f>
      </c>
      <c r="AN10" s="39">
        <f>IF(ISNUMBER($AD10),$AO10+$AP10,"")</f>
      </c>
      <c r="AO10" s="39">
        <f>IF(ISNUMBER($AD10),ROUND($AD10*Header!$K$3,2),"")</f>
      </c>
      <c r="AP10" s="39">
        <f>IF(ISNUMBER($AD10),ROUND($AD10*Header!$M$3,2),"")</f>
      </c>
      <c r="AQ10" s="38">
        <f>IF(ISNUMBER($AD10),ROUND($AD10,2)-$AO10-$AP10,"")</f>
      </c>
      <c r="AR10" s="39">
        <f>IF(ISNUMBER($AD10),IF(Header!$D$34="","?",$AD10*Header!$D$34),"")</f>
      </c>
      <c r="AS10" s="39">
        <f>IF(ISNUMBER($AB10),IF(Header!$D$34="","?",$AB10*Header!$D$34),"")</f>
      </c>
      <c r="AT10" s="42">
        <f>IF(AND(ISNUMBER($AB10),$M10&gt;0),$AB10/$M10*100,"")</f>
      </c>
      <c r="AU10" s="42">
        <f>IF(AND(ISNUMBER($AD10),$M10&gt;0),$AD10/$M10*100,"")</f>
      </c>
      <c r="AV10" s="40">
        <f>IF(AND(ISNUMBER($AB10),ISNUMBER($AD10),ABS($AB10)&gt;0),$AD10/$AB10,"")</f>
      </c>
      <c r="AW10" s="39">
        <f>IF(ISNUMBER($AD10),MAX(0,(1-0.55-Header!$O$3)*Header!$Q$3*$AQ10),"")</f>
      </c>
      <c r="AX10" s="43">
        <f>IF($A10="","",IF(TRIM(IF($A10="","Missing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",""))="","PASS","FAIL: "&amp;TRIM(IF($A10="","Missing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f>
      </c>
      <c r="AY10" s="44">
        <f>IF($M10="","",IF(ISNUMBER($M10),IF($M10&gt;=Header!$C$18,"YES — refer","No"),""))</f>
      </c>
      <c r="AZ10" s="44">
        <f>IF($AD10="","",IF(ISNUMBER($AD10),IF($AD10&lt;Header!$C$20,"BELOW MIN PREMIUM","OK"),""))</f>
      </c>
      <c r="BA10" s="48" t="inlineStr">
        <is>
          <t xml:space="preserve">Yes</t>
        </is>
      </c>
      <c r="BB10" s="48" t="inlineStr">
        <is>
          <t xml:space="preserve">Yes</t>
        </is>
      </c>
      <c r="BC10" s="46" t="inlineStr">
        <is>
          <t xml:space="preserve">Synthetic demo data</t>
        </is>
      </c>
      <c r="BE10" s="45">
        <f>IF(OR($A10="",$L10="",$H10=""),"",IF(AND(LEFT($L10,2)="06",$H10&gt;1945),"FAIL - pre-war class, year "&amp;$H10,IF(AND(LEFT($L10,2)="07",OR($H10&lt;1946,$H10&gt;1972)),"FAIL - 1946-72 class, year "&amp;$H10,IF(AND(LEFT($L10,2)="08",OR($H10&lt;1973,$H10&gt;1999)),"FAIL - 1973-99 class, year "&amp;$H10,IF(AND(LEFT($L10,2)="09",OR($H10&lt;2000,$H10&gt;2010)),"FAIL - 2000-10 class, year "&amp;$H10,"OK")))))</f>
      </c>
      <c r="BF10" s="45">
        <f>IF($AD10="","",IF(ROUND($AO10+$AP10+$AQ10-$AD10,2)=0,"OK","FAIL - out by "&amp;TEXT($AO10+$AP10+$AQ10-$AD10,"$0.00")))</f>
      </c>
    </row>
    <row r="11" spans="1:58" ht="18.75" customHeight="1" x14ac:dyDescent="0.25">
      <c r="A11" s="30" t="inlineStr">
        <is>
          <t xml:space="preserve">CANON-202508-000013</t>
        </is>
      </c>
      <c r="B11" s="30" t="inlineStr">
        <is>
          <t xml:space="preserve">Leopold Fairweather</t>
        </is>
      </c>
      <c r="C11" s="31">
        <v>45884</v>
      </c>
      <c r="D11" s="32" t="inlineStr">
        <is>
          <t xml:space="preserve">Bound - within authority</t>
        </is>
      </c>
      <c r="E11" s="32" t="inlineStr">
        <is>
          <t xml:space="preserve">New business</t>
        </is>
      </c>
      <c r="F11" s="30" t="inlineStr">
        <is>
          <t xml:space="preserve">B1234EXOTIC26</t>
        </is>
      </c>
      <c r="G11" s="33">
        <f>IF($A11="","",IF($C11="","",YEAR($C11)))</f>
      </c>
      <c r="H11" s="34">
        <v>1959</v>
      </c>
      <c r="I11" s="30" t="inlineStr">
        <is>
          <t xml:space="preserve">Aston Martin</t>
        </is>
      </c>
      <c r="J11" s="30" t="inlineStr">
        <is>
          <t xml:space="preserve">DB12</t>
        </is>
      </c>
      <c r="K11" s="30" t="inlineStr">
        <is>
          <t xml:space="preserve">JL6LW9DCRZLFC8NWH</t>
        </is>
      </c>
      <c r="L11" s="32" t="inlineStr">
        <is>
          <t xml:space="preserve">02 - Sports / GT</t>
        </is>
      </c>
      <c r="M11" s="35">
        <v>380000</v>
      </c>
      <c r="N11" s="32" t="inlineStr">
        <is>
          <t xml:space="preserve">Personal</t>
        </is>
      </c>
      <c r="O11" s="30" t="inlineStr">
        <is>
          <t xml:space="preserve">Personal - regular use</t>
        </is>
      </c>
      <c r="P11" s="30" t="inlineStr">
        <is>
          <t xml:space="preserve">Under 1,000</t>
        </is>
      </c>
      <c r="Q11" s="30" t="inlineStr">
        <is>
          <t xml:space="preserve">New York</t>
        </is>
      </c>
      <c r="R11" s="30" t="inlineStr">
        <is>
          <t xml:space="preserve">10022</t>
        </is>
      </c>
      <c r="S11" s="32" t="inlineStr">
        <is>
          <t xml:space="preserve">Tier 3 - Coastal wind (25-100 miles)</t>
        </is>
      </c>
      <c r="T11" s="36">
        <f>IF($A11="","",IF($S11="","",IFERROR(INDEX('[1]natural catastrophe'!$D$6:$D$17,MATCH($S11,'[1]natural catastrophe'!$B$6:$B$17,0)),"?")))</f>
      </c>
      <c r="U11" s="30" t="inlineStr">
        <is>
          <t xml:space="preserve">2% of agreed value, minimum $10,000</t>
        </is>
      </c>
      <c r="V11" s="32" t="inlineStr">
        <is>
          <t xml:space="preserve">Agreed Value</t>
        </is>
      </c>
      <c r="W11" s="30" t="inlineStr">
        <is>
          <t xml:space="preserve">$1,000</t>
        </is>
      </c>
      <c r="X11" s="32" t="inlineStr">
        <is>
          <t xml:space="preserve">$1,000,000 CSL</t>
        </is>
      </c>
      <c r="Y11" s="30"/>
      <c r="Z11" s="30"/>
      <c r="AA11" s="32" t="inlineStr">
        <is>
          <t xml:space="preserve">Surplus Lines</t>
        </is>
      </c>
      <c r="AB11" s="35">
        <v>6883.02</v>
      </c>
      <c r="AC11" s="37">
        <v>0</v>
      </c>
      <c r="AD11" s="38">
        <f>IF(ISNUMBER($AB11),$AB11*(1+N($AC11)),"")</f>
      </c>
      <c r="AE11" s="35">
        <v>350</v>
      </c>
      <c r="AF11" s="35">
        <v>0</v>
      </c>
      <c r="AG11" s="37"/>
      <c r="AH11" s="39">
        <f>IF(ISNUMBER($AD11),($AD11+$AE11+$AF11)*$AG11,"")</f>
      </c>
      <c r="AI11" s="35"/>
      <c r="AJ11" s="38">
        <f>IF(ISNUMBER($AD11),SUM($AD11:$AH11),"")</f>
      </c>
      <c r="AK11" s="40">
        <f>IF(AND(ISNUMBER($AB11),ISNUMBER($AD11)),IF($AB11&gt;0,$AD11/$AB11,""),"")</f>
      </c>
      <c r="AL11" s="32" t="inlineStr">
        <is>
          <t xml:space="preserve">At technical</t>
        </is>
      </c>
      <c r="AM11" s="41">
        <f>IF(ISNUMBER($AD11),Header!$I$3,"")</f>
      </c>
      <c r="AN11" s="39">
        <f>IF(ISNUMBER($AD11),$AO11+$AP11,"")</f>
      </c>
      <c r="AO11" s="39">
        <f>IF(ISNUMBER($AD11),ROUND($AD11*Header!$K$3,2),"")</f>
      </c>
      <c r="AP11" s="39">
        <f>IF(ISNUMBER($AD11),ROUND($AD11*Header!$M$3,2),"")</f>
      </c>
      <c r="AQ11" s="38">
        <f>IF(ISNUMBER($AD11),ROUND($AD11,2)-$AO11-$AP11,"")</f>
      </c>
      <c r="AR11" s="39">
        <f>IF(ISNUMBER($AD11),IF(Header!$D$34="","?",$AD11*Header!$D$34),"")</f>
      </c>
      <c r="AS11" s="39">
        <f>IF(ISNUMBER($AB11),IF(Header!$D$34="","?",$AB11*Header!$D$34),"")</f>
      </c>
      <c r="AT11" s="42">
        <f>IF(AND(ISNUMBER($AB11),$M11&gt;0),$AB11/$M11*100,"")</f>
      </c>
      <c r="AU11" s="42">
        <f>IF(AND(ISNUMBER($AD11),$M11&gt;0),$AD11/$M11*100,"")</f>
      </c>
      <c r="AV11" s="40">
        <f>IF(AND(ISNUMBER($AB11),ISNUMBER($AD11),ABS($AB11)&gt;0),$AD11/$AB11,"")</f>
      </c>
      <c r="AW11" s="39">
        <f>IF(ISNUMBER($AD11),MAX(0,(1-0.55-Header!$O$3)*Header!$Q$3*$AQ11),"")</f>
      </c>
      <c r="AX11" s="43">
        <f>IF($A11="","",IF(TRIM(IF($A11="","Missing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",""))="","PASS","FAIL: "&amp;TRIM(IF($A11="","Missing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f>
      </c>
      <c r="AY11" s="44">
        <f>IF($M11="","",IF(ISNUMBER($M11),IF($M11&gt;=Header!$C$18,"YES — refer","No"),""))</f>
      </c>
      <c r="AZ11" s="44">
        <f>IF($AD11="","",IF(ISNUMBER($AD11),IF($AD11&lt;Header!$C$20,"BELOW MIN PREMIUM","OK"),""))</f>
      </c>
      <c r="BA11" s="32" t="inlineStr">
        <is>
          <t xml:space="preserve">Yes</t>
        </is>
      </c>
      <c r="BB11" s="32" t="inlineStr">
        <is>
          <t xml:space="preserve">Yes</t>
        </is>
      </c>
      <c r="BC11" s="30" t="inlineStr">
        <is>
          <t xml:space="preserve">Synthetic demo data</t>
        </is>
      </c>
      <c r="BE11" s="45">
        <f>IF(OR($A11="",$L11="",$H11=""),"",IF(AND(LEFT($L11,2)="06",$H11&gt;1945),"FAIL - pre-war class, year "&amp;$H11,IF(AND(LEFT($L11,2)="07",OR($H11&lt;1946,$H11&gt;1972)),"FAIL - 1946-72 class, year "&amp;$H11,IF(AND(LEFT($L11,2)="08",OR($H11&lt;1973,$H11&gt;1999)),"FAIL - 1973-99 class, year "&amp;$H11,IF(AND(LEFT($L11,2)="09",OR($H11&lt;2000,$H11&gt;2010)),"FAIL - 2000-10 class, year "&amp;$H11,"OK")))))</f>
      </c>
      <c r="BF11" s="45">
        <f>IF($AD11="","",IF(ROUND($AO11+$AP11+$AQ11-$AD11,2)=0,"OK","FAIL - out by "&amp;TEXT($AO11+$AP11+$AQ11-$AD11,"$0.00")))</f>
      </c>
    </row>
    <row r="12" spans="1:58" ht="18.75" customHeight="1" x14ac:dyDescent="0.25">
      <c r="A12" s="46" t="inlineStr">
        <is>
          <t xml:space="preserve">CANON-202508-000014</t>
        </is>
      </c>
      <c r="B12" s="46" t="inlineStr">
        <is>
          <t xml:space="preserve">Callum Montoya</t>
        </is>
      </c>
      <c r="C12" s="47">
        <v>45876</v>
      </c>
      <c r="D12" s="48" t="inlineStr">
        <is>
          <t xml:space="preserve">Bound - within authority</t>
        </is>
      </c>
      <c r="E12" s="48" t="inlineStr">
        <is>
          <t xml:space="preserve">New business</t>
        </is>
      </c>
      <c r="F12" s="46" t="inlineStr">
        <is>
          <t xml:space="preserve">B1234EXOTIC26</t>
        </is>
      </c>
      <c r="G12" s="33">
        <f>IF($A12="","",IF($C12="","",YEAR($C12)))</f>
      </c>
      <c r="H12" s="49">
        <v>1960</v>
      </c>
      <c r="I12" s="46" t="inlineStr">
        <is>
          <t xml:space="preserve">Ferrari</t>
        </is>
      </c>
      <c r="J12" s="46" t="inlineStr">
        <is>
          <t xml:space="preserve">296 GTB</t>
        </is>
      </c>
      <c r="K12" s="46" t="inlineStr">
        <is>
          <t xml:space="preserve">2H4D2CA7CMSBJA924</t>
        </is>
      </c>
      <c r="L12" s="48" t="inlineStr">
        <is>
          <t xml:space="preserve">03 - Supercar</t>
        </is>
      </c>
      <c r="M12" s="50">
        <v>1565000</v>
      </c>
      <c r="N12" s="48" t="inlineStr">
        <is>
          <t xml:space="preserve">Personal</t>
        </is>
      </c>
      <c r="O12" s="46" t="inlineStr">
        <is>
          <t xml:space="preserve">Personal - regular use</t>
        </is>
      </c>
      <c r="P12" s="46" t="inlineStr">
        <is>
          <t xml:space="preserve">1,000 - 2,500</t>
        </is>
      </c>
      <c r="Q12" s="46" t="inlineStr">
        <is>
          <t xml:space="preserve">Nevada</t>
        </is>
      </c>
      <c r="R12" s="46" t="inlineStr">
        <is>
          <t xml:space="preserve">89101</t>
        </is>
      </c>
      <c r="S12" s="48" t="inlineStr">
        <is>
          <t xml:space="preserve">Wildfire - WUI high hazard</t>
        </is>
      </c>
      <c r="T12" s="36">
        <f>IF($A12="","",IF($S12="","",IFERROR(INDEX('[1]natural catastrophe'!$D$6:$D$17,MATCH($S12,'[1]natural catastrophe'!$B$6:$B$17,0)),"?")))</f>
      </c>
      <c r="U12" s="46" t="inlineStr">
        <is>
          <t xml:space="preserve">$5,000</t>
        </is>
      </c>
      <c r="V12" s="48" t="inlineStr">
        <is>
          <t xml:space="preserve">Agreed Value</t>
        </is>
      </c>
      <c r="W12" s="46" t="inlineStr">
        <is>
          <t xml:space="preserve">$1,000</t>
        </is>
      </c>
      <c r="X12" s="48" t="inlineStr">
        <is>
          <t xml:space="preserve">$1,000,000 CSL</t>
        </is>
      </c>
      <c r="Y12" s="46"/>
      <c r="Z12" s="46"/>
      <c r="AA12" s="48" t="inlineStr">
        <is>
          <t xml:space="preserve">Surplus Lines</t>
        </is>
      </c>
      <c r="AB12" s="50">
        <v>27638.49</v>
      </c>
      <c r="AC12" s="51">
        <v>0</v>
      </c>
      <c r="AD12" s="38">
        <f>IF(ISNUMBER($AB12),$AB12*(1+N($AC12)),"")</f>
      </c>
      <c r="AE12" s="50">
        <v>350</v>
      </c>
      <c r="AF12" s="50">
        <v>250</v>
      </c>
      <c r="AG12" s="51"/>
      <c r="AH12" s="39">
        <f>IF(ISNUMBER($AD12),($AD12+$AE12+$AF12)*$AG12,"")</f>
      </c>
      <c r="AI12" s="50"/>
      <c r="AJ12" s="38">
        <f>IF(ISNUMBER($AD12),SUM($AD12:$AH12),"")</f>
      </c>
      <c r="AK12" s="40">
        <f>IF(AND(ISNUMBER($AB12),ISNUMBER($AD12)),IF($AB12&gt;0,$AD12/$AB12,""),"")</f>
      </c>
      <c r="AL12" s="48" t="inlineStr">
        <is>
          <t xml:space="preserve">At technical</t>
        </is>
      </c>
      <c r="AM12" s="41">
        <f>IF(ISNUMBER($AD12),Header!$I$3,"")</f>
      </c>
      <c r="AN12" s="39">
        <f>IF(ISNUMBER($AD12),$AO12+$AP12,"")</f>
      </c>
      <c r="AO12" s="39">
        <f>IF(ISNUMBER($AD12),ROUND($AD12*Header!$K$3,2),"")</f>
      </c>
      <c r="AP12" s="39">
        <f>IF(ISNUMBER($AD12),ROUND($AD12*Header!$M$3,2),"")</f>
      </c>
      <c r="AQ12" s="38">
        <f>IF(ISNUMBER($AD12),ROUND($AD12,2)-$AO12-$AP12,"")</f>
      </c>
      <c r="AR12" s="39">
        <f>IF(ISNUMBER($AD12),IF(Header!$D$34="","?",$AD12*Header!$D$34),"")</f>
      </c>
      <c r="AS12" s="39">
        <f>IF(ISNUMBER($AB12),IF(Header!$D$34="","?",$AB12*Header!$D$34),"")</f>
      </c>
      <c r="AT12" s="42">
        <f>IF(AND(ISNUMBER($AB12),$M12&gt;0),$AB12/$M12*100,"")</f>
      </c>
      <c r="AU12" s="42">
        <f>IF(AND(ISNUMBER($AD12),$M12&gt;0),$AD12/$M12*100,"")</f>
      </c>
      <c r="AV12" s="40">
        <f>IF(AND(ISNUMBER($AB12),ISNUMBER($AD12),ABS($AB12)&gt;0),$AD12/$AB12,"")</f>
      </c>
      <c r="AW12" s="39">
        <f>IF(ISNUMBER($AD12),MAX(0,(1-0.55-Header!$O$3)*Header!$Q$3*$AQ12),"")</f>
      </c>
      <c r="AX12" s="43">
        <f>IF($A12="","",IF(TRIM(IF($A12="","Missing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",""))="","PASS","FAIL: "&amp;TRIM(IF($A12="","Missing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f>
      </c>
      <c r="AY12" s="44">
        <f>IF($M12="","",IF(ISNUMBER($M12),IF($M12&gt;=Header!$C$18,"YES — refer","No"),""))</f>
      </c>
      <c r="AZ12" s="44">
        <f>IF($AD12="","",IF(ISNUMBER($AD12),IF($AD12&lt;Header!$C$20,"BELOW MIN PREMIUM","OK"),""))</f>
      </c>
      <c r="BA12" s="48" t="inlineStr">
        <is>
          <t xml:space="preserve">Yes</t>
        </is>
      </c>
      <c r="BB12" s="48" t="inlineStr">
        <is>
          <t xml:space="preserve">Yes</t>
        </is>
      </c>
      <c r="BC12" s="46" t="inlineStr">
        <is>
          <t xml:space="preserve">Synthetic demo data</t>
        </is>
      </c>
      <c r="BE12" s="45">
        <f>IF(OR($A12="",$L12="",$H12=""),"",IF(AND(LEFT($L12,2)="06",$H12&gt;1945),"FAIL - pre-war class, year "&amp;$H12,IF(AND(LEFT($L12,2)="07",OR($H12&lt;1946,$H12&gt;1972)),"FAIL - 1946-72 class, year "&amp;$H12,IF(AND(LEFT($L12,2)="08",OR($H12&lt;1973,$H12&gt;1999)),"FAIL - 1973-99 class, year "&amp;$H12,IF(AND(LEFT($L12,2)="09",OR($H12&lt;2000,$H12&gt;2010)),"FAIL - 2000-10 class, year "&amp;$H12,"OK")))))</f>
      </c>
      <c r="BF12" s="45">
        <f>IF($AD12="","",IF(ROUND($AO12+$AP12+$AQ12-$AD12,2)=0,"OK","FAIL - out by "&amp;TEXT($AO12+$AP12+$AQ12-$AD12,"$0.00")))</f>
      </c>
    </row>
    <row r="13" spans="1:58" ht="18.75" customHeight="1" x14ac:dyDescent="0.25">
      <c r="A13" s="30" t="inlineStr">
        <is>
          <t xml:space="preserve">CANON-202508-000018</t>
        </is>
      </c>
      <c r="B13" s="30" t="inlineStr">
        <is>
          <t xml:space="preserve">Sunniva Blackwood</t>
        </is>
      </c>
      <c r="C13" s="31">
        <v>45884</v>
      </c>
      <c r="D13" s="32" t="inlineStr">
        <is>
          <t xml:space="preserve">Bound - within authority</t>
        </is>
      </c>
      <c r="E13" s="32" t="inlineStr">
        <is>
          <t xml:space="preserve">New business</t>
        </is>
      </c>
      <c r="F13" s="30" t="inlineStr">
        <is>
          <t xml:space="preserve">B1234EXOTIC26</t>
        </is>
      </c>
      <c r="G13" s="33">
        <f>IF($A13="","",IF($C13="","",YEAR($C13)))</f>
      </c>
      <c r="H13" s="34">
        <v>1999</v>
      </c>
      <c r="I13" s="30" t="inlineStr">
        <is>
          <t xml:space="preserve">Mercedes-Benz</t>
        </is>
      </c>
      <c r="J13" s="30" t="inlineStr">
        <is>
          <t xml:space="preserve">AMG GT</t>
        </is>
      </c>
      <c r="K13" s="30" t="inlineStr">
        <is>
          <t xml:space="preserve">FBX60A7UBL8LLV0SF</t>
        </is>
      </c>
      <c r="L13" s="32" t="inlineStr">
        <is>
          <t xml:space="preserve">02 - Sports / GT</t>
        </is>
      </c>
      <c r="M13" s="35">
        <v>520000</v>
      </c>
      <c r="N13" s="32" t="inlineStr">
        <is>
          <t xml:space="preserve">Personal</t>
        </is>
      </c>
      <c r="O13" s="30" t="inlineStr">
        <is>
          <t xml:space="preserve">Personal - regular use</t>
        </is>
      </c>
      <c r="P13" s="30" t="inlineStr">
        <is>
          <t xml:space="preserve">Under 1,000</t>
        </is>
      </c>
      <c r="Q13" s="30" t="inlineStr">
        <is>
          <t xml:space="preserve">Illinois</t>
        </is>
      </c>
      <c r="R13" s="30" t="inlineStr">
        <is>
          <t xml:space="preserve">60601</t>
        </is>
      </c>
      <c r="S13" s="32" t="inlineStr">
        <is>
          <t xml:space="preserve">Severe convective - hail / tornado (moderate)</t>
        </is>
      </c>
      <c r="T13" s="36">
        <f>IF($A13="","",IF($S13="","",IFERROR(INDEX('[1]natural catastrophe'!$D$6:$D$17,MATCH($S13,'[1]natural catastrophe'!$B$6:$B$17,0)),"?")))</f>
      </c>
      <c r="U13" s="30" t="inlineStr">
        <is>
          <t xml:space="preserve">$5,000</t>
        </is>
      </c>
      <c r="V13" s="32" t="inlineStr">
        <is>
          <t xml:space="preserve">Agreed Value</t>
        </is>
      </c>
      <c r="W13" s="30" t="inlineStr">
        <is>
          <t xml:space="preserve">$1,000</t>
        </is>
      </c>
      <c r="X13" s="32" t="inlineStr">
        <is>
          <t xml:space="preserve">$1,000,000 CSL</t>
        </is>
      </c>
      <c r="Y13" s="30"/>
      <c r="Z13" s="30"/>
      <c r="AA13" s="32" t="inlineStr">
        <is>
          <t xml:space="preserve">Surplus Lines</t>
        </is>
      </c>
      <c r="AB13" s="35">
        <v>8673.21</v>
      </c>
      <c r="AC13" s="37">
        <v>0</v>
      </c>
      <c r="AD13" s="38">
        <f>IF(ISNUMBER($AB13),$AB13*(1+N($AC13)),"")</f>
      </c>
      <c r="AE13" s="35">
        <v>350</v>
      </c>
      <c r="AF13" s="35">
        <v>0</v>
      </c>
      <c r="AG13" s="37"/>
      <c r="AH13" s="39">
        <f>IF(ISNUMBER($AD13),($AD13+$AE13+$AF13)*$AG13,"")</f>
      </c>
      <c r="AI13" s="35"/>
      <c r="AJ13" s="38">
        <f>IF(ISNUMBER($AD13),SUM($AD13:$AH13),"")</f>
      </c>
      <c r="AK13" s="40">
        <f>IF(AND(ISNUMBER($AB13),ISNUMBER($AD13)),IF($AB13&gt;0,$AD13/$AB13,""),"")</f>
      </c>
      <c r="AL13" s="32" t="inlineStr">
        <is>
          <t xml:space="preserve">At technical</t>
        </is>
      </c>
      <c r="AM13" s="41">
        <f>IF(ISNUMBER($AD13),Header!$I$3,"")</f>
      </c>
      <c r="AN13" s="39">
        <f>IF(ISNUMBER($AD13),$AO13+$AP13,"")</f>
      </c>
      <c r="AO13" s="39">
        <f>IF(ISNUMBER($AD13),ROUND($AD13*Header!$K$3,2),"")</f>
      </c>
      <c r="AP13" s="39">
        <f>IF(ISNUMBER($AD13),ROUND($AD13*Header!$M$3,2),"")</f>
      </c>
      <c r="AQ13" s="38">
        <f>IF(ISNUMBER($AD13),ROUND($AD13,2)-$AO13-$AP13,"")</f>
      </c>
      <c r="AR13" s="39">
        <f>IF(ISNUMBER($AD13),IF(Header!$D$34="","?",$AD13*Header!$D$34),"")</f>
      </c>
      <c r="AS13" s="39">
        <f>IF(ISNUMBER($AB13),IF(Header!$D$34="","?",$AB13*Header!$D$34),"")</f>
      </c>
      <c r="AT13" s="42">
        <f>IF(AND(ISNUMBER($AB13),$M13&gt;0),$AB13/$M13*100,"")</f>
      </c>
      <c r="AU13" s="42">
        <f>IF(AND(ISNUMBER($AD13),$M13&gt;0),$AD13/$M13*100,"")</f>
      </c>
      <c r="AV13" s="40">
        <f>IF(AND(ISNUMBER($AB13),ISNUMBER($AD13),ABS($AB13)&gt;0),$AD13/$AB13,"")</f>
      </c>
      <c r="AW13" s="39">
        <f>IF(ISNUMBER($AD13),MAX(0,(1-0.55-Header!$O$3)*Header!$Q$3*$AQ13),"")</f>
      </c>
      <c r="AX13" s="43">
        <f>IF($A13="","",IF(TRIM(IF($A13="","Missing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",""))="","PASS","FAIL: "&amp;TRIM(IF($A13="","Missing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f>
      </c>
      <c r="AY13" s="44">
        <f>IF($M13="","",IF(ISNUMBER($M13),IF($M13&gt;=Header!$C$18,"YES — refer","No"),""))</f>
      </c>
      <c r="AZ13" s="44">
        <f>IF($AD13="","",IF(ISNUMBER($AD13),IF($AD13&lt;Header!$C$20,"BELOW MIN PREMIUM","OK"),""))</f>
      </c>
      <c r="BA13" s="32" t="inlineStr">
        <is>
          <t xml:space="preserve">Yes</t>
        </is>
      </c>
      <c r="BB13" s="32" t="inlineStr">
        <is>
          <t xml:space="preserve">Yes</t>
        </is>
      </c>
      <c r="BC13" s="30" t="inlineStr">
        <is>
          <t xml:space="preserve">Synthetic demo data</t>
        </is>
      </c>
      <c r="BE13" s="45">
        <f>IF(OR($A13="",$L13="",$H13=""),"",IF(AND(LEFT($L13,2)="06",$H13&gt;1945),"FAIL - pre-war class, year "&amp;$H13,IF(AND(LEFT($L13,2)="07",OR($H13&lt;1946,$H13&gt;1972)),"FAIL - 1946-72 class, year "&amp;$H13,IF(AND(LEFT($L13,2)="08",OR($H13&lt;1973,$H13&gt;1999)),"FAIL - 1973-99 class, year "&amp;$H13,IF(AND(LEFT($L13,2)="09",OR($H13&lt;2000,$H13&gt;2010)),"FAIL - 2000-10 class, year "&amp;$H13,"OK")))))</f>
      </c>
      <c r="BF13" s="45">
        <f>IF($AD13="","",IF(ROUND($AO13+$AP13+$AQ13-$AD13,2)=0,"OK","FAIL - out by "&amp;TEXT($AO13+$AP13+$AQ13-$AD13,"$0.00")))</f>
      </c>
    </row>
    <row r="14" spans="1:58" ht="18.75" customHeight="1" x14ac:dyDescent="0.25">
      <c r="A14" s="46" t="inlineStr">
        <is>
          <t xml:space="preserve">CANON-202508-000020</t>
        </is>
      </c>
      <c r="B14" s="46" t="inlineStr">
        <is>
          <t xml:space="preserve">Anouk Bellandi</t>
        </is>
      </c>
      <c r="C14" s="47">
        <v>45884</v>
      </c>
      <c r="D14" s="48" t="inlineStr">
        <is>
          <t xml:space="preserve">Bound - within authority</t>
        </is>
      </c>
      <c r="E14" s="48" t="inlineStr">
        <is>
          <t xml:space="preserve">New business</t>
        </is>
      </c>
      <c r="F14" s="46" t="inlineStr">
        <is>
          <t xml:space="preserve">B1234EXOTIC26</t>
        </is>
      </c>
      <c r="G14" s="33">
        <f>IF($A14="","",IF($C14="","",YEAR($C14)))</f>
      </c>
      <c r="H14" s="49">
        <v>2000</v>
      </c>
      <c r="I14" s="46" t="inlineStr">
        <is>
          <t xml:space="preserve">McLaren</t>
        </is>
      </c>
      <c r="J14" s="46" t="inlineStr">
        <is>
          <t xml:space="preserve">750S</t>
        </is>
      </c>
      <c r="K14" s="46" t="inlineStr">
        <is>
          <t xml:space="preserve">1SN1N49RJX4KMEA92</t>
        </is>
      </c>
      <c r="L14" s="48" t="inlineStr">
        <is>
          <t xml:space="preserve">03 - Supercar</t>
        </is>
      </c>
      <c r="M14" s="50">
        <v>1085000</v>
      </c>
      <c r="N14" s="48" t="inlineStr">
        <is>
          <t xml:space="preserve">Personal</t>
        </is>
      </c>
      <c r="O14" s="46" t="inlineStr">
        <is>
          <t xml:space="preserve">Personal - regular use</t>
        </is>
      </c>
      <c r="P14" s="46" t="inlineStr">
        <is>
          <t xml:space="preserve">1,000 - 2,500</t>
        </is>
      </c>
      <c r="Q14" s="46" t="inlineStr">
        <is>
          <t xml:space="preserve">North Carolina</t>
        </is>
      </c>
      <c r="R14" s="46" t="inlineStr">
        <is>
          <t xml:space="preserve">28202</t>
        </is>
      </c>
      <c r="S14" s="48" t="inlineStr">
        <is>
          <t xml:space="preserve">Tier 2 - Coastal wind (1-25 miles)</t>
        </is>
      </c>
      <c r="T14" s="36">
        <f>IF($A14="","",IF($S14="","",IFERROR(INDEX('[1]natural catastrophe'!$D$6:$D$17,MATCH($S14,'[1]natural catastrophe'!$B$6:$B$17,0)),"?")))</f>
      </c>
      <c r="U14" s="46" t="inlineStr">
        <is>
          <t xml:space="preserve">2% of agreed value, minimum $10,000</t>
        </is>
      </c>
      <c r="V14" s="48" t="inlineStr">
        <is>
          <t xml:space="preserve">Agreed Value</t>
        </is>
      </c>
      <c r="W14" s="46" t="inlineStr">
        <is>
          <t xml:space="preserve">$1,000</t>
        </is>
      </c>
      <c r="X14" s="48" t="inlineStr">
        <is>
          <t xml:space="preserve">$1,000,000 CSL</t>
        </is>
      </c>
      <c r="Y14" s="46"/>
      <c r="Z14" s="46"/>
      <c r="AA14" s="48" t="inlineStr">
        <is>
          <t xml:space="preserve">Surplus Lines</t>
        </is>
      </c>
      <c r="AB14" s="50">
        <v>18833.96</v>
      </c>
      <c r="AC14" s="51">
        <v>0</v>
      </c>
      <c r="AD14" s="38">
        <f>IF(ISNUMBER($AB14),$AB14*(1+N($AC14)),"")</f>
      </c>
      <c r="AE14" s="50">
        <v>350</v>
      </c>
      <c r="AF14" s="50">
        <v>250</v>
      </c>
      <c r="AG14" s="51"/>
      <c r="AH14" s="39">
        <f>IF(ISNUMBER($AD14),($AD14+$AE14+$AF14)*$AG14,"")</f>
      </c>
      <c r="AI14" s="50"/>
      <c r="AJ14" s="38">
        <f>IF(ISNUMBER($AD14),SUM($AD14:$AH14),"")</f>
      </c>
      <c r="AK14" s="40">
        <f>IF(AND(ISNUMBER($AB14),ISNUMBER($AD14)),IF($AB14&gt;0,$AD14/$AB14,""),"")</f>
      </c>
      <c r="AL14" s="48" t="inlineStr">
        <is>
          <t xml:space="preserve">At technical</t>
        </is>
      </c>
      <c r="AM14" s="41">
        <f>IF(ISNUMBER($AD14),Header!$I$3,"")</f>
      </c>
      <c r="AN14" s="39">
        <f>IF(ISNUMBER($AD14),$AO14+$AP14,"")</f>
      </c>
      <c r="AO14" s="39">
        <f>IF(ISNUMBER($AD14),ROUND($AD14*Header!$K$3,2),"")</f>
      </c>
      <c r="AP14" s="39">
        <f>IF(ISNUMBER($AD14),ROUND($AD14*Header!$M$3,2),"")</f>
      </c>
      <c r="AQ14" s="38">
        <f>IF(ISNUMBER($AD14),ROUND($AD14,2)-$AO14-$AP14,"")</f>
      </c>
      <c r="AR14" s="39">
        <f>IF(ISNUMBER($AD14),IF(Header!$D$34="","?",$AD14*Header!$D$34),"")</f>
      </c>
      <c r="AS14" s="39">
        <f>IF(ISNUMBER($AB14),IF(Header!$D$34="","?",$AB14*Header!$D$34),"")</f>
      </c>
      <c r="AT14" s="42">
        <f>IF(AND(ISNUMBER($AB14),$M14&gt;0),$AB14/$M14*100,"")</f>
      </c>
      <c r="AU14" s="42">
        <f>IF(AND(ISNUMBER($AD14),$M14&gt;0),$AD14/$M14*100,"")</f>
      </c>
      <c r="AV14" s="40">
        <f>IF(AND(ISNUMBER($AB14),ISNUMBER($AD14),ABS($AB14)&gt;0),$AD14/$AB14,"")</f>
      </c>
      <c r="AW14" s="39">
        <f>IF(ISNUMBER($AD14),MAX(0,(1-0.55-Header!$O$3)*Header!$Q$3*$AQ14),"")</f>
      </c>
      <c r="AX14" s="43">
        <f>IF($A14="","",IF(TRIM(IF($A14="","Missing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",""))="","PASS","FAIL: "&amp;TRIM(IF($A14="","Missing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f>
      </c>
      <c r="AY14" s="44">
        <f>IF($M14="","",IF(ISNUMBER($M14),IF($M14&gt;=Header!$C$18,"YES — refer","No"),""))</f>
      </c>
      <c r="AZ14" s="44">
        <f>IF($AD14="","",IF(ISNUMBER($AD14),IF($AD14&lt;Header!$C$20,"BELOW MIN PREMIUM","OK"),""))</f>
      </c>
      <c r="BA14" s="48" t="inlineStr">
        <is>
          <t xml:space="preserve">Yes</t>
        </is>
      </c>
      <c r="BB14" s="48" t="inlineStr">
        <is>
          <t xml:space="preserve">Yes</t>
        </is>
      </c>
      <c r="BC14" s="46" t="inlineStr">
        <is>
          <t xml:space="preserve">Synthetic demo data</t>
        </is>
      </c>
      <c r="BE14" s="45">
        <f>IF(OR($A14="",$L14="",$H14=""),"",IF(AND(LEFT($L14,2)="06",$H14&gt;1945),"FAIL - pre-war class, year "&amp;$H14,IF(AND(LEFT($L14,2)="07",OR($H14&lt;1946,$H14&gt;1972)),"FAIL - 1946-72 class, year "&amp;$H14,IF(AND(LEFT($L14,2)="08",OR($H14&lt;1973,$H14&gt;1999)),"FAIL - 1973-99 class, year "&amp;$H14,IF(AND(LEFT($L14,2)="09",OR($H14&lt;2000,$H14&gt;2010)),"FAIL - 2000-10 class, year "&amp;$H14,"OK")))))</f>
      </c>
      <c r="BF14" s="45">
        <f>IF($AD14="","",IF(ROUND($AO14+$AP14+$AQ14-$AD14,2)=0,"OK","FAIL - out by "&amp;TEXT($AO14+$AP14+$AQ14-$AD14,"$0.00")))</f>
      </c>
    </row>
    <row r="15" spans="1:58" ht="18.75" customHeight="1" x14ac:dyDescent="0.25">
      <c r="A15" s="30" t="inlineStr">
        <is>
          <t xml:space="preserve">CANON-202508-000021</t>
        </is>
      </c>
      <c r="B15" s="30" t="inlineStr">
        <is>
          <t xml:space="preserve">Beatrix Castellanos</t>
        </is>
      </c>
      <c r="C15" s="31">
        <v>45896</v>
      </c>
      <c r="D15" s="32" t="inlineStr">
        <is>
          <t xml:space="preserve">Bound - within authority</t>
        </is>
      </c>
      <c r="E15" s="32" t="inlineStr">
        <is>
          <t xml:space="preserve">New business</t>
        </is>
      </c>
      <c r="F15" s="30" t="inlineStr">
        <is>
          <t xml:space="preserve">B1234EXOTIC26</t>
        </is>
      </c>
      <c r="G15" s="33">
        <f>IF($A15="","",IF($C15="","",YEAR($C15)))</f>
      </c>
      <c r="H15" s="34">
        <v>1962</v>
      </c>
      <c r="I15" s="30" t="inlineStr">
        <is>
          <t xml:space="preserve">McLaren</t>
        </is>
      </c>
      <c r="J15" s="30" t="inlineStr">
        <is>
          <t xml:space="preserve">750S</t>
        </is>
      </c>
      <c r="K15" s="30" t="inlineStr">
        <is>
          <t xml:space="preserve">VK1RJACR57CWNKWBP</t>
        </is>
      </c>
      <c r="L15" s="32" t="inlineStr">
        <is>
          <t xml:space="preserve">03 - Supercar</t>
        </is>
      </c>
      <c r="M15" s="35">
        <v>360000</v>
      </c>
      <c r="N15" s="32" t="inlineStr">
        <is>
          <t xml:space="preserve">Personal</t>
        </is>
      </c>
      <c r="O15" s="30" t="inlineStr">
        <is>
          <t xml:space="preserve">Personal - regular use</t>
        </is>
      </c>
      <c r="P15" s="30" t="inlineStr">
        <is>
          <t xml:space="preserve">1,000 - 2,500</t>
        </is>
      </c>
      <c r="Q15" s="30" t="inlineStr">
        <is>
          <t xml:space="preserve">Alabama</t>
        </is>
      </c>
      <c r="R15" s="30" t="inlineStr">
        <is>
          <t xml:space="preserve">35203</t>
        </is>
      </c>
      <c r="S15" s="32" t="inlineStr">
        <is>
          <t xml:space="preserve">Tier 2 - Coastal wind (1-25 miles)</t>
        </is>
      </c>
      <c r="T15" s="36">
        <f>IF($A15="","",IF($S15="","",IFERROR(INDEX('[1]natural catastrophe'!$D$6:$D$17,MATCH($S15,'[1]natural catastrophe'!$B$6:$B$17,0)),"?")))</f>
      </c>
      <c r="U15" s="30" t="inlineStr">
        <is>
          <t xml:space="preserve">2% of agreed value, minimum $10,000</t>
        </is>
      </c>
      <c r="V15" s="32" t="inlineStr">
        <is>
          <t xml:space="preserve">Agreed Value</t>
        </is>
      </c>
      <c r="W15" s="30" t="inlineStr">
        <is>
          <t xml:space="preserve">$1,000</t>
        </is>
      </c>
      <c r="X15" s="32" t="inlineStr">
        <is>
          <t xml:space="preserve">$1,000,000 CSL</t>
        </is>
      </c>
      <c r="Y15" s="30"/>
      <c r="Z15" s="30"/>
      <c r="AA15" s="32" t="inlineStr">
        <is>
          <t xml:space="preserve">Surplus Lines</t>
        </is>
      </c>
      <c r="AB15" s="35">
        <v>9920.38</v>
      </c>
      <c r="AC15" s="37">
        <v>0</v>
      </c>
      <c r="AD15" s="38">
        <f>IF(ISNUMBER($AB15),$AB15*(1+N($AC15)),"")</f>
      </c>
      <c r="AE15" s="35">
        <v>350</v>
      </c>
      <c r="AF15" s="35">
        <v>0</v>
      </c>
      <c r="AG15" s="37"/>
      <c r="AH15" s="39">
        <f>IF(ISNUMBER($AD15),($AD15+$AE15+$AF15)*$AG15,"")</f>
      </c>
      <c r="AI15" s="35"/>
      <c r="AJ15" s="38">
        <f>IF(ISNUMBER($AD15),SUM($AD15:$AH15),"")</f>
      </c>
      <c r="AK15" s="40">
        <f>IF(AND(ISNUMBER($AB15),ISNUMBER($AD15)),IF($AB15&gt;0,$AD15/$AB15,""),"")</f>
      </c>
      <c r="AL15" s="32" t="inlineStr">
        <is>
          <t xml:space="preserve">At technical</t>
        </is>
      </c>
      <c r="AM15" s="41">
        <f>IF(ISNUMBER($AD15),Header!$I$3,"")</f>
      </c>
      <c r="AN15" s="39">
        <f>IF(ISNUMBER($AD15),$AO15+$AP15,"")</f>
      </c>
      <c r="AO15" s="39">
        <f>IF(ISNUMBER($AD15),ROUND($AD15*Header!$K$3,2),"")</f>
      </c>
      <c r="AP15" s="39">
        <f>IF(ISNUMBER($AD15),ROUND($AD15*Header!$M$3,2),"")</f>
      </c>
      <c r="AQ15" s="38">
        <f>IF(ISNUMBER($AD15),ROUND($AD15,2)-$AO15-$AP15,"")</f>
      </c>
      <c r="AR15" s="39">
        <f>IF(ISNUMBER($AD15),IF(Header!$D$34="","?",$AD15*Header!$D$34),"")</f>
      </c>
      <c r="AS15" s="39">
        <f>IF(ISNUMBER($AB15),IF(Header!$D$34="","?",$AB15*Header!$D$34),"")</f>
      </c>
      <c r="AT15" s="42">
        <f>IF(AND(ISNUMBER($AB15),$M15&gt;0),$AB15/$M15*100,"")</f>
      </c>
      <c r="AU15" s="42">
        <f>IF(AND(ISNUMBER($AD15),$M15&gt;0),$AD15/$M15*100,"")</f>
      </c>
      <c r="AV15" s="40">
        <f>IF(AND(ISNUMBER($AB15),ISNUMBER($AD15),ABS($AB15)&gt;0),$AD15/$AB15,"")</f>
      </c>
      <c r="AW15" s="39">
        <f>IF(ISNUMBER($AD15),MAX(0,(1-0.55-Header!$O$3)*Header!$Q$3*$AQ15),"")</f>
      </c>
      <c r="AX15" s="43">
        <f>IF($A15="","",IF(TRIM(IF($A15="","Missing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",""))="","PASS","FAIL: "&amp;TRIM(IF($A15="","Missing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f>
      </c>
      <c r="AY15" s="44">
        <f>IF($M15="","",IF(ISNUMBER($M15),IF($M15&gt;=Header!$C$18,"YES — refer","No"),""))</f>
      </c>
      <c r="AZ15" s="44">
        <f>IF($AD15="","",IF(ISNUMBER($AD15),IF($AD15&lt;Header!$C$20,"BELOW MIN PREMIUM","OK"),""))</f>
      </c>
      <c r="BA15" s="32" t="inlineStr">
        <is>
          <t xml:space="preserve">Yes</t>
        </is>
      </c>
      <c r="BB15" s="32" t="inlineStr">
        <is>
          <t xml:space="preserve">Yes</t>
        </is>
      </c>
      <c r="BC15" s="30" t="inlineStr">
        <is>
          <t xml:space="preserve">Synthetic demo data</t>
        </is>
      </c>
      <c r="BE15" s="45">
        <f>IF(OR($A15="",$L15="",$H15=""),"",IF(AND(LEFT($L15,2)="06",$H15&gt;1945),"FAIL - pre-war class, year "&amp;$H15,IF(AND(LEFT($L15,2)="07",OR($H15&lt;1946,$H15&gt;1972)),"FAIL - 1946-72 class, year "&amp;$H15,IF(AND(LEFT($L15,2)="08",OR($H15&lt;1973,$H15&gt;1999)),"FAIL - 1973-99 class, year "&amp;$H15,IF(AND(LEFT($L15,2)="09",OR($H15&lt;2000,$H15&gt;2010)),"FAIL - 2000-10 class, year "&amp;$H15,"OK")))))</f>
      </c>
      <c r="BF15" s="45">
        <f>IF($AD15="","",IF(ROUND($AO15+$AP15+$AQ15-$AD15,2)=0,"OK","FAIL - out by "&amp;TEXT($AO15+$AP15+$AQ15-$AD15,"$0.00")))</f>
      </c>
    </row>
    <row r="16" spans="1:58" ht="18.75" customHeight="1" x14ac:dyDescent="0.25">
      <c r="A16" s="46" t="inlineStr">
        <is>
          <t xml:space="preserve">CANON-202508-000023</t>
        </is>
      </c>
      <c r="B16" s="46" t="inlineStr">
        <is>
          <t xml:space="preserve">Thaddeus Chattopadhyay</t>
        </is>
      </c>
      <c r="C16" s="47">
        <v>45882</v>
      </c>
      <c r="D16" s="48" t="inlineStr">
        <is>
          <t xml:space="preserve">Bound - within authority</t>
        </is>
      </c>
      <c r="E16" s="48" t="inlineStr">
        <is>
          <t xml:space="preserve">New business</t>
        </is>
      </c>
      <c r="F16" s="46" t="inlineStr">
        <is>
          <t xml:space="preserve">B1234EXOTIC26</t>
        </is>
      </c>
      <c r="G16" s="33">
        <f>IF($A16="","",IF($C16="","",YEAR($C16)))</f>
      </c>
      <c r="H16" s="49">
        <v>1975</v>
      </c>
      <c r="I16" s="46" t="inlineStr">
        <is>
          <t xml:space="preserve">Mercedes-Benz</t>
        </is>
      </c>
      <c r="J16" s="46" t="inlineStr">
        <is>
          <t xml:space="preserve">AMG GT</t>
        </is>
      </c>
      <c r="K16" s="46" t="inlineStr">
        <is>
          <t xml:space="preserve">9D17BP4D2T0DXC4D4</t>
        </is>
      </c>
      <c r="L16" s="48" t="inlineStr">
        <is>
          <t xml:space="preserve">02 - Sports / GT</t>
        </is>
      </c>
      <c r="M16" s="50">
        <v>495000</v>
      </c>
      <c r="N16" s="48" t="inlineStr">
        <is>
          <t xml:space="preserve">Personal</t>
        </is>
      </c>
      <c r="O16" s="46" t="inlineStr">
        <is>
          <t xml:space="preserve">Personal - regular use</t>
        </is>
      </c>
      <c r="P16" s="46" t="inlineStr">
        <is>
          <t xml:space="preserve">Under 1,000</t>
        </is>
      </c>
      <c r="Q16" s="46" t="inlineStr">
        <is>
          <t xml:space="preserve">Delaware</t>
        </is>
      </c>
      <c r="R16" s="46" t="inlineStr">
        <is>
          <t xml:space="preserve">19801</t>
        </is>
      </c>
      <c r="S16" s="48" t="inlineStr">
        <is>
          <t xml:space="preserve">Tier 3 - Coastal wind (25-100 miles)</t>
        </is>
      </c>
      <c r="T16" s="36">
        <f>IF($A16="","",IF($S16="","",IFERROR(INDEX('[1]natural catastrophe'!$D$6:$D$17,MATCH($S16,'[1]natural catastrophe'!$B$6:$B$17,0)),"?")))</f>
      </c>
      <c r="U16" s="46" t="inlineStr">
        <is>
          <t xml:space="preserve">2% of agreed value, minimum $10,000</t>
        </is>
      </c>
      <c r="V16" s="48" t="inlineStr">
        <is>
          <t xml:space="preserve">Agreed Value</t>
        </is>
      </c>
      <c r="W16" s="46" t="inlineStr">
        <is>
          <t xml:space="preserve">$1,000</t>
        </is>
      </c>
      <c r="X16" s="48" t="inlineStr">
        <is>
          <t xml:space="preserve">$1,000,000 CSL</t>
        </is>
      </c>
      <c r="Y16" s="46"/>
      <c r="Z16" s="46"/>
      <c r="AA16" s="48" t="inlineStr">
        <is>
          <t xml:space="preserve">Surplus Lines</t>
        </is>
      </c>
      <c r="AB16" s="50">
        <v>8755.9</v>
      </c>
      <c r="AC16" s="51">
        <v>0</v>
      </c>
      <c r="AD16" s="38">
        <f>IF(ISNUMBER($AB16),$AB16*(1+N($AC16)),"")</f>
      </c>
      <c r="AE16" s="50">
        <v>350</v>
      </c>
      <c r="AF16" s="50">
        <v>0</v>
      </c>
      <c r="AG16" s="51"/>
      <c r="AH16" s="39">
        <f>IF(ISNUMBER($AD16),($AD16+$AE16+$AF16)*$AG16,"")</f>
      </c>
      <c r="AI16" s="50"/>
      <c r="AJ16" s="38">
        <f>IF(ISNUMBER($AD16),SUM($AD16:$AH16),"")</f>
      </c>
      <c r="AK16" s="40">
        <f>IF(AND(ISNUMBER($AB16),ISNUMBER($AD16)),IF($AB16&gt;0,$AD16/$AB16,""),"")</f>
      </c>
      <c r="AL16" s="48" t="inlineStr">
        <is>
          <t xml:space="preserve">At technical</t>
        </is>
      </c>
      <c r="AM16" s="41">
        <f>IF(ISNUMBER($AD16),Header!$I$3,"")</f>
      </c>
      <c r="AN16" s="39">
        <f>IF(ISNUMBER($AD16),$AO16+$AP16,"")</f>
      </c>
      <c r="AO16" s="39">
        <f>IF(ISNUMBER($AD16),ROUND($AD16*Header!$K$3,2),"")</f>
      </c>
      <c r="AP16" s="39">
        <f>IF(ISNUMBER($AD16),ROUND($AD16*Header!$M$3,2),"")</f>
      </c>
      <c r="AQ16" s="38">
        <f>IF(ISNUMBER($AD16),ROUND($AD16,2)-$AO16-$AP16,"")</f>
      </c>
      <c r="AR16" s="39">
        <f>IF(ISNUMBER($AD16),IF(Header!$D$34="","?",$AD16*Header!$D$34),"")</f>
      </c>
      <c r="AS16" s="39">
        <f>IF(ISNUMBER($AB16),IF(Header!$D$34="","?",$AB16*Header!$D$34),"")</f>
      </c>
      <c r="AT16" s="42">
        <f>IF(AND(ISNUMBER($AB16),$M16&gt;0),$AB16/$M16*100,"")</f>
      </c>
      <c r="AU16" s="42">
        <f>IF(AND(ISNUMBER($AD16),$M16&gt;0),$AD16/$M16*100,"")</f>
      </c>
      <c r="AV16" s="40">
        <f>IF(AND(ISNUMBER($AB16),ISNUMBER($AD16),ABS($AB16)&gt;0),$AD16/$AB16,"")</f>
      </c>
      <c r="AW16" s="39">
        <f>IF(ISNUMBER($AD16),MAX(0,(1-0.55-Header!$O$3)*Header!$Q$3*$AQ16),"")</f>
      </c>
      <c r="AX16" s="43">
        <f>IF($A16="","",IF(TRIM(IF($A16="","Missing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",""))="","PASS","FAIL: "&amp;TRIM(IF($A16="","Missing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f>
      </c>
      <c r="AY16" s="44">
        <f>IF($M16="","",IF(ISNUMBER($M16),IF($M16&gt;=Header!$C$18,"YES — refer","No"),""))</f>
      </c>
      <c r="AZ16" s="44">
        <f>IF($AD16="","",IF(ISNUMBER($AD16),IF($AD16&lt;Header!$C$20,"BELOW MIN PREMIUM","OK"),""))</f>
      </c>
      <c r="BA16" s="48" t="inlineStr">
        <is>
          <t xml:space="preserve">Yes</t>
        </is>
      </c>
      <c r="BB16" s="48" t="inlineStr">
        <is>
          <t xml:space="preserve">Yes</t>
        </is>
      </c>
      <c r="BC16" s="46" t="inlineStr">
        <is>
          <t xml:space="preserve">Synthetic demo data</t>
        </is>
      </c>
      <c r="BE16" s="45">
        <f>IF(OR($A16="",$L16="",$H16=""),"",IF(AND(LEFT($L16,2)="06",$H16&gt;1945),"FAIL - pre-war class, year "&amp;$H16,IF(AND(LEFT($L16,2)="07",OR($H16&lt;1946,$H16&gt;1972)),"FAIL - 1946-72 class, year "&amp;$H16,IF(AND(LEFT($L16,2)="08",OR($H16&lt;1973,$H16&gt;1999)),"FAIL - 1973-99 class, year "&amp;$H16,IF(AND(LEFT($L16,2)="09",OR($H16&lt;2000,$H16&gt;2010)),"FAIL - 2000-10 class, year "&amp;$H16,"OK")))))</f>
      </c>
      <c r="BF16" s="45">
        <f>IF($AD16="","",IF(ROUND($AO16+$AP16+$AQ16-$AD16,2)=0,"OK","FAIL - out by "&amp;TEXT($AO16+$AP16+$AQ16-$AD16,"$0.00")))</f>
      </c>
    </row>
    <row r="17" spans="1:58" ht="18.75" customHeight="1" x14ac:dyDescent="0.25">
      <c r="A17" s="30" t="inlineStr">
        <is>
          <t xml:space="preserve">CANON-202508-000024</t>
        </is>
      </c>
      <c r="B17" s="30" t="inlineStr">
        <is>
          <t xml:space="preserve">Wilhelmina Montoya</t>
        </is>
      </c>
      <c r="C17" s="31">
        <v>45889</v>
      </c>
      <c r="D17" s="32" t="inlineStr">
        <is>
          <t xml:space="preserve">Bound - within authority</t>
        </is>
      </c>
      <c r="E17" s="32" t="inlineStr">
        <is>
          <t xml:space="preserve">New business</t>
        </is>
      </c>
      <c r="F17" s="30" t="inlineStr">
        <is>
          <t xml:space="preserve">B1234EXOTIC26</t>
        </is>
      </c>
      <c r="G17" s="33">
        <f>IF($A17="","",IF($C17="","",YEAR($C17)))</f>
      </c>
      <c r="H17" s="34">
        <v>2009</v>
      </c>
      <c r="I17" s="30" t="inlineStr">
        <is>
          <t xml:space="preserve">Alfa Romeo</t>
        </is>
      </c>
      <c r="J17" s="30" t="inlineStr">
        <is>
          <t xml:space="preserve">8C 2900</t>
        </is>
      </c>
      <c r="K17" s="30" t="inlineStr">
        <is>
          <t xml:space="preserve">HZ2C10GA54K7661YW</t>
        </is>
      </c>
      <c r="L17" s="32" t="inlineStr">
        <is>
          <t xml:space="preserve">09 - Youngtimer / Collectible (2000-2010)</t>
        </is>
      </c>
      <c r="M17" s="35">
        <v>520000</v>
      </c>
      <c r="N17" s="32" t="inlineStr">
        <is>
          <t xml:space="preserve">Personal</t>
        </is>
      </c>
      <c r="O17" s="30" t="inlineStr">
        <is>
          <t xml:space="preserve">Personal - regular use</t>
        </is>
      </c>
      <c r="P17" s="30" t="inlineStr">
        <is>
          <t xml:space="preserve">1,000 - 2,500</t>
        </is>
      </c>
      <c r="Q17" s="30" t="inlineStr">
        <is>
          <t xml:space="preserve">Maryland</t>
        </is>
      </c>
      <c r="R17" s="30" t="inlineStr">
        <is>
          <t xml:space="preserve">21201</t>
        </is>
      </c>
      <c r="S17" s="32" t="inlineStr">
        <is>
          <t xml:space="preserve">Tier 3 - Coastal wind (25-100 miles)</t>
        </is>
      </c>
      <c r="T17" s="36">
        <f>IF($A17="","",IF($S17="","",IFERROR(INDEX('[1]natural catastrophe'!$D$6:$D$17,MATCH($S17,'[1]natural catastrophe'!$B$6:$B$17,0)),"?")))</f>
      </c>
      <c r="U17" s="30" t="inlineStr">
        <is>
          <t xml:space="preserve">2% of agreed value, minimum $10,000</t>
        </is>
      </c>
      <c r="V17" s="32" t="inlineStr">
        <is>
          <t xml:space="preserve">Agreed Value</t>
        </is>
      </c>
      <c r="W17" s="30" t="inlineStr">
        <is>
          <t xml:space="preserve">$1,000</t>
        </is>
      </c>
      <c r="X17" s="32" t="inlineStr">
        <is>
          <t xml:space="preserve">$1,000,000 CSL</t>
        </is>
      </c>
      <c r="Y17" s="30"/>
      <c r="Z17" s="30"/>
      <c r="AA17" s="32" t="inlineStr">
        <is>
          <t xml:space="preserve">Surplus Lines</t>
        </is>
      </c>
      <c r="AB17" s="35">
        <v>3541.89</v>
      </c>
      <c r="AC17" s="37">
        <v>0</v>
      </c>
      <c r="AD17" s="38">
        <f>IF(ISNUMBER($AB17),$AB17*(1+N($AC17)),"")</f>
      </c>
      <c r="AE17" s="35">
        <v>350</v>
      </c>
      <c r="AF17" s="35">
        <v>0</v>
      </c>
      <c r="AG17" s="37"/>
      <c r="AH17" s="39">
        <f>IF(ISNUMBER($AD17),($AD17+$AE17+$AF17)*$AG17,"")</f>
      </c>
      <c r="AI17" s="35"/>
      <c r="AJ17" s="38">
        <f>IF(ISNUMBER($AD17),SUM($AD17:$AH17),"")</f>
      </c>
      <c r="AK17" s="40">
        <f>IF(AND(ISNUMBER($AB17),ISNUMBER($AD17)),IF($AB17&gt;0,$AD17/$AB17,""),"")</f>
      </c>
      <c r="AL17" s="32" t="inlineStr">
        <is>
          <t xml:space="preserve">At technical</t>
        </is>
      </c>
      <c r="AM17" s="41">
        <f>IF(ISNUMBER($AD17),Header!$I$3,"")</f>
      </c>
      <c r="AN17" s="39">
        <f>IF(ISNUMBER($AD17),$AO17+$AP17,"")</f>
      </c>
      <c r="AO17" s="39">
        <f>IF(ISNUMBER($AD17),ROUND($AD17*Header!$K$3,2),"")</f>
      </c>
      <c r="AP17" s="39">
        <f>IF(ISNUMBER($AD17),ROUND($AD17*Header!$M$3,2),"")</f>
      </c>
      <c r="AQ17" s="38">
        <f>IF(ISNUMBER($AD17),ROUND($AD17,2)-$AO17-$AP17,"")</f>
      </c>
      <c r="AR17" s="39">
        <f>IF(ISNUMBER($AD17),IF(Header!$D$34="","?",$AD17*Header!$D$34),"")</f>
      </c>
      <c r="AS17" s="39">
        <f>IF(ISNUMBER($AB17),IF(Header!$D$34="","?",$AB17*Header!$D$34),"")</f>
      </c>
      <c r="AT17" s="42">
        <f>IF(AND(ISNUMBER($AB17),$M17&gt;0),$AB17/$M17*100,"")</f>
      </c>
      <c r="AU17" s="42">
        <f>IF(AND(ISNUMBER($AD17),$M17&gt;0),$AD17/$M17*100,"")</f>
      </c>
      <c r="AV17" s="40">
        <f>IF(AND(ISNUMBER($AB17),ISNUMBER($AD17),ABS($AB17)&gt;0),$AD17/$AB17,"")</f>
      </c>
      <c r="AW17" s="39">
        <f>IF(ISNUMBER($AD17),MAX(0,(1-0.55-Header!$O$3)*Header!$Q$3*$AQ17),"")</f>
      </c>
      <c r="AX17" s="43">
        <f>IF($A17="","",IF(TRIM(IF($A17="","Missing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",""))="","PASS","FAIL: "&amp;TRIM(IF($A17="","Missing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f>
      </c>
      <c r="AY17" s="44">
        <f>IF($M17="","",IF(ISNUMBER($M17),IF($M17&gt;=Header!$C$18,"YES — refer","No"),""))</f>
      </c>
      <c r="AZ17" s="44">
        <f>IF($AD17="","",IF(ISNUMBER($AD17),IF($AD17&lt;Header!$C$20,"BELOW MIN PREMIUM","OK"),""))</f>
      </c>
      <c r="BA17" s="32" t="inlineStr">
        <is>
          <t xml:space="preserve">Yes</t>
        </is>
      </c>
      <c r="BB17" s="32" t="inlineStr">
        <is>
          <t xml:space="preserve">Yes</t>
        </is>
      </c>
      <c r="BC17" s="30" t="inlineStr">
        <is>
          <t xml:space="preserve">Synthetic demo data</t>
        </is>
      </c>
      <c r="BE17" s="45">
        <f>IF(OR($A17="",$L17="",$H17=""),"",IF(AND(LEFT($L17,2)="06",$H17&gt;1945),"FAIL - pre-war class, year "&amp;$H17,IF(AND(LEFT($L17,2)="07",OR($H17&lt;1946,$H17&gt;1972)),"FAIL - 1946-72 class, year "&amp;$H17,IF(AND(LEFT($L17,2)="08",OR($H17&lt;1973,$H17&gt;1999)),"FAIL - 1973-99 class, year "&amp;$H17,IF(AND(LEFT($L17,2)="09",OR($H17&lt;2000,$H17&gt;2010)),"FAIL - 2000-10 class, year "&amp;$H17,"OK")))))</f>
      </c>
      <c r="BF17" s="45">
        <f>IF($AD17="","",IF(ROUND($AO17+$AP17+$AQ17-$AD17,2)=0,"OK","FAIL - out by "&amp;TEXT($AO17+$AP17+$AQ17-$AD17,"$0.00")))</f>
      </c>
    </row>
    <row r="18" spans="1:58" ht="18.75" customHeight="1" x14ac:dyDescent="0.25">
      <c r="A18" s="46" t="inlineStr">
        <is>
          <t xml:space="preserve">CANON-202508-000025</t>
        </is>
      </c>
      <c r="B18" s="46" t="inlineStr">
        <is>
          <t xml:space="preserve">Callum Thistlewood</t>
        </is>
      </c>
      <c r="C18" s="47">
        <v>45890</v>
      </c>
      <c r="D18" s="48" t="inlineStr">
        <is>
          <t xml:space="preserve">Bound - within authority</t>
        </is>
      </c>
      <c r="E18" s="48" t="inlineStr">
        <is>
          <t xml:space="preserve">New business</t>
        </is>
      </c>
      <c r="F18" s="46" t="inlineStr">
        <is>
          <t xml:space="preserve">B1234EXOTIC26</t>
        </is>
      </c>
      <c r="G18" s="33">
        <f>IF($A18="","",IF($C18="","",YEAR($C18)))</f>
      </c>
      <c r="H18" s="49">
        <v>1970</v>
      </c>
      <c r="I18" s="46" t="inlineStr">
        <is>
          <t xml:space="preserve">Maserati</t>
        </is>
      </c>
      <c r="J18" s="46" t="inlineStr">
        <is>
          <t xml:space="preserve">GranTurismo</t>
        </is>
      </c>
      <c r="K18" s="46" t="inlineStr">
        <is>
          <t xml:space="preserve">MWER5FPL5K9NLZ67M</t>
        </is>
      </c>
      <c r="L18" s="48" t="inlineStr">
        <is>
          <t xml:space="preserve">02 - Sports / GT</t>
        </is>
      </c>
      <c r="M18" s="50">
        <v>520000</v>
      </c>
      <c r="N18" s="48" t="inlineStr">
        <is>
          <t xml:space="preserve">Personal</t>
        </is>
      </c>
      <c r="O18" s="46" t="inlineStr">
        <is>
          <t xml:space="preserve">Personal - regular use</t>
        </is>
      </c>
      <c r="P18" s="46" t="inlineStr">
        <is>
          <t xml:space="preserve">Under 1,000</t>
        </is>
      </c>
      <c r="Q18" s="46" t="inlineStr">
        <is>
          <t xml:space="preserve">Minnesota</t>
        </is>
      </c>
      <c r="R18" s="46" t="inlineStr">
        <is>
          <t xml:space="preserve">55401</t>
        </is>
      </c>
      <c r="S18" s="48" t="inlineStr">
        <is>
          <t xml:space="preserve">Severe convective - hail / tornado (moderate)</t>
        </is>
      </c>
      <c r="T18" s="36">
        <f>IF($A18="","",IF($S18="","",IFERROR(INDEX('[1]natural catastrophe'!$D$6:$D$17,MATCH($S18,'[1]natural catastrophe'!$B$6:$B$17,0)),"?")))</f>
      </c>
      <c r="U18" s="46" t="inlineStr">
        <is>
          <t xml:space="preserve">$5,000</t>
        </is>
      </c>
      <c r="V18" s="48" t="inlineStr">
        <is>
          <t xml:space="preserve">Agreed Value</t>
        </is>
      </c>
      <c r="W18" s="46" t="inlineStr">
        <is>
          <t xml:space="preserve">$1,000</t>
        </is>
      </c>
      <c r="X18" s="48" t="inlineStr">
        <is>
          <t xml:space="preserve">$1,000,000 CSL</t>
        </is>
      </c>
      <c r="Y18" s="46"/>
      <c r="Z18" s="46"/>
      <c r="AA18" s="48" t="inlineStr">
        <is>
          <t xml:space="preserve">Surplus Lines</t>
        </is>
      </c>
      <c r="AB18" s="50">
        <v>8418.11</v>
      </c>
      <c r="AC18" s="51">
        <v>0</v>
      </c>
      <c r="AD18" s="38">
        <f>IF(ISNUMBER($AB18),$AB18*(1+N($AC18)),"")</f>
      </c>
      <c r="AE18" s="50">
        <v>350</v>
      </c>
      <c r="AF18" s="50">
        <v>0</v>
      </c>
      <c r="AG18" s="51"/>
      <c r="AH18" s="39">
        <f>IF(ISNUMBER($AD18),($AD18+$AE18+$AF18)*$AG18,"")</f>
      </c>
      <c r="AI18" s="50"/>
      <c r="AJ18" s="38">
        <f>IF(ISNUMBER($AD18),SUM($AD18:$AH18),"")</f>
      </c>
      <c r="AK18" s="40">
        <f>IF(AND(ISNUMBER($AB18),ISNUMBER($AD18)),IF($AB18&gt;0,$AD18/$AB18,""),"")</f>
      </c>
      <c r="AL18" s="48" t="inlineStr">
        <is>
          <t xml:space="preserve">At technical</t>
        </is>
      </c>
      <c r="AM18" s="41">
        <f>IF(ISNUMBER($AD18),Header!$I$3,"")</f>
      </c>
      <c r="AN18" s="39">
        <f>IF(ISNUMBER($AD18),$AO18+$AP18,"")</f>
      </c>
      <c r="AO18" s="39">
        <f>IF(ISNUMBER($AD18),ROUND($AD18*Header!$K$3,2),"")</f>
      </c>
      <c r="AP18" s="39">
        <f>IF(ISNUMBER($AD18),ROUND($AD18*Header!$M$3,2),"")</f>
      </c>
      <c r="AQ18" s="38">
        <f>IF(ISNUMBER($AD18),ROUND($AD18,2)-$AO18-$AP18,"")</f>
      </c>
      <c r="AR18" s="39">
        <f>IF(ISNUMBER($AD18),IF(Header!$D$34="","?",$AD18*Header!$D$34),"")</f>
      </c>
      <c r="AS18" s="39">
        <f>IF(ISNUMBER($AB18),IF(Header!$D$34="","?",$AB18*Header!$D$34),"")</f>
      </c>
      <c r="AT18" s="42">
        <f>IF(AND(ISNUMBER($AB18),$M18&gt;0),$AB18/$M18*100,"")</f>
      </c>
      <c r="AU18" s="42">
        <f>IF(AND(ISNUMBER($AD18),$M18&gt;0),$AD18/$M18*100,"")</f>
      </c>
      <c r="AV18" s="40">
        <f>IF(AND(ISNUMBER($AB18),ISNUMBER($AD18),ABS($AB18)&gt;0),$AD18/$AB18,"")</f>
      </c>
      <c r="AW18" s="39">
        <f>IF(ISNUMBER($AD18),MAX(0,(1-0.55-Header!$O$3)*Header!$Q$3*$AQ18),"")</f>
      </c>
      <c r="AX18" s="43">
        <f>IF($A18="","",IF(TRIM(IF($A18="","Missing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",""))="","PASS","FAIL: "&amp;TRIM(IF($A18="","Missing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f>
      </c>
      <c r="AY18" s="44">
        <f>IF($M18="","",IF(ISNUMBER($M18),IF($M18&gt;=Header!$C$18,"YES — refer","No"),""))</f>
      </c>
      <c r="AZ18" s="44">
        <f>IF($AD18="","",IF(ISNUMBER($AD18),IF($AD18&lt;Header!$C$20,"BELOW MIN PREMIUM","OK"),""))</f>
      </c>
      <c r="BA18" s="48" t="inlineStr">
        <is>
          <t xml:space="preserve">Yes</t>
        </is>
      </c>
      <c r="BB18" s="48" t="inlineStr">
        <is>
          <t xml:space="preserve">Yes</t>
        </is>
      </c>
      <c r="BC18" s="46" t="inlineStr">
        <is>
          <t xml:space="preserve">Synthetic demo data</t>
        </is>
      </c>
      <c r="BE18" s="45">
        <f>IF(OR($A18="",$L18="",$H18=""),"",IF(AND(LEFT($L18,2)="06",$H18&gt;1945),"FAIL - pre-war class, year "&amp;$H18,IF(AND(LEFT($L18,2)="07",OR($H18&lt;1946,$H18&gt;1972)),"FAIL - 1946-72 class, year "&amp;$H18,IF(AND(LEFT($L18,2)="08",OR($H18&lt;1973,$H18&gt;1999)),"FAIL - 1973-99 class, year "&amp;$H18,IF(AND(LEFT($L18,2)="09",OR($H18&lt;2000,$H18&gt;2010)),"FAIL - 2000-10 class, year "&amp;$H18,"OK")))))</f>
      </c>
      <c r="BF18" s="45">
        <f>IF($AD18="","",IF(ROUND($AO18+$AP18+$AQ18-$AD18,2)=0,"OK","FAIL - out by "&amp;TEXT($AO18+$AP18+$AQ18-$AD18,"$0.00")))</f>
      </c>
    </row>
    <row r="19" spans="1:58" ht="18.75" customHeight="1" x14ac:dyDescent="0.25">
      <c r="A19" s="30" t="inlineStr">
        <is>
          <t xml:space="preserve">CANON-202508-000026</t>
        </is>
      </c>
      <c r="B19" s="30" t="inlineStr">
        <is>
          <t xml:space="preserve">Desmond Chattopadhyay</t>
        </is>
      </c>
      <c r="C19" s="31">
        <v>45889</v>
      </c>
      <c r="D19" s="32" t="inlineStr">
        <is>
          <t xml:space="preserve">Bound - within authority</t>
        </is>
      </c>
      <c r="E19" s="32" t="inlineStr">
        <is>
          <t xml:space="preserve">New business</t>
        </is>
      </c>
      <c r="F19" s="30" t="inlineStr">
        <is>
          <t xml:space="preserve">B1234EXOTIC26</t>
        </is>
      </c>
      <c r="G19" s="33">
        <f>IF($A19="","",IF($C19="","",YEAR($C19)))</f>
      </c>
      <c r="H19" s="34">
        <v>2013</v>
      </c>
      <c r="I19" s="30" t="inlineStr">
        <is>
          <t xml:space="preserve">Mercedes-Benz</t>
        </is>
      </c>
      <c r="J19" s="30" t="inlineStr">
        <is>
          <t xml:space="preserve">280SL Pagoda</t>
        </is>
      </c>
      <c r="K19" s="30" t="inlineStr">
        <is>
          <t xml:space="preserve">68PM46R7XZXBLTH48</t>
        </is>
      </c>
      <c r="L19" s="32" t="inlineStr">
        <is>
          <t xml:space="preserve">02 - Sports / GT</t>
        </is>
      </c>
      <c r="M19" s="35">
        <v>180000</v>
      </c>
      <c r="N19" s="32" t="inlineStr">
        <is>
          <t xml:space="preserve">Personal</t>
        </is>
      </c>
      <c r="O19" s="30" t="inlineStr">
        <is>
          <t xml:space="preserve">Personal - regular use</t>
        </is>
      </c>
      <c r="P19" s="30" t="inlineStr">
        <is>
          <t xml:space="preserve">2,500 - 5,000</t>
        </is>
      </c>
      <c r="Q19" s="30" t="inlineStr">
        <is>
          <t xml:space="preserve">Indiana</t>
        </is>
      </c>
      <c r="R19" s="30" t="inlineStr">
        <is>
          <t xml:space="preserve">46204</t>
        </is>
      </c>
      <c r="S19" s="32" t="inlineStr">
        <is>
          <t xml:space="preserve">Severe convective - hail / tornado (moderate)</t>
        </is>
      </c>
      <c r="T19" s="36">
        <f>IF($A19="","",IF($S19="","",IFERROR(INDEX('[1]natural catastrophe'!$D$6:$D$17,MATCH($S19,'[1]natural catastrophe'!$B$6:$B$17,0)),"?")))</f>
      </c>
      <c r="U19" s="30" t="inlineStr">
        <is>
          <t xml:space="preserve">$5,000</t>
        </is>
      </c>
      <c r="V19" s="32" t="inlineStr">
        <is>
          <t xml:space="preserve">Agreed Value</t>
        </is>
      </c>
      <c r="W19" s="30" t="inlineStr">
        <is>
          <t xml:space="preserve">$1,000</t>
        </is>
      </c>
      <c r="X19" s="32" t="inlineStr">
        <is>
          <t xml:space="preserve">$1,000,000 CSL</t>
        </is>
      </c>
      <c r="Y19" s="30"/>
      <c r="Z19" s="30"/>
      <c r="AA19" s="32" t="inlineStr">
        <is>
          <t xml:space="preserve">Surplus Lines</t>
        </is>
      </c>
      <c r="AB19" s="35">
        <v>2381.09</v>
      </c>
      <c r="AC19" s="37">
        <v>0</v>
      </c>
      <c r="AD19" s="38">
        <f>IF(ISNUMBER($AB19),$AB19*(1+N($AC19)),"")</f>
      </c>
      <c r="AE19" s="35">
        <v>350</v>
      </c>
      <c r="AF19" s="35">
        <v>0</v>
      </c>
      <c r="AG19" s="37"/>
      <c r="AH19" s="39">
        <f>IF(ISNUMBER($AD19),($AD19+$AE19+$AF19)*$AG19,"")</f>
      </c>
      <c r="AI19" s="35"/>
      <c r="AJ19" s="38">
        <f>IF(ISNUMBER($AD19),SUM($AD19:$AH19),"")</f>
      </c>
      <c r="AK19" s="40">
        <f>IF(AND(ISNUMBER($AB19),ISNUMBER($AD19)),IF($AB19&gt;0,$AD19/$AB19,""),"")</f>
      </c>
      <c r="AL19" s="32" t="inlineStr">
        <is>
          <t xml:space="preserve">At technical</t>
        </is>
      </c>
      <c r="AM19" s="41">
        <f>IF(ISNUMBER($AD19),Header!$I$3,"")</f>
      </c>
      <c r="AN19" s="39">
        <f>IF(ISNUMBER($AD19),$AO19+$AP19,"")</f>
      </c>
      <c r="AO19" s="39">
        <f>IF(ISNUMBER($AD19),ROUND($AD19*Header!$K$3,2),"")</f>
      </c>
      <c r="AP19" s="39">
        <f>IF(ISNUMBER($AD19),ROUND($AD19*Header!$M$3,2),"")</f>
      </c>
      <c r="AQ19" s="38">
        <f>IF(ISNUMBER($AD19),ROUND($AD19,2)-$AO19-$AP19,"")</f>
      </c>
      <c r="AR19" s="39">
        <f>IF(ISNUMBER($AD19),IF(Header!$D$34="","?",$AD19*Header!$D$34),"")</f>
      </c>
      <c r="AS19" s="39">
        <f>IF(ISNUMBER($AB19),IF(Header!$D$34="","?",$AB19*Header!$D$34),"")</f>
      </c>
      <c r="AT19" s="42">
        <f>IF(AND(ISNUMBER($AB19),$M19&gt;0),$AB19/$M19*100,"")</f>
      </c>
      <c r="AU19" s="42">
        <f>IF(AND(ISNUMBER($AD19),$M19&gt;0),$AD19/$M19*100,"")</f>
      </c>
      <c r="AV19" s="40">
        <f>IF(AND(ISNUMBER($AB19),ISNUMBER($AD19),ABS($AB19)&gt;0),$AD19/$AB19,"")</f>
      </c>
      <c r="AW19" s="39">
        <f>IF(ISNUMBER($AD19),MAX(0,(1-0.55-Header!$O$3)*Header!$Q$3*$AQ19),"")</f>
      </c>
      <c r="AX19" s="43">
        <f>IF($A19="","",IF(TRIM(IF($A19="","Missing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",""))="","PASS","FAIL: "&amp;TRIM(IF($A19="","Missing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f>
      </c>
      <c r="AY19" s="44">
        <f>IF($M19="","",IF(ISNUMBER($M19),IF($M19&gt;=Header!$C$18,"YES — refer","No"),""))</f>
      </c>
      <c r="AZ19" s="44">
        <f>IF($AD19="","",IF(ISNUMBER($AD19),IF($AD19&lt;Header!$C$20,"BELOW MIN PREMIUM","OK"),""))</f>
      </c>
      <c r="BA19" s="32" t="inlineStr">
        <is>
          <t xml:space="preserve">Yes</t>
        </is>
      </c>
      <c r="BB19" s="32" t="inlineStr">
        <is>
          <t xml:space="preserve">Yes</t>
        </is>
      </c>
      <c r="BC19" s="30" t="inlineStr">
        <is>
          <t xml:space="preserve">Synthetic demo data</t>
        </is>
      </c>
      <c r="BE19" s="45">
        <f>IF(OR($A19="",$L19="",$H19=""),"",IF(AND(LEFT($L19,2)="06",$H19&gt;1945),"FAIL - pre-war class, year "&amp;$H19,IF(AND(LEFT($L19,2)="07",OR($H19&lt;1946,$H19&gt;1972)),"FAIL - 1946-72 class, year "&amp;$H19,IF(AND(LEFT($L19,2)="08",OR($H19&lt;1973,$H19&gt;1999)),"FAIL - 1973-99 class, year "&amp;$H19,IF(AND(LEFT($L19,2)="09",OR($H19&lt;2000,$H19&gt;2010)),"FAIL - 2000-10 class, year "&amp;$H19,"OK")))))</f>
      </c>
      <c r="BF19" s="45">
        <f>IF($AD19="","",IF(ROUND($AO19+$AP19+$AQ19-$AD19,2)=0,"OK","FAIL - out by "&amp;TEXT($AO19+$AP19+$AQ19-$AD19,"$0.00")))</f>
      </c>
    </row>
    <row r="20" spans="1:58" ht="18.75" customHeight="1" x14ac:dyDescent="0.25">
      <c r="A20" s="46" t="inlineStr">
        <is>
          <t xml:space="preserve">CANON-202508-000027</t>
        </is>
      </c>
      <c r="B20" s="46" t="inlineStr">
        <is>
          <t xml:space="preserve">Ingrid Kingsford</t>
        </is>
      </c>
      <c r="C20" s="47">
        <v>45874</v>
      </c>
      <c r="D20" s="48" t="inlineStr">
        <is>
          <t xml:space="preserve">Bound - within authority</t>
        </is>
      </c>
      <c r="E20" s="48" t="inlineStr">
        <is>
          <t xml:space="preserve">New business</t>
        </is>
      </c>
      <c r="F20" s="46" t="inlineStr">
        <is>
          <t xml:space="preserve">B1234EXOTIC26</t>
        </is>
      </c>
      <c r="G20" s="33">
        <f>IF($A20="","",IF($C20="","",YEAR($C20)))</f>
      </c>
      <c r="H20" s="49">
        <v>1970</v>
      </c>
      <c r="I20" s="46" t="inlineStr">
        <is>
          <t xml:space="preserve">Aston Martin</t>
        </is>
      </c>
      <c r="J20" s="46" t="inlineStr">
        <is>
          <t xml:space="preserve">DB12</t>
        </is>
      </c>
      <c r="K20" s="46" t="inlineStr">
        <is>
          <t xml:space="preserve">WB53BDUMNE43HJUMB</t>
        </is>
      </c>
      <c r="L20" s="48" t="inlineStr">
        <is>
          <t xml:space="preserve">02 - Sports / GT</t>
        </is>
      </c>
      <c r="M20" s="50">
        <v>225000</v>
      </c>
      <c r="N20" s="48" t="inlineStr">
        <is>
          <t xml:space="preserve">Personal</t>
        </is>
      </c>
      <c r="O20" s="46" t="inlineStr">
        <is>
          <t xml:space="preserve">Personal - regular use</t>
        </is>
      </c>
      <c r="P20" s="46" t="inlineStr">
        <is>
          <t xml:space="preserve">1,000 - 2,500</t>
        </is>
      </c>
      <c r="Q20" s="46" t="inlineStr">
        <is>
          <t xml:space="preserve">Vermont</t>
        </is>
      </c>
      <c r="R20" s="46" t="inlineStr">
        <is>
          <t xml:space="preserve">05601</t>
        </is>
      </c>
      <c r="S20" s="48" t="inlineStr">
        <is>
          <t xml:space="preserve">Low hazard - inland benign</t>
        </is>
      </c>
      <c r="T20" s="36">
        <f>IF($A20="","",IF($S20="","",IFERROR(INDEX('[1]natural catastrophe'!$D$6:$D$17,MATCH($S20,'[1]natural catastrophe'!$B$6:$B$17,0)),"?")))</f>
      </c>
      <c r="U20" s="46" t="inlineStr">
        <is>
          <t xml:space="preserve">$5,000</t>
        </is>
      </c>
      <c r="V20" s="48" t="inlineStr">
        <is>
          <t xml:space="preserve">Agreed Value</t>
        </is>
      </c>
      <c r="W20" s="46" t="inlineStr">
        <is>
          <t xml:space="preserve">$1,000</t>
        </is>
      </c>
      <c r="X20" s="48" t="inlineStr">
        <is>
          <t xml:space="preserve">$1,000,000 CSL</t>
        </is>
      </c>
      <c r="Y20" s="46"/>
      <c r="Z20" s="46"/>
      <c r="AA20" s="48" t="inlineStr">
        <is>
          <t xml:space="preserve">Surplus Lines</t>
        </is>
      </c>
      <c r="AB20" s="50">
        <v>4764.91</v>
      </c>
      <c r="AC20" s="51">
        <v>0</v>
      </c>
      <c r="AD20" s="38">
        <f>IF(ISNUMBER($AB20),$AB20*(1+N($AC20)),"")</f>
      </c>
      <c r="AE20" s="50">
        <v>350</v>
      </c>
      <c r="AF20" s="50">
        <v>0</v>
      </c>
      <c r="AG20" s="51"/>
      <c r="AH20" s="39">
        <f>IF(ISNUMBER($AD20),($AD20+$AE20+$AF20)*$AG20,"")</f>
      </c>
      <c r="AI20" s="50"/>
      <c r="AJ20" s="38">
        <f>IF(ISNUMBER($AD20),SUM($AD20:$AH20),"")</f>
      </c>
      <c r="AK20" s="40">
        <f>IF(AND(ISNUMBER($AB20),ISNUMBER($AD20)),IF($AB20&gt;0,$AD20/$AB20,""),"")</f>
      </c>
      <c r="AL20" s="48" t="inlineStr">
        <is>
          <t xml:space="preserve">At technical</t>
        </is>
      </c>
      <c r="AM20" s="41">
        <f>IF(ISNUMBER($AD20),Header!$I$3,"")</f>
      </c>
      <c r="AN20" s="39">
        <f>IF(ISNUMBER($AD20),$AO20+$AP20,"")</f>
      </c>
      <c r="AO20" s="39">
        <f>IF(ISNUMBER($AD20),ROUND($AD20*Header!$K$3,2),"")</f>
      </c>
      <c r="AP20" s="39">
        <f>IF(ISNUMBER($AD20),ROUND($AD20*Header!$M$3,2),"")</f>
      </c>
      <c r="AQ20" s="38">
        <f>IF(ISNUMBER($AD20),ROUND($AD20,2)-$AO20-$AP20,"")</f>
      </c>
      <c r="AR20" s="39">
        <f>IF(ISNUMBER($AD20),IF(Header!$D$34="","?",$AD20*Header!$D$34),"")</f>
      </c>
      <c r="AS20" s="39">
        <f>IF(ISNUMBER($AB20),IF(Header!$D$34="","?",$AB20*Header!$D$34),"")</f>
      </c>
      <c r="AT20" s="42">
        <f>IF(AND(ISNUMBER($AB20),$M20&gt;0),$AB20/$M20*100,"")</f>
      </c>
      <c r="AU20" s="42">
        <f>IF(AND(ISNUMBER($AD20),$M20&gt;0),$AD20/$M20*100,"")</f>
      </c>
      <c r="AV20" s="40">
        <f>IF(AND(ISNUMBER($AB20),ISNUMBER($AD20),ABS($AB20)&gt;0),$AD20/$AB20,"")</f>
      </c>
      <c r="AW20" s="39">
        <f>IF(ISNUMBER($AD20),MAX(0,(1-0.55-Header!$O$3)*Header!$Q$3*$AQ20),"")</f>
      </c>
      <c r="AX20" s="43">
        <f>IF($A20="","",IF(TRIM(IF($A20="","Missing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",""))="","PASS","FAIL: "&amp;TRIM(IF($A20="","Missing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f>
      </c>
      <c r="AY20" s="44">
        <f>IF($M20="","",IF(ISNUMBER($M20),IF($M20&gt;=Header!$C$18,"YES — refer","No"),""))</f>
      </c>
      <c r="AZ20" s="44">
        <f>IF($AD20="","",IF(ISNUMBER($AD20),IF($AD20&lt;Header!$C$20,"BELOW MIN PREMIUM","OK"),""))</f>
      </c>
      <c r="BA20" s="48" t="inlineStr">
        <is>
          <t xml:space="preserve">Yes</t>
        </is>
      </c>
      <c r="BB20" s="48" t="inlineStr">
        <is>
          <t xml:space="preserve">Yes</t>
        </is>
      </c>
      <c r="BC20" s="46" t="inlineStr">
        <is>
          <t xml:space="preserve">Synthetic demo data</t>
        </is>
      </c>
      <c r="BE20" s="45">
        <f>IF(OR($A20="",$L20="",$H20=""),"",IF(AND(LEFT($L20,2)="06",$H20&gt;1945),"FAIL - pre-war class, year "&amp;$H20,IF(AND(LEFT($L20,2)="07",OR($H20&lt;1946,$H20&gt;1972)),"FAIL - 1946-72 class, year "&amp;$H20,IF(AND(LEFT($L20,2)="08",OR($H20&lt;1973,$H20&gt;1999)),"FAIL - 1973-99 class, year "&amp;$H20,IF(AND(LEFT($L20,2)="09",OR($H20&lt;2000,$H20&gt;2010)),"FAIL - 2000-10 class, year "&amp;$H20,"OK")))))</f>
      </c>
      <c r="BF20" s="45">
        <f>IF($AD20="","",IF(ROUND($AO20+$AP20+$AQ20-$AD20,2)=0,"OK","FAIL - out by "&amp;TEXT($AO20+$AP20+$AQ20-$AD20,"$0.00")))</f>
      </c>
    </row>
    <row r="21" spans="1:58" ht="18.75" customHeight="1" x14ac:dyDescent="0.25">
      <c r="A21" s="30" t="inlineStr">
        <is>
          <t xml:space="preserve">CANON-202508-000028</t>
        </is>
      </c>
      <c r="B21" s="30" t="inlineStr">
        <is>
          <t xml:space="preserve">Everett Nakashima</t>
        </is>
      </c>
      <c r="C21" s="31">
        <v>45898</v>
      </c>
      <c r="D21" s="32" t="inlineStr">
        <is>
          <t xml:space="preserve">Bound - within authority</t>
        </is>
      </c>
      <c r="E21" s="32" t="inlineStr">
        <is>
          <t xml:space="preserve">New business</t>
        </is>
      </c>
      <c r="F21" s="30" t="inlineStr">
        <is>
          <t xml:space="preserve">B1234EXOTIC26</t>
        </is>
      </c>
      <c r="G21" s="33">
        <f>IF($A21="","",IF($C21="","",YEAR($C21)))</f>
      </c>
      <c r="H21" s="34">
        <v>2012</v>
      </c>
      <c r="I21" s="30" t="inlineStr">
        <is>
          <t xml:space="preserve">Bentley</t>
        </is>
      </c>
      <c r="J21" s="30" t="inlineStr">
        <is>
          <t xml:space="preserve">Continental GT</t>
        </is>
      </c>
      <c r="K21" s="30" t="inlineStr">
        <is>
          <t xml:space="preserve">UVTVHVWVNRN76TZF8</t>
        </is>
      </c>
      <c r="L21" s="32" t="inlineStr">
        <is>
          <t xml:space="preserve">02 - Sports / GT</t>
        </is>
      </c>
      <c r="M21" s="35">
        <v>215000</v>
      </c>
      <c r="N21" s="32" t="inlineStr">
        <is>
          <t xml:space="preserve">Personal</t>
        </is>
      </c>
      <c r="O21" s="30" t="inlineStr">
        <is>
          <t xml:space="preserve">Personal - regular use</t>
        </is>
      </c>
      <c r="P21" s="30" t="inlineStr">
        <is>
          <t xml:space="preserve">Under 1,000</t>
        </is>
      </c>
      <c r="Q21" s="30" t="inlineStr">
        <is>
          <t xml:space="preserve">Washington</t>
        </is>
      </c>
      <c r="R21" s="30" t="inlineStr">
        <is>
          <t xml:space="preserve">98101</t>
        </is>
      </c>
      <c r="S21" s="32" t="inlineStr">
        <is>
          <t xml:space="preserve">Earthquake - high (CA, Cascadia, New Madrid)</t>
        </is>
      </c>
      <c r="T21" s="36">
        <f>IF($A21="","",IF($S21="","",IFERROR(INDEX('[1]natural catastrophe'!$D$6:$D$17,MATCH($S21,'[1]natural catastrophe'!$B$6:$B$17,0)),"?")))</f>
      </c>
      <c r="U21" s="30" t="inlineStr">
        <is>
          <t xml:space="preserve">$5,000</t>
        </is>
      </c>
      <c r="V21" s="32" t="inlineStr">
        <is>
          <t xml:space="preserve">Agreed Value</t>
        </is>
      </c>
      <c r="W21" s="30" t="inlineStr">
        <is>
          <t xml:space="preserve">$1,000</t>
        </is>
      </c>
      <c r="X21" s="32" t="inlineStr">
        <is>
          <t xml:space="preserve">$1,000,000 CSL</t>
        </is>
      </c>
      <c r="Y21" s="30"/>
      <c r="Z21" s="30"/>
      <c r="AA21" s="32" t="inlineStr">
        <is>
          <t xml:space="preserve">Surplus Lines</t>
        </is>
      </c>
      <c r="AB21" s="35">
        <v>3582.79</v>
      </c>
      <c r="AC21" s="37">
        <v>0</v>
      </c>
      <c r="AD21" s="38">
        <f>IF(ISNUMBER($AB21),$AB21*(1+N($AC21)),"")</f>
      </c>
      <c r="AE21" s="35">
        <v>350</v>
      </c>
      <c r="AF21" s="35">
        <v>0</v>
      </c>
      <c r="AG21" s="37"/>
      <c r="AH21" s="39">
        <f>IF(ISNUMBER($AD21),($AD21+$AE21+$AF21)*$AG21,"")</f>
      </c>
      <c r="AI21" s="35"/>
      <c r="AJ21" s="38">
        <f>IF(ISNUMBER($AD21),SUM($AD21:$AH21),"")</f>
      </c>
      <c r="AK21" s="40">
        <f>IF(AND(ISNUMBER($AB21),ISNUMBER($AD21)),IF($AB21&gt;0,$AD21/$AB21,""),"")</f>
      </c>
      <c r="AL21" s="32" t="inlineStr">
        <is>
          <t xml:space="preserve">At technical</t>
        </is>
      </c>
      <c r="AM21" s="41">
        <f>IF(ISNUMBER($AD21),Header!$I$3,"")</f>
      </c>
      <c r="AN21" s="39">
        <f>IF(ISNUMBER($AD21),$AO21+$AP21,"")</f>
      </c>
      <c r="AO21" s="39">
        <f>IF(ISNUMBER($AD21),ROUND($AD21*Header!$K$3,2),"")</f>
      </c>
      <c r="AP21" s="39">
        <f>IF(ISNUMBER($AD21),ROUND($AD21*Header!$M$3,2),"")</f>
      </c>
      <c r="AQ21" s="38">
        <f>IF(ISNUMBER($AD21),ROUND($AD21,2)-$AO21-$AP21,"")</f>
      </c>
      <c r="AR21" s="39">
        <f>IF(ISNUMBER($AD21),IF(Header!$D$34="","?",$AD21*Header!$D$34),"")</f>
      </c>
      <c r="AS21" s="39">
        <f>IF(ISNUMBER($AB21),IF(Header!$D$34="","?",$AB21*Header!$D$34),"")</f>
      </c>
      <c r="AT21" s="42">
        <f>IF(AND(ISNUMBER($AB21),$M21&gt;0),$AB21/$M21*100,"")</f>
      </c>
      <c r="AU21" s="42">
        <f>IF(AND(ISNUMBER($AD21),$M21&gt;0),$AD21/$M21*100,"")</f>
      </c>
      <c r="AV21" s="40">
        <f>IF(AND(ISNUMBER($AB21),ISNUMBER($AD21),ABS($AB21)&gt;0),$AD21/$AB21,"")</f>
      </c>
      <c r="AW21" s="39">
        <f>IF(ISNUMBER($AD21),MAX(0,(1-0.55-Header!$O$3)*Header!$Q$3*$AQ21),"")</f>
      </c>
      <c r="AX21" s="43">
        <f>IF($A21="","",IF(TRIM(IF($A21="","Missing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",""))="","PASS","FAIL: "&amp;TRIM(IF($A21="","Missing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f>
      </c>
      <c r="AY21" s="44">
        <f>IF($M21="","",IF(ISNUMBER($M21),IF($M21&gt;=Header!$C$18,"YES — refer","No"),""))</f>
      </c>
      <c r="AZ21" s="44">
        <f>IF($AD21="","",IF(ISNUMBER($AD21),IF($AD21&lt;Header!$C$20,"BELOW MIN PREMIUM","OK"),""))</f>
      </c>
      <c r="BA21" s="32" t="inlineStr">
        <is>
          <t xml:space="preserve">Yes</t>
        </is>
      </c>
      <c r="BB21" s="32" t="inlineStr">
        <is>
          <t xml:space="preserve">Yes</t>
        </is>
      </c>
      <c r="BC21" s="30" t="inlineStr">
        <is>
          <t xml:space="preserve">Synthetic demo data</t>
        </is>
      </c>
      <c r="BE21" s="45">
        <f>IF(OR($A21="",$L21="",$H21=""),"",IF(AND(LEFT($L21,2)="06",$H21&gt;1945),"FAIL - pre-war class, year "&amp;$H21,IF(AND(LEFT($L21,2)="07",OR($H21&lt;1946,$H21&gt;1972)),"FAIL - 1946-72 class, year "&amp;$H21,IF(AND(LEFT($L21,2)="08",OR($H21&lt;1973,$H21&gt;1999)),"FAIL - 1973-99 class, year "&amp;$H21,IF(AND(LEFT($L21,2)="09",OR($H21&lt;2000,$H21&gt;2010)),"FAIL - 2000-10 class, year "&amp;$H21,"OK")))))</f>
      </c>
      <c r="BF21" s="45">
        <f>IF($AD21="","",IF(ROUND($AO21+$AP21+$AQ21-$AD21,2)=0,"OK","FAIL - out by "&amp;TEXT($AO21+$AP21+$AQ21-$AD21,"$0.00")))</f>
      </c>
    </row>
    <row r="22" spans="1:58" ht="18.75" customHeight="1" x14ac:dyDescent="0.25">
      <c r="A22" s="46" t="inlineStr">
        <is>
          <t xml:space="preserve">CANON-202508-000029</t>
        </is>
      </c>
      <c r="B22" s="46" t="inlineStr">
        <is>
          <t xml:space="preserve">Desmond Harrington</t>
        </is>
      </c>
      <c r="C22" s="47">
        <v>45886</v>
      </c>
      <c r="D22" s="48" t="inlineStr">
        <is>
          <t xml:space="preserve">Bound - within authority</t>
        </is>
      </c>
      <c r="E22" s="48" t="inlineStr">
        <is>
          <t xml:space="preserve">New business</t>
        </is>
      </c>
      <c r="F22" s="46" t="inlineStr">
        <is>
          <t xml:space="preserve">B1234EXOTIC26</t>
        </is>
      </c>
      <c r="G22" s="33">
        <f>IF($A22="","",IF($C22="","",YEAR($C22)))</f>
      </c>
      <c r="H22" s="49">
        <v>1979</v>
      </c>
      <c r="I22" s="46" t="inlineStr">
        <is>
          <t xml:space="preserve">Aston Martin</t>
        </is>
      </c>
      <c r="J22" s="46" t="inlineStr">
        <is>
          <t xml:space="preserve">DB5</t>
        </is>
      </c>
      <c r="K22" s="46" t="inlineStr">
        <is>
          <t xml:space="preserve">W9WX8HZFANSE5A0GN</t>
        </is>
      </c>
      <c r="L22" s="48" t="inlineStr">
        <is>
          <t xml:space="preserve">08 - Modern Classic (1973-1999)</t>
        </is>
      </c>
      <c r="M22" s="50">
        <v>355000</v>
      </c>
      <c r="N22" s="48" t="inlineStr">
        <is>
          <t xml:space="preserve">Personal</t>
        </is>
      </c>
      <c r="O22" s="46" t="inlineStr">
        <is>
          <t xml:space="preserve">Personal - regular use</t>
        </is>
      </c>
      <c r="P22" s="46" t="inlineStr">
        <is>
          <t xml:space="preserve">Under 1,000</t>
        </is>
      </c>
      <c r="Q22" s="46" t="inlineStr">
        <is>
          <t xml:space="preserve">New York</t>
        </is>
      </c>
      <c r="R22" s="46" t="inlineStr">
        <is>
          <t xml:space="preserve">10022</t>
        </is>
      </c>
      <c r="S22" s="48" t="inlineStr">
        <is>
          <t xml:space="preserve">Tier 3 - Coastal wind (25-100 miles)</t>
        </is>
      </c>
      <c r="T22" s="36">
        <f>IF($A22="","",IF($S22="","",IFERROR(INDEX('[1]natural catastrophe'!$D$6:$D$17,MATCH($S22,'[1]natural catastrophe'!$B$6:$B$17,0)),"?")))</f>
      </c>
      <c r="U22" s="46" t="inlineStr">
        <is>
          <t xml:space="preserve">2% of agreed value, minimum $10,000</t>
        </is>
      </c>
      <c r="V22" s="48" t="inlineStr">
        <is>
          <t xml:space="preserve">Agreed Value</t>
        </is>
      </c>
      <c r="W22" s="46" t="inlineStr">
        <is>
          <t xml:space="preserve">$1,000</t>
        </is>
      </c>
      <c r="X22" s="48" t="inlineStr">
        <is>
          <t xml:space="preserve">$1,000,000 CSL</t>
        </is>
      </c>
      <c r="Y22" s="46"/>
      <c r="Z22" s="46"/>
      <c r="AA22" s="48" t="inlineStr">
        <is>
          <t xml:space="preserve">Surplus Lines</t>
        </is>
      </c>
      <c r="AB22" s="50">
        <v>4115.32</v>
      </c>
      <c r="AC22" s="51">
        <v>0</v>
      </c>
      <c r="AD22" s="38">
        <f>IF(ISNUMBER($AB22),$AB22*(1+N($AC22)),"")</f>
      </c>
      <c r="AE22" s="50">
        <v>350</v>
      </c>
      <c r="AF22" s="50">
        <v>0</v>
      </c>
      <c r="AG22" s="51"/>
      <c r="AH22" s="39">
        <f>IF(ISNUMBER($AD22),($AD22+$AE22+$AF22)*$AG22,"")</f>
      </c>
      <c r="AI22" s="50"/>
      <c r="AJ22" s="38">
        <f>IF(ISNUMBER($AD22),SUM($AD22:$AH22),"")</f>
      </c>
      <c r="AK22" s="40">
        <f>IF(AND(ISNUMBER($AB22),ISNUMBER($AD22)),IF($AB22&gt;0,$AD22/$AB22,""),"")</f>
      </c>
      <c r="AL22" s="48" t="inlineStr">
        <is>
          <t xml:space="preserve">At technical</t>
        </is>
      </c>
      <c r="AM22" s="41">
        <f>IF(ISNUMBER($AD22),Header!$I$3,"")</f>
      </c>
      <c r="AN22" s="39">
        <f>IF(ISNUMBER($AD22),$AO22+$AP22,"")</f>
      </c>
      <c r="AO22" s="39">
        <f>IF(ISNUMBER($AD22),ROUND($AD22*Header!$K$3,2),"")</f>
      </c>
      <c r="AP22" s="39">
        <f>IF(ISNUMBER($AD22),ROUND($AD22*Header!$M$3,2),"")</f>
      </c>
      <c r="AQ22" s="38">
        <f>IF(ISNUMBER($AD22),ROUND($AD22,2)-$AO22-$AP22,"")</f>
      </c>
      <c r="AR22" s="39">
        <f>IF(ISNUMBER($AD22),IF(Header!$D$34="","?",$AD22*Header!$D$34),"")</f>
      </c>
      <c r="AS22" s="39">
        <f>IF(ISNUMBER($AB22),IF(Header!$D$34="","?",$AB22*Header!$D$34),"")</f>
      </c>
      <c r="AT22" s="42">
        <f>IF(AND(ISNUMBER($AB22),$M22&gt;0),$AB22/$M22*100,"")</f>
      </c>
      <c r="AU22" s="42">
        <f>IF(AND(ISNUMBER($AD22),$M22&gt;0),$AD22/$M22*100,"")</f>
      </c>
      <c r="AV22" s="40">
        <f>IF(AND(ISNUMBER($AB22),ISNUMBER($AD22),ABS($AB22)&gt;0),$AD22/$AB22,"")</f>
      </c>
      <c r="AW22" s="39">
        <f>IF(ISNUMBER($AD22),MAX(0,(1-0.55-Header!$O$3)*Header!$Q$3*$AQ22),"")</f>
      </c>
      <c r="AX22" s="43">
        <f>IF($A22="","",IF(TRIM(IF($A22="","Missing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",""))="","PASS","FAIL: "&amp;TRIM(IF($A22="","Missing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f>
      </c>
      <c r="AY22" s="44">
        <f>IF($M22="","",IF(ISNUMBER($M22),IF($M22&gt;=Header!$C$18,"YES — refer","No"),""))</f>
      </c>
      <c r="AZ22" s="44">
        <f>IF($AD22="","",IF(ISNUMBER($AD22),IF($AD22&lt;Header!$C$20,"BELOW MIN PREMIUM","OK"),""))</f>
      </c>
      <c r="BA22" s="48" t="inlineStr">
        <is>
          <t xml:space="preserve">Yes</t>
        </is>
      </c>
      <c r="BB22" s="48" t="inlineStr">
        <is>
          <t xml:space="preserve">Yes</t>
        </is>
      </c>
      <c r="BC22" s="46" t="inlineStr">
        <is>
          <t xml:space="preserve">Synthetic demo data</t>
        </is>
      </c>
      <c r="BE22" s="45">
        <f>IF(OR($A22="",$L22="",$H22=""),"",IF(AND(LEFT($L22,2)="06",$H22&gt;1945),"FAIL - pre-war class, year "&amp;$H22,IF(AND(LEFT($L22,2)="07",OR($H22&lt;1946,$H22&gt;1972)),"FAIL - 1946-72 class, year "&amp;$H22,IF(AND(LEFT($L22,2)="08",OR($H22&lt;1973,$H22&gt;1999)),"FAIL - 1973-99 class, year "&amp;$H22,IF(AND(LEFT($L22,2)="09",OR($H22&lt;2000,$H22&gt;2010)),"FAIL - 2000-10 class, year "&amp;$H22,"OK")))))</f>
      </c>
      <c r="BF22" s="45">
        <f>IF($AD22="","",IF(ROUND($AO22+$AP22+$AQ22-$AD22,2)=0,"OK","FAIL - out by "&amp;TEXT($AO22+$AP22+$AQ22-$AD22,"$0.00")))</f>
      </c>
    </row>
    <row r="23" spans="1:58" ht="18.75" customHeight="1" x14ac:dyDescent="0.25">
      <c r="A23" s="30" t="inlineStr">
        <is>
          <t xml:space="preserve">CANON-202508-000030</t>
        </is>
      </c>
      <c r="B23" s="30" t="inlineStr">
        <is>
          <t xml:space="preserve">Aurelio Thistlewood</t>
        </is>
      </c>
      <c r="C23" s="31">
        <v>45892</v>
      </c>
      <c r="D23" s="32" t="inlineStr">
        <is>
          <t xml:space="preserve">Bound - within authority</t>
        </is>
      </c>
      <c r="E23" s="32" t="inlineStr">
        <is>
          <t xml:space="preserve">New business</t>
        </is>
      </c>
      <c r="F23" s="30" t="inlineStr">
        <is>
          <t xml:space="preserve">B1234EXOTIC26</t>
        </is>
      </c>
      <c r="G23" s="33">
        <f>IF($A23="","",IF($C23="","",YEAR($C23)))</f>
      </c>
      <c r="H23" s="34">
        <v>1975</v>
      </c>
      <c r="I23" s="30" t="inlineStr">
        <is>
          <t xml:space="preserve">Aston Martin</t>
        </is>
      </c>
      <c r="J23" s="30" t="inlineStr">
        <is>
          <t xml:space="preserve">DB12</t>
        </is>
      </c>
      <c r="K23" s="30" t="inlineStr">
        <is>
          <t xml:space="preserve">YW2HZXPM0CD53D6V6</t>
        </is>
      </c>
      <c r="L23" s="32" t="inlineStr">
        <is>
          <t xml:space="preserve">02 - Sports / GT</t>
        </is>
      </c>
      <c r="M23" s="35">
        <v>1045000</v>
      </c>
      <c r="N23" s="32" t="inlineStr">
        <is>
          <t xml:space="preserve">Personal</t>
        </is>
      </c>
      <c r="O23" s="30" t="inlineStr">
        <is>
          <t xml:space="preserve">Personal - regular use</t>
        </is>
      </c>
      <c r="P23" s="30" t="inlineStr">
        <is>
          <t xml:space="preserve">1,000 - 2,500</t>
        </is>
      </c>
      <c r="Q23" s="30" t="inlineStr">
        <is>
          <t xml:space="preserve">Pennsylvania</t>
        </is>
      </c>
      <c r="R23" s="30" t="inlineStr">
        <is>
          <t xml:space="preserve">19103</t>
        </is>
      </c>
      <c r="S23" s="32" t="inlineStr">
        <is>
          <t xml:space="preserve">Low hazard - inland benign</t>
        </is>
      </c>
      <c r="T23" s="36">
        <f>IF($A23="","",IF($S23="","",IFERROR(INDEX('[1]natural catastrophe'!$D$6:$D$17,MATCH($S23,'[1]natural catastrophe'!$B$6:$B$17,0)),"?")))</f>
      </c>
      <c r="U23" s="30" t="inlineStr">
        <is>
          <t xml:space="preserve">$5,000</t>
        </is>
      </c>
      <c r="V23" s="32" t="inlineStr">
        <is>
          <t xml:space="preserve">Agreed Value</t>
        </is>
      </c>
      <c r="W23" s="30" t="inlineStr">
        <is>
          <t xml:space="preserve">$1,000</t>
        </is>
      </c>
      <c r="X23" s="32" t="inlineStr">
        <is>
          <t xml:space="preserve">$1,000,000 CSL</t>
        </is>
      </c>
      <c r="Y23" s="30"/>
      <c r="Z23" s="30"/>
      <c r="AA23" s="32" t="inlineStr">
        <is>
          <t xml:space="preserve">Surplus Lines</t>
        </is>
      </c>
      <c r="AB23" s="35">
        <v>10844.34</v>
      </c>
      <c r="AC23" s="37">
        <v>0</v>
      </c>
      <c r="AD23" s="38">
        <f>IF(ISNUMBER($AB23),$AB23*(1+N($AC23)),"")</f>
      </c>
      <c r="AE23" s="35">
        <v>350</v>
      </c>
      <c r="AF23" s="35">
        <v>250</v>
      </c>
      <c r="AG23" s="37"/>
      <c r="AH23" s="39">
        <f>IF(ISNUMBER($AD23),($AD23+$AE23+$AF23)*$AG23,"")</f>
      </c>
      <c r="AI23" s="35"/>
      <c r="AJ23" s="38">
        <f>IF(ISNUMBER($AD23),SUM($AD23:$AH23),"")</f>
      </c>
      <c r="AK23" s="40">
        <f>IF(AND(ISNUMBER($AB23),ISNUMBER($AD23)),IF($AB23&gt;0,$AD23/$AB23,""),"")</f>
      </c>
      <c r="AL23" s="32" t="inlineStr">
        <is>
          <t xml:space="preserve">At technical</t>
        </is>
      </c>
      <c r="AM23" s="41">
        <f>IF(ISNUMBER($AD23),Header!$I$3,"")</f>
      </c>
      <c r="AN23" s="39">
        <f>IF(ISNUMBER($AD23),$AO23+$AP23,"")</f>
      </c>
      <c r="AO23" s="39">
        <f>IF(ISNUMBER($AD23),ROUND($AD23*Header!$K$3,2),"")</f>
      </c>
      <c r="AP23" s="39">
        <f>IF(ISNUMBER($AD23),ROUND($AD23*Header!$M$3,2),"")</f>
      </c>
      <c r="AQ23" s="38">
        <f>IF(ISNUMBER($AD23),ROUND($AD23,2)-$AO23-$AP23,"")</f>
      </c>
      <c r="AR23" s="39">
        <f>IF(ISNUMBER($AD23),IF(Header!$D$34="","?",$AD23*Header!$D$34),"")</f>
      </c>
      <c r="AS23" s="39">
        <f>IF(ISNUMBER($AB23),IF(Header!$D$34="","?",$AB23*Header!$D$34),"")</f>
      </c>
      <c r="AT23" s="42">
        <f>IF(AND(ISNUMBER($AB23),$M23&gt;0),$AB23/$M23*100,"")</f>
      </c>
      <c r="AU23" s="42">
        <f>IF(AND(ISNUMBER($AD23),$M23&gt;0),$AD23/$M23*100,"")</f>
      </c>
      <c r="AV23" s="40">
        <f>IF(AND(ISNUMBER($AB23),ISNUMBER($AD23),ABS($AB23)&gt;0),$AD23/$AB23,"")</f>
      </c>
      <c r="AW23" s="39">
        <f>IF(ISNUMBER($AD23),MAX(0,(1-0.55-Header!$O$3)*Header!$Q$3*$AQ23),"")</f>
      </c>
      <c r="AX23" s="43">
        <f>IF($A23="","",IF(TRIM(IF($A23="","Missing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",""))="","PASS","FAIL: "&amp;TRIM(IF($A23="","Missing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f>
      </c>
      <c r="AY23" s="44">
        <f>IF($M23="","",IF(ISNUMBER($M23),IF($M23&gt;=Header!$C$18,"YES — refer","No"),""))</f>
      </c>
      <c r="AZ23" s="44">
        <f>IF($AD23="","",IF(ISNUMBER($AD23),IF($AD23&lt;Header!$C$20,"BELOW MIN PREMIUM","OK"),""))</f>
      </c>
      <c r="BA23" s="32" t="inlineStr">
        <is>
          <t xml:space="preserve">Yes</t>
        </is>
      </c>
      <c r="BB23" s="32" t="inlineStr">
        <is>
          <t xml:space="preserve">Yes</t>
        </is>
      </c>
      <c r="BC23" s="30" t="inlineStr">
        <is>
          <t xml:space="preserve">Synthetic demo data</t>
        </is>
      </c>
      <c r="BE23" s="45">
        <f>IF(OR($A23="",$L23="",$H23=""),"",IF(AND(LEFT($L23,2)="06",$H23&gt;1945),"FAIL - pre-war class, year "&amp;$H23,IF(AND(LEFT($L23,2)="07",OR($H23&lt;1946,$H23&gt;1972)),"FAIL - 1946-72 class, year "&amp;$H23,IF(AND(LEFT($L23,2)="08",OR($H23&lt;1973,$H23&gt;1999)),"FAIL - 1973-99 class, year "&amp;$H23,IF(AND(LEFT($L23,2)="09",OR($H23&lt;2000,$H23&gt;2010)),"FAIL - 2000-10 class, year "&amp;$H23,"OK")))))</f>
      </c>
      <c r="BF23" s="45">
        <f>IF($AD23="","",IF(ROUND($AO23+$AP23+$AQ23-$AD23,2)=0,"OK","FAIL - out by "&amp;TEXT($AO23+$AP23+$AQ23-$AD23,"$0.00")))</f>
      </c>
    </row>
    <row r="24" spans="1:58" ht="18.75" customHeight="1" x14ac:dyDescent="0.25">
      <c r="A24" s="46" t="inlineStr">
        <is>
          <t xml:space="preserve">CANON-202508-000031</t>
        </is>
      </c>
      <c r="B24" s="46" t="inlineStr">
        <is>
          <t xml:space="preserve">Aurelio Pennington</t>
        </is>
      </c>
      <c r="C24" s="47">
        <v>45881</v>
      </c>
      <c r="D24" s="48" t="inlineStr">
        <is>
          <t xml:space="preserve">Bound - within authority</t>
        </is>
      </c>
      <c r="E24" s="48" t="inlineStr">
        <is>
          <t xml:space="preserve">New business</t>
        </is>
      </c>
      <c r="F24" s="46" t="inlineStr">
        <is>
          <t xml:space="preserve">B1234EXOTIC26</t>
        </is>
      </c>
      <c r="G24" s="33">
        <f>IF($A24="","",IF($C24="","",YEAR($C24)))</f>
      </c>
      <c r="H24" s="49">
        <v>1978</v>
      </c>
      <c r="I24" s="46" t="inlineStr">
        <is>
          <t xml:space="preserve">Ringbrothers</t>
        </is>
      </c>
      <c r="J24" s="46" t="inlineStr">
        <is>
          <t xml:space="preserve">Mustang</t>
        </is>
      </c>
      <c r="K24" s="46" t="inlineStr">
        <is>
          <t xml:space="preserve">XCGH2Z0F7FN8PTKRS</t>
        </is>
      </c>
      <c r="L24" s="48" t="inlineStr">
        <is>
          <t xml:space="preserve">11 - Restomod / Coachbuilt / Bespoke</t>
        </is>
      </c>
      <c r="M24" s="50">
        <v>520000</v>
      </c>
      <c r="N24" s="48" t="inlineStr">
        <is>
          <t xml:space="preserve">Personal</t>
        </is>
      </c>
      <c r="O24" s="46" t="inlineStr">
        <is>
          <t xml:space="preserve">Personal - regular use</t>
        </is>
      </c>
      <c r="P24" s="46" t="inlineStr">
        <is>
          <t xml:space="preserve">2,500 - 5,000</t>
        </is>
      </c>
      <c r="Q24" s="46" t="inlineStr">
        <is>
          <t xml:space="preserve">Washington</t>
        </is>
      </c>
      <c r="R24" s="46" t="inlineStr">
        <is>
          <t xml:space="preserve">98101</t>
        </is>
      </c>
      <c r="S24" s="48" t="inlineStr">
        <is>
          <t xml:space="preserve">Earthquake - high (CA, Cascadia, New Madrid)</t>
        </is>
      </c>
      <c r="T24" s="36">
        <f>IF($A24="","",IF($S24="","",IFERROR(INDEX('[1]natural catastrophe'!$D$6:$D$17,MATCH($S24,'[1]natural catastrophe'!$B$6:$B$17,0)),"?")))</f>
      </c>
      <c r="U24" s="46" t="inlineStr">
        <is>
          <t xml:space="preserve">$5,000</t>
        </is>
      </c>
      <c r="V24" s="48" t="inlineStr">
        <is>
          <t xml:space="preserve">Agreed Value</t>
        </is>
      </c>
      <c r="W24" s="46" t="inlineStr">
        <is>
          <t xml:space="preserve">$1,000</t>
        </is>
      </c>
      <c r="X24" s="48" t="inlineStr">
        <is>
          <t xml:space="preserve">$1,000,000 CSL</t>
        </is>
      </c>
      <c r="Y24" s="46"/>
      <c r="Z24" s="46"/>
      <c r="AA24" s="48" t="inlineStr">
        <is>
          <t xml:space="preserve">Surplus Lines</t>
        </is>
      </c>
      <c r="AB24" s="50">
        <v>7346.72</v>
      </c>
      <c r="AC24" s="51">
        <v>0</v>
      </c>
      <c r="AD24" s="38">
        <f>IF(ISNUMBER($AB24),$AB24*(1+N($AC24)),"")</f>
      </c>
      <c r="AE24" s="50">
        <v>350</v>
      </c>
      <c r="AF24" s="50">
        <v>0</v>
      </c>
      <c r="AG24" s="51"/>
      <c r="AH24" s="39">
        <f>IF(ISNUMBER($AD24),($AD24+$AE24+$AF24)*$AG24,"")</f>
      </c>
      <c r="AI24" s="50"/>
      <c r="AJ24" s="38">
        <f>IF(ISNUMBER($AD24),SUM($AD24:$AH24),"")</f>
      </c>
      <c r="AK24" s="40">
        <f>IF(AND(ISNUMBER($AB24),ISNUMBER($AD24)),IF($AB24&gt;0,$AD24/$AB24,""),"")</f>
      </c>
      <c r="AL24" s="48" t="inlineStr">
        <is>
          <t xml:space="preserve">At technical</t>
        </is>
      </c>
      <c r="AM24" s="41">
        <f>IF(ISNUMBER($AD24),Header!$I$3,"")</f>
      </c>
      <c r="AN24" s="39">
        <f>IF(ISNUMBER($AD24),$AO24+$AP24,"")</f>
      </c>
      <c r="AO24" s="39">
        <f>IF(ISNUMBER($AD24),ROUND($AD24*Header!$K$3,2),"")</f>
      </c>
      <c r="AP24" s="39">
        <f>IF(ISNUMBER($AD24),ROUND($AD24*Header!$M$3,2),"")</f>
      </c>
      <c r="AQ24" s="38">
        <f>IF(ISNUMBER($AD24),ROUND($AD24,2)-$AO24-$AP24,"")</f>
      </c>
      <c r="AR24" s="39">
        <f>IF(ISNUMBER($AD24),IF(Header!$D$34="","?",$AD24*Header!$D$34),"")</f>
      </c>
      <c r="AS24" s="39">
        <f>IF(ISNUMBER($AB24),IF(Header!$D$34="","?",$AB24*Header!$D$34),"")</f>
      </c>
      <c r="AT24" s="42">
        <f>IF(AND(ISNUMBER($AB24),$M24&gt;0),$AB24/$M24*100,"")</f>
      </c>
      <c r="AU24" s="42">
        <f>IF(AND(ISNUMBER($AD24),$M24&gt;0),$AD24/$M24*100,"")</f>
      </c>
      <c r="AV24" s="40">
        <f>IF(AND(ISNUMBER($AB24),ISNUMBER($AD24),ABS($AB24)&gt;0),$AD24/$AB24,"")</f>
      </c>
      <c r="AW24" s="39">
        <f>IF(ISNUMBER($AD24),MAX(0,(1-0.55-Header!$O$3)*Header!$Q$3*$AQ24),"")</f>
      </c>
      <c r="AX24" s="43">
        <f>IF($A24="","",IF(TRIM(IF($A24="","Missing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",""))="","PASS","FAIL: "&amp;TRIM(IF($A24="","Missing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f>
      </c>
      <c r="AY24" s="44">
        <f>IF($M24="","",IF(ISNUMBER($M24),IF($M24&gt;=Header!$C$18,"YES — refer","No"),""))</f>
      </c>
      <c r="AZ24" s="44">
        <f>IF($AD24="","",IF(ISNUMBER($AD24),IF($AD24&lt;Header!$C$20,"BELOW MIN PREMIUM","OK"),""))</f>
      </c>
      <c r="BA24" s="48" t="inlineStr">
        <is>
          <t xml:space="preserve">Yes</t>
        </is>
      </c>
      <c r="BB24" s="48" t="inlineStr">
        <is>
          <t xml:space="preserve">Yes</t>
        </is>
      </c>
      <c r="BC24" s="46" t="inlineStr">
        <is>
          <t xml:space="preserve">Synthetic demo data</t>
        </is>
      </c>
      <c r="BE24" s="45">
        <f>IF(OR($A24="",$L24="",$H24=""),"",IF(AND(LEFT($L24,2)="06",$H24&gt;1945),"FAIL - pre-war class, year "&amp;$H24,IF(AND(LEFT($L24,2)="07",OR($H24&lt;1946,$H24&gt;1972)),"FAIL - 1946-72 class, year "&amp;$H24,IF(AND(LEFT($L24,2)="08",OR($H24&lt;1973,$H24&gt;1999)),"FAIL - 1973-99 class, year "&amp;$H24,IF(AND(LEFT($L24,2)="09",OR($H24&lt;2000,$H24&gt;2010)),"FAIL - 2000-10 class, year "&amp;$H24,"OK")))))</f>
      </c>
      <c r="BF24" s="45">
        <f>IF($AD24="","",IF(ROUND($AO24+$AP24+$AQ24-$AD24,2)=0,"OK","FAIL - out by "&amp;TEXT($AO24+$AP24+$AQ24-$AD24,"$0.00")))</f>
      </c>
    </row>
    <row r="25" spans="1:58" ht="18.75" customHeight="1" x14ac:dyDescent="0.25">
      <c r="A25" s="30" t="inlineStr">
        <is>
          <t xml:space="preserve">CANON-202508-000032</t>
        </is>
      </c>
      <c r="B25" s="30" t="inlineStr">
        <is>
          <t xml:space="preserve">Mireille Okonkwo</t>
        </is>
      </c>
      <c r="C25" s="31">
        <v>45876</v>
      </c>
      <c r="D25" s="32" t="inlineStr">
        <is>
          <t xml:space="preserve">Bound - within authority</t>
        </is>
      </c>
      <c r="E25" s="32" t="inlineStr">
        <is>
          <t xml:space="preserve">New business</t>
        </is>
      </c>
      <c r="F25" s="30" t="inlineStr">
        <is>
          <t xml:space="preserve">B1234EXOTIC26</t>
        </is>
      </c>
      <c r="G25" s="33">
        <f>IF($A25="","",IF($C25="","",YEAR($C25)))</f>
      </c>
      <c r="H25" s="34">
        <v>1956</v>
      </c>
      <c r="I25" s="30" t="inlineStr">
        <is>
          <t xml:space="preserve">McLaren</t>
        </is>
      </c>
      <c r="J25" s="30" t="inlineStr">
        <is>
          <t xml:space="preserve">750S</t>
        </is>
      </c>
      <c r="K25" s="30" t="inlineStr">
        <is>
          <t xml:space="preserve">SGARF187EMK9NN9MM</t>
        </is>
      </c>
      <c r="L25" s="32" t="inlineStr">
        <is>
          <t xml:space="preserve">03 - Supercar</t>
        </is>
      </c>
      <c r="M25" s="35">
        <v>465000</v>
      </c>
      <c r="N25" s="32" t="inlineStr">
        <is>
          <t xml:space="preserve">Personal</t>
        </is>
      </c>
      <c r="O25" s="30" t="inlineStr">
        <is>
          <t xml:space="preserve">Personal - regular use</t>
        </is>
      </c>
      <c r="P25" s="30" t="inlineStr">
        <is>
          <t xml:space="preserve">1,000 - 2,500</t>
        </is>
      </c>
      <c r="Q25" s="30" t="inlineStr">
        <is>
          <t xml:space="preserve">Texas</t>
        </is>
      </c>
      <c r="R25" s="30" t="inlineStr">
        <is>
          <t xml:space="preserve">75201</t>
        </is>
      </c>
      <c r="S25" s="32" t="inlineStr">
        <is>
          <t xml:space="preserve">Tier 2 - Coastal wind (1-25 miles)</t>
        </is>
      </c>
      <c r="T25" s="36">
        <f>IF($A25="","",IF($S25="","",IFERROR(INDEX('[1]natural catastrophe'!$D$6:$D$17,MATCH($S25,'[1]natural catastrophe'!$B$6:$B$17,0)),"?")))</f>
      </c>
      <c r="U25" s="30" t="inlineStr">
        <is>
          <t xml:space="preserve">2% of agreed value, minimum $10,000</t>
        </is>
      </c>
      <c r="V25" s="32" t="inlineStr">
        <is>
          <t xml:space="preserve">Agreed Value</t>
        </is>
      </c>
      <c r="W25" s="30" t="inlineStr">
        <is>
          <t xml:space="preserve">$1,000</t>
        </is>
      </c>
      <c r="X25" s="32" t="inlineStr">
        <is>
          <t xml:space="preserve">$1,000,000 CSL</t>
        </is>
      </c>
      <c r="Y25" s="30"/>
      <c r="Z25" s="30"/>
      <c r="AA25" s="32" t="inlineStr">
        <is>
          <t xml:space="preserve">Surplus Lines</t>
        </is>
      </c>
      <c r="AB25" s="35">
        <v>11603.07</v>
      </c>
      <c r="AC25" s="37">
        <v>0</v>
      </c>
      <c r="AD25" s="38">
        <f>IF(ISNUMBER($AB25),$AB25*(1+N($AC25)),"")</f>
      </c>
      <c r="AE25" s="35">
        <v>350</v>
      </c>
      <c r="AF25" s="35">
        <v>0</v>
      </c>
      <c r="AG25" s="37"/>
      <c r="AH25" s="39">
        <f>IF(ISNUMBER($AD25),($AD25+$AE25+$AF25)*$AG25,"")</f>
      </c>
      <c r="AI25" s="35"/>
      <c r="AJ25" s="38">
        <f>IF(ISNUMBER($AD25),SUM($AD25:$AH25),"")</f>
      </c>
      <c r="AK25" s="40">
        <f>IF(AND(ISNUMBER($AB25),ISNUMBER($AD25)),IF($AB25&gt;0,$AD25/$AB25,""),"")</f>
      </c>
      <c r="AL25" s="32" t="inlineStr">
        <is>
          <t xml:space="preserve">At technical</t>
        </is>
      </c>
      <c r="AM25" s="41">
        <f>IF(ISNUMBER($AD25),Header!$I$3,"")</f>
      </c>
      <c r="AN25" s="39">
        <f>IF(ISNUMBER($AD25),$AO25+$AP25,"")</f>
      </c>
      <c r="AO25" s="39">
        <f>IF(ISNUMBER($AD25),ROUND($AD25*Header!$K$3,2),"")</f>
      </c>
      <c r="AP25" s="39">
        <f>IF(ISNUMBER($AD25),ROUND($AD25*Header!$M$3,2),"")</f>
      </c>
      <c r="AQ25" s="38">
        <f>IF(ISNUMBER($AD25),ROUND($AD25,2)-$AO25-$AP25,"")</f>
      </c>
      <c r="AR25" s="39">
        <f>IF(ISNUMBER($AD25),IF(Header!$D$34="","?",$AD25*Header!$D$34),"")</f>
      </c>
      <c r="AS25" s="39">
        <f>IF(ISNUMBER($AB25),IF(Header!$D$34="","?",$AB25*Header!$D$34),"")</f>
      </c>
      <c r="AT25" s="42">
        <f>IF(AND(ISNUMBER($AB25),$M25&gt;0),$AB25/$M25*100,"")</f>
      </c>
      <c r="AU25" s="42">
        <f>IF(AND(ISNUMBER($AD25),$M25&gt;0),$AD25/$M25*100,"")</f>
      </c>
      <c r="AV25" s="40">
        <f>IF(AND(ISNUMBER($AB25),ISNUMBER($AD25),ABS($AB25)&gt;0),$AD25/$AB25,"")</f>
      </c>
      <c r="AW25" s="39">
        <f>IF(ISNUMBER($AD25),MAX(0,(1-0.55-Header!$O$3)*Header!$Q$3*$AQ25),"")</f>
      </c>
      <c r="AX25" s="43">
        <f>IF($A25="","",IF(TRIM(IF($A25="","Missing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",""))="","PASS","FAIL: "&amp;TRIM(IF($A25="","Missing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f>
      </c>
      <c r="AY25" s="44">
        <f>IF($M25="","",IF(ISNUMBER($M25),IF($M25&gt;=Header!$C$18,"YES — refer","No"),""))</f>
      </c>
      <c r="AZ25" s="44">
        <f>IF($AD25="","",IF(ISNUMBER($AD25),IF($AD25&lt;Header!$C$20,"BELOW MIN PREMIUM","OK"),""))</f>
      </c>
      <c r="BA25" s="32" t="inlineStr">
        <is>
          <t xml:space="preserve">Yes</t>
        </is>
      </c>
      <c r="BB25" s="32" t="inlineStr">
        <is>
          <t xml:space="preserve">Yes</t>
        </is>
      </c>
      <c r="BC25" s="30" t="inlineStr">
        <is>
          <t xml:space="preserve">Synthetic demo data</t>
        </is>
      </c>
      <c r="BE25" s="45">
        <f>IF(OR($A25="",$L25="",$H25=""),"",IF(AND(LEFT($L25,2)="06",$H25&gt;1945),"FAIL - pre-war class, year "&amp;$H25,IF(AND(LEFT($L25,2)="07",OR($H25&lt;1946,$H25&gt;1972)),"FAIL - 1946-72 class, year "&amp;$H25,IF(AND(LEFT($L25,2)="08",OR($H25&lt;1973,$H25&gt;1999)),"FAIL - 1973-99 class, year "&amp;$H25,IF(AND(LEFT($L25,2)="09",OR($H25&lt;2000,$H25&gt;2010)),"FAIL - 2000-10 class, year "&amp;$H25,"OK")))))</f>
      </c>
      <c r="BF25" s="45">
        <f>IF($AD25="","",IF(ROUND($AO25+$AP25+$AQ25-$AD25,2)=0,"OK","FAIL - out by "&amp;TEXT($AO25+$AP25+$AQ25-$AD25,"$0.00")))</f>
      </c>
    </row>
    <row r="26" spans="1:58" ht="18.75" customHeight="1" x14ac:dyDescent="0.25">
      <c r="A26" s="46" t="inlineStr">
        <is>
          <t xml:space="preserve">CANON-202508-000033</t>
        </is>
      </c>
      <c r="B26" s="46" t="inlineStr">
        <is>
          <t xml:space="preserve">Emiliano Underwood</t>
        </is>
      </c>
      <c r="C26" s="47">
        <v>45874</v>
      </c>
      <c r="D26" s="48" t="inlineStr">
        <is>
          <t xml:space="preserve">Bound - within authority</t>
        </is>
      </c>
      <c r="E26" s="48" t="inlineStr">
        <is>
          <t xml:space="preserve">New business</t>
        </is>
      </c>
      <c r="F26" s="46" t="inlineStr">
        <is>
          <t xml:space="preserve">B1234EXOTIC26</t>
        </is>
      </c>
      <c r="G26" s="33">
        <f>IF($A26="","",IF($C26="","",YEAR($C26)))</f>
      </c>
      <c r="H26" s="49">
        <v>1985</v>
      </c>
      <c r="I26" s="46" t="inlineStr">
        <is>
          <t xml:space="preserve">Mercedes-Benz</t>
        </is>
      </c>
      <c r="J26" s="46" t="inlineStr">
        <is>
          <t xml:space="preserve">280SL Pagoda</t>
        </is>
      </c>
      <c r="K26" s="46" t="inlineStr">
        <is>
          <t xml:space="preserve">XB8VFWF0JF0YCLRKB</t>
        </is>
      </c>
      <c r="L26" s="48" t="inlineStr">
        <is>
          <t xml:space="preserve">08 - Modern Classic (1973-1999)</t>
        </is>
      </c>
      <c r="M26" s="50">
        <v>710000</v>
      </c>
      <c r="N26" s="48" t="inlineStr">
        <is>
          <t xml:space="preserve">Personal</t>
        </is>
      </c>
      <c r="O26" s="46" t="inlineStr">
        <is>
          <t xml:space="preserve">Personal - regular use</t>
        </is>
      </c>
      <c r="P26" s="46" t="inlineStr">
        <is>
          <t xml:space="preserve">Under 1,000</t>
        </is>
      </c>
      <c r="Q26" s="46" t="inlineStr">
        <is>
          <t xml:space="preserve">Delaware</t>
        </is>
      </c>
      <c r="R26" s="46" t="inlineStr">
        <is>
          <t xml:space="preserve">19801</t>
        </is>
      </c>
      <c r="S26" s="48" t="inlineStr">
        <is>
          <t xml:space="preserve">Tier 3 - Coastal wind (25-100 miles)</t>
        </is>
      </c>
      <c r="T26" s="36">
        <f>IF($A26="","",IF($S26="","",IFERROR(INDEX('[1]natural catastrophe'!$D$6:$D$17,MATCH($S26,'[1]natural catastrophe'!$B$6:$B$17,0)),"?")))</f>
      </c>
      <c r="U26" s="46" t="inlineStr">
        <is>
          <t xml:space="preserve">2% of agreed value, minimum $10,000</t>
        </is>
      </c>
      <c r="V26" s="48" t="inlineStr">
        <is>
          <t xml:space="preserve">Agreed Value</t>
        </is>
      </c>
      <c r="W26" s="46" t="inlineStr">
        <is>
          <t xml:space="preserve">$1,000</t>
        </is>
      </c>
      <c r="X26" s="48" t="inlineStr">
        <is>
          <t xml:space="preserve">$1,000,000 CSL</t>
        </is>
      </c>
      <c r="Y26" s="46"/>
      <c r="Z26" s="46"/>
      <c r="AA26" s="48" t="inlineStr">
        <is>
          <t xml:space="preserve">Surplus Lines</t>
        </is>
      </c>
      <c r="AB26" s="50">
        <v>7200.47</v>
      </c>
      <c r="AC26" s="51">
        <v>0</v>
      </c>
      <c r="AD26" s="38">
        <f>IF(ISNUMBER($AB26),$AB26*(1+N($AC26)),"")</f>
      </c>
      <c r="AE26" s="50">
        <v>350</v>
      </c>
      <c r="AF26" s="50">
        <v>0</v>
      </c>
      <c r="AG26" s="51"/>
      <c r="AH26" s="39">
        <f>IF(ISNUMBER($AD26),($AD26+$AE26+$AF26)*$AG26,"")</f>
      </c>
      <c r="AI26" s="50"/>
      <c r="AJ26" s="38">
        <f>IF(ISNUMBER($AD26),SUM($AD26:$AH26),"")</f>
      </c>
      <c r="AK26" s="40">
        <f>IF(AND(ISNUMBER($AB26),ISNUMBER($AD26)),IF($AB26&gt;0,$AD26/$AB26,""),"")</f>
      </c>
      <c r="AL26" s="48" t="inlineStr">
        <is>
          <t xml:space="preserve">At technical</t>
        </is>
      </c>
      <c r="AM26" s="41">
        <f>IF(ISNUMBER($AD26),Header!$I$3,"")</f>
      </c>
      <c r="AN26" s="39">
        <f>IF(ISNUMBER($AD26),$AO26+$AP26,"")</f>
      </c>
      <c r="AO26" s="39">
        <f>IF(ISNUMBER($AD26),ROUND($AD26*Header!$K$3,2),"")</f>
      </c>
      <c r="AP26" s="39">
        <f>IF(ISNUMBER($AD26),ROUND($AD26*Header!$M$3,2),"")</f>
      </c>
      <c r="AQ26" s="38">
        <f>IF(ISNUMBER($AD26),ROUND($AD26,2)-$AO26-$AP26,"")</f>
      </c>
      <c r="AR26" s="39">
        <f>IF(ISNUMBER($AD26),IF(Header!$D$34="","?",$AD26*Header!$D$34),"")</f>
      </c>
      <c r="AS26" s="39">
        <f>IF(ISNUMBER($AB26),IF(Header!$D$34="","?",$AB26*Header!$D$34),"")</f>
      </c>
      <c r="AT26" s="42">
        <f>IF(AND(ISNUMBER($AB26),$M26&gt;0),$AB26/$M26*100,"")</f>
      </c>
      <c r="AU26" s="42">
        <f>IF(AND(ISNUMBER($AD26),$M26&gt;0),$AD26/$M26*100,"")</f>
      </c>
      <c r="AV26" s="40">
        <f>IF(AND(ISNUMBER($AB26),ISNUMBER($AD26),ABS($AB26)&gt;0),$AD26/$AB26,"")</f>
      </c>
      <c r="AW26" s="39">
        <f>IF(ISNUMBER($AD26),MAX(0,(1-0.55-Header!$O$3)*Header!$Q$3*$AQ26),"")</f>
      </c>
      <c r="AX26" s="43">
        <f>IF($A26="","",IF(TRIM(IF($A26="","Missing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",""))="","PASS","FAIL: "&amp;TRIM(IF($A26="","Missing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f>
      </c>
      <c r="AY26" s="44">
        <f>IF($M26="","",IF(ISNUMBER($M26),IF($M26&gt;=Header!$C$18,"YES — refer","No"),""))</f>
      </c>
      <c r="AZ26" s="44">
        <f>IF($AD26="","",IF(ISNUMBER($AD26),IF($AD26&lt;Header!$C$20,"BELOW MIN PREMIUM","OK"),""))</f>
      </c>
      <c r="BA26" s="48" t="inlineStr">
        <is>
          <t xml:space="preserve">Yes</t>
        </is>
      </c>
      <c r="BB26" s="48" t="inlineStr">
        <is>
          <t xml:space="preserve">Yes</t>
        </is>
      </c>
      <c r="BC26" s="46" t="inlineStr">
        <is>
          <t xml:space="preserve">Synthetic demo data</t>
        </is>
      </c>
      <c r="BE26" s="45">
        <f>IF(OR($A26="",$L26="",$H26=""),"",IF(AND(LEFT($L26,2)="06",$H26&gt;1945),"FAIL - pre-war class, year "&amp;$H26,IF(AND(LEFT($L26,2)="07",OR($H26&lt;1946,$H26&gt;1972)),"FAIL - 1946-72 class, year "&amp;$H26,IF(AND(LEFT($L26,2)="08",OR($H26&lt;1973,$H26&gt;1999)),"FAIL - 1973-99 class, year "&amp;$H26,IF(AND(LEFT($L26,2)="09",OR($H26&lt;2000,$H26&gt;2010)),"FAIL - 2000-10 class, year "&amp;$H26,"OK")))))</f>
      </c>
      <c r="BF26" s="45">
        <f>IF($AD26="","",IF(ROUND($AO26+$AP26+$AQ26-$AD26,2)=0,"OK","FAIL - out by "&amp;TEXT($AO26+$AP26+$AQ26-$AD26,"$0.00")))</f>
      </c>
    </row>
    <row r="27" spans="1:58" ht="18.75" customHeight="1" x14ac:dyDescent="0.25">
      <c r="A27" s="30" t="inlineStr">
        <is>
          <t xml:space="preserve">CANON-202508-000034</t>
        </is>
      </c>
      <c r="B27" s="30" t="inlineStr">
        <is>
          <t xml:space="preserve">Desmond Vasquez</t>
        </is>
      </c>
      <c r="C27" s="31">
        <v>45891</v>
      </c>
      <c r="D27" s="32" t="inlineStr">
        <is>
          <t xml:space="preserve">Bound - within authority</t>
        </is>
      </c>
      <c r="E27" s="32" t="inlineStr">
        <is>
          <t xml:space="preserve">New business</t>
        </is>
      </c>
      <c r="F27" s="30" t="inlineStr">
        <is>
          <t xml:space="preserve">B1234EXOTIC26</t>
        </is>
      </c>
      <c r="G27" s="33">
        <f>IF($A27="","",IF($C27="","",YEAR($C27)))</f>
      </c>
      <c r="H27" s="34">
        <v>2013</v>
      </c>
      <c r="I27" s="30" t="inlineStr">
        <is>
          <t xml:space="preserve">Porsche</t>
        </is>
      </c>
      <c r="J27" s="30" t="inlineStr">
        <is>
          <t xml:space="preserve">911 Turbo S</t>
        </is>
      </c>
      <c r="K27" s="30" t="inlineStr">
        <is>
          <t xml:space="preserve">RJG7LER1KZHE85U4L</t>
        </is>
      </c>
      <c r="L27" s="32" t="inlineStr">
        <is>
          <t xml:space="preserve">02 - Sports / GT</t>
        </is>
      </c>
      <c r="M27" s="35">
        <v>630000</v>
      </c>
      <c r="N27" s="32" t="inlineStr">
        <is>
          <t xml:space="preserve">Personal</t>
        </is>
      </c>
      <c r="O27" s="30" t="inlineStr">
        <is>
          <t xml:space="preserve">Personal - regular use</t>
        </is>
      </c>
      <c r="P27" s="30" t="inlineStr">
        <is>
          <t xml:space="preserve">1,000 - 2,500</t>
        </is>
      </c>
      <c r="Q27" s="30" t="inlineStr">
        <is>
          <t xml:space="preserve">New Mexico</t>
        </is>
      </c>
      <c r="R27" s="30" t="inlineStr">
        <is>
          <t xml:space="preserve">87501</t>
        </is>
      </c>
      <c r="S27" s="32" t="inlineStr">
        <is>
          <t xml:space="preserve">Wildfire - WUI high hazard</t>
        </is>
      </c>
      <c r="T27" s="36">
        <f>IF($A27="","",IF($S27="","",IFERROR(INDEX('[1]natural catastrophe'!$D$6:$D$17,MATCH($S27,'[1]natural catastrophe'!$B$6:$B$17,0)),"?")))</f>
      </c>
      <c r="U27" s="30" t="inlineStr">
        <is>
          <t xml:space="preserve">$5,000</t>
        </is>
      </c>
      <c r="V27" s="32" t="inlineStr">
        <is>
          <t xml:space="preserve">Agreed Value</t>
        </is>
      </c>
      <c r="W27" s="30" t="inlineStr">
        <is>
          <t xml:space="preserve">$1,000</t>
        </is>
      </c>
      <c r="X27" s="32" t="inlineStr">
        <is>
          <t xml:space="preserve">$1,000,000 CSL</t>
        </is>
      </c>
      <c r="Y27" s="30"/>
      <c r="Z27" s="30"/>
      <c r="AA27" s="32" t="inlineStr">
        <is>
          <t xml:space="preserve">Surplus Lines</t>
        </is>
      </c>
      <c r="AB27" s="35">
        <v>9889.81</v>
      </c>
      <c r="AC27" s="37">
        <v>0</v>
      </c>
      <c r="AD27" s="38">
        <f>IF(ISNUMBER($AB27),$AB27*(1+N($AC27)),"")</f>
      </c>
      <c r="AE27" s="35">
        <v>350</v>
      </c>
      <c r="AF27" s="35">
        <v>0</v>
      </c>
      <c r="AG27" s="37"/>
      <c r="AH27" s="39">
        <f>IF(ISNUMBER($AD27),($AD27+$AE27+$AF27)*$AG27,"")</f>
      </c>
      <c r="AI27" s="35"/>
      <c r="AJ27" s="38">
        <f>IF(ISNUMBER($AD27),SUM($AD27:$AH27),"")</f>
      </c>
      <c r="AK27" s="40">
        <f>IF(AND(ISNUMBER($AB27),ISNUMBER($AD27)),IF($AB27&gt;0,$AD27/$AB27,""),"")</f>
      </c>
      <c r="AL27" s="32" t="inlineStr">
        <is>
          <t xml:space="preserve">At technical</t>
        </is>
      </c>
      <c r="AM27" s="41">
        <f>IF(ISNUMBER($AD27),Header!$I$3,"")</f>
      </c>
      <c r="AN27" s="39">
        <f>IF(ISNUMBER($AD27),$AO27+$AP27,"")</f>
      </c>
      <c r="AO27" s="39">
        <f>IF(ISNUMBER($AD27),ROUND($AD27*Header!$K$3,2),"")</f>
      </c>
      <c r="AP27" s="39">
        <f>IF(ISNUMBER($AD27),ROUND($AD27*Header!$M$3,2),"")</f>
      </c>
      <c r="AQ27" s="38">
        <f>IF(ISNUMBER($AD27),ROUND($AD27,2)-$AO27-$AP27,"")</f>
      </c>
      <c r="AR27" s="39">
        <f>IF(ISNUMBER($AD27),IF(Header!$D$34="","?",$AD27*Header!$D$34),"")</f>
      </c>
      <c r="AS27" s="39">
        <f>IF(ISNUMBER($AB27),IF(Header!$D$34="","?",$AB27*Header!$D$34),"")</f>
      </c>
      <c r="AT27" s="42">
        <f>IF(AND(ISNUMBER($AB27),$M27&gt;0),$AB27/$M27*100,"")</f>
      </c>
      <c r="AU27" s="42">
        <f>IF(AND(ISNUMBER($AD27),$M27&gt;0),$AD27/$M27*100,"")</f>
      </c>
      <c r="AV27" s="40">
        <f>IF(AND(ISNUMBER($AB27),ISNUMBER($AD27),ABS($AB27)&gt;0),$AD27/$AB27,"")</f>
      </c>
      <c r="AW27" s="39">
        <f>IF(ISNUMBER($AD27),MAX(0,(1-0.55-Header!$O$3)*Header!$Q$3*$AQ27),"")</f>
      </c>
      <c r="AX27" s="43">
        <f>IF($A27="","",IF(TRIM(IF($A27="","Missing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",""))="","PASS","FAIL: "&amp;TRIM(IF($A27="","Missing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f>
      </c>
      <c r="AY27" s="44">
        <f>IF($M27="","",IF(ISNUMBER($M27),IF($M27&gt;=Header!$C$18,"YES — refer","No"),""))</f>
      </c>
      <c r="AZ27" s="44">
        <f>IF($AD27="","",IF(ISNUMBER($AD27),IF($AD27&lt;Header!$C$20,"BELOW MIN PREMIUM","OK"),""))</f>
      </c>
      <c r="BA27" s="32" t="inlineStr">
        <is>
          <t xml:space="preserve">Yes</t>
        </is>
      </c>
      <c r="BB27" s="32" t="inlineStr">
        <is>
          <t xml:space="preserve">Yes</t>
        </is>
      </c>
      <c r="BC27" s="30" t="inlineStr">
        <is>
          <t xml:space="preserve">Synthetic demo data</t>
        </is>
      </c>
      <c r="BE27" s="45">
        <f>IF(OR($A27="",$L27="",$H27=""),"",IF(AND(LEFT($L27,2)="06",$H27&gt;1945),"FAIL - pre-war class, year "&amp;$H27,IF(AND(LEFT($L27,2)="07",OR($H27&lt;1946,$H27&gt;1972)),"FAIL - 1946-72 class, year "&amp;$H27,IF(AND(LEFT($L27,2)="08",OR($H27&lt;1973,$H27&gt;1999)),"FAIL - 1973-99 class, year "&amp;$H27,IF(AND(LEFT($L27,2)="09",OR($H27&lt;2000,$H27&gt;2010)),"FAIL - 2000-10 class, year "&amp;$H27,"OK")))))</f>
      </c>
      <c r="BF27" s="45">
        <f>IF($AD27="","",IF(ROUND($AO27+$AP27+$AQ27-$AD27,2)=0,"OK","FAIL - out by "&amp;TEXT($AO27+$AP27+$AQ27-$AD27,"$0.00")))</f>
      </c>
    </row>
    <row r="28" spans="1:58" ht="18.75" customHeight="1" x14ac:dyDescent="0.25">
      <c r="A28" s="46" t="inlineStr">
        <is>
          <t xml:space="preserve">CANON-202508-000035</t>
        </is>
      </c>
      <c r="B28" s="46" t="inlineStr">
        <is>
          <t xml:space="preserve">Everett Harrington</t>
        </is>
      </c>
      <c r="C28" s="47">
        <v>45879</v>
      </c>
      <c r="D28" s="48" t="inlineStr">
        <is>
          <t xml:space="preserve">Bound - within authority</t>
        </is>
      </c>
      <c r="E28" s="48" t="inlineStr">
        <is>
          <t xml:space="preserve">New business</t>
        </is>
      </c>
      <c r="F28" s="46" t="inlineStr">
        <is>
          <t xml:space="preserve">B1234EXOTIC26</t>
        </is>
      </c>
      <c r="G28" s="33">
        <f>IF($A28="","",IF($C28="","",YEAR($C28)))</f>
      </c>
      <c r="H28" s="49">
        <v>2000</v>
      </c>
      <c r="I28" s="46" t="inlineStr">
        <is>
          <t xml:space="preserve">Mercedes-Benz</t>
        </is>
      </c>
      <c r="J28" s="46" t="inlineStr">
        <is>
          <t xml:space="preserve">280SL Pagoda</t>
        </is>
      </c>
      <c r="K28" s="46" t="inlineStr">
        <is>
          <t xml:space="preserve">LNTV5W9ML6E6W31WA</t>
        </is>
      </c>
      <c r="L28" s="48" t="inlineStr">
        <is>
          <t xml:space="preserve">09 - Youngtimer / Collectible (2000-2010)</t>
        </is>
      </c>
      <c r="M28" s="50">
        <v>1950000</v>
      </c>
      <c r="N28" s="48" t="inlineStr">
        <is>
          <t xml:space="preserve">Personal</t>
        </is>
      </c>
      <c r="O28" s="46" t="inlineStr">
        <is>
          <t xml:space="preserve">Personal - regular use</t>
        </is>
      </c>
      <c r="P28" s="46" t="inlineStr">
        <is>
          <t xml:space="preserve">1,000 - 2,500</t>
        </is>
      </c>
      <c r="Q28" s="46" t="inlineStr">
        <is>
          <t xml:space="preserve">Delaware</t>
        </is>
      </c>
      <c r="R28" s="46" t="inlineStr">
        <is>
          <t xml:space="preserve">19801</t>
        </is>
      </c>
      <c r="S28" s="48" t="inlineStr">
        <is>
          <t xml:space="preserve">Tier 3 - Coastal wind (25-100 miles)</t>
        </is>
      </c>
      <c r="T28" s="36">
        <f>IF($A28="","",IF($S28="","",IFERROR(INDEX('[1]natural catastrophe'!$D$6:$D$17,MATCH($S28,'[1]natural catastrophe'!$B$6:$B$17,0)),"?")))</f>
      </c>
      <c r="U28" s="46" t="inlineStr">
        <is>
          <t xml:space="preserve">2% of agreed value, minimum $10,000</t>
        </is>
      </c>
      <c r="V28" s="48" t="inlineStr">
        <is>
          <t xml:space="preserve">Agreed Value</t>
        </is>
      </c>
      <c r="W28" s="46" t="inlineStr">
        <is>
          <t xml:space="preserve">$1,000</t>
        </is>
      </c>
      <c r="X28" s="48" t="inlineStr">
        <is>
          <t xml:space="preserve">$1,000,000 CSL</t>
        </is>
      </c>
      <c r="Y28" s="46"/>
      <c r="Z28" s="46"/>
      <c r="AA28" s="48" t="inlineStr">
        <is>
          <t xml:space="preserve">Surplus Lines</t>
        </is>
      </c>
      <c r="AB28" s="50">
        <v>17476.42</v>
      </c>
      <c r="AC28" s="51">
        <v>0</v>
      </c>
      <c r="AD28" s="38">
        <f>IF(ISNUMBER($AB28),$AB28*(1+N($AC28)),"")</f>
      </c>
      <c r="AE28" s="50">
        <v>350</v>
      </c>
      <c r="AF28" s="50">
        <v>250</v>
      </c>
      <c r="AG28" s="51"/>
      <c r="AH28" s="39">
        <f>IF(ISNUMBER($AD28),($AD28+$AE28+$AF28)*$AG28,"")</f>
      </c>
      <c r="AI28" s="50"/>
      <c r="AJ28" s="38">
        <f>IF(ISNUMBER($AD28),SUM($AD28:$AH28),"")</f>
      </c>
      <c r="AK28" s="40">
        <f>IF(AND(ISNUMBER($AB28),ISNUMBER($AD28)),IF($AB28&gt;0,$AD28/$AB28,""),"")</f>
      </c>
      <c r="AL28" s="48" t="inlineStr">
        <is>
          <t xml:space="preserve">At technical</t>
        </is>
      </c>
      <c r="AM28" s="41">
        <f>IF(ISNUMBER($AD28),Header!$I$3,"")</f>
      </c>
      <c r="AN28" s="39">
        <f>IF(ISNUMBER($AD28),$AO28+$AP28,"")</f>
      </c>
      <c r="AO28" s="39">
        <f>IF(ISNUMBER($AD28),ROUND($AD28*Header!$K$3,2),"")</f>
      </c>
      <c r="AP28" s="39">
        <f>IF(ISNUMBER($AD28),ROUND($AD28*Header!$M$3,2),"")</f>
      </c>
      <c r="AQ28" s="38">
        <f>IF(ISNUMBER($AD28),ROUND($AD28,2)-$AO28-$AP28,"")</f>
      </c>
      <c r="AR28" s="39">
        <f>IF(ISNUMBER($AD28),IF(Header!$D$34="","?",$AD28*Header!$D$34),"")</f>
      </c>
      <c r="AS28" s="39">
        <f>IF(ISNUMBER($AB28),IF(Header!$D$34="","?",$AB28*Header!$D$34),"")</f>
      </c>
      <c r="AT28" s="42">
        <f>IF(AND(ISNUMBER($AB28),$M28&gt;0),$AB28/$M28*100,"")</f>
      </c>
      <c r="AU28" s="42">
        <f>IF(AND(ISNUMBER($AD28),$M28&gt;0),$AD28/$M28*100,"")</f>
      </c>
      <c r="AV28" s="40">
        <f>IF(AND(ISNUMBER($AB28),ISNUMBER($AD28),ABS($AB28)&gt;0),$AD28/$AB28,"")</f>
      </c>
      <c r="AW28" s="39">
        <f>IF(ISNUMBER($AD28),MAX(0,(1-0.55-Header!$O$3)*Header!$Q$3*$AQ28),"")</f>
      </c>
      <c r="AX28" s="43">
        <f>IF($A28="","",IF(TRIM(IF($A28="","Missing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",""))="","PASS","FAIL: "&amp;TRIM(IF($A28="","Missing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f>
      </c>
      <c r="AY28" s="44">
        <f>IF($M28="","",IF(ISNUMBER($M28),IF($M28&gt;=Header!$C$18,"YES — refer","No"),""))</f>
      </c>
      <c r="AZ28" s="44">
        <f>IF($AD28="","",IF(ISNUMBER($AD28),IF($AD28&lt;Header!$C$20,"BELOW MIN PREMIUM","OK"),""))</f>
      </c>
      <c r="BA28" s="48" t="inlineStr">
        <is>
          <t xml:space="preserve">Yes</t>
        </is>
      </c>
      <c r="BB28" s="48" t="inlineStr">
        <is>
          <t xml:space="preserve">Yes</t>
        </is>
      </c>
      <c r="BC28" s="46" t="inlineStr">
        <is>
          <t xml:space="preserve">Synthetic demo data</t>
        </is>
      </c>
      <c r="BE28" s="45">
        <f>IF(OR($A28="",$L28="",$H28=""),"",IF(AND(LEFT($L28,2)="06",$H28&gt;1945),"FAIL - pre-war class, year "&amp;$H28,IF(AND(LEFT($L28,2)="07",OR($H28&lt;1946,$H28&gt;1972)),"FAIL - 1946-72 class, year "&amp;$H28,IF(AND(LEFT($L28,2)="08",OR($H28&lt;1973,$H28&gt;1999)),"FAIL - 1973-99 class, year "&amp;$H28,IF(AND(LEFT($L28,2)="09",OR($H28&lt;2000,$H28&gt;2010)),"FAIL - 2000-10 class, year "&amp;$H28,"OK")))))</f>
      </c>
      <c r="BF28" s="45">
        <f>IF($AD28="","",IF(ROUND($AO28+$AP28+$AQ28-$AD28,2)=0,"OK","FAIL - out by "&amp;TEXT($AO28+$AP28+$AQ28-$AD28,"$0.00")))</f>
      </c>
    </row>
    <row r="29" spans="1:58" ht="18.75" customHeight="1" x14ac:dyDescent="0.25">
      <c r="A29" s="30" t="inlineStr">
        <is>
          <t xml:space="preserve">CANON-202508-000036</t>
        </is>
      </c>
      <c r="B29" s="30" t="inlineStr">
        <is>
          <t xml:space="preserve">Beatrix Castellanos</t>
        </is>
      </c>
      <c r="C29" s="31">
        <v>45889</v>
      </c>
      <c r="D29" s="32" t="inlineStr">
        <is>
          <t xml:space="preserve">Bound - within authority</t>
        </is>
      </c>
      <c r="E29" s="32" t="inlineStr">
        <is>
          <t xml:space="preserve">New business</t>
        </is>
      </c>
      <c r="F29" s="30" t="inlineStr">
        <is>
          <t xml:space="preserve">B1234EXOTIC26</t>
        </is>
      </c>
      <c r="G29" s="33">
        <f>IF($A29="","",IF($C29="","",YEAR($C29)))</f>
      </c>
      <c r="H29" s="34">
        <v>2017</v>
      </c>
      <c r="I29" s="30" t="inlineStr">
        <is>
          <t xml:space="preserve">Bentley</t>
        </is>
      </c>
      <c r="J29" s="30" t="inlineStr">
        <is>
          <t xml:space="preserve">Continental GT</t>
        </is>
      </c>
      <c r="K29" s="30" t="inlineStr">
        <is>
          <t xml:space="preserve">1NMR6J0DC2JPBKKRE</t>
        </is>
      </c>
      <c r="L29" s="32" t="inlineStr">
        <is>
          <t xml:space="preserve">02 - Sports / GT</t>
        </is>
      </c>
      <c r="M29" s="35">
        <v>545000</v>
      </c>
      <c r="N29" s="32" t="inlineStr">
        <is>
          <t xml:space="preserve">Personal</t>
        </is>
      </c>
      <c r="O29" s="30" t="inlineStr">
        <is>
          <t xml:space="preserve">Personal - regular use</t>
        </is>
      </c>
      <c r="P29" s="30" t="inlineStr">
        <is>
          <t xml:space="preserve">Under 1,000</t>
        </is>
      </c>
      <c r="Q29" s="30" t="inlineStr">
        <is>
          <t xml:space="preserve">Wyoming</t>
        </is>
      </c>
      <c r="R29" s="30" t="inlineStr">
        <is>
          <t xml:space="preserve">82001</t>
        </is>
      </c>
      <c r="S29" s="32" t="inlineStr">
        <is>
          <t xml:space="preserve">Severe convective - hail alley (high)</t>
        </is>
      </c>
      <c r="T29" s="36">
        <f>IF($A29="","",IF($S29="","",IFERROR(INDEX('[1]natural catastrophe'!$D$6:$D$17,MATCH($S29,'[1]natural catastrophe'!$B$6:$B$17,0)),"?")))</f>
      </c>
      <c r="U29" s="30" t="inlineStr">
        <is>
          <t xml:space="preserve">$5,000</t>
        </is>
      </c>
      <c r="V29" s="32" t="inlineStr">
        <is>
          <t xml:space="preserve">Agreed Value</t>
        </is>
      </c>
      <c r="W29" s="30" t="inlineStr">
        <is>
          <t xml:space="preserve">$1,000</t>
        </is>
      </c>
      <c r="X29" s="32" t="inlineStr">
        <is>
          <t xml:space="preserve">$1,000,000 CSL</t>
        </is>
      </c>
      <c r="Y29" s="30"/>
      <c r="Z29" s="30"/>
      <c r="AA29" s="32" t="inlineStr">
        <is>
          <t xml:space="preserve">Surplus Lines</t>
        </is>
      </c>
      <c r="AB29" s="35">
        <v>7151.84</v>
      </c>
      <c r="AC29" s="37">
        <v>0</v>
      </c>
      <c r="AD29" s="38">
        <f>IF(ISNUMBER($AB29),$AB29*(1+N($AC29)),"")</f>
      </c>
      <c r="AE29" s="35">
        <v>350</v>
      </c>
      <c r="AF29" s="35">
        <v>0</v>
      </c>
      <c r="AG29" s="37"/>
      <c r="AH29" s="39">
        <f>IF(ISNUMBER($AD29),($AD29+$AE29+$AF29)*$AG29,"")</f>
      </c>
      <c r="AI29" s="35"/>
      <c r="AJ29" s="38">
        <f>IF(ISNUMBER($AD29),SUM($AD29:$AH29),"")</f>
      </c>
      <c r="AK29" s="40">
        <f>IF(AND(ISNUMBER($AB29),ISNUMBER($AD29)),IF($AB29&gt;0,$AD29/$AB29,""),"")</f>
      </c>
      <c r="AL29" s="32" t="inlineStr">
        <is>
          <t xml:space="preserve">At technical</t>
        </is>
      </c>
      <c r="AM29" s="41">
        <f>IF(ISNUMBER($AD29),Header!$I$3,"")</f>
      </c>
      <c r="AN29" s="39">
        <f>IF(ISNUMBER($AD29),$AO29+$AP29,"")</f>
      </c>
      <c r="AO29" s="39">
        <f>IF(ISNUMBER($AD29),ROUND($AD29*Header!$K$3,2),"")</f>
      </c>
      <c r="AP29" s="39">
        <f>IF(ISNUMBER($AD29),ROUND($AD29*Header!$M$3,2),"")</f>
      </c>
      <c r="AQ29" s="38">
        <f>IF(ISNUMBER($AD29),ROUND($AD29,2)-$AO29-$AP29,"")</f>
      </c>
      <c r="AR29" s="39">
        <f>IF(ISNUMBER($AD29),IF(Header!$D$34="","?",$AD29*Header!$D$34),"")</f>
      </c>
      <c r="AS29" s="39">
        <f>IF(ISNUMBER($AB29),IF(Header!$D$34="","?",$AB29*Header!$D$34),"")</f>
      </c>
      <c r="AT29" s="42">
        <f>IF(AND(ISNUMBER($AB29),$M29&gt;0),$AB29/$M29*100,"")</f>
      </c>
      <c r="AU29" s="42">
        <f>IF(AND(ISNUMBER($AD29),$M29&gt;0),$AD29/$M29*100,"")</f>
      </c>
      <c r="AV29" s="40">
        <f>IF(AND(ISNUMBER($AB29),ISNUMBER($AD29),ABS($AB29)&gt;0),$AD29/$AB29,"")</f>
      </c>
      <c r="AW29" s="39">
        <f>IF(ISNUMBER($AD29),MAX(0,(1-0.55-Header!$O$3)*Header!$Q$3*$AQ29),"")</f>
      </c>
      <c r="AX29" s="43">
        <f>IF($A29="","",IF(TRIM(IF($A29="","Missing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",""))="","PASS","FAIL: "&amp;TRIM(IF($A29="","Missing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f>
      </c>
      <c r="AY29" s="44">
        <f>IF($M29="","",IF(ISNUMBER($M29),IF($M29&gt;=Header!$C$18,"YES — refer","No"),""))</f>
      </c>
      <c r="AZ29" s="44">
        <f>IF($AD29="","",IF(ISNUMBER($AD29),IF($AD29&lt;Header!$C$20,"BELOW MIN PREMIUM","OK"),""))</f>
      </c>
      <c r="BA29" s="32" t="inlineStr">
        <is>
          <t xml:space="preserve">Yes</t>
        </is>
      </c>
      <c r="BB29" s="32" t="inlineStr">
        <is>
          <t xml:space="preserve">Yes</t>
        </is>
      </c>
      <c r="BC29" s="30" t="inlineStr">
        <is>
          <t xml:space="preserve">Synthetic demo data</t>
        </is>
      </c>
      <c r="BE29" s="45">
        <f>IF(OR($A29="",$L29="",$H29=""),"",IF(AND(LEFT($L29,2)="06",$H29&gt;1945),"FAIL - pre-war class, year "&amp;$H29,IF(AND(LEFT($L29,2)="07",OR($H29&lt;1946,$H29&gt;1972)),"FAIL - 1946-72 class, year "&amp;$H29,IF(AND(LEFT($L29,2)="08",OR($H29&lt;1973,$H29&gt;1999)),"FAIL - 1973-99 class, year "&amp;$H29,IF(AND(LEFT($L29,2)="09",OR($H29&lt;2000,$H29&gt;2010)),"FAIL - 2000-10 class, year "&amp;$H29,"OK")))))</f>
      </c>
      <c r="BF29" s="45">
        <f>IF($AD29="","",IF(ROUND($AO29+$AP29+$AQ29-$AD29,2)=0,"OK","FAIL - out by "&amp;TEXT($AO29+$AP29+$AQ29-$AD29,"$0.00")))</f>
      </c>
    </row>
    <row r="30" spans="1:58" ht="18.75" customHeight="1" x14ac:dyDescent="0.25">
      <c r="A30" s="46" t="inlineStr">
        <is>
          <t xml:space="preserve">CANON-202508-000037</t>
        </is>
      </c>
      <c r="B30" s="46" t="inlineStr">
        <is>
          <t xml:space="preserve">Everett Vandermeer</t>
        </is>
      </c>
      <c r="C30" s="47">
        <v>45895</v>
      </c>
      <c r="D30" s="48" t="inlineStr">
        <is>
          <t xml:space="preserve">Bound - within authority</t>
        </is>
      </c>
      <c r="E30" s="48" t="inlineStr">
        <is>
          <t xml:space="preserve">New business</t>
        </is>
      </c>
      <c r="F30" s="46" t="inlineStr">
        <is>
          <t xml:space="preserve">B1234EXOTIC26</t>
        </is>
      </c>
      <c r="G30" s="33">
        <f>IF($A30="","",IF($C30="","",YEAR($C30)))</f>
      </c>
      <c r="H30" s="49">
        <v>1977</v>
      </c>
      <c r="I30" s="46" t="inlineStr">
        <is>
          <t xml:space="preserve">Ringbrothers</t>
        </is>
      </c>
      <c r="J30" s="46" t="inlineStr">
        <is>
          <t xml:space="preserve">Mustang</t>
        </is>
      </c>
      <c r="K30" s="46" t="inlineStr">
        <is>
          <t xml:space="preserve">G16ZM2C65C9RP477A</t>
        </is>
      </c>
      <c r="L30" s="48" t="inlineStr">
        <is>
          <t xml:space="preserve">11 - Restomod / Coachbuilt / Bespoke</t>
        </is>
      </c>
      <c r="M30" s="50">
        <v>380000</v>
      </c>
      <c r="N30" s="48" t="inlineStr">
        <is>
          <t xml:space="preserve">Personal</t>
        </is>
      </c>
      <c r="O30" s="46" t="inlineStr">
        <is>
          <t xml:space="preserve">Personal - regular use</t>
        </is>
      </c>
      <c r="P30" s="46" t="inlineStr">
        <is>
          <t xml:space="preserve">Under 1,000</t>
        </is>
      </c>
      <c r="Q30" s="46" t="inlineStr">
        <is>
          <t xml:space="preserve">Washington</t>
        </is>
      </c>
      <c r="R30" s="46" t="inlineStr">
        <is>
          <t xml:space="preserve">98101</t>
        </is>
      </c>
      <c r="S30" s="48" t="inlineStr">
        <is>
          <t xml:space="preserve">Earthquake - high (CA, Cascadia, New Madrid)</t>
        </is>
      </c>
      <c r="T30" s="36">
        <f>IF($A30="","",IF($S30="","",IFERROR(INDEX('[1]natural catastrophe'!$D$6:$D$17,MATCH($S30,'[1]natural catastrophe'!$B$6:$B$17,0)),"?")))</f>
      </c>
      <c r="U30" s="46" t="inlineStr">
        <is>
          <t xml:space="preserve">$5,000</t>
        </is>
      </c>
      <c r="V30" s="48" t="inlineStr">
        <is>
          <t xml:space="preserve">Agreed Value</t>
        </is>
      </c>
      <c r="W30" s="46" t="inlineStr">
        <is>
          <t xml:space="preserve">$1,000</t>
        </is>
      </c>
      <c r="X30" s="48" t="inlineStr">
        <is>
          <t xml:space="preserve">$1,000,000 CSL</t>
        </is>
      </c>
      <c r="Y30" s="46"/>
      <c r="Z30" s="46"/>
      <c r="AA30" s="48" t="inlineStr">
        <is>
          <t xml:space="preserve">Surplus Lines</t>
        </is>
      </c>
      <c r="AB30" s="50">
        <v>6057.06</v>
      </c>
      <c r="AC30" s="51">
        <v>0</v>
      </c>
      <c r="AD30" s="38">
        <f>IF(ISNUMBER($AB30),$AB30*(1+N($AC30)),"")</f>
      </c>
      <c r="AE30" s="50">
        <v>350</v>
      </c>
      <c r="AF30" s="50">
        <v>0</v>
      </c>
      <c r="AG30" s="51"/>
      <c r="AH30" s="39">
        <f>IF(ISNUMBER($AD30),($AD30+$AE30+$AF30)*$AG30,"")</f>
      </c>
      <c r="AI30" s="50"/>
      <c r="AJ30" s="38">
        <f>IF(ISNUMBER($AD30),SUM($AD30:$AH30),"")</f>
      </c>
      <c r="AK30" s="40">
        <f>IF(AND(ISNUMBER($AB30),ISNUMBER($AD30)),IF($AB30&gt;0,$AD30/$AB30,""),"")</f>
      </c>
      <c r="AL30" s="48" t="inlineStr">
        <is>
          <t xml:space="preserve">At technical</t>
        </is>
      </c>
      <c r="AM30" s="41">
        <f>IF(ISNUMBER($AD30),Header!$I$3,"")</f>
      </c>
      <c r="AN30" s="39">
        <f>IF(ISNUMBER($AD30),$AO30+$AP30,"")</f>
      </c>
      <c r="AO30" s="39">
        <f>IF(ISNUMBER($AD30),ROUND($AD30*Header!$K$3,2),"")</f>
      </c>
      <c r="AP30" s="39">
        <f>IF(ISNUMBER($AD30),ROUND($AD30*Header!$M$3,2),"")</f>
      </c>
      <c r="AQ30" s="38">
        <f>IF(ISNUMBER($AD30),ROUND($AD30,2)-$AO30-$AP30,"")</f>
      </c>
      <c r="AR30" s="39">
        <f>IF(ISNUMBER($AD30),IF(Header!$D$34="","?",$AD30*Header!$D$34),"")</f>
      </c>
      <c r="AS30" s="39">
        <f>IF(ISNUMBER($AB30),IF(Header!$D$34="","?",$AB30*Header!$D$34),"")</f>
      </c>
      <c r="AT30" s="42">
        <f>IF(AND(ISNUMBER($AB30),$M30&gt;0),$AB30/$M30*100,"")</f>
      </c>
      <c r="AU30" s="42">
        <f>IF(AND(ISNUMBER($AD30),$M30&gt;0),$AD30/$M30*100,"")</f>
      </c>
      <c r="AV30" s="40">
        <f>IF(AND(ISNUMBER($AB30),ISNUMBER($AD30),ABS($AB30)&gt;0),$AD30/$AB30,"")</f>
      </c>
      <c r="AW30" s="39">
        <f>IF(ISNUMBER($AD30),MAX(0,(1-0.55-Header!$O$3)*Header!$Q$3*$AQ30),"")</f>
      </c>
      <c r="AX30" s="43">
        <f>IF($A30="","",IF(TRIM(IF($A30="","Missing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",""))="","PASS","FAIL: "&amp;TRIM(IF($A30="","Missing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f>
      </c>
      <c r="AY30" s="44">
        <f>IF($M30="","",IF(ISNUMBER($M30),IF($M30&gt;=Header!$C$18,"YES — refer","No"),""))</f>
      </c>
      <c r="AZ30" s="44">
        <f>IF($AD30="","",IF(ISNUMBER($AD30),IF($AD30&lt;Header!$C$20,"BELOW MIN PREMIUM","OK"),""))</f>
      </c>
      <c r="BA30" s="48" t="inlineStr">
        <is>
          <t xml:space="preserve">Yes</t>
        </is>
      </c>
      <c r="BB30" s="48" t="inlineStr">
        <is>
          <t xml:space="preserve">Yes</t>
        </is>
      </c>
      <c r="BC30" s="46" t="inlineStr">
        <is>
          <t xml:space="preserve">Synthetic demo data</t>
        </is>
      </c>
      <c r="BE30" s="45">
        <f>IF(OR($A30="",$L30="",$H30=""),"",IF(AND(LEFT($L30,2)="06",$H30&gt;1945),"FAIL - pre-war class, year "&amp;$H30,IF(AND(LEFT($L30,2)="07",OR($H30&lt;1946,$H30&gt;1972)),"FAIL - 1946-72 class, year "&amp;$H30,IF(AND(LEFT($L30,2)="08",OR($H30&lt;1973,$H30&gt;1999)),"FAIL - 1973-99 class, year "&amp;$H30,IF(AND(LEFT($L30,2)="09",OR($H30&lt;2000,$H30&gt;2010)),"FAIL - 2000-10 class, year "&amp;$H30,"OK")))))</f>
      </c>
      <c r="BF30" s="45">
        <f>IF($AD30="","",IF(ROUND($AO30+$AP30+$AQ30-$AD30,2)=0,"OK","FAIL - out by "&amp;TEXT($AO30+$AP30+$AQ30-$AD30,"$0.00")))</f>
      </c>
    </row>
    <row r="31" spans="1:58" ht="18.75" customHeight="1" x14ac:dyDescent="0.25">
      <c r="A31" s="30" t="inlineStr">
        <is>
          <t xml:space="preserve">CANON-202508-000038</t>
        </is>
      </c>
      <c r="B31" s="30" t="inlineStr">
        <is>
          <t xml:space="preserve">Wilhelmina Ashcombe</t>
        </is>
      </c>
      <c r="C31" s="31">
        <v>45876</v>
      </c>
      <c r="D31" s="32" t="inlineStr">
        <is>
          <t xml:space="preserve">Bound - within authority</t>
        </is>
      </c>
      <c r="E31" s="32" t="inlineStr">
        <is>
          <t xml:space="preserve">New business</t>
        </is>
      </c>
      <c r="F31" s="30" t="inlineStr">
        <is>
          <t xml:space="preserve">B1234EXOTIC26</t>
        </is>
      </c>
      <c r="G31" s="33">
        <f>IF($A31="","",IF($C31="","",YEAR($C31)))</f>
      </c>
      <c r="H31" s="34">
        <v>1988</v>
      </c>
      <c r="I31" s="30" t="inlineStr">
        <is>
          <t xml:space="preserve">Bentley</t>
        </is>
      </c>
      <c r="J31" s="30" t="inlineStr">
        <is>
          <t xml:space="preserve">4.5 Litre</t>
        </is>
      </c>
      <c r="K31" s="30" t="inlineStr">
        <is>
          <t xml:space="preserve">G7HM7R0VGGZ54RB7J</t>
        </is>
      </c>
      <c r="L31" s="32" t="inlineStr">
        <is>
          <t xml:space="preserve">08 - Modern Classic (1973-1999)</t>
        </is>
      </c>
      <c r="M31" s="35">
        <v>1950000</v>
      </c>
      <c r="N31" s="32" t="inlineStr">
        <is>
          <t xml:space="preserve">Personal</t>
        </is>
      </c>
      <c r="O31" s="30" t="inlineStr">
        <is>
          <t xml:space="preserve">Personal - regular use</t>
        </is>
      </c>
      <c r="P31" s="30" t="inlineStr">
        <is>
          <t xml:space="preserve">2,500 - 5,000</t>
        </is>
      </c>
      <c r="Q31" s="30" t="inlineStr">
        <is>
          <t xml:space="preserve">Michigan</t>
        </is>
      </c>
      <c r="R31" s="30" t="inlineStr">
        <is>
          <t xml:space="preserve">48226</t>
        </is>
      </c>
      <c r="S31" s="32" t="inlineStr">
        <is>
          <t xml:space="preserve">Severe convective - hail / tornado (moderate)</t>
        </is>
      </c>
      <c r="T31" s="36">
        <f>IF($A31="","",IF($S31="","",IFERROR(INDEX('[1]natural catastrophe'!$D$6:$D$17,MATCH($S31,'[1]natural catastrophe'!$B$6:$B$17,0)),"?")))</f>
      </c>
      <c r="U31" s="30" t="inlineStr">
        <is>
          <t xml:space="preserve">$5,000</t>
        </is>
      </c>
      <c r="V31" s="32" t="inlineStr">
        <is>
          <t xml:space="preserve">Agreed Value</t>
        </is>
      </c>
      <c r="W31" s="30" t="inlineStr">
        <is>
          <t xml:space="preserve">$1,000</t>
        </is>
      </c>
      <c r="X31" s="32" t="inlineStr">
        <is>
          <t xml:space="preserve">$1,000,000 CSL</t>
        </is>
      </c>
      <c r="Y31" s="30"/>
      <c r="Z31" s="30"/>
      <c r="AA31" s="32" t="inlineStr">
        <is>
          <t xml:space="preserve">Surplus Lines</t>
        </is>
      </c>
      <c r="AB31" s="35">
        <v>19389.62</v>
      </c>
      <c r="AC31" s="37">
        <v>0</v>
      </c>
      <c r="AD31" s="38">
        <f>IF(ISNUMBER($AB31),$AB31*(1+N($AC31)),"")</f>
      </c>
      <c r="AE31" s="35">
        <v>350</v>
      </c>
      <c r="AF31" s="35">
        <v>250</v>
      </c>
      <c r="AG31" s="37"/>
      <c r="AH31" s="39">
        <f>IF(ISNUMBER($AD31),($AD31+$AE31+$AF31)*$AG31,"")</f>
      </c>
      <c r="AI31" s="35"/>
      <c r="AJ31" s="38">
        <f>IF(ISNUMBER($AD31),SUM($AD31:$AH31),"")</f>
      </c>
      <c r="AK31" s="40">
        <f>IF(AND(ISNUMBER($AB31),ISNUMBER($AD31)),IF($AB31&gt;0,$AD31/$AB31,""),"")</f>
      </c>
      <c r="AL31" s="32" t="inlineStr">
        <is>
          <t xml:space="preserve">At technical</t>
        </is>
      </c>
      <c r="AM31" s="41">
        <f>IF(ISNUMBER($AD31),Header!$I$3,"")</f>
      </c>
      <c r="AN31" s="39">
        <f>IF(ISNUMBER($AD31),$AO31+$AP31,"")</f>
      </c>
      <c r="AO31" s="39">
        <f>IF(ISNUMBER($AD31),ROUND($AD31*Header!$K$3,2),"")</f>
      </c>
      <c r="AP31" s="39">
        <f>IF(ISNUMBER($AD31),ROUND($AD31*Header!$M$3,2),"")</f>
      </c>
      <c r="AQ31" s="38">
        <f>IF(ISNUMBER($AD31),ROUND($AD31,2)-$AO31-$AP31,"")</f>
      </c>
      <c r="AR31" s="39">
        <f>IF(ISNUMBER($AD31),IF(Header!$D$34="","?",$AD31*Header!$D$34),"")</f>
      </c>
      <c r="AS31" s="39">
        <f>IF(ISNUMBER($AB31),IF(Header!$D$34="","?",$AB31*Header!$D$34),"")</f>
      </c>
      <c r="AT31" s="42">
        <f>IF(AND(ISNUMBER($AB31),$M31&gt;0),$AB31/$M31*100,"")</f>
      </c>
      <c r="AU31" s="42">
        <f>IF(AND(ISNUMBER($AD31),$M31&gt;0),$AD31/$M31*100,"")</f>
      </c>
      <c r="AV31" s="40">
        <f>IF(AND(ISNUMBER($AB31),ISNUMBER($AD31),ABS($AB31)&gt;0),$AD31/$AB31,"")</f>
      </c>
      <c r="AW31" s="39">
        <f>IF(ISNUMBER($AD31),MAX(0,(1-0.55-Header!$O$3)*Header!$Q$3*$AQ31),"")</f>
      </c>
      <c r="AX31" s="43">
        <f>IF($A31="","",IF(TRIM(IF($A31="","Missing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",""))="","PASS","FAIL: "&amp;TRIM(IF($A31="","Missing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f>
      </c>
      <c r="AY31" s="44">
        <f>IF($M31="","",IF(ISNUMBER($M31),IF($M31&gt;=Header!$C$18,"YES — refer","No"),""))</f>
      </c>
      <c r="AZ31" s="44">
        <f>IF($AD31="","",IF(ISNUMBER($AD31),IF($AD31&lt;Header!$C$20,"BELOW MIN PREMIUM","OK"),""))</f>
      </c>
      <c r="BA31" s="32" t="inlineStr">
        <is>
          <t xml:space="preserve">Yes</t>
        </is>
      </c>
      <c r="BB31" s="32" t="inlineStr">
        <is>
          <t xml:space="preserve">Yes</t>
        </is>
      </c>
      <c r="BC31" s="30" t="inlineStr">
        <is>
          <t xml:space="preserve">Synthetic demo data</t>
        </is>
      </c>
      <c r="BE31" s="45">
        <f>IF(OR($A31="",$L31="",$H31=""),"",IF(AND(LEFT($L31,2)="06",$H31&gt;1945),"FAIL - pre-war class, year "&amp;$H31,IF(AND(LEFT($L31,2)="07",OR($H31&lt;1946,$H31&gt;1972)),"FAIL - 1946-72 class, year "&amp;$H31,IF(AND(LEFT($L31,2)="08",OR($H31&lt;1973,$H31&gt;1999)),"FAIL - 1973-99 class, year "&amp;$H31,IF(AND(LEFT($L31,2)="09",OR($H31&lt;2000,$H31&gt;2010)),"FAIL - 2000-10 class, year "&amp;$H31,"OK")))))</f>
      </c>
      <c r="BF31" s="45">
        <f>IF($AD31="","",IF(ROUND($AO31+$AP31+$AQ31-$AD31,2)=0,"OK","FAIL - out by "&amp;TEXT($AO31+$AP31+$AQ31-$AD31,"$0.00")))</f>
      </c>
    </row>
    <row r="32" spans="1:58" ht="18.75" customHeight="1" x14ac:dyDescent="0.25">
      <c r="A32" s="46" t="inlineStr">
        <is>
          <t xml:space="preserve">CANON-202508-000039</t>
        </is>
      </c>
      <c r="B32" s="46" t="inlineStr">
        <is>
          <t xml:space="preserve">Horace Vandermeer</t>
        </is>
      </c>
      <c r="C32" s="47">
        <v>45877</v>
      </c>
      <c r="D32" s="48" t="inlineStr">
        <is>
          <t xml:space="preserve">Bound - within authority</t>
        </is>
      </c>
      <c r="E32" s="48" t="inlineStr">
        <is>
          <t xml:space="preserve">New business</t>
        </is>
      </c>
      <c r="F32" s="46" t="inlineStr">
        <is>
          <t xml:space="preserve">B1234EXOTIC26</t>
        </is>
      </c>
      <c r="G32" s="33">
        <f>IF($A32="","",IF($C32="","",YEAR($C32)))</f>
      </c>
      <c r="H32" s="49">
        <v>1973</v>
      </c>
      <c r="I32" s="46" t="inlineStr">
        <is>
          <t xml:space="preserve">Aston Martin</t>
        </is>
      </c>
      <c r="J32" s="46" t="inlineStr">
        <is>
          <t xml:space="preserve">DB12</t>
        </is>
      </c>
      <c r="K32" s="46" t="inlineStr">
        <is>
          <t xml:space="preserve">7BWGC6D9WWSKK37RX</t>
        </is>
      </c>
      <c r="L32" s="48" t="inlineStr">
        <is>
          <t xml:space="preserve">02 - Sports / GT</t>
        </is>
      </c>
      <c r="M32" s="50">
        <v>495000</v>
      </c>
      <c r="N32" s="48" t="inlineStr">
        <is>
          <t xml:space="preserve">Personal</t>
        </is>
      </c>
      <c r="O32" s="46" t="inlineStr">
        <is>
          <t xml:space="preserve">Personal - regular use</t>
        </is>
      </c>
      <c r="P32" s="46" t="inlineStr">
        <is>
          <t xml:space="preserve">1,000 - 2,500</t>
        </is>
      </c>
      <c r="Q32" s="46" t="inlineStr">
        <is>
          <t xml:space="preserve">Florida</t>
        </is>
      </c>
      <c r="R32" s="46" t="inlineStr">
        <is>
          <t xml:space="preserve">33139</t>
        </is>
      </c>
      <c r="S32" s="48" t="inlineStr">
        <is>
          <t xml:space="preserve">Tier 2 - Coastal wind (1-25 miles)</t>
        </is>
      </c>
      <c r="T32" s="36">
        <f>IF($A32="","",IF($S32="","",IFERROR(INDEX('[1]natural catastrophe'!$D$6:$D$17,MATCH($S32,'[1]natural catastrophe'!$B$6:$B$17,0)),"?")))</f>
      </c>
      <c r="U32" s="46" t="inlineStr">
        <is>
          <t xml:space="preserve">2% of agreed value, minimum $10,000</t>
        </is>
      </c>
      <c r="V32" s="48" t="inlineStr">
        <is>
          <t xml:space="preserve">Agreed Value</t>
        </is>
      </c>
      <c r="W32" s="46" t="inlineStr">
        <is>
          <t xml:space="preserve">$1,000</t>
        </is>
      </c>
      <c r="X32" s="48" t="inlineStr">
        <is>
          <t xml:space="preserve">$1,000,000 CSL</t>
        </is>
      </c>
      <c r="Y32" s="46"/>
      <c r="Z32" s="46"/>
      <c r="AA32" s="48" t="inlineStr">
        <is>
          <t xml:space="preserve">Surplus Lines</t>
        </is>
      </c>
      <c r="AB32" s="50">
        <v>9946.7</v>
      </c>
      <c r="AC32" s="51">
        <v>0</v>
      </c>
      <c r="AD32" s="38">
        <f>IF(ISNUMBER($AB32),$AB32*(1+N($AC32)),"")</f>
      </c>
      <c r="AE32" s="50">
        <v>350</v>
      </c>
      <c r="AF32" s="50">
        <v>0</v>
      </c>
      <c r="AG32" s="51"/>
      <c r="AH32" s="39">
        <f>IF(ISNUMBER($AD32),($AD32+$AE32+$AF32)*$AG32,"")</f>
      </c>
      <c r="AI32" s="50"/>
      <c r="AJ32" s="38">
        <f>IF(ISNUMBER($AD32),SUM($AD32:$AH32),"")</f>
      </c>
      <c r="AK32" s="40">
        <f>IF(AND(ISNUMBER($AB32),ISNUMBER($AD32)),IF($AB32&gt;0,$AD32/$AB32,""),"")</f>
      </c>
      <c r="AL32" s="48" t="inlineStr">
        <is>
          <t xml:space="preserve">At technical</t>
        </is>
      </c>
      <c r="AM32" s="41">
        <f>IF(ISNUMBER($AD32),Header!$I$3,"")</f>
      </c>
      <c r="AN32" s="39">
        <f>IF(ISNUMBER($AD32),$AO32+$AP32,"")</f>
      </c>
      <c r="AO32" s="39">
        <f>IF(ISNUMBER($AD32),ROUND($AD32*Header!$K$3,2),"")</f>
      </c>
      <c r="AP32" s="39">
        <f>IF(ISNUMBER($AD32),ROUND($AD32*Header!$M$3,2),"")</f>
      </c>
      <c r="AQ32" s="38">
        <f>IF(ISNUMBER($AD32),ROUND($AD32,2)-$AO32-$AP32,"")</f>
      </c>
      <c r="AR32" s="39">
        <f>IF(ISNUMBER($AD32),IF(Header!$D$34="","?",$AD32*Header!$D$34),"")</f>
      </c>
      <c r="AS32" s="39">
        <f>IF(ISNUMBER($AB32),IF(Header!$D$34="","?",$AB32*Header!$D$34),"")</f>
      </c>
      <c r="AT32" s="42">
        <f>IF(AND(ISNUMBER($AB32),$M32&gt;0),$AB32/$M32*100,"")</f>
      </c>
      <c r="AU32" s="42">
        <f>IF(AND(ISNUMBER($AD32),$M32&gt;0),$AD32/$M32*100,"")</f>
      </c>
      <c r="AV32" s="40">
        <f>IF(AND(ISNUMBER($AB32),ISNUMBER($AD32),ABS($AB32)&gt;0),$AD32/$AB32,"")</f>
      </c>
      <c r="AW32" s="39">
        <f>IF(ISNUMBER($AD32),MAX(0,(1-0.55-Header!$O$3)*Header!$Q$3*$AQ32),"")</f>
      </c>
      <c r="AX32" s="43">
        <f>IF($A32="","",IF(TRIM(IF($A32="","Missing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",""))="","PASS","FAIL: "&amp;TRIM(IF($A32="","Missing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f>
      </c>
      <c r="AY32" s="44">
        <f>IF($M32="","",IF(ISNUMBER($M32),IF($M32&gt;=Header!$C$18,"YES — refer","No"),""))</f>
      </c>
      <c r="AZ32" s="44">
        <f>IF($AD32="","",IF(ISNUMBER($AD32),IF($AD32&lt;Header!$C$20,"BELOW MIN PREMIUM","OK"),""))</f>
      </c>
      <c r="BA32" s="48" t="inlineStr">
        <is>
          <t xml:space="preserve">Yes</t>
        </is>
      </c>
      <c r="BB32" s="48" t="inlineStr">
        <is>
          <t xml:space="preserve">Yes</t>
        </is>
      </c>
      <c r="BC32" s="46" t="inlineStr">
        <is>
          <t xml:space="preserve">Synthetic demo data</t>
        </is>
      </c>
      <c r="BE32" s="45">
        <f>IF(OR($A32="",$L32="",$H32=""),"",IF(AND(LEFT($L32,2)="06",$H32&gt;1945),"FAIL - pre-war class, year "&amp;$H32,IF(AND(LEFT($L32,2)="07",OR($H32&lt;1946,$H32&gt;1972)),"FAIL - 1946-72 class, year "&amp;$H32,IF(AND(LEFT($L32,2)="08",OR($H32&lt;1973,$H32&gt;1999)),"FAIL - 1973-99 class, year "&amp;$H32,IF(AND(LEFT($L32,2)="09",OR($H32&lt;2000,$H32&gt;2010)),"FAIL - 2000-10 class, year "&amp;$H32,"OK")))))</f>
      </c>
      <c r="BF32" s="45">
        <f>IF($AD32="","",IF(ROUND($AO32+$AP32+$AQ32-$AD32,2)=0,"OK","FAIL - out by "&amp;TEXT($AO32+$AP32+$AQ32-$AD32,"$0.00")))</f>
      </c>
    </row>
    <row r="33" spans="1:58" ht="18.75" customHeight="1" x14ac:dyDescent="0.25">
      <c r="A33" s="30" t="inlineStr">
        <is>
          <t xml:space="preserve">CANON-202508-000040</t>
        </is>
      </c>
      <c r="B33" s="30" t="inlineStr">
        <is>
          <t xml:space="preserve">Lorenzo Ashcombe</t>
        </is>
      </c>
      <c r="C33" s="31">
        <v>45883</v>
      </c>
      <c r="D33" s="32" t="inlineStr">
        <is>
          <t xml:space="preserve">Bound - within authority</t>
        </is>
      </c>
      <c r="E33" s="32" t="inlineStr">
        <is>
          <t xml:space="preserve">New business</t>
        </is>
      </c>
      <c r="F33" s="30" t="inlineStr">
        <is>
          <t xml:space="preserve">B1234EXOTIC26</t>
        </is>
      </c>
      <c r="G33" s="33">
        <f>IF($A33="","",IF($C33="","",YEAR($C33)))</f>
      </c>
      <c r="H33" s="34">
        <v>2001</v>
      </c>
      <c r="I33" s="30" t="inlineStr">
        <is>
          <t xml:space="preserve">Aston Martin</t>
        </is>
      </c>
      <c r="J33" s="30" t="inlineStr">
        <is>
          <t xml:space="preserve">DB12</t>
        </is>
      </c>
      <c r="K33" s="30" t="inlineStr">
        <is>
          <t xml:space="preserve">MR15CUNZHPN63JMLA</t>
        </is>
      </c>
      <c r="L33" s="32" t="inlineStr">
        <is>
          <t xml:space="preserve">02 - Sports / GT</t>
        </is>
      </c>
      <c r="M33" s="35">
        <v>435000</v>
      </c>
      <c r="N33" s="32" t="inlineStr">
        <is>
          <t xml:space="preserve">Personal</t>
        </is>
      </c>
      <c r="O33" s="30" t="inlineStr">
        <is>
          <t xml:space="preserve">Personal - regular use</t>
        </is>
      </c>
      <c r="P33" s="30" t="inlineStr">
        <is>
          <t xml:space="preserve">1,000 - 2,500</t>
        </is>
      </c>
      <c r="Q33" s="30" t="inlineStr">
        <is>
          <t xml:space="preserve">Wyoming</t>
        </is>
      </c>
      <c r="R33" s="30" t="inlineStr">
        <is>
          <t xml:space="preserve">82001</t>
        </is>
      </c>
      <c r="S33" s="32" t="inlineStr">
        <is>
          <t xml:space="preserve">Severe convective - hail alley (high)</t>
        </is>
      </c>
      <c r="T33" s="36">
        <f>IF($A33="","",IF($S33="","",IFERROR(INDEX('[1]natural catastrophe'!$D$6:$D$17,MATCH($S33,'[1]natural catastrophe'!$B$6:$B$17,0)),"?")))</f>
      </c>
      <c r="U33" s="30" t="inlineStr">
        <is>
          <t xml:space="preserve">$5,000</t>
        </is>
      </c>
      <c r="V33" s="32" t="inlineStr">
        <is>
          <t xml:space="preserve">Agreed Value</t>
        </is>
      </c>
      <c r="W33" s="30" t="inlineStr">
        <is>
          <t xml:space="preserve">$1,000</t>
        </is>
      </c>
      <c r="X33" s="32" t="inlineStr">
        <is>
          <t xml:space="preserve">$1,000,000 CSL</t>
        </is>
      </c>
      <c r="Y33" s="30"/>
      <c r="Z33" s="30"/>
      <c r="AA33" s="32" t="inlineStr">
        <is>
          <t xml:space="preserve">Surplus Lines</t>
        </is>
      </c>
      <c r="AB33" s="35">
        <v>6586.56</v>
      </c>
      <c r="AC33" s="37">
        <v>0</v>
      </c>
      <c r="AD33" s="38">
        <f>IF(ISNUMBER($AB33),$AB33*(1+N($AC33)),"")</f>
      </c>
      <c r="AE33" s="35">
        <v>350</v>
      </c>
      <c r="AF33" s="35">
        <v>0</v>
      </c>
      <c r="AG33" s="37"/>
      <c r="AH33" s="39">
        <f>IF(ISNUMBER($AD33),($AD33+$AE33+$AF33)*$AG33,"")</f>
      </c>
      <c r="AI33" s="35"/>
      <c r="AJ33" s="38">
        <f>IF(ISNUMBER($AD33),SUM($AD33:$AH33),"")</f>
      </c>
      <c r="AK33" s="40">
        <f>IF(AND(ISNUMBER($AB33),ISNUMBER($AD33)),IF($AB33&gt;0,$AD33/$AB33,""),"")</f>
      </c>
      <c r="AL33" s="32" t="inlineStr">
        <is>
          <t xml:space="preserve">At technical</t>
        </is>
      </c>
      <c r="AM33" s="41">
        <f>IF(ISNUMBER($AD33),Header!$I$3,"")</f>
      </c>
      <c r="AN33" s="39">
        <f>IF(ISNUMBER($AD33),$AO33+$AP33,"")</f>
      </c>
      <c r="AO33" s="39">
        <f>IF(ISNUMBER($AD33),ROUND($AD33*Header!$K$3,2),"")</f>
      </c>
      <c r="AP33" s="39">
        <f>IF(ISNUMBER($AD33),ROUND($AD33*Header!$M$3,2),"")</f>
      </c>
      <c r="AQ33" s="38">
        <f>IF(ISNUMBER($AD33),ROUND($AD33,2)-$AO33-$AP33,"")</f>
      </c>
      <c r="AR33" s="39">
        <f>IF(ISNUMBER($AD33),IF(Header!$D$34="","?",$AD33*Header!$D$34),"")</f>
      </c>
      <c r="AS33" s="39">
        <f>IF(ISNUMBER($AB33),IF(Header!$D$34="","?",$AB33*Header!$D$34),"")</f>
      </c>
      <c r="AT33" s="42">
        <f>IF(AND(ISNUMBER($AB33),$M33&gt;0),$AB33/$M33*100,"")</f>
      </c>
      <c r="AU33" s="42">
        <f>IF(AND(ISNUMBER($AD33),$M33&gt;0),$AD33/$M33*100,"")</f>
      </c>
      <c r="AV33" s="40">
        <f>IF(AND(ISNUMBER($AB33),ISNUMBER($AD33),ABS($AB33)&gt;0),$AD33/$AB33,"")</f>
      </c>
      <c r="AW33" s="39">
        <f>IF(ISNUMBER($AD33),MAX(0,(1-0.55-Header!$O$3)*Header!$Q$3*$AQ33),"")</f>
      </c>
      <c r="AX33" s="43">
        <f>IF($A33="","",IF(TRIM(IF($A33="","Missing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",""))="","PASS","FAIL: "&amp;TRIM(IF($A33="","Missing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f>
      </c>
      <c r="AY33" s="44">
        <f>IF($M33="","",IF(ISNUMBER($M33),IF($M33&gt;=Header!$C$18,"YES — refer","No"),""))</f>
      </c>
      <c r="AZ33" s="44">
        <f>IF($AD33="","",IF(ISNUMBER($AD33),IF($AD33&lt;Header!$C$20,"BELOW MIN PREMIUM","OK"),""))</f>
      </c>
      <c r="BA33" s="32" t="inlineStr">
        <is>
          <t xml:space="preserve">Yes</t>
        </is>
      </c>
      <c r="BB33" s="32" t="inlineStr">
        <is>
          <t xml:space="preserve">Yes</t>
        </is>
      </c>
      <c r="BC33" s="30" t="inlineStr">
        <is>
          <t xml:space="preserve">Synthetic demo data</t>
        </is>
      </c>
      <c r="BE33" s="45">
        <f>IF(OR($A33="",$L33="",$H33=""),"",IF(AND(LEFT($L33,2)="06",$H33&gt;1945),"FAIL - pre-war class, year "&amp;$H33,IF(AND(LEFT($L33,2)="07",OR($H33&lt;1946,$H33&gt;1972)),"FAIL - 1946-72 class, year "&amp;$H33,IF(AND(LEFT($L33,2)="08",OR($H33&lt;1973,$H33&gt;1999)),"FAIL - 1973-99 class, year "&amp;$H33,IF(AND(LEFT($L33,2)="09",OR($H33&lt;2000,$H33&gt;2010)),"FAIL - 2000-10 class, year "&amp;$H33,"OK")))))</f>
      </c>
      <c r="BF33" s="45">
        <f>IF($AD33="","",IF(ROUND($AO33+$AP33+$AQ33-$AD33,2)=0,"OK","FAIL - out by "&amp;TEXT($AO33+$AP33+$AQ33-$AD33,"$0.00")))</f>
      </c>
    </row>
    <row r="34" spans="1:58" ht="18.75" customHeight="1" x14ac:dyDescent="0.25">
      <c r="A34" s="46" t="inlineStr">
        <is>
          <t xml:space="preserve">CANON-202508-000042</t>
        </is>
      </c>
      <c r="B34" s="46" t="inlineStr">
        <is>
          <t xml:space="preserve">Saoirse Castellanos</t>
        </is>
      </c>
      <c r="C34" s="47">
        <v>45881</v>
      </c>
      <c r="D34" s="48" t="inlineStr">
        <is>
          <t xml:space="preserve">Bound - within authority</t>
        </is>
      </c>
      <c r="E34" s="48" t="inlineStr">
        <is>
          <t xml:space="preserve">New business</t>
        </is>
      </c>
      <c r="F34" s="46" t="inlineStr">
        <is>
          <t xml:space="preserve">B1234EXOTIC26</t>
        </is>
      </c>
      <c r="G34" s="33">
        <f>IF($A34="","",IF($C34="","",YEAR($C34)))</f>
      </c>
      <c r="H34" s="49">
        <v>1987</v>
      </c>
      <c r="I34" s="46" t="inlineStr">
        <is>
          <t xml:space="preserve">Maserati</t>
        </is>
      </c>
      <c r="J34" s="46" t="inlineStr">
        <is>
          <t xml:space="preserve">GranTurismo</t>
        </is>
      </c>
      <c r="K34" s="46" t="inlineStr">
        <is>
          <t xml:space="preserve">JLJ9AM322FDWZ6BXG</t>
        </is>
      </c>
      <c r="L34" s="48" t="inlineStr">
        <is>
          <t xml:space="preserve">02 - Sports / GT</t>
        </is>
      </c>
      <c r="M34" s="50">
        <v>490000</v>
      </c>
      <c r="N34" s="48" t="inlineStr">
        <is>
          <t xml:space="preserve">Personal</t>
        </is>
      </c>
      <c r="O34" s="46" t="inlineStr">
        <is>
          <t xml:space="preserve">Personal - regular use</t>
        </is>
      </c>
      <c r="P34" s="46" t="inlineStr">
        <is>
          <t xml:space="preserve">2,500 - 5,000</t>
        </is>
      </c>
      <c r="Q34" s="46" t="inlineStr">
        <is>
          <t xml:space="preserve">North Dakota</t>
        </is>
      </c>
      <c r="R34" s="46" t="inlineStr">
        <is>
          <t xml:space="preserve">58501</t>
        </is>
      </c>
      <c r="S34" s="48" t="inlineStr">
        <is>
          <t xml:space="preserve">Severe convective - hail alley (high)</t>
        </is>
      </c>
      <c r="T34" s="36">
        <f>IF($A34="","",IF($S34="","",IFERROR(INDEX('[1]natural catastrophe'!$D$6:$D$17,MATCH($S34,'[1]natural catastrophe'!$B$6:$B$17,0)),"?")))</f>
      </c>
      <c r="U34" s="46" t="inlineStr">
        <is>
          <t xml:space="preserve">$5,000</t>
        </is>
      </c>
      <c r="V34" s="48" t="inlineStr">
        <is>
          <t xml:space="preserve">Agreed Value</t>
        </is>
      </c>
      <c r="W34" s="46" t="inlineStr">
        <is>
          <t xml:space="preserve">$1,000</t>
        </is>
      </c>
      <c r="X34" s="48" t="inlineStr">
        <is>
          <t xml:space="preserve">$1,000,000 CSL</t>
        </is>
      </c>
      <c r="Y34" s="46"/>
      <c r="Z34" s="46"/>
      <c r="AA34" s="48" t="inlineStr">
        <is>
          <t xml:space="preserve">Surplus Lines</t>
        </is>
      </c>
      <c r="AB34" s="50">
        <v>7072.64</v>
      </c>
      <c r="AC34" s="51">
        <v>0</v>
      </c>
      <c r="AD34" s="38">
        <f>IF(ISNUMBER($AB34),$AB34*(1+N($AC34)),"")</f>
      </c>
      <c r="AE34" s="50">
        <v>350</v>
      </c>
      <c r="AF34" s="50">
        <v>0</v>
      </c>
      <c r="AG34" s="51"/>
      <c r="AH34" s="39">
        <f>IF(ISNUMBER($AD34),($AD34+$AE34+$AF34)*$AG34,"")</f>
      </c>
      <c r="AI34" s="50"/>
      <c r="AJ34" s="38">
        <f>IF(ISNUMBER($AD34),SUM($AD34:$AH34),"")</f>
      </c>
      <c r="AK34" s="40">
        <f>IF(AND(ISNUMBER($AB34),ISNUMBER($AD34)),IF($AB34&gt;0,$AD34/$AB34,""),"")</f>
      </c>
      <c r="AL34" s="48" t="inlineStr">
        <is>
          <t xml:space="preserve">At technical</t>
        </is>
      </c>
      <c r="AM34" s="41">
        <f>IF(ISNUMBER($AD34),Header!$I$3,"")</f>
      </c>
      <c r="AN34" s="39">
        <f>IF(ISNUMBER($AD34),$AO34+$AP34,"")</f>
      </c>
      <c r="AO34" s="39">
        <f>IF(ISNUMBER($AD34),ROUND($AD34*Header!$K$3,2),"")</f>
      </c>
      <c r="AP34" s="39">
        <f>IF(ISNUMBER($AD34),ROUND($AD34*Header!$M$3,2),"")</f>
      </c>
      <c r="AQ34" s="38">
        <f>IF(ISNUMBER($AD34),ROUND($AD34,2)-$AO34-$AP34,"")</f>
      </c>
      <c r="AR34" s="39">
        <f>IF(ISNUMBER($AD34),IF(Header!$D$34="","?",$AD34*Header!$D$34),"")</f>
      </c>
      <c r="AS34" s="39">
        <f>IF(ISNUMBER($AB34),IF(Header!$D$34="","?",$AB34*Header!$D$34),"")</f>
      </c>
      <c r="AT34" s="42">
        <f>IF(AND(ISNUMBER($AB34),$M34&gt;0),$AB34/$M34*100,"")</f>
      </c>
      <c r="AU34" s="42">
        <f>IF(AND(ISNUMBER($AD34),$M34&gt;0),$AD34/$M34*100,"")</f>
      </c>
      <c r="AV34" s="40">
        <f>IF(AND(ISNUMBER($AB34),ISNUMBER($AD34),ABS($AB34)&gt;0),$AD34/$AB34,"")</f>
      </c>
      <c r="AW34" s="39">
        <f>IF(ISNUMBER($AD34),MAX(0,(1-0.55-Header!$O$3)*Header!$Q$3*$AQ34),"")</f>
      </c>
      <c r="AX34" s="43">
        <f>IF($A34="","",IF(TRIM(IF($A34="","Missing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",""))="","PASS","FAIL: "&amp;TRIM(IF($A34="","Missing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f>
      </c>
      <c r="AY34" s="44">
        <f>IF($M34="","",IF(ISNUMBER($M34),IF($M34&gt;=Header!$C$18,"YES — refer","No"),""))</f>
      </c>
      <c r="AZ34" s="44">
        <f>IF($AD34="","",IF(ISNUMBER($AD34),IF($AD34&lt;Header!$C$20,"BELOW MIN PREMIUM","OK"),""))</f>
      </c>
      <c r="BA34" s="48" t="inlineStr">
        <is>
          <t xml:space="preserve">Yes</t>
        </is>
      </c>
      <c r="BB34" s="48" t="inlineStr">
        <is>
          <t xml:space="preserve">Yes</t>
        </is>
      </c>
      <c r="BC34" s="46" t="inlineStr">
        <is>
          <t xml:space="preserve">Synthetic demo data</t>
        </is>
      </c>
      <c r="BE34" s="45">
        <f>IF(OR($A34="",$L34="",$H34=""),"",IF(AND(LEFT($L34,2)="06",$H34&gt;1945),"FAIL - pre-war class, year "&amp;$H34,IF(AND(LEFT($L34,2)="07",OR($H34&lt;1946,$H34&gt;1972)),"FAIL - 1946-72 class, year "&amp;$H34,IF(AND(LEFT($L34,2)="08",OR($H34&lt;1973,$H34&gt;1999)),"FAIL - 1973-99 class, year "&amp;$H34,IF(AND(LEFT($L34,2)="09",OR($H34&lt;2000,$H34&gt;2010)),"FAIL - 2000-10 class, year "&amp;$H34,"OK")))))</f>
      </c>
      <c r="BF34" s="45">
        <f>IF($AD34="","",IF(ROUND($AO34+$AP34+$AQ34-$AD34,2)=0,"OK","FAIL - out by "&amp;TEXT($AO34+$AP34+$AQ34-$AD34,"$0.00")))</f>
      </c>
    </row>
    <row r="35" spans="1:58" ht="18.75" customHeight="1" x14ac:dyDescent="0.25">
      <c r="A35" s="30" t="inlineStr">
        <is>
          <t xml:space="preserve">CANON-202508-000044</t>
        </is>
      </c>
      <c r="B35" s="30" t="inlineStr">
        <is>
          <t xml:space="preserve">Ingrid Fairweather</t>
        </is>
      </c>
      <c r="C35" s="31">
        <v>45870</v>
      </c>
      <c r="D35" s="32" t="inlineStr">
        <is>
          <t xml:space="preserve">Bound - within authority</t>
        </is>
      </c>
      <c r="E35" s="32" t="inlineStr">
        <is>
          <t xml:space="preserve">New business</t>
        </is>
      </c>
      <c r="F35" s="30" t="inlineStr">
        <is>
          <t xml:space="preserve">B1234EXOTIC26</t>
        </is>
      </c>
      <c r="G35" s="33">
        <f>IF($A35="","",IF($C35="","",YEAR($C35)))</f>
      </c>
      <c r="H35" s="34">
        <v>1965</v>
      </c>
      <c r="I35" s="30" t="inlineStr">
        <is>
          <t xml:space="preserve">McLaren</t>
        </is>
      </c>
      <c r="J35" s="30" t="inlineStr">
        <is>
          <t xml:space="preserve">750S</t>
        </is>
      </c>
      <c r="K35" s="30" t="inlineStr">
        <is>
          <t xml:space="preserve">EFTZLCH9AJY6UAAAS</t>
        </is>
      </c>
      <c r="L35" s="32" t="inlineStr">
        <is>
          <t xml:space="preserve">03 - Supercar</t>
        </is>
      </c>
      <c r="M35" s="35">
        <v>760000</v>
      </c>
      <c r="N35" s="32" t="inlineStr">
        <is>
          <t xml:space="preserve">Personal</t>
        </is>
      </c>
      <c r="O35" s="30" t="inlineStr">
        <is>
          <t xml:space="preserve">Personal - regular use</t>
        </is>
      </c>
      <c r="P35" s="30" t="inlineStr">
        <is>
          <t xml:space="preserve">2,500 - 5,000</t>
        </is>
      </c>
      <c r="Q35" s="30" t="inlineStr">
        <is>
          <t xml:space="preserve">Utah</t>
        </is>
      </c>
      <c r="R35" s="30" t="inlineStr">
        <is>
          <t xml:space="preserve">84101</t>
        </is>
      </c>
      <c r="S35" s="32" t="inlineStr">
        <is>
          <t xml:space="preserve">Wildfire - WUI high hazard</t>
        </is>
      </c>
      <c r="T35" s="36">
        <f>IF($A35="","",IF($S35="","",IFERROR(INDEX('[1]natural catastrophe'!$D$6:$D$17,MATCH($S35,'[1]natural catastrophe'!$B$6:$B$17,0)),"?")))</f>
      </c>
      <c r="U35" s="30" t="inlineStr">
        <is>
          <t xml:space="preserve">$5,000</t>
        </is>
      </c>
      <c r="V35" s="32" t="inlineStr">
        <is>
          <t xml:space="preserve">Agreed Value</t>
        </is>
      </c>
      <c r="W35" s="30" t="inlineStr">
        <is>
          <t xml:space="preserve">$1,000</t>
        </is>
      </c>
      <c r="X35" s="32" t="inlineStr">
        <is>
          <t xml:space="preserve">$1,000,000 CSL</t>
        </is>
      </c>
      <c r="Y35" s="30"/>
      <c r="Z35" s="30"/>
      <c r="AA35" s="32" t="inlineStr">
        <is>
          <t xml:space="preserve">Surplus Lines</t>
        </is>
      </c>
      <c r="AB35" s="35">
        <v>18390.57</v>
      </c>
      <c r="AC35" s="37">
        <v>0</v>
      </c>
      <c r="AD35" s="38">
        <f>IF(ISNUMBER($AB35),$AB35*(1+N($AC35)),"")</f>
      </c>
      <c r="AE35" s="35">
        <v>350</v>
      </c>
      <c r="AF35" s="35">
        <v>0</v>
      </c>
      <c r="AG35" s="37"/>
      <c r="AH35" s="39">
        <f>IF(ISNUMBER($AD35),($AD35+$AE35+$AF35)*$AG35,"")</f>
      </c>
      <c r="AI35" s="35"/>
      <c r="AJ35" s="38">
        <f>IF(ISNUMBER($AD35),SUM($AD35:$AH35),"")</f>
      </c>
      <c r="AK35" s="40">
        <f>IF(AND(ISNUMBER($AB35),ISNUMBER($AD35)),IF($AB35&gt;0,$AD35/$AB35,""),"")</f>
      </c>
      <c r="AL35" s="32" t="inlineStr">
        <is>
          <t xml:space="preserve">At technical</t>
        </is>
      </c>
      <c r="AM35" s="41">
        <f>IF(ISNUMBER($AD35),Header!$I$3,"")</f>
      </c>
      <c r="AN35" s="39">
        <f>IF(ISNUMBER($AD35),$AO35+$AP35,"")</f>
      </c>
      <c r="AO35" s="39">
        <f>IF(ISNUMBER($AD35),ROUND($AD35*Header!$K$3,2),"")</f>
      </c>
      <c r="AP35" s="39">
        <f>IF(ISNUMBER($AD35),ROUND($AD35*Header!$M$3,2),"")</f>
      </c>
      <c r="AQ35" s="38">
        <f>IF(ISNUMBER($AD35),ROUND($AD35,2)-$AO35-$AP35,"")</f>
      </c>
      <c r="AR35" s="39">
        <f>IF(ISNUMBER($AD35),IF(Header!$D$34="","?",$AD35*Header!$D$34),"")</f>
      </c>
      <c r="AS35" s="39">
        <f>IF(ISNUMBER($AB35),IF(Header!$D$34="","?",$AB35*Header!$D$34),"")</f>
      </c>
      <c r="AT35" s="42">
        <f>IF(AND(ISNUMBER($AB35),$M35&gt;0),$AB35/$M35*100,"")</f>
      </c>
      <c r="AU35" s="42">
        <f>IF(AND(ISNUMBER($AD35),$M35&gt;0),$AD35/$M35*100,"")</f>
      </c>
      <c r="AV35" s="40">
        <f>IF(AND(ISNUMBER($AB35),ISNUMBER($AD35),ABS($AB35)&gt;0),$AD35/$AB35,"")</f>
      </c>
      <c r="AW35" s="39">
        <f>IF(ISNUMBER($AD35),MAX(0,(1-0.55-Header!$O$3)*Header!$Q$3*$AQ35),"")</f>
      </c>
      <c r="AX35" s="43">
        <f>IF($A35="","",IF(TRIM(IF($A35="","Missing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",""))="","PASS","FAIL: "&amp;TRIM(IF($A35="","Missing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f>
      </c>
      <c r="AY35" s="44">
        <f>IF($M35="","",IF(ISNUMBER($M35),IF($M35&gt;=Header!$C$18,"YES — refer","No"),""))</f>
      </c>
      <c r="AZ35" s="44">
        <f>IF($AD35="","",IF(ISNUMBER($AD35),IF($AD35&lt;Header!$C$20,"BELOW MIN PREMIUM","OK"),""))</f>
      </c>
      <c r="BA35" s="32" t="inlineStr">
        <is>
          <t xml:space="preserve">Yes</t>
        </is>
      </c>
      <c r="BB35" s="32" t="inlineStr">
        <is>
          <t xml:space="preserve">Yes</t>
        </is>
      </c>
      <c r="BC35" s="30" t="inlineStr">
        <is>
          <t xml:space="preserve">Synthetic demo data</t>
        </is>
      </c>
      <c r="BE35" s="45">
        <f>IF(OR($A35="",$L35="",$H35=""),"",IF(AND(LEFT($L35,2)="06",$H35&gt;1945),"FAIL - pre-war class, year "&amp;$H35,IF(AND(LEFT($L35,2)="07",OR($H35&lt;1946,$H35&gt;1972)),"FAIL - 1946-72 class, year "&amp;$H35,IF(AND(LEFT($L35,2)="08",OR($H35&lt;1973,$H35&gt;1999)),"FAIL - 1973-99 class, year "&amp;$H35,IF(AND(LEFT($L35,2)="09",OR($H35&lt;2000,$H35&gt;2010)),"FAIL - 2000-10 class, year "&amp;$H35,"OK")))))</f>
      </c>
      <c r="BF35" s="45">
        <f>IF($AD35="","",IF(ROUND($AO35+$AP35+$AQ35-$AD35,2)=0,"OK","FAIL - out by "&amp;TEXT($AO35+$AP35+$AQ35-$AD35,"$0.00")))</f>
      </c>
    </row>
    <row r="36" spans="1:58" ht="18.75" customHeight="1" x14ac:dyDescent="0.25">
      <c r="A36" s="46" t="inlineStr">
        <is>
          <t xml:space="preserve">CANON-202508-000045</t>
        </is>
      </c>
      <c r="B36" s="46" t="inlineStr">
        <is>
          <t xml:space="preserve">Delphine Underwood</t>
        </is>
      </c>
      <c r="C36" s="47">
        <v>45888</v>
      </c>
      <c r="D36" s="48" t="inlineStr">
        <is>
          <t xml:space="preserve">Bound - within authority</t>
        </is>
      </c>
      <c r="E36" s="48" t="inlineStr">
        <is>
          <t xml:space="preserve">New business</t>
        </is>
      </c>
      <c r="F36" s="46" t="inlineStr">
        <is>
          <t xml:space="preserve">B1234EXOTIC26</t>
        </is>
      </c>
      <c r="G36" s="33">
        <f>IF($A36="","",IF($C36="","",YEAR($C36)))</f>
      </c>
      <c r="H36" s="49">
        <v>2001</v>
      </c>
      <c r="I36" s="46" t="inlineStr">
        <is>
          <t xml:space="preserve">Aston Martin</t>
        </is>
      </c>
      <c r="J36" s="46" t="inlineStr">
        <is>
          <t xml:space="preserve">DB12</t>
        </is>
      </c>
      <c r="K36" s="46" t="inlineStr">
        <is>
          <t xml:space="preserve">D2LSZCR70VA2ZT11H</t>
        </is>
      </c>
      <c r="L36" s="48" t="inlineStr">
        <is>
          <t xml:space="preserve">02 - Sports / GT</t>
        </is>
      </c>
      <c r="M36" s="50">
        <v>610000</v>
      </c>
      <c r="N36" s="48" t="inlineStr">
        <is>
          <t xml:space="preserve">Personal</t>
        </is>
      </c>
      <c r="O36" s="46" t="inlineStr">
        <is>
          <t xml:space="preserve">Personal - regular use</t>
        </is>
      </c>
      <c r="P36" s="46" t="inlineStr">
        <is>
          <t xml:space="preserve">1,000 - 2,500</t>
        </is>
      </c>
      <c r="Q36" s="46" t="inlineStr">
        <is>
          <t xml:space="preserve">Florida</t>
        </is>
      </c>
      <c r="R36" s="46" t="inlineStr">
        <is>
          <t xml:space="preserve">33139</t>
        </is>
      </c>
      <c r="S36" s="48" t="inlineStr">
        <is>
          <t xml:space="preserve">Tier 2 - Coastal wind (1-25 miles)</t>
        </is>
      </c>
      <c r="T36" s="36">
        <f>IF($A36="","",IF($S36="","",IFERROR(INDEX('[1]natural catastrophe'!$D$6:$D$17,MATCH($S36,'[1]natural catastrophe'!$B$6:$B$17,0)),"?")))</f>
      </c>
      <c r="U36" s="46" t="inlineStr">
        <is>
          <t xml:space="preserve">2% of agreed value, minimum $10,000</t>
        </is>
      </c>
      <c r="V36" s="48" t="inlineStr">
        <is>
          <t xml:space="preserve">Agreed Value</t>
        </is>
      </c>
      <c r="W36" s="46" t="inlineStr">
        <is>
          <t xml:space="preserve">$1,000</t>
        </is>
      </c>
      <c r="X36" s="48" t="inlineStr">
        <is>
          <t xml:space="preserve">$1,000,000 CSL</t>
        </is>
      </c>
      <c r="Y36" s="46"/>
      <c r="Z36" s="46"/>
      <c r="AA36" s="48" t="inlineStr">
        <is>
          <t xml:space="preserve">Surplus Lines</t>
        </is>
      </c>
      <c r="AB36" s="50">
        <v>10623.21</v>
      </c>
      <c r="AC36" s="51">
        <v>0</v>
      </c>
      <c r="AD36" s="38">
        <f>IF(ISNUMBER($AB36),$AB36*(1+N($AC36)),"")</f>
      </c>
      <c r="AE36" s="50">
        <v>350</v>
      </c>
      <c r="AF36" s="50">
        <v>0</v>
      </c>
      <c r="AG36" s="51"/>
      <c r="AH36" s="39">
        <f>IF(ISNUMBER($AD36),($AD36+$AE36+$AF36)*$AG36,"")</f>
      </c>
      <c r="AI36" s="50"/>
      <c r="AJ36" s="38">
        <f>IF(ISNUMBER($AD36),SUM($AD36:$AH36),"")</f>
      </c>
      <c r="AK36" s="40">
        <f>IF(AND(ISNUMBER($AB36),ISNUMBER($AD36)),IF($AB36&gt;0,$AD36/$AB36,""),"")</f>
      </c>
      <c r="AL36" s="48" t="inlineStr">
        <is>
          <t xml:space="preserve">At technical</t>
        </is>
      </c>
      <c r="AM36" s="41">
        <f>IF(ISNUMBER($AD36),Header!$I$3,"")</f>
      </c>
      <c r="AN36" s="39">
        <f>IF(ISNUMBER($AD36),$AO36+$AP36,"")</f>
      </c>
      <c r="AO36" s="39">
        <f>IF(ISNUMBER($AD36),ROUND($AD36*Header!$K$3,2),"")</f>
      </c>
      <c r="AP36" s="39">
        <f>IF(ISNUMBER($AD36),ROUND($AD36*Header!$M$3,2),"")</f>
      </c>
      <c r="AQ36" s="38">
        <f>IF(ISNUMBER($AD36),ROUND($AD36,2)-$AO36-$AP36,"")</f>
      </c>
      <c r="AR36" s="39">
        <f>IF(ISNUMBER($AD36),IF(Header!$D$34="","?",$AD36*Header!$D$34),"")</f>
      </c>
      <c r="AS36" s="39">
        <f>IF(ISNUMBER($AB36),IF(Header!$D$34="","?",$AB36*Header!$D$34),"")</f>
      </c>
      <c r="AT36" s="42">
        <f>IF(AND(ISNUMBER($AB36),$M36&gt;0),$AB36/$M36*100,"")</f>
      </c>
      <c r="AU36" s="42">
        <f>IF(AND(ISNUMBER($AD36),$M36&gt;0),$AD36/$M36*100,"")</f>
      </c>
      <c r="AV36" s="40">
        <f>IF(AND(ISNUMBER($AB36),ISNUMBER($AD36),ABS($AB36)&gt;0),$AD36/$AB36,"")</f>
      </c>
      <c r="AW36" s="39">
        <f>IF(ISNUMBER($AD36),MAX(0,(1-0.55-Header!$O$3)*Header!$Q$3*$AQ36),"")</f>
      </c>
      <c r="AX36" s="43">
        <f>IF($A36="","",IF(TRIM(IF($A36="","Missing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",""))="","PASS","FAIL: "&amp;TRIM(IF($A36="","Missing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f>
      </c>
      <c r="AY36" s="44">
        <f>IF($M36="","",IF(ISNUMBER($M36),IF($M36&gt;=Header!$C$18,"YES — refer","No"),""))</f>
      </c>
      <c r="AZ36" s="44">
        <f>IF($AD36="","",IF(ISNUMBER($AD36),IF($AD36&lt;Header!$C$20,"BELOW MIN PREMIUM","OK"),""))</f>
      </c>
      <c r="BA36" s="48" t="inlineStr">
        <is>
          <t xml:space="preserve">Yes</t>
        </is>
      </c>
      <c r="BB36" s="48" t="inlineStr">
        <is>
          <t xml:space="preserve">Yes</t>
        </is>
      </c>
      <c r="BC36" s="46" t="inlineStr">
        <is>
          <t xml:space="preserve">Synthetic demo data</t>
        </is>
      </c>
      <c r="BE36" s="45">
        <f>IF(OR($A36="",$L36="",$H36=""),"",IF(AND(LEFT($L36,2)="06",$H36&gt;1945),"FAIL - pre-war class, year "&amp;$H36,IF(AND(LEFT($L36,2)="07",OR($H36&lt;1946,$H36&gt;1972)),"FAIL - 1946-72 class, year "&amp;$H36,IF(AND(LEFT($L36,2)="08",OR($H36&lt;1973,$H36&gt;1999)),"FAIL - 1973-99 class, year "&amp;$H36,IF(AND(LEFT($L36,2)="09",OR($H36&lt;2000,$H36&gt;2010)),"FAIL - 2000-10 class, year "&amp;$H36,"OK")))))</f>
      </c>
      <c r="BF36" s="45">
        <f>IF($AD36="","",IF(ROUND($AO36+$AP36+$AQ36-$AD36,2)=0,"OK","FAIL - out by "&amp;TEXT($AO36+$AP36+$AQ36-$AD36,"$0.00")))</f>
      </c>
    </row>
    <row r="37" spans="1:58" ht="18.75" customHeight="1" x14ac:dyDescent="0.25">
      <c r="A37" s="30" t="inlineStr">
        <is>
          <t xml:space="preserve">CANON-202508-000047</t>
        </is>
      </c>
      <c r="B37" s="30" t="inlineStr">
        <is>
          <t xml:space="preserve">Sunniva Thistlewood</t>
        </is>
      </c>
      <c r="C37" s="31">
        <v>45877</v>
      </c>
      <c r="D37" s="32" t="inlineStr">
        <is>
          <t xml:space="preserve">Bound - within authority</t>
        </is>
      </c>
      <c r="E37" s="32" t="inlineStr">
        <is>
          <t xml:space="preserve">New business</t>
        </is>
      </c>
      <c r="F37" s="30" t="inlineStr">
        <is>
          <t xml:space="preserve">B1234EXOTIC26</t>
        </is>
      </c>
      <c r="G37" s="33">
        <f>IF($A37="","",IF($C37="","",YEAR($C37)))</f>
      </c>
      <c r="H37" s="34">
        <v>1965</v>
      </c>
      <c r="I37" s="30" t="inlineStr">
        <is>
          <t xml:space="preserve">Mercedes-Benz</t>
        </is>
      </c>
      <c r="J37" s="30" t="inlineStr">
        <is>
          <t xml:space="preserve">280SL Pagoda</t>
        </is>
      </c>
      <c r="K37" s="30" t="inlineStr">
        <is>
          <t xml:space="preserve">PN9SECCWXXUZ1E6BX</t>
        </is>
      </c>
      <c r="L37" s="32" t="inlineStr">
        <is>
          <t xml:space="preserve">07 - Post-War Classic (1946-1972)</t>
        </is>
      </c>
      <c r="M37" s="35">
        <v>555000</v>
      </c>
      <c r="N37" s="32" t="inlineStr">
        <is>
          <t xml:space="preserve">Personal</t>
        </is>
      </c>
      <c r="O37" s="30" t="inlineStr">
        <is>
          <t xml:space="preserve">Personal - regular use</t>
        </is>
      </c>
      <c r="P37" s="30" t="inlineStr">
        <is>
          <t xml:space="preserve">Under 1,000</t>
        </is>
      </c>
      <c r="Q37" s="30" t="inlineStr">
        <is>
          <t xml:space="preserve">New Hampshire</t>
        </is>
      </c>
      <c r="R37" s="30" t="inlineStr">
        <is>
          <t xml:space="preserve">03301</t>
        </is>
      </c>
      <c r="S37" s="32" t="inlineStr">
        <is>
          <t xml:space="preserve">Tier 3 - Coastal wind (25-100 miles)</t>
        </is>
      </c>
      <c r="T37" s="36">
        <f>IF($A37="","",IF($S37="","",IFERROR(INDEX('[1]natural catastrophe'!$D$6:$D$17,MATCH($S37,'[1]natural catastrophe'!$B$6:$B$17,0)),"?")))</f>
      </c>
      <c r="U37" s="30" t="inlineStr">
        <is>
          <t xml:space="preserve">2% of agreed value, minimum $10,000</t>
        </is>
      </c>
      <c r="V37" s="32" t="inlineStr">
        <is>
          <t xml:space="preserve">Agreed Value</t>
        </is>
      </c>
      <c r="W37" s="30" t="inlineStr">
        <is>
          <t xml:space="preserve">$1,000</t>
        </is>
      </c>
      <c r="X37" s="32" t="inlineStr">
        <is>
          <t xml:space="preserve">$1,000,000 CSL</t>
        </is>
      </c>
      <c r="Y37" s="30"/>
      <c r="Z37" s="30"/>
      <c r="AA37" s="32" t="inlineStr">
        <is>
          <t xml:space="preserve">Surplus Lines</t>
        </is>
      </c>
      <c r="AB37" s="35">
        <v>4682.94</v>
      </c>
      <c r="AC37" s="37">
        <v>0</v>
      </c>
      <c r="AD37" s="38">
        <f>IF(ISNUMBER($AB37),$AB37*(1+N($AC37)),"")</f>
      </c>
      <c r="AE37" s="35">
        <v>350</v>
      </c>
      <c r="AF37" s="35">
        <v>0</v>
      </c>
      <c r="AG37" s="37"/>
      <c r="AH37" s="39">
        <f>IF(ISNUMBER($AD37),($AD37+$AE37+$AF37)*$AG37,"")</f>
      </c>
      <c r="AI37" s="35"/>
      <c r="AJ37" s="38">
        <f>IF(ISNUMBER($AD37),SUM($AD37:$AH37),"")</f>
      </c>
      <c r="AK37" s="40">
        <f>IF(AND(ISNUMBER($AB37),ISNUMBER($AD37)),IF($AB37&gt;0,$AD37/$AB37,""),"")</f>
      </c>
      <c r="AL37" s="32" t="inlineStr">
        <is>
          <t xml:space="preserve">At technical</t>
        </is>
      </c>
      <c r="AM37" s="41">
        <f>IF(ISNUMBER($AD37),Header!$I$3,"")</f>
      </c>
      <c r="AN37" s="39">
        <f>IF(ISNUMBER($AD37),$AO37+$AP37,"")</f>
      </c>
      <c r="AO37" s="39">
        <f>IF(ISNUMBER($AD37),ROUND($AD37*Header!$K$3,2),"")</f>
      </c>
      <c r="AP37" s="39">
        <f>IF(ISNUMBER($AD37),ROUND($AD37*Header!$M$3,2),"")</f>
      </c>
      <c r="AQ37" s="38">
        <f>IF(ISNUMBER($AD37),ROUND($AD37,2)-$AO37-$AP37,"")</f>
      </c>
      <c r="AR37" s="39">
        <f>IF(ISNUMBER($AD37),IF(Header!$D$34="","?",$AD37*Header!$D$34),"")</f>
      </c>
      <c r="AS37" s="39">
        <f>IF(ISNUMBER($AB37),IF(Header!$D$34="","?",$AB37*Header!$D$34),"")</f>
      </c>
      <c r="AT37" s="42">
        <f>IF(AND(ISNUMBER($AB37),$M37&gt;0),$AB37/$M37*100,"")</f>
      </c>
      <c r="AU37" s="42">
        <f>IF(AND(ISNUMBER($AD37),$M37&gt;0),$AD37/$M37*100,"")</f>
      </c>
      <c r="AV37" s="40">
        <f>IF(AND(ISNUMBER($AB37),ISNUMBER($AD37),ABS($AB37)&gt;0),$AD37/$AB37,"")</f>
      </c>
      <c r="AW37" s="39">
        <f>IF(ISNUMBER($AD37),MAX(0,(1-0.55-Header!$O$3)*Header!$Q$3*$AQ37),"")</f>
      </c>
      <c r="AX37" s="43">
        <f>IF($A37="","",IF(TRIM(IF($A37="","Missing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",""))="","PASS","FAIL: "&amp;TRIM(IF($A37="","Missing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f>
      </c>
      <c r="AY37" s="44">
        <f>IF($M37="","",IF(ISNUMBER($M37),IF($M37&gt;=Header!$C$18,"YES — refer","No"),""))</f>
      </c>
      <c r="AZ37" s="44">
        <f>IF($AD37="","",IF(ISNUMBER($AD37),IF($AD37&lt;Header!$C$20,"BELOW MIN PREMIUM","OK"),""))</f>
      </c>
      <c r="BA37" s="32" t="inlineStr">
        <is>
          <t xml:space="preserve">Yes</t>
        </is>
      </c>
      <c r="BB37" s="32" t="inlineStr">
        <is>
          <t xml:space="preserve">Yes</t>
        </is>
      </c>
      <c r="BC37" s="30" t="inlineStr">
        <is>
          <t xml:space="preserve">Synthetic demo data</t>
        </is>
      </c>
      <c r="BE37" s="45">
        <f>IF(OR($A37="",$L37="",$H37=""),"",IF(AND(LEFT($L37,2)="06",$H37&gt;1945),"FAIL - pre-war class, year "&amp;$H37,IF(AND(LEFT($L37,2)="07",OR($H37&lt;1946,$H37&gt;1972)),"FAIL - 1946-72 class, year "&amp;$H37,IF(AND(LEFT($L37,2)="08",OR($H37&lt;1973,$H37&gt;1999)),"FAIL - 1973-99 class, year "&amp;$H37,IF(AND(LEFT($L37,2)="09",OR($H37&lt;2000,$H37&gt;2010)),"FAIL - 2000-10 class, year "&amp;$H37,"OK")))))</f>
      </c>
      <c r="BF37" s="45">
        <f>IF($AD37="","",IF(ROUND($AO37+$AP37+$AQ37-$AD37,2)=0,"OK","FAIL - out by "&amp;TEXT($AO37+$AP37+$AQ37-$AD37,"$0.00")))</f>
      </c>
    </row>
    <row r="38" spans="1:58" ht="18.75" customHeight="1" x14ac:dyDescent="0.25">
      <c r="A38" s="46" t="inlineStr">
        <is>
          <t xml:space="preserve">CANON-202508-000048</t>
        </is>
      </c>
      <c r="B38" s="46" t="inlineStr">
        <is>
          <t xml:space="preserve">Anouk Fairweather</t>
        </is>
      </c>
      <c r="C38" s="47">
        <v>45876</v>
      </c>
      <c r="D38" s="48" t="inlineStr">
        <is>
          <t xml:space="preserve">Bound - within authority</t>
        </is>
      </c>
      <c r="E38" s="48" t="inlineStr">
        <is>
          <t xml:space="preserve">New business</t>
        </is>
      </c>
      <c r="F38" s="46" t="inlineStr">
        <is>
          <t xml:space="preserve">B1234EXOTIC26</t>
        </is>
      </c>
      <c r="G38" s="33">
        <f>IF($A38="","",IF($C38="","",YEAR($C38)))</f>
      </c>
      <c r="H38" s="49">
        <v>2004</v>
      </c>
      <c r="I38" s="46" t="inlineStr">
        <is>
          <t xml:space="preserve">Porsche</t>
        </is>
      </c>
      <c r="J38" s="46" t="inlineStr">
        <is>
          <t xml:space="preserve">911 Turbo S</t>
        </is>
      </c>
      <c r="K38" s="46" t="inlineStr">
        <is>
          <t xml:space="preserve">EWJ52D89V9034J46B</t>
        </is>
      </c>
      <c r="L38" s="48" t="inlineStr">
        <is>
          <t xml:space="preserve">02 - Sports / GT</t>
        </is>
      </c>
      <c r="M38" s="50">
        <v>745000</v>
      </c>
      <c r="N38" s="48" t="inlineStr">
        <is>
          <t xml:space="preserve">Personal</t>
        </is>
      </c>
      <c r="O38" s="46" t="inlineStr">
        <is>
          <t xml:space="preserve">Personal - regular use</t>
        </is>
      </c>
      <c r="P38" s="46" t="inlineStr">
        <is>
          <t xml:space="preserve">2,500 - 5,000</t>
        </is>
      </c>
      <c r="Q38" s="46" t="inlineStr">
        <is>
          <t xml:space="preserve">New York</t>
        </is>
      </c>
      <c r="R38" s="46" t="inlineStr">
        <is>
          <t xml:space="preserve">10022</t>
        </is>
      </c>
      <c r="S38" s="48" t="inlineStr">
        <is>
          <t xml:space="preserve">Tier 3 - Coastal wind (25-100 miles)</t>
        </is>
      </c>
      <c r="T38" s="36">
        <f>IF($A38="","",IF($S38="","",IFERROR(INDEX('[1]natural catastrophe'!$D$6:$D$17,MATCH($S38,'[1]natural catastrophe'!$B$6:$B$17,0)),"?")))</f>
      </c>
      <c r="U38" s="46" t="inlineStr">
        <is>
          <t xml:space="preserve">2% of agreed value, minimum $10,000</t>
        </is>
      </c>
      <c r="V38" s="48" t="inlineStr">
        <is>
          <t xml:space="preserve">Agreed Value</t>
        </is>
      </c>
      <c r="W38" s="46" t="inlineStr">
        <is>
          <t xml:space="preserve">$1,000</t>
        </is>
      </c>
      <c r="X38" s="48" t="inlineStr">
        <is>
          <t xml:space="preserve">$1,000,000 CSL</t>
        </is>
      </c>
      <c r="Y38" s="46"/>
      <c r="Z38" s="46"/>
      <c r="AA38" s="48" t="inlineStr">
        <is>
          <t xml:space="preserve">Surplus Lines</t>
        </is>
      </c>
      <c r="AB38" s="50">
        <v>11695.09</v>
      </c>
      <c r="AC38" s="51">
        <v>0</v>
      </c>
      <c r="AD38" s="38">
        <f>IF(ISNUMBER($AB38),$AB38*(1+N($AC38)),"")</f>
      </c>
      <c r="AE38" s="50">
        <v>350</v>
      </c>
      <c r="AF38" s="50">
        <v>0</v>
      </c>
      <c r="AG38" s="51"/>
      <c r="AH38" s="39">
        <f>IF(ISNUMBER($AD38),($AD38+$AE38+$AF38)*$AG38,"")</f>
      </c>
      <c r="AI38" s="50"/>
      <c r="AJ38" s="38">
        <f>IF(ISNUMBER($AD38),SUM($AD38:$AH38),"")</f>
      </c>
      <c r="AK38" s="40">
        <f>IF(AND(ISNUMBER($AB38),ISNUMBER($AD38)),IF($AB38&gt;0,$AD38/$AB38,""),"")</f>
      </c>
      <c r="AL38" s="48" t="inlineStr">
        <is>
          <t xml:space="preserve">At technical</t>
        </is>
      </c>
      <c r="AM38" s="41">
        <f>IF(ISNUMBER($AD38),Header!$I$3,"")</f>
      </c>
      <c r="AN38" s="39">
        <f>IF(ISNUMBER($AD38),$AO38+$AP38,"")</f>
      </c>
      <c r="AO38" s="39">
        <f>IF(ISNUMBER($AD38),ROUND($AD38*Header!$K$3,2),"")</f>
      </c>
      <c r="AP38" s="39">
        <f>IF(ISNUMBER($AD38),ROUND($AD38*Header!$M$3,2),"")</f>
      </c>
      <c r="AQ38" s="38">
        <f>IF(ISNUMBER($AD38),ROUND($AD38,2)-$AO38-$AP38,"")</f>
      </c>
      <c r="AR38" s="39">
        <f>IF(ISNUMBER($AD38),IF(Header!$D$34="","?",$AD38*Header!$D$34),"")</f>
      </c>
      <c r="AS38" s="39">
        <f>IF(ISNUMBER($AB38),IF(Header!$D$34="","?",$AB38*Header!$D$34),"")</f>
      </c>
      <c r="AT38" s="42">
        <f>IF(AND(ISNUMBER($AB38),$M38&gt;0),$AB38/$M38*100,"")</f>
      </c>
      <c r="AU38" s="42">
        <f>IF(AND(ISNUMBER($AD38),$M38&gt;0),$AD38/$M38*100,"")</f>
      </c>
      <c r="AV38" s="40">
        <f>IF(AND(ISNUMBER($AB38),ISNUMBER($AD38),ABS($AB38)&gt;0),$AD38/$AB38,"")</f>
      </c>
      <c r="AW38" s="39">
        <f>IF(ISNUMBER($AD38),MAX(0,(1-0.55-Header!$O$3)*Header!$Q$3*$AQ38),"")</f>
      </c>
      <c r="AX38" s="43">
        <f>IF($A38="","",IF(TRIM(IF($A38="","Missing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",""))="","PASS","FAIL: "&amp;TRIM(IF($A38="","Missing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f>
      </c>
      <c r="AY38" s="44">
        <f>IF($M38="","",IF(ISNUMBER($M38),IF($M38&gt;=Header!$C$18,"YES — refer","No"),""))</f>
      </c>
      <c r="AZ38" s="44">
        <f>IF($AD38="","",IF(ISNUMBER($AD38),IF($AD38&lt;Header!$C$20,"BELOW MIN PREMIUM","OK"),""))</f>
      </c>
      <c r="BA38" s="48" t="inlineStr">
        <is>
          <t xml:space="preserve">Yes</t>
        </is>
      </c>
      <c r="BB38" s="48" t="inlineStr">
        <is>
          <t xml:space="preserve">Yes</t>
        </is>
      </c>
      <c r="BC38" s="46" t="inlineStr">
        <is>
          <t xml:space="preserve">Synthetic demo data</t>
        </is>
      </c>
      <c r="BE38" s="45">
        <f>IF(OR($A38="",$L38="",$H38=""),"",IF(AND(LEFT($L38,2)="06",$H38&gt;1945),"FAIL - pre-war class, year "&amp;$H38,IF(AND(LEFT($L38,2)="07",OR($H38&lt;1946,$H38&gt;1972)),"FAIL - 1946-72 class, year "&amp;$H38,IF(AND(LEFT($L38,2)="08",OR($H38&lt;1973,$H38&gt;1999)),"FAIL - 1973-99 class, year "&amp;$H38,IF(AND(LEFT($L38,2)="09",OR($H38&lt;2000,$H38&gt;2010)),"FAIL - 2000-10 class, year "&amp;$H38,"OK")))))</f>
      </c>
      <c r="BF38" s="45">
        <f>IF($AD38="","",IF(ROUND($AO38+$AP38+$AQ38-$AD38,2)=0,"OK","FAIL - out by "&amp;TEXT($AO38+$AP38+$AQ38-$AD38,"$0.00")))</f>
      </c>
    </row>
    <row r="39" spans="1:58" ht="18.75" customHeight="1" x14ac:dyDescent="0.25">
      <c r="A39" s="30" t="inlineStr">
        <is>
          <t xml:space="preserve">CANON-202508-000051</t>
        </is>
      </c>
      <c r="B39" s="30" t="inlineStr">
        <is>
          <t xml:space="preserve">Lorenzo Nakashima</t>
        </is>
      </c>
      <c r="C39" s="31">
        <v>45896</v>
      </c>
      <c r="D39" s="32" t="inlineStr">
        <is>
          <t xml:space="preserve">Bound - within authority</t>
        </is>
      </c>
      <c r="E39" s="32" t="inlineStr">
        <is>
          <t xml:space="preserve">New business</t>
        </is>
      </c>
      <c r="F39" s="30" t="inlineStr">
        <is>
          <t xml:space="preserve">B1234EXOTIC26</t>
        </is>
      </c>
      <c r="G39" s="33">
        <f>IF($A39="","",IF($C39="","",YEAR($C39)))</f>
      </c>
      <c r="H39" s="34">
        <v>2001</v>
      </c>
      <c r="I39" s="30" t="inlineStr">
        <is>
          <t xml:space="preserve">Aston Martin</t>
        </is>
      </c>
      <c r="J39" s="30" t="inlineStr">
        <is>
          <t xml:space="preserve">DB5</t>
        </is>
      </c>
      <c r="K39" s="30" t="inlineStr">
        <is>
          <t xml:space="preserve">ZBZ7K5E1UZ0B22ZWE</t>
        </is>
      </c>
      <c r="L39" s="32" t="inlineStr">
        <is>
          <t xml:space="preserve">09 - Youngtimer / Collectible (2000-2010)</t>
        </is>
      </c>
      <c r="M39" s="35">
        <v>810000</v>
      </c>
      <c r="N39" s="32" t="inlineStr">
        <is>
          <t xml:space="preserve">Personal</t>
        </is>
      </c>
      <c r="O39" s="30" t="inlineStr">
        <is>
          <t xml:space="preserve">Personal - regular use</t>
        </is>
      </c>
      <c r="P39" s="30" t="inlineStr">
        <is>
          <t xml:space="preserve">Under 1,000</t>
        </is>
      </c>
      <c r="Q39" s="30" t="inlineStr">
        <is>
          <t xml:space="preserve">California</t>
        </is>
      </c>
      <c r="R39" s="30" t="inlineStr">
        <is>
          <t xml:space="preserve">90012</t>
        </is>
      </c>
      <c r="S39" s="32" t="inlineStr">
        <is>
          <t xml:space="preserve">Earthquake - high (CA, Cascadia, New Madrid)</t>
        </is>
      </c>
      <c r="T39" s="36">
        <f>IF($A39="","",IF($S39="","",IFERROR(INDEX('[1]natural catastrophe'!$D$6:$D$17,MATCH($S39,'[1]natural catastrophe'!$B$6:$B$17,0)),"?")))</f>
      </c>
      <c r="U39" s="30" t="inlineStr">
        <is>
          <t xml:space="preserve">$5,000</t>
        </is>
      </c>
      <c r="V39" s="32" t="inlineStr">
        <is>
          <t xml:space="preserve">Agreed Value</t>
        </is>
      </c>
      <c r="W39" s="30" t="inlineStr">
        <is>
          <t xml:space="preserve">$1,000</t>
        </is>
      </c>
      <c r="X39" s="32" t="inlineStr">
        <is>
          <t xml:space="preserve">$1,000,000 CSL</t>
        </is>
      </c>
      <c r="Y39" s="30"/>
      <c r="Z39" s="30"/>
      <c r="AA39" s="32" t="inlineStr">
        <is>
          <t xml:space="preserve">Surplus Lines</t>
        </is>
      </c>
      <c r="AB39" s="35">
        <v>8871.79</v>
      </c>
      <c r="AC39" s="37">
        <v>0</v>
      </c>
      <c r="AD39" s="38">
        <f>IF(ISNUMBER($AB39),$AB39*(1+N($AC39)),"")</f>
      </c>
      <c r="AE39" s="35">
        <v>350</v>
      </c>
      <c r="AF39" s="35">
        <v>0</v>
      </c>
      <c r="AG39" s="37"/>
      <c r="AH39" s="39">
        <f>IF(ISNUMBER($AD39),($AD39+$AE39+$AF39)*$AG39,"")</f>
      </c>
      <c r="AI39" s="35"/>
      <c r="AJ39" s="38">
        <f>IF(ISNUMBER($AD39),SUM($AD39:$AH39),"")</f>
      </c>
      <c r="AK39" s="40">
        <f>IF(AND(ISNUMBER($AB39),ISNUMBER($AD39)),IF($AB39&gt;0,$AD39/$AB39,""),"")</f>
      </c>
      <c r="AL39" s="32" t="inlineStr">
        <is>
          <t xml:space="preserve">At technical</t>
        </is>
      </c>
      <c r="AM39" s="41">
        <f>IF(ISNUMBER($AD39),Header!$I$3,"")</f>
      </c>
      <c r="AN39" s="39">
        <f>IF(ISNUMBER($AD39),$AO39+$AP39,"")</f>
      </c>
      <c r="AO39" s="39">
        <f>IF(ISNUMBER($AD39),ROUND($AD39*Header!$K$3,2),"")</f>
      </c>
      <c r="AP39" s="39">
        <f>IF(ISNUMBER($AD39),ROUND($AD39*Header!$M$3,2),"")</f>
      </c>
      <c r="AQ39" s="38">
        <f>IF(ISNUMBER($AD39),ROUND($AD39,2)-$AO39-$AP39,"")</f>
      </c>
      <c r="AR39" s="39">
        <f>IF(ISNUMBER($AD39),IF(Header!$D$34="","?",$AD39*Header!$D$34),"")</f>
      </c>
      <c r="AS39" s="39">
        <f>IF(ISNUMBER($AB39),IF(Header!$D$34="","?",$AB39*Header!$D$34),"")</f>
      </c>
      <c r="AT39" s="42">
        <f>IF(AND(ISNUMBER($AB39),$M39&gt;0),$AB39/$M39*100,"")</f>
      </c>
      <c r="AU39" s="42">
        <f>IF(AND(ISNUMBER($AD39),$M39&gt;0),$AD39/$M39*100,"")</f>
      </c>
      <c r="AV39" s="40">
        <f>IF(AND(ISNUMBER($AB39),ISNUMBER($AD39),ABS($AB39)&gt;0),$AD39/$AB39,"")</f>
      </c>
      <c r="AW39" s="39">
        <f>IF(ISNUMBER($AD39),MAX(0,(1-0.55-Header!$O$3)*Header!$Q$3*$AQ39),"")</f>
      </c>
      <c r="AX39" s="43">
        <f>IF($A39="","",IF(TRIM(IF($A39="","Missing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",""))="","PASS","FAIL: "&amp;TRIM(IF($A39="","Missing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f>
      </c>
      <c r="AY39" s="44">
        <f>IF($M39="","",IF(ISNUMBER($M39),IF($M39&gt;=Header!$C$18,"YES — refer","No"),""))</f>
      </c>
      <c r="AZ39" s="44">
        <f>IF($AD39="","",IF(ISNUMBER($AD39),IF($AD39&lt;Header!$C$20,"BELOW MIN PREMIUM","OK"),""))</f>
      </c>
      <c r="BA39" s="32" t="inlineStr">
        <is>
          <t xml:space="preserve">Yes</t>
        </is>
      </c>
      <c r="BB39" s="32" t="inlineStr">
        <is>
          <t xml:space="preserve">Yes</t>
        </is>
      </c>
      <c r="BC39" s="30" t="inlineStr">
        <is>
          <t xml:space="preserve">Synthetic demo data</t>
        </is>
      </c>
      <c r="BE39" s="45">
        <f>IF(OR($A39="",$L39="",$H39=""),"",IF(AND(LEFT($L39,2)="06",$H39&gt;1945),"FAIL - pre-war class, year "&amp;$H39,IF(AND(LEFT($L39,2)="07",OR($H39&lt;1946,$H39&gt;1972)),"FAIL - 1946-72 class, year "&amp;$H39,IF(AND(LEFT($L39,2)="08",OR($H39&lt;1973,$H39&gt;1999)),"FAIL - 1973-99 class, year "&amp;$H39,IF(AND(LEFT($L39,2)="09",OR($H39&lt;2000,$H39&gt;2010)),"FAIL - 2000-10 class, year "&amp;$H39,"OK")))))</f>
      </c>
      <c r="BF39" s="45">
        <f>IF($AD39="","",IF(ROUND($AO39+$AP39+$AQ39-$AD39,2)=0,"OK","FAIL - out by "&amp;TEXT($AO39+$AP39+$AQ39-$AD39,"$0.00")))</f>
      </c>
    </row>
    <row r="40" spans="1:58" ht="18.75" customHeight="1" x14ac:dyDescent="0.25">
      <c r="A40" s="46" t="inlineStr">
        <is>
          <t xml:space="preserve">CANON-202508-000052</t>
        </is>
      </c>
      <c r="B40" s="46" t="inlineStr">
        <is>
          <t xml:space="preserve">Sunniva Thistlewood</t>
        </is>
      </c>
      <c r="C40" s="47">
        <v>45874</v>
      </c>
      <c r="D40" s="48" t="inlineStr">
        <is>
          <t xml:space="preserve">Bound - within authority</t>
        </is>
      </c>
      <c r="E40" s="48" t="inlineStr">
        <is>
          <t xml:space="preserve">New business</t>
        </is>
      </c>
      <c r="F40" s="46" t="inlineStr">
        <is>
          <t xml:space="preserve">B1234EXOTIC26</t>
        </is>
      </c>
      <c r="G40" s="33">
        <f>IF($A40="","",IF($C40="","",YEAR($C40)))</f>
      </c>
      <c r="H40" s="49">
        <v>1958</v>
      </c>
      <c r="I40" s="46" t="inlineStr">
        <is>
          <t xml:space="preserve">Bentley</t>
        </is>
      </c>
      <c r="J40" s="46" t="inlineStr">
        <is>
          <t xml:space="preserve">Continental GT</t>
        </is>
      </c>
      <c r="K40" s="46" t="inlineStr">
        <is>
          <t xml:space="preserve">K8YDE38ZTU5Z90ZKG</t>
        </is>
      </c>
      <c r="L40" s="48" t="inlineStr">
        <is>
          <t xml:space="preserve">02 - Sports / GT</t>
        </is>
      </c>
      <c r="M40" s="50">
        <v>385000</v>
      </c>
      <c r="N40" s="48" t="inlineStr">
        <is>
          <t xml:space="preserve">Personal</t>
        </is>
      </c>
      <c r="O40" s="46" t="inlineStr">
        <is>
          <t xml:space="preserve">Personal - regular use</t>
        </is>
      </c>
      <c r="P40" s="46" t="inlineStr">
        <is>
          <t xml:space="preserve">1,000 - 2,500</t>
        </is>
      </c>
      <c r="Q40" s="46" t="inlineStr">
        <is>
          <t xml:space="preserve">California</t>
        </is>
      </c>
      <c r="R40" s="46" t="inlineStr">
        <is>
          <t xml:space="preserve">90012</t>
        </is>
      </c>
      <c r="S40" s="48" t="inlineStr">
        <is>
          <t xml:space="preserve">Earthquake - high (CA, Cascadia, New Madrid)</t>
        </is>
      </c>
      <c r="T40" s="36">
        <f>IF($A40="","",IF($S40="","",IFERROR(INDEX('[1]natural catastrophe'!$D$6:$D$17,MATCH($S40,'[1]natural catastrophe'!$B$6:$B$17,0)),"?")))</f>
      </c>
      <c r="U40" s="46" t="inlineStr">
        <is>
          <t xml:space="preserve">$5,000</t>
        </is>
      </c>
      <c r="V40" s="48" t="inlineStr">
        <is>
          <t xml:space="preserve">Agreed Value</t>
        </is>
      </c>
      <c r="W40" s="46" t="inlineStr">
        <is>
          <t xml:space="preserve">$1,000</t>
        </is>
      </c>
      <c r="X40" s="48" t="inlineStr">
        <is>
          <t xml:space="preserve">$1,000,000 CSL</t>
        </is>
      </c>
      <c r="Y40" s="46"/>
      <c r="Z40" s="46"/>
      <c r="AA40" s="48" t="inlineStr">
        <is>
          <t xml:space="preserve">Surplus Lines</t>
        </is>
      </c>
      <c r="AB40" s="50">
        <v>7354.95</v>
      </c>
      <c r="AC40" s="51">
        <v>0</v>
      </c>
      <c r="AD40" s="38">
        <f>IF(ISNUMBER($AB40),$AB40*(1+N($AC40)),"")</f>
      </c>
      <c r="AE40" s="50">
        <v>350</v>
      </c>
      <c r="AF40" s="50">
        <v>0</v>
      </c>
      <c r="AG40" s="51"/>
      <c r="AH40" s="39">
        <f>IF(ISNUMBER($AD40),($AD40+$AE40+$AF40)*$AG40,"")</f>
      </c>
      <c r="AI40" s="50"/>
      <c r="AJ40" s="38">
        <f>IF(ISNUMBER($AD40),SUM($AD40:$AH40),"")</f>
      </c>
      <c r="AK40" s="40">
        <f>IF(AND(ISNUMBER($AB40),ISNUMBER($AD40)),IF($AB40&gt;0,$AD40/$AB40,""),"")</f>
      </c>
      <c r="AL40" s="48" t="inlineStr">
        <is>
          <t xml:space="preserve">At technical</t>
        </is>
      </c>
      <c r="AM40" s="41">
        <f>IF(ISNUMBER($AD40),Header!$I$3,"")</f>
      </c>
      <c r="AN40" s="39">
        <f>IF(ISNUMBER($AD40),$AO40+$AP40,"")</f>
      </c>
      <c r="AO40" s="39">
        <f>IF(ISNUMBER($AD40),ROUND($AD40*Header!$K$3,2),"")</f>
      </c>
      <c r="AP40" s="39">
        <f>IF(ISNUMBER($AD40),ROUND($AD40*Header!$M$3,2),"")</f>
      </c>
      <c r="AQ40" s="38">
        <f>IF(ISNUMBER($AD40),ROUND($AD40,2)-$AO40-$AP40,"")</f>
      </c>
      <c r="AR40" s="39">
        <f>IF(ISNUMBER($AD40),IF(Header!$D$34="","?",$AD40*Header!$D$34),"")</f>
      </c>
      <c r="AS40" s="39">
        <f>IF(ISNUMBER($AB40),IF(Header!$D$34="","?",$AB40*Header!$D$34),"")</f>
      </c>
      <c r="AT40" s="42">
        <f>IF(AND(ISNUMBER($AB40),$M40&gt;0),$AB40/$M40*100,"")</f>
      </c>
      <c r="AU40" s="42">
        <f>IF(AND(ISNUMBER($AD40),$M40&gt;0),$AD40/$M40*100,"")</f>
      </c>
      <c r="AV40" s="40">
        <f>IF(AND(ISNUMBER($AB40),ISNUMBER($AD40),ABS($AB40)&gt;0),$AD40/$AB40,"")</f>
      </c>
      <c r="AW40" s="39">
        <f>IF(ISNUMBER($AD40),MAX(0,(1-0.55-Header!$O$3)*Header!$Q$3*$AQ40),"")</f>
      </c>
      <c r="AX40" s="43">
        <f>IF($A40="","",IF(TRIM(IF($A40="","Missing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",""))="","PASS","FAIL: "&amp;TRIM(IF($A40="","Missing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f>
      </c>
      <c r="AY40" s="44">
        <f>IF($M40="","",IF(ISNUMBER($M40),IF($M40&gt;=Header!$C$18,"YES — refer","No"),""))</f>
      </c>
      <c r="AZ40" s="44">
        <f>IF($AD40="","",IF(ISNUMBER($AD40),IF($AD40&lt;Header!$C$20,"BELOW MIN PREMIUM","OK"),""))</f>
      </c>
      <c r="BA40" s="48" t="inlineStr">
        <is>
          <t xml:space="preserve">Yes</t>
        </is>
      </c>
      <c r="BB40" s="48" t="inlineStr">
        <is>
          <t xml:space="preserve">Yes</t>
        </is>
      </c>
      <c r="BC40" s="46" t="inlineStr">
        <is>
          <t xml:space="preserve">Synthetic demo data</t>
        </is>
      </c>
      <c r="BE40" s="45">
        <f>IF(OR($A40="",$L40="",$H40=""),"",IF(AND(LEFT($L40,2)="06",$H40&gt;1945),"FAIL - pre-war class, year "&amp;$H40,IF(AND(LEFT($L40,2)="07",OR($H40&lt;1946,$H40&gt;1972)),"FAIL - 1946-72 class, year "&amp;$H40,IF(AND(LEFT($L40,2)="08",OR($H40&lt;1973,$H40&gt;1999)),"FAIL - 1973-99 class, year "&amp;$H40,IF(AND(LEFT($L40,2)="09",OR($H40&lt;2000,$H40&gt;2010)),"FAIL - 2000-10 class, year "&amp;$H40,"OK")))))</f>
      </c>
      <c r="BF40" s="45">
        <f>IF($AD40="","",IF(ROUND($AO40+$AP40+$AQ40-$AD40,2)=0,"OK","FAIL - out by "&amp;TEXT($AO40+$AP40+$AQ40-$AD40,"$0.00")))</f>
      </c>
    </row>
    <row r="41" spans="1:58" ht="18.75" customHeight="1" x14ac:dyDescent="0.25">
      <c r="A41" s="30" t="inlineStr">
        <is>
          <t xml:space="preserve">CANON-202508-000053</t>
        </is>
      </c>
      <c r="B41" s="30" t="inlineStr">
        <is>
          <t xml:space="preserve">Ottilie Castellanos</t>
        </is>
      </c>
      <c r="C41" s="31">
        <v>45898</v>
      </c>
      <c r="D41" s="32" t="inlineStr">
        <is>
          <t xml:space="preserve">Bound - within authority</t>
        </is>
      </c>
      <c r="E41" s="32" t="inlineStr">
        <is>
          <t xml:space="preserve">New business</t>
        </is>
      </c>
      <c r="F41" s="30" t="inlineStr">
        <is>
          <t xml:space="preserve">B1234EXOTIC26</t>
        </is>
      </c>
      <c r="G41" s="33">
        <f>IF($A41="","",IF($C41="","",YEAR($C41)))</f>
      </c>
      <c r="H41" s="34">
        <v>1972</v>
      </c>
      <c r="I41" s="30" t="inlineStr">
        <is>
          <t xml:space="preserve">Ferrari</t>
        </is>
      </c>
      <c r="J41" s="30" t="inlineStr">
        <is>
          <t xml:space="preserve">SF90 Stradale</t>
        </is>
      </c>
      <c r="K41" s="30" t="inlineStr">
        <is>
          <t xml:space="preserve">4JB4HG9JD1422CWHG</t>
        </is>
      </c>
      <c r="L41" s="32" t="inlineStr">
        <is>
          <t xml:space="preserve">03 - Supercar</t>
        </is>
      </c>
      <c r="M41" s="35">
        <v>525000</v>
      </c>
      <c r="N41" s="32" t="inlineStr">
        <is>
          <t xml:space="preserve">Personal</t>
        </is>
      </c>
      <c r="O41" s="30" t="inlineStr">
        <is>
          <t xml:space="preserve">Personal - regular use</t>
        </is>
      </c>
      <c r="P41" s="30" t="inlineStr">
        <is>
          <t xml:space="preserve">1,000 - 2,500</t>
        </is>
      </c>
      <c r="Q41" s="30" t="inlineStr">
        <is>
          <t xml:space="preserve">Louisiana</t>
        </is>
      </c>
      <c r="R41" s="30" t="inlineStr">
        <is>
          <t xml:space="preserve">70112</t>
        </is>
      </c>
      <c r="S41" s="32" t="inlineStr">
        <is>
          <t xml:space="preserve">Tier 2 - Coastal wind (1-25 miles)</t>
        </is>
      </c>
      <c r="T41" s="36">
        <f>IF($A41="","",IF($S41="","",IFERROR(INDEX('[1]natural catastrophe'!$D$6:$D$17,MATCH($S41,'[1]natural catastrophe'!$B$6:$B$17,0)),"?")))</f>
      </c>
      <c r="U41" s="30" t="inlineStr">
        <is>
          <t xml:space="preserve">2% of agreed value, minimum $10,000</t>
        </is>
      </c>
      <c r="V41" s="32" t="inlineStr">
        <is>
          <t xml:space="preserve">Agreed Value</t>
        </is>
      </c>
      <c r="W41" s="30" t="inlineStr">
        <is>
          <t xml:space="preserve">$1,000</t>
        </is>
      </c>
      <c r="X41" s="32" t="inlineStr">
        <is>
          <t xml:space="preserve">$1,000,000 CSL</t>
        </is>
      </c>
      <c r="Y41" s="30"/>
      <c r="Z41" s="30"/>
      <c r="AA41" s="32" t="inlineStr">
        <is>
          <t xml:space="preserve">Surplus Lines</t>
        </is>
      </c>
      <c r="AB41" s="35">
        <v>11386.56</v>
      </c>
      <c r="AC41" s="37">
        <v>0</v>
      </c>
      <c r="AD41" s="38">
        <f>IF(ISNUMBER($AB41),$AB41*(1+N($AC41)),"")</f>
      </c>
      <c r="AE41" s="35">
        <v>350</v>
      </c>
      <c r="AF41" s="35">
        <v>0</v>
      </c>
      <c r="AG41" s="37"/>
      <c r="AH41" s="39">
        <f>IF(ISNUMBER($AD41),($AD41+$AE41+$AF41)*$AG41,"")</f>
      </c>
      <c r="AI41" s="35"/>
      <c r="AJ41" s="38">
        <f>IF(ISNUMBER($AD41),SUM($AD41:$AH41),"")</f>
      </c>
      <c r="AK41" s="40">
        <f>IF(AND(ISNUMBER($AB41),ISNUMBER($AD41)),IF($AB41&gt;0,$AD41/$AB41,""),"")</f>
      </c>
      <c r="AL41" s="32" t="inlineStr">
        <is>
          <t xml:space="preserve">At technical</t>
        </is>
      </c>
      <c r="AM41" s="41">
        <f>IF(ISNUMBER($AD41),Header!$I$3,"")</f>
      </c>
      <c r="AN41" s="39">
        <f>IF(ISNUMBER($AD41),$AO41+$AP41,"")</f>
      </c>
      <c r="AO41" s="39">
        <f>IF(ISNUMBER($AD41),ROUND($AD41*Header!$K$3,2),"")</f>
      </c>
      <c r="AP41" s="39">
        <f>IF(ISNUMBER($AD41),ROUND($AD41*Header!$M$3,2),"")</f>
      </c>
      <c r="AQ41" s="38">
        <f>IF(ISNUMBER($AD41),ROUND($AD41,2)-$AO41-$AP41,"")</f>
      </c>
      <c r="AR41" s="39">
        <f>IF(ISNUMBER($AD41),IF(Header!$D$34="","?",$AD41*Header!$D$34),"")</f>
      </c>
      <c r="AS41" s="39">
        <f>IF(ISNUMBER($AB41),IF(Header!$D$34="","?",$AB41*Header!$D$34),"")</f>
      </c>
      <c r="AT41" s="42">
        <f>IF(AND(ISNUMBER($AB41),$M41&gt;0),$AB41/$M41*100,"")</f>
      </c>
      <c r="AU41" s="42">
        <f>IF(AND(ISNUMBER($AD41),$M41&gt;0),$AD41/$M41*100,"")</f>
      </c>
      <c r="AV41" s="40">
        <f>IF(AND(ISNUMBER($AB41),ISNUMBER($AD41),ABS($AB41)&gt;0),$AD41/$AB41,"")</f>
      </c>
      <c r="AW41" s="39">
        <f>IF(ISNUMBER($AD41),MAX(0,(1-0.55-Header!$O$3)*Header!$Q$3*$AQ41),"")</f>
      </c>
      <c r="AX41" s="43">
        <f>IF($A41="","",IF(TRIM(IF($A41="","Missing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",""))="","PASS","FAIL: "&amp;TRIM(IF($A41="","Missing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f>
      </c>
      <c r="AY41" s="44">
        <f>IF($M41="","",IF(ISNUMBER($M41),IF($M41&gt;=Header!$C$18,"YES — refer","No"),""))</f>
      </c>
      <c r="AZ41" s="44">
        <f>IF($AD41="","",IF(ISNUMBER($AD41),IF($AD41&lt;Header!$C$20,"BELOW MIN PREMIUM","OK"),""))</f>
      </c>
      <c r="BA41" s="32" t="inlineStr">
        <is>
          <t xml:space="preserve">Yes</t>
        </is>
      </c>
      <c r="BB41" s="32" t="inlineStr">
        <is>
          <t xml:space="preserve">Yes</t>
        </is>
      </c>
      <c r="BC41" s="30" t="inlineStr">
        <is>
          <t xml:space="preserve">Synthetic demo data</t>
        </is>
      </c>
      <c r="BE41" s="45">
        <f>IF(OR($A41="",$L41="",$H41=""),"",IF(AND(LEFT($L41,2)="06",$H41&gt;1945),"FAIL - pre-war class, year "&amp;$H41,IF(AND(LEFT($L41,2)="07",OR($H41&lt;1946,$H41&gt;1972)),"FAIL - 1946-72 class, year "&amp;$H41,IF(AND(LEFT($L41,2)="08",OR($H41&lt;1973,$H41&gt;1999)),"FAIL - 1973-99 class, year "&amp;$H41,IF(AND(LEFT($L41,2)="09",OR($H41&lt;2000,$H41&gt;2010)),"FAIL - 2000-10 class, year "&amp;$H41,"OK")))))</f>
      </c>
      <c r="BF41" s="45">
        <f>IF($AD41="","",IF(ROUND($AO41+$AP41+$AQ41-$AD41,2)=0,"OK","FAIL - out by "&amp;TEXT($AO41+$AP41+$AQ41-$AD41,"$0.00")))</f>
      </c>
    </row>
    <row r="42" spans="1:58" ht="18.75" customHeight="1" x14ac:dyDescent="0.25">
      <c r="A42" s="46" t="inlineStr">
        <is>
          <t xml:space="preserve">CANON-202508-000054</t>
        </is>
      </c>
      <c r="B42" s="46" t="inlineStr">
        <is>
          <t xml:space="preserve">Ingrid Whitlock</t>
        </is>
      </c>
      <c r="C42" s="47">
        <v>45882</v>
      </c>
      <c r="D42" s="48" t="inlineStr">
        <is>
          <t xml:space="preserve">Bound - within authority</t>
        </is>
      </c>
      <c r="E42" s="48" t="inlineStr">
        <is>
          <t xml:space="preserve">New business</t>
        </is>
      </c>
      <c r="F42" s="46" t="inlineStr">
        <is>
          <t xml:space="preserve">B1234EXOTIC26</t>
        </is>
      </c>
      <c r="G42" s="33">
        <f>IF($A42="","",IF($C42="","",YEAR($C42)))</f>
      </c>
      <c r="H42" s="49">
        <v>1970</v>
      </c>
      <c r="I42" s="46" t="inlineStr">
        <is>
          <t xml:space="preserve">Singer</t>
        </is>
      </c>
      <c r="J42" s="46" t="inlineStr">
        <is>
          <t xml:space="preserve">911 Reimagined</t>
        </is>
      </c>
      <c r="K42" s="46" t="inlineStr">
        <is>
          <t xml:space="preserve">MX3NXHGDGZ734ATNV</t>
        </is>
      </c>
      <c r="L42" s="48" t="inlineStr">
        <is>
          <t xml:space="preserve">11 - Restomod / Coachbuilt / Bespoke</t>
        </is>
      </c>
      <c r="M42" s="50">
        <v>945000</v>
      </c>
      <c r="N42" s="48" t="inlineStr">
        <is>
          <t xml:space="preserve">Personal</t>
        </is>
      </c>
      <c r="O42" s="46" t="inlineStr">
        <is>
          <t xml:space="preserve">Personal - regular use</t>
        </is>
      </c>
      <c r="P42" s="46" t="inlineStr">
        <is>
          <t xml:space="preserve">2,500 - 5,000</t>
        </is>
      </c>
      <c r="Q42" s="46" t="inlineStr">
        <is>
          <t xml:space="preserve">Kansas</t>
        </is>
      </c>
      <c r="R42" s="46" t="inlineStr">
        <is>
          <t xml:space="preserve">66603</t>
        </is>
      </c>
      <c r="S42" s="48" t="inlineStr">
        <is>
          <t xml:space="preserve">Severe convective - hail alley (high)</t>
        </is>
      </c>
      <c r="T42" s="36">
        <f>IF($A42="","",IF($S42="","",IFERROR(INDEX('[1]natural catastrophe'!$D$6:$D$17,MATCH($S42,'[1]natural catastrophe'!$B$6:$B$17,0)),"?")))</f>
      </c>
      <c r="U42" s="46" t="inlineStr">
        <is>
          <t xml:space="preserve">$5,000</t>
        </is>
      </c>
      <c r="V42" s="48" t="inlineStr">
        <is>
          <t xml:space="preserve">Agreed Value</t>
        </is>
      </c>
      <c r="W42" s="46" t="inlineStr">
        <is>
          <t xml:space="preserve">$1,000</t>
        </is>
      </c>
      <c r="X42" s="48" t="inlineStr">
        <is>
          <t xml:space="preserve">$1,000,000 CSL</t>
        </is>
      </c>
      <c r="Y42" s="46"/>
      <c r="Z42" s="46"/>
      <c r="AA42" s="48" t="inlineStr">
        <is>
          <t xml:space="preserve">Surplus Lines</t>
        </is>
      </c>
      <c r="AB42" s="50">
        <v>13490.32</v>
      </c>
      <c r="AC42" s="51">
        <v>0</v>
      </c>
      <c r="AD42" s="38">
        <f>IF(ISNUMBER($AB42),$AB42*(1+N($AC42)),"")</f>
      </c>
      <c r="AE42" s="50">
        <v>350</v>
      </c>
      <c r="AF42" s="50">
        <v>0</v>
      </c>
      <c r="AG42" s="51"/>
      <c r="AH42" s="39">
        <f>IF(ISNUMBER($AD42),($AD42+$AE42+$AF42)*$AG42,"")</f>
      </c>
      <c r="AI42" s="50"/>
      <c r="AJ42" s="38">
        <f>IF(ISNUMBER($AD42),SUM($AD42:$AH42),"")</f>
      </c>
      <c r="AK42" s="40">
        <f>IF(AND(ISNUMBER($AB42),ISNUMBER($AD42)),IF($AB42&gt;0,$AD42/$AB42,""),"")</f>
      </c>
      <c r="AL42" s="48" t="inlineStr">
        <is>
          <t xml:space="preserve">At technical</t>
        </is>
      </c>
      <c r="AM42" s="41">
        <f>IF(ISNUMBER($AD42),Header!$I$3,"")</f>
      </c>
      <c r="AN42" s="39">
        <f>IF(ISNUMBER($AD42),$AO42+$AP42,"")</f>
      </c>
      <c r="AO42" s="39">
        <f>IF(ISNUMBER($AD42),ROUND($AD42*Header!$K$3,2),"")</f>
      </c>
      <c r="AP42" s="39">
        <f>IF(ISNUMBER($AD42),ROUND($AD42*Header!$M$3,2),"")</f>
      </c>
      <c r="AQ42" s="38">
        <f>IF(ISNUMBER($AD42),ROUND($AD42,2)-$AO42-$AP42,"")</f>
      </c>
      <c r="AR42" s="39">
        <f>IF(ISNUMBER($AD42),IF(Header!$D$34="","?",$AD42*Header!$D$34),"")</f>
      </c>
      <c r="AS42" s="39">
        <f>IF(ISNUMBER($AB42),IF(Header!$D$34="","?",$AB42*Header!$D$34),"")</f>
      </c>
      <c r="AT42" s="42">
        <f>IF(AND(ISNUMBER($AB42),$M42&gt;0),$AB42/$M42*100,"")</f>
      </c>
      <c r="AU42" s="42">
        <f>IF(AND(ISNUMBER($AD42),$M42&gt;0),$AD42/$M42*100,"")</f>
      </c>
      <c r="AV42" s="40">
        <f>IF(AND(ISNUMBER($AB42),ISNUMBER($AD42),ABS($AB42)&gt;0),$AD42/$AB42,"")</f>
      </c>
      <c r="AW42" s="39">
        <f>IF(ISNUMBER($AD42),MAX(0,(1-0.55-Header!$O$3)*Header!$Q$3*$AQ42),"")</f>
      </c>
      <c r="AX42" s="43">
        <f>IF($A42="","",IF(TRIM(IF($A42="","Missing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",""))="","PASS","FAIL: "&amp;TRIM(IF($A42="","Missing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f>
      </c>
      <c r="AY42" s="44">
        <f>IF($M42="","",IF(ISNUMBER($M42),IF($M42&gt;=Header!$C$18,"YES — refer","No"),""))</f>
      </c>
      <c r="AZ42" s="44">
        <f>IF($AD42="","",IF(ISNUMBER($AD42),IF($AD42&lt;Header!$C$20,"BELOW MIN PREMIUM","OK"),""))</f>
      </c>
      <c r="BA42" s="48" t="inlineStr">
        <is>
          <t xml:space="preserve">Yes</t>
        </is>
      </c>
      <c r="BB42" s="48" t="inlineStr">
        <is>
          <t xml:space="preserve">Yes</t>
        </is>
      </c>
      <c r="BC42" s="46" t="inlineStr">
        <is>
          <t xml:space="preserve">Synthetic demo data</t>
        </is>
      </c>
      <c r="BE42" s="45">
        <f>IF(OR($A42="",$L42="",$H42=""),"",IF(AND(LEFT($L42,2)="06",$H42&gt;1945),"FAIL - pre-war class, year "&amp;$H42,IF(AND(LEFT($L42,2)="07",OR($H42&lt;1946,$H42&gt;1972)),"FAIL - 1946-72 class, year "&amp;$H42,IF(AND(LEFT($L42,2)="08",OR($H42&lt;1973,$H42&gt;1999)),"FAIL - 1973-99 class, year "&amp;$H42,IF(AND(LEFT($L42,2)="09",OR($H42&lt;2000,$H42&gt;2010)),"FAIL - 2000-10 class, year "&amp;$H42,"OK")))))</f>
      </c>
      <c r="BF42" s="45">
        <f>IF($AD42="","",IF(ROUND($AO42+$AP42+$AQ42-$AD42,2)=0,"OK","FAIL - out by "&amp;TEXT($AO42+$AP42+$AQ42-$AD42,"$0.00")))</f>
      </c>
    </row>
    <row r="43" spans="1:58" ht="18.75" customHeight="1" x14ac:dyDescent="0.25">
      <c r="A43" s="30" t="inlineStr">
        <is>
          <t xml:space="preserve">CANON-202508-000057</t>
        </is>
      </c>
      <c r="B43" s="30" t="inlineStr">
        <is>
          <t xml:space="preserve">Thaddeus Whitlock</t>
        </is>
      </c>
      <c r="C43" s="31">
        <v>45883</v>
      </c>
      <c r="D43" s="32" t="inlineStr">
        <is>
          <t xml:space="preserve">Bound - within authority</t>
        </is>
      </c>
      <c r="E43" s="32" t="inlineStr">
        <is>
          <t xml:space="preserve">New business</t>
        </is>
      </c>
      <c r="F43" s="30" t="inlineStr">
        <is>
          <t xml:space="preserve">B1234EXOTIC26</t>
        </is>
      </c>
      <c r="G43" s="33">
        <f>IF($A43="","",IF($C43="","",YEAR($C43)))</f>
      </c>
      <c r="H43" s="34">
        <v>1956</v>
      </c>
      <c r="I43" s="30" t="inlineStr">
        <is>
          <t xml:space="preserve">Ferrari</t>
        </is>
      </c>
      <c r="J43" s="30" t="inlineStr">
        <is>
          <t xml:space="preserve">296 GTB</t>
        </is>
      </c>
      <c r="K43" s="30" t="inlineStr">
        <is>
          <t xml:space="preserve">50X63U7YZF63188RY</t>
        </is>
      </c>
      <c r="L43" s="32" t="inlineStr">
        <is>
          <t xml:space="preserve">03 - Supercar</t>
        </is>
      </c>
      <c r="M43" s="35">
        <v>1245000</v>
      </c>
      <c r="N43" s="32" t="inlineStr">
        <is>
          <t xml:space="preserve">Personal</t>
        </is>
      </c>
      <c r="O43" s="30" t="inlineStr">
        <is>
          <t xml:space="preserve">Personal - regular use</t>
        </is>
      </c>
      <c r="P43" s="30" t="inlineStr">
        <is>
          <t xml:space="preserve">Under 1,000</t>
        </is>
      </c>
      <c r="Q43" s="30" t="inlineStr">
        <is>
          <t xml:space="preserve">Arizona</t>
        </is>
      </c>
      <c r="R43" s="30" t="inlineStr">
        <is>
          <t xml:space="preserve">85001</t>
        </is>
      </c>
      <c r="S43" s="32" t="inlineStr">
        <is>
          <t xml:space="preserve">Wildfire - WUI high hazard</t>
        </is>
      </c>
      <c r="T43" s="36">
        <f>IF($A43="","",IF($S43="","",IFERROR(INDEX('[1]natural catastrophe'!$D$6:$D$17,MATCH($S43,'[1]natural catastrophe'!$B$6:$B$17,0)),"?")))</f>
      </c>
      <c r="U43" s="30" t="inlineStr">
        <is>
          <t xml:space="preserve">$5,000</t>
        </is>
      </c>
      <c r="V43" s="32" t="inlineStr">
        <is>
          <t xml:space="preserve">Agreed Value</t>
        </is>
      </c>
      <c r="W43" s="30" t="inlineStr">
        <is>
          <t xml:space="preserve">$1,000</t>
        </is>
      </c>
      <c r="X43" s="32" t="inlineStr">
        <is>
          <t xml:space="preserve">$1,000,000 CSL</t>
        </is>
      </c>
      <c r="Y43" s="30"/>
      <c r="Z43" s="30"/>
      <c r="AA43" s="32" t="inlineStr">
        <is>
          <t xml:space="preserve">Surplus Lines</t>
        </is>
      </c>
      <c r="AB43" s="35">
        <v>18980.38</v>
      </c>
      <c r="AC43" s="37">
        <v>0</v>
      </c>
      <c r="AD43" s="38">
        <f>IF(ISNUMBER($AB43),$AB43*(1+N($AC43)),"")</f>
      </c>
      <c r="AE43" s="35">
        <v>350</v>
      </c>
      <c r="AF43" s="35">
        <v>250</v>
      </c>
      <c r="AG43" s="37"/>
      <c r="AH43" s="39">
        <f>IF(ISNUMBER($AD43),($AD43+$AE43+$AF43)*$AG43,"")</f>
      </c>
      <c r="AI43" s="35"/>
      <c r="AJ43" s="38">
        <f>IF(ISNUMBER($AD43),SUM($AD43:$AH43),"")</f>
      </c>
      <c r="AK43" s="40">
        <f>IF(AND(ISNUMBER($AB43),ISNUMBER($AD43)),IF($AB43&gt;0,$AD43/$AB43,""),"")</f>
      </c>
      <c r="AL43" s="32" t="inlineStr">
        <is>
          <t xml:space="preserve">At technical</t>
        </is>
      </c>
      <c r="AM43" s="41">
        <f>IF(ISNUMBER($AD43),Header!$I$3,"")</f>
      </c>
      <c r="AN43" s="39">
        <f>IF(ISNUMBER($AD43),$AO43+$AP43,"")</f>
      </c>
      <c r="AO43" s="39">
        <f>IF(ISNUMBER($AD43),ROUND($AD43*Header!$K$3,2),"")</f>
      </c>
      <c r="AP43" s="39">
        <f>IF(ISNUMBER($AD43),ROUND($AD43*Header!$M$3,2),"")</f>
      </c>
      <c r="AQ43" s="38">
        <f>IF(ISNUMBER($AD43),ROUND($AD43,2)-$AO43-$AP43,"")</f>
      </c>
      <c r="AR43" s="39">
        <f>IF(ISNUMBER($AD43),IF(Header!$D$34="","?",$AD43*Header!$D$34),"")</f>
      </c>
      <c r="AS43" s="39">
        <f>IF(ISNUMBER($AB43),IF(Header!$D$34="","?",$AB43*Header!$D$34),"")</f>
      </c>
      <c r="AT43" s="42">
        <f>IF(AND(ISNUMBER($AB43),$M43&gt;0),$AB43/$M43*100,"")</f>
      </c>
      <c r="AU43" s="42">
        <f>IF(AND(ISNUMBER($AD43),$M43&gt;0),$AD43/$M43*100,"")</f>
      </c>
      <c r="AV43" s="40">
        <f>IF(AND(ISNUMBER($AB43),ISNUMBER($AD43),ABS($AB43)&gt;0),$AD43/$AB43,"")</f>
      </c>
      <c r="AW43" s="39">
        <f>IF(ISNUMBER($AD43),MAX(0,(1-0.55-Header!$O$3)*Header!$Q$3*$AQ43),"")</f>
      </c>
      <c r="AX43" s="43">
        <f>IF($A43="","",IF(TRIM(IF($A43="","Missing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",""))="","PASS","FAIL: "&amp;TRIM(IF($A43="","Missing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f>
      </c>
      <c r="AY43" s="44">
        <f>IF($M43="","",IF(ISNUMBER($M43),IF($M43&gt;=Header!$C$18,"YES — refer","No"),""))</f>
      </c>
      <c r="AZ43" s="44">
        <f>IF($AD43="","",IF(ISNUMBER($AD43),IF($AD43&lt;Header!$C$20,"BELOW MIN PREMIUM","OK"),""))</f>
      </c>
      <c r="BA43" s="32" t="inlineStr">
        <is>
          <t xml:space="preserve">Yes</t>
        </is>
      </c>
      <c r="BB43" s="32" t="inlineStr">
        <is>
          <t xml:space="preserve">Yes</t>
        </is>
      </c>
      <c r="BC43" s="30" t="inlineStr">
        <is>
          <t xml:space="preserve">Synthetic demo data</t>
        </is>
      </c>
      <c r="BE43" s="45">
        <f>IF(OR($A43="",$L43="",$H43=""),"",IF(AND(LEFT($L43,2)="06",$H43&gt;1945),"FAIL - pre-war class, year "&amp;$H43,IF(AND(LEFT($L43,2)="07",OR($H43&lt;1946,$H43&gt;1972)),"FAIL - 1946-72 class, year "&amp;$H43,IF(AND(LEFT($L43,2)="08",OR($H43&lt;1973,$H43&gt;1999)),"FAIL - 1973-99 class, year "&amp;$H43,IF(AND(LEFT($L43,2)="09",OR($H43&lt;2000,$H43&gt;2010)),"FAIL - 2000-10 class, year "&amp;$H43,"OK")))))</f>
      </c>
      <c r="BF43" s="45">
        <f>IF($AD43="","",IF(ROUND($AO43+$AP43+$AQ43-$AD43,2)=0,"OK","FAIL - out by "&amp;TEXT($AO43+$AP43+$AQ43-$AD43,"$0.00")))</f>
      </c>
    </row>
    <row r="44" spans="1:58" ht="18.75" customHeight="1" x14ac:dyDescent="0.25">
      <c r="A44" s="46" t="inlineStr">
        <is>
          <t xml:space="preserve">CANON-202508-000058</t>
        </is>
      </c>
      <c r="B44" s="46" t="inlineStr">
        <is>
          <t xml:space="preserve">Ramona Montoya</t>
        </is>
      </c>
      <c r="C44" s="47">
        <v>45878</v>
      </c>
      <c r="D44" s="48" t="inlineStr">
        <is>
          <t xml:space="preserve">Bound - within authority</t>
        </is>
      </c>
      <c r="E44" s="48" t="inlineStr">
        <is>
          <t xml:space="preserve">New business</t>
        </is>
      </c>
      <c r="F44" s="46" t="inlineStr">
        <is>
          <t xml:space="preserve">B1234EXOTIC26</t>
        </is>
      </c>
      <c r="G44" s="33">
        <f>IF($A44="","",IF($C44="","",YEAR($C44)))</f>
      </c>
      <c r="H44" s="49">
        <v>1959</v>
      </c>
      <c r="I44" s="46" t="inlineStr">
        <is>
          <t xml:space="preserve">Mercedes-Benz</t>
        </is>
      </c>
      <c r="J44" s="46" t="inlineStr">
        <is>
          <t xml:space="preserve">AMG GT</t>
        </is>
      </c>
      <c r="K44" s="46" t="inlineStr">
        <is>
          <t xml:space="preserve">RG8AVP7U26ZLAPV4S</t>
        </is>
      </c>
      <c r="L44" s="48" t="inlineStr">
        <is>
          <t xml:space="preserve">02 - Sports / GT</t>
        </is>
      </c>
      <c r="M44" s="50">
        <v>240000</v>
      </c>
      <c r="N44" s="48" t="inlineStr">
        <is>
          <t xml:space="preserve">Personal</t>
        </is>
      </c>
      <c r="O44" s="46" t="inlineStr">
        <is>
          <t xml:space="preserve">Personal - regular use</t>
        </is>
      </c>
      <c r="P44" s="46" t="inlineStr">
        <is>
          <t xml:space="preserve">1,000 - 2,500</t>
        </is>
      </c>
      <c r="Q44" s="46" t="inlineStr">
        <is>
          <t xml:space="preserve">Colorado</t>
        </is>
      </c>
      <c r="R44" s="46" t="inlineStr">
        <is>
          <t xml:space="preserve">80202</t>
        </is>
      </c>
      <c r="S44" s="48" t="inlineStr">
        <is>
          <t xml:space="preserve">Severe convective - hail alley (high)</t>
        </is>
      </c>
      <c r="T44" s="36">
        <f>IF($A44="","",IF($S44="","",IFERROR(INDEX('[1]natural catastrophe'!$D$6:$D$17,MATCH($S44,'[1]natural catastrophe'!$B$6:$B$17,0)),"?")))</f>
      </c>
      <c r="U44" s="46" t="inlineStr">
        <is>
          <t xml:space="preserve">$5,000</t>
        </is>
      </c>
      <c r="V44" s="48" t="inlineStr">
        <is>
          <t xml:space="preserve">Agreed Value</t>
        </is>
      </c>
      <c r="W44" s="46" t="inlineStr">
        <is>
          <t xml:space="preserve">$1,000</t>
        </is>
      </c>
      <c r="X44" s="48" t="inlineStr">
        <is>
          <t xml:space="preserve">$1,000,000 CSL</t>
        </is>
      </c>
      <c r="Y44" s="46"/>
      <c r="Z44" s="46"/>
      <c r="AA44" s="48" t="inlineStr">
        <is>
          <t xml:space="preserve">Surplus Lines</t>
        </is>
      </c>
      <c r="AB44" s="50">
        <v>4582.64</v>
      </c>
      <c r="AC44" s="51">
        <v>0</v>
      </c>
      <c r="AD44" s="38">
        <f>IF(ISNUMBER($AB44),$AB44*(1+N($AC44)),"")</f>
      </c>
      <c r="AE44" s="50">
        <v>350</v>
      </c>
      <c r="AF44" s="50">
        <v>0</v>
      </c>
      <c r="AG44" s="51"/>
      <c r="AH44" s="39">
        <f>IF(ISNUMBER($AD44),($AD44+$AE44+$AF44)*$AG44,"")</f>
      </c>
      <c r="AI44" s="50"/>
      <c r="AJ44" s="38">
        <f>IF(ISNUMBER($AD44),SUM($AD44:$AH44),"")</f>
      </c>
      <c r="AK44" s="40">
        <f>IF(AND(ISNUMBER($AB44),ISNUMBER($AD44)),IF($AB44&gt;0,$AD44/$AB44,""),"")</f>
      </c>
      <c r="AL44" s="48" t="inlineStr">
        <is>
          <t xml:space="preserve">At technical</t>
        </is>
      </c>
      <c r="AM44" s="41">
        <f>IF(ISNUMBER($AD44),Header!$I$3,"")</f>
      </c>
      <c r="AN44" s="39">
        <f>IF(ISNUMBER($AD44),$AO44+$AP44,"")</f>
      </c>
      <c r="AO44" s="39">
        <f>IF(ISNUMBER($AD44),ROUND($AD44*Header!$K$3,2),"")</f>
      </c>
      <c r="AP44" s="39">
        <f>IF(ISNUMBER($AD44),ROUND($AD44*Header!$M$3,2),"")</f>
      </c>
      <c r="AQ44" s="38">
        <f>IF(ISNUMBER($AD44),ROUND($AD44,2)-$AO44-$AP44,"")</f>
      </c>
      <c r="AR44" s="39">
        <f>IF(ISNUMBER($AD44),IF(Header!$D$34="","?",$AD44*Header!$D$34),"")</f>
      </c>
      <c r="AS44" s="39">
        <f>IF(ISNUMBER($AB44),IF(Header!$D$34="","?",$AB44*Header!$D$34),"")</f>
      </c>
      <c r="AT44" s="42">
        <f>IF(AND(ISNUMBER($AB44),$M44&gt;0),$AB44/$M44*100,"")</f>
      </c>
      <c r="AU44" s="42">
        <f>IF(AND(ISNUMBER($AD44),$M44&gt;0),$AD44/$M44*100,"")</f>
      </c>
      <c r="AV44" s="40">
        <f>IF(AND(ISNUMBER($AB44),ISNUMBER($AD44),ABS($AB44)&gt;0),$AD44/$AB44,"")</f>
      </c>
      <c r="AW44" s="39">
        <f>IF(ISNUMBER($AD44),MAX(0,(1-0.55-Header!$O$3)*Header!$Q$3*$AQ44),"")</f>
      </c>
      <c r="AX44" s="43">
        <f>IF($A44="","",IF(TRIM(IF($A44="","Missing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",""))="","PASS","FAIL: "&amp;TRIM(IF($A44="","Missing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f>
      </c>
      <c r="AY44" s="44">
        <f>IF($M44="","",IF(ISNUMBER($M44),IF($M44&gt;=Header!$C$18,"YES — refer","No"),""))</f>
      </c>
      <c r="AZ44" s="44">
        <f>IF($AD44="","",IF(ISNUMBER($AD44),IF($AD44&lt;Header!$C$20,"BELOW MIN PREMIUM","OK"),""))</f>
      </c>
      <c r="BA44" s="48" t="inlineStr">
        <is>
          <t xml:space="preserve">Yes</t>
        </is>
      </c>
      <c r="BB44" s="48" t="inlineStr">
        <is>
          <t xml:space="preserve">Yes</t>
        </is>
      </c>
      <c r="BC44" s="46" t="inlineStr">
        <is>
          <t xml:space="preserve">Synthetic demo data</t>
        </is>
      </c>
      <c r="BE44" s="45">
        <f>IF(OR($A44="",$L44="",$H44=""),"",IF(AND(LEFT($L44,2)="06",$H44&gt;1945),"FAIL - pre-war class, year "&amp;$H44,IF(AND(LEFT($L44,2)="07",OR($H44&lt;1946,$H44&gt;1972)),"FAIL - 1946-72 class, year "&amp;$H44,IF(AND(LEFT($L44,2)="08",OR($H44&lt;1973,$H44&gt;1999)),"FAIL - 1973-99 class, year "&amp;$H44,IF(AND(LEFT($L44,2)="09",OR($H44&lt;2000,$H44&gt;2010)),"FAIL - 2000-10 class, year "&amp;$H44,"OK")))))</f>
      </c>
      <c r="BF44" s="45">
        <f>IF($AD44="","",IF(ROUND($AO44+$AP44+$AQ44-$AD44,2)=0,"OK","FAIL - out by "&amp;TEXT($AO44+$AP44+$AQ44-$AD44,"$0.00")))</f>
      </c>
    </row>
    <row r="45" spans="1:58" ht="18.75" customHeight="1" x14ac:dyDescent="0.25">
      <c r="A45" s="30" t="inlineStr">
        <is>
          <t xml:space="preserve">CANON-202508-000059</t>
        </is>
      </c>
      <c r="B45" s="30" t="inlineStr">
        <is>
          <t xml:space="preserve">Callum Vandermeer</t>
        </is>
      </c>
      <c r="C45" s="31">
        <v>45880</v>
      </c>
      <c r="D45" s="32" t="inlineStr">
        <is>
          <t xml:space="preserve">Bound - within authority</t>
        </is>
      </c>
      <c r="E45" s="32" t="inlineStr">
        <is>
          <t xml:space="preserve">New business</t>
        </is>
      </c>
      <c r="F45" s="30" t="inlineStr">
        <is>
          <t xml:space="preserve">B1234EXOTIC26</t>
        </is>
      </c>
      <c r="G45" s="33">
        <f>IF($A45="","",IF($C45="","",YEAR($C45)))</f>
      </c>
      <c r="H45" s="34">
        <v>1979</v>
      </c>
      <c r="I45" s="30" t="inlineStr">
        <is>
          <t xml:space="preserve">Ferrari</t>
        </is>
      </c>
      <c r="J45" s="30" t="inlineStr">
        <is>
          <t xml:space="preserve">275 GTB/4</t>
        </is>
      </c>
      <c r="K45" s="30" t="inlineStr">
        <is>
          <t xml:space="preserve">PR39BTFUPC2MT96F5</t>
        </is>
      </c>
      <c r="L45" s="32" t="inlineStr">
        <is>
          <t xml:space="preserve">08 - Modern Classic (1973-1999)</t>
        </is>
      </c>
      <c r="M45" s="35">
        <v>445000</v>
      </c>
      <c r="N45" s="32" t="inlineStr">
        <is>
          <t xml:space="preserve">Personal</t>
        </is>
      </c>
      <c r="O45" s="30" t="inlineStr">
        <is>
          <t xml:space="preserve">Personal - regular use</t>
        </is>
      </c>
      <c r="P45" s="30" t="inlineStr">
        <is>
          <t xml:space="preserve">2,500 - 5,000</t>
        </is>
      </c>
      <c r="Q45" s="30" t="inlineStr">
        <is>
          <t xml:space="preserve">Massachusetts</t>
        </is>
      </c>
      <c r="R45" s="30" t="inlineStr">
        <is>
          <t xml:space="preserve">02108</t>
        </is>
      </c>
      <c r="S45" s="32" t="inlineStr">
        <is>
          <t xml:space="preserve">Tier 3 - Coastal wind (25-100 miles)</t>
        </is>
      </c>
      <c r="T45" s="36">
        <f>IF($A45="","",IF($S45="","",IFERROR(INDEX('[1]natural catastrophe'!$D$6:$D$17,MATCH($S45,'[1]natural catastrophe'!$B$6:$B$17,0)),"?")))</f>
      </c>
      <c r="U45" s="30" t="inlineStr">
        <is>
          <t xml:space="preserve">2% of agreed value, minimum $10,000</t>
        </is>
      </c>
      <c r="V45" s="32" t="inlineStr">
        <is>
          <t xml:space="preserve">Agreed Value</t>
        </is>
      </c>
      <c r="W45" s="30" t="inlineStr">
        <is>
          <t xml:space="preserve">$1,000</t>
        </is>
      </c>
      <c r="X45" s="32" t="inlineStr">
        <is>
          <t xml:space="preserve">$1,000,000 CSL</t>
        </is>
      </c>
      <c r="Y45" s="30"/>
      <c r="Z45" s="30"/>
      <c r="AA45" s="32" t="inlineStr">
        <is>
          <t xml:space="preserve">Surplus Lines</t>
        </is>
      </c>
      <c r="AB45" s="35">
        <v>5037.74</v>
      </c>
      <c r="AC45" s="37">
        <v>0</v>
      </c>
      <c r="AD45" s="38">
        <f>IF(ISNUMBER($AB45),$AB45*(1+N($AC45)),"")</f>
      </c>
      <c r="AE45" s="35">
        <v>350</v>
      </c>
      <c r="AF45" s="35">
        <v>0</v>
      </c>
      <c r="AG45" s="37"/>
      <c r="AH45" s="39">
        <f>IF(ISNUMBER($AD45),($AD45+$AE45+$AF45)*$AG45,"")</f>
      </c>
      <c r="AI45" s="35"/>
      <c r="AJ45" s="38">
        <f>IF(ISNUMBER($AD45),SUM($AD45:$AH45),"")</f>
      </c>
      <c r="AK45" s="40">
        <f>IF(AND(ISNUMBER($AB45),ISNUMBER($AD45)),IF($AB45&gt;0,$AD45/$AB45,""),"")</f>
      </c>
      <c r="AL45" s="32" t="inlineStr">
        <is>
          <t xml:space="preserve">At technical</t>
        </is>
      </c>
      <c r="AM45" s="41">
        <f>IF(ISNUMBER($AD45),Header!$I$3,"")</f>
      </c>
      <c r="AN45" s="39">
        <f>IF(ISNUMBER($AD45),$AO45+$AP45,"")</f>
      </c>
      <c r="AO45" s="39">
        <f>IF(ISNUMBER($AD45),ROUND($AD45*Header!$K$3,2),"")</f>
      </c>
      <c r="AP45" s="39">
        <f>IF(ISNUMBER($AD45),ROUND($AD45*Header!$M$3,2),"")</f>
      </c>
      <c r="AQ45" s="38">
        <f>IF(ISNUMBER($AD45),ROUND($AD45,2)-$AO45-$AP45,"")</f>
      </c>
      <c r="AR45" s="39">
        <f>IF(ISNUMBER($AD45),IF(Header!$D$34="","?",$AD45*Header!$D$34),"")</f>
      </c>
      <c r="AS45" s="39">
        <f>IF(ISNUMBER($AB45),IF(Header!$D$34="","?",$AB45*Header!$D$34),"")</f>
      </c>
      <c r="AT45" s="42">
        <f>IF(AND(ISNUMBER($AB45),$M45&gt;0),$AB45/$M45*100,"")</f>
      </c>
      <c r="AU45" s="42">
        <f>IF(AND(ISNUMBER($AD45),$M45&gt;0),$AD45/$M45*100,"")</f>
      </c>
      <c r="AV45" s="40">
        <f>IF(AND(ISNUMBER($AB45),ISNUMBER($AD45),ABS($AB45)&gt;0),$AD45/$AB45,"")</f>
      </c>
      <c r="AW45" s="39">
        <f>IF(ISNUMBER($AD45),MAX(0,(1-0.55-Header!$O$3)*Header!$Q$3*$AQ45),"")</f>
      </c>
      <c r="AX45" s="43">
        <f>IF($A45="","",IF(TRIM(IF($A45="","Missing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",""))="","PASS","FAIL: "&amp;TRIM(IF($A45="","Missing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f>
      </c>
      <c r="AY45" s="44">
        <f>IF($M45="","",IF(ISNUMBER($M45),IF($M45&gt;=Header!$C$18,"YES — refer","No"),""))</f>
      </c>
      <c r="AZ45" s="44">
        <f>IF($AD45="","",IF(ISNUMBER($AD45),IF($AD45&lt;Header!$C$20,"BELOW MIN PREMIUM","OK"),""))</f>
      </c>
      <c r="BA45" s="32" t="inlineStr">
        <is>
          <t xml:space="preserve">Yes</t>
        </is>
      </c>
      <c r="BB45" s="32" t="inlineStr">
        <is>
          <t xml:space="preserve">Yes</t>
        </is>
      </c>
      <c r="BC45" s="30" t="inlineStr">
        <is>
          <t xml:space="preserve">Synthetic demo data</t>
        </is>
      </c>
      <c r="BE45" s="45">
        <f>IF(OR($A45="",$L45="",$H45=""),"",IF(AND(LEFT($L45,2)="06",$H45&gt;1945),"FAIL - pre-war class, year "&amp;$H45,IF(AND(LEFT($L45,2)="07",OR($H45&lt;1946,$H45&gt;1972)),"FAIL - 1946-72 class, year "&amp;$H45,IF(AND(LEFT($L45,2)="08",OR($H45&lt;1973,$H45&gt;1999)),"FAIL - 1973-99 class, year "&amp;$H45,IF(AND(LEFT($L45,2)="09",OR($H45&lt;2000,$H45&gt;2010)),"FAIL - 2000-10 class, year "&amp;$H45,"OK")))))</f>
      </c>
      <c r="BF45" s="45">
        <f>IF($AD45="","",IF(ROUND($AO45+$AP45+$AQ45-$AD45,2)=0,"OK","FAIL - out by "&amp;TEXT($AO45+$AP45+$AQ45-$AD45,"$0.00")))</f>
      </c>
    </row>
    <row r="46" spans="1:58" ht="18.75" customHeight="1" x14ac:dyDescent="0.25">
      <c r="A46" s="46" t="inlineStr">
        <is>
          <t xml:space="preserve">CANON-202508-000060</t>
        </is>
      </c>
      <c r="B46" s="46" t="inlineStr">
        <is>
          <t xml:space="preserve">Priya Chattopadhyay</t>
        </is>
      </c>
      <c r="C46" s="47">
        <v>45872</v>
      </c>
      <c r="D46" s="48" t="inlineStr">
        <is>
          <t xml:space="preserve">Bound - within authority</t>
        </is>
      </c>
      <c r="E46" s="48" t="inlineStr">
        <is>
          <t xml:space="preserve">New business</t>
        </is>
      </c>
      <c r="F46" s="46" t="inlineStr">
        <is>
          <t xml:space="preserve">B1234EXOTIC26</t>
        </is>
      </c>
      <c r="G46" s="33">
        <f>IF($A46="","",IF($C46="","",YEAR($C46)))</f>
      </c>
      <c r="H46" s="49">
        <v>1958</v>
      </c>
      <c r="I46" s="46" t="inlineStr">
        <is>
          <t xml:space="preserve">BMW</t>
        </is>
      </c>
      <c r="J46" s="46" t="inlineStr">
        <is>
          <t xml:space="preserve">M8 Competition</t>
        </is>
      </c>
      <c r="K46" s="46" t="inlineStr">
        <is>
          <t xml:space="preserve">FDCP0T2A6UDBC7Y84</t>
        </is>
      </c>
      <c r="L46" s="48" t="inlineStr">
        <is>
          <t xml:space="preserve">02 - Sports / GT</t>
        </is>
      </c>
      <c r="M46" s="50">
        <v>685000</v>
      </c>
      <c r="N46" s="48" t="inlineStr">
        <is>
          <t xml:space="preserve">Personal</t>
        </is>
      </c>
      <c r="O46" s="46" t="inlineStr">
        <is>
          <t xml:space="preserve">Personal - regular use</t>
        </is>
      </c>
      <c r="P46" s="46" t="inlineStr">
        <is>
          <t xml:space="preserve">Under 1,000</t>
        </is>
      </c>
      <c r="Q46" s="46" t="inlineStr">
        <is>
          <t xml:space="preserve">Virginia</t>
        </is>
      </c>
      <c r="R46" s="46" t="inlineStr">
        <is>
          <t xml:space="preserve">23219</t>
        </is>
      </c>
      <c r="S46" s="48" t="inlineStr">
        <is>
          <t xml:space="preserve">Tier 3 - Coastal wind (25-100 miles)</t>
        </is>
      </c>
      <c r="T46" s="36">
        <f>IF($A46="","",IF($S46="","",IFERROR(INDEX('[1]natural catastrophe'!$D$6:$D$17,MATCH($S46,'[1]natural catastrophe'!$B$6:$B$17,0)),"?")))</f>
      </c>
      <c r="U46" s="46" t="inlineStr">
        <is>
          <t xml:space="preserve">2% of agreed value, minimum $10,000</t>
        </is>
      </c>
      <c r="V46" s="48" t="inlineStr">
        <is>
          <t xml:space="preserve">Agreed Value</t>
        </is>
      </c>
      <c r="W46" s="46" t="inlineStr">
        <is>
          <t xml:space="preserve">$1,000</t>
        </is>
      </c>
      <c r="X46" s="48" t="inlineStr">
        <is>
          <t xml:space="preserve">$1,000,000 CSL</t>
        </is>
      </c>
      <c r="Y46" s="46"/>
      <c r="Z46" s="46"/>
      <c r="AA46" s="48" t="inlineStr">
        <is>
          <t xml:space="preserve">Surplus Lines</t>
        </is>
      </c>
      <c r="AB46" s="50">
        <v>9157.03</v>
      </c>
      <c r="AC46" s="51">
        <v>0</v>
      </c>
      <c r="AD46" s="38">
        <f>IF(ISNUMBER($AB46),$AB46*(1+N($AC46)),"")</f>
      </c>
      <c r="AE46" s="50">
        <v>350</v>
      </c>
      <c r="AF46" s="50">
        <v>0</v>
      </c>
      <c r="AG46" s="51"/>
      <c r="AH46" s="39">
        <f>IF(ISNUMBER($AD46),($AD46+$AE46+$AF46)*$AG46,"")</f>
      </c>
      <c r="AI46" s="50"/>
      <c r="AJ46" s="38">
        <f>IF(ISNUMBER($AD46),SUM($AD46:$AH46),"")</f>
      </c>
      <c r="AK46" s="40">
        <f>IF(AND(ISNUMBER($AB46),ISNUMBER($AD46)),IF($AB46&gt;0,$AD46/$AB46,""),"")</f>
      </c>
      <c r="AL46" s="48" t="inlineStr">
        <is>
          <t xml:space="preserve">At technical</t>
        </is>
      </c>
      <c r="AM46" s="41">
        <f>IF(ISNUMBER($AD46),Header!$I$3,"")</f>
      </c>
      <c r="AN46" s="39">
        <f>IF(ISNUMBER($AD46),$AO46+$AP46,"")</f>
      </c>
      <c r="AO46" s="39">
        <f>IF(ISNUMBER($AD46),ROUND($AD46*Header!$K$3,2),"")</f>
      </c>
      <c r="AP46" s="39">
        <f>IF(ISNUMBER($AD46),ROUND($AD46*Header!$M$3,2),"")</f>
      </c>
      <c r="AQ46" s="38">
        <f>IF(ISNUMBER($AD46),ROUND($AD46,2)-$AO46-$AP46,"")</f>
      </c>
      <c r="AR46" s="39">
        <f>IF(ISNUMBER($AD46),IF(Header!$D$34="","?",$AD46*Header!$D$34),"")</f>
      </c>
      <c r="AS46" s="39">
        <f>IF(ISNUMBER($AB46),IF(Header!$D$34="","?",$AB46*Header!$D$34),"")</f>
      </c>
      <c r="AT46" s="42">
        <f>IF(AND(ISNUMBER($AB46),$M46&gt;0),$AB46/$M46*100,"")</f>
      </c>
      <c r="AU46" s="42">
        <f>IF(AND(ISNUMBER($AD46),$M46&gt;0),$AD46/$M46*100,"")</f>
      </c>
      <c r="AV46" s="40">
        <f>IF(AND(ISNUMBER($AB46),ISNUMBER($AD46),ABS($AB46)&gt;0),$AD46/$AB46,"")</f>
      </c>
      <c r="AW46" s="39">
        <f>IF(ISNUMBER($AD46),MAX(0,(1-0.55-Header!$O$3)*Header!$Q$3*$AQ46),"")</f>
      </c>
      <c r="AX46" s="43">
        <f>IF($A46="","",IF(TRIM(IF($A46="","Missing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",""))="","PASS","FAIL: "&amp;TRIM(IF($A46="","Missing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f>
      </c>
      <c r="AY46" s="44">
        <f>IF($M46="","",IF(ISNUMBER($M46),IF($M46&gt;=Header!$C$18,"YES — refer","No"),""))</f>
      </c>
      <c r="AZ46" s="44">
        <f>IF($AD46="","",IF(ISNUMBER($AD46),IF($AD46&lt;Header!$C$20,"BELOW MIN PREMIUM","OK"),""))</f>
      </c>
      <c r="BA46" s="48" t="inlineStr">
        <is>
          <t xml:space="preserve">Yes</t>
        </is>
      </c>
      <c r="BB46" s="48" t="inlineStr">
        <is>
          <t xml:space="preserve">Yes</t>
        </is>
      </c>
      <c r="BC46" s="46" t="inlineStr">
        <is>
          <t xml:space="preserve">Synthetic demo data</t>
        </is>
      </c>
      <c r="BE46" s="45">
        <f>IF(OR($A46="",$L46="",$H46=""),"",IF(AND(LEFT($L46,2)="06",$H46&gt;1945),"FAIL - pre-war class, year "&amp;$H46,IF(AND(LEFT($L46,2)="07",OR($H46&lt;1946,$H46&gt;1972)),"FAIL - 1946-72 class, year "&amp;$H46,IF(AND(LEFT($L46,2)="08",OR($H46&lt;1973,$H46&gt;1999)),"FAIL - 1973-99 class, year "&amp;$H46,IF(AND(LEFT($L46,2)="09",OR($H46&lt;2000,$H46&gt;2010)),"FAIL - 2000-10 class, year "&amp;$H46,"OK")))))</f>
      </c>
      <c r="BF46" s="45">
        <f>IF($AD46="","",IF(ROUND($AO46+$AP46+$AQ46-$AD46,2)=0,"OK","FAIL - out by "&amp;TEXT($AO46+$AP46+$AQ46-$AD46,"$0.00")))</f>
      </c>
    </row>
    <row r="47" spans="1:58" ht="18.75" customHeight="1" x14ac:dyDescent="0.25">
      <c r="A47" s="30" t="inlineStr">
        <is>
          <t xml:space="preserve">CANON-202508-000064</t>
        </is>
      </c>
      <c r="B47" s="30" t="inlineStr">
        <is>
          <t xml:space="preserve">Emiliano Merriweather</t>
        </is>
      </c>
      <c r="C47" s="31">
        <v>45883</v>
      </c>
      <c r="D47" s="32" t="inlineStr">
        <is>
          <t xml:space="preserve">Bound - within authority</t>
        </is>
      </c>
      <c r="E47" s="32" t="inlineStr">
        <is>
          <t xml:space="preserve">New business</t>
        </is>
      </c>
      <c r="F47" s="30" t="inlineStr">
        <is>
          <t xml:space="preserve">B1234EXOTIC26</t>
        </is>
      </c>
      <c r="G47" s="33">
        <f>IF($A47="","",IF($C47="","",YEAR($C47)))</f>
      </c>
      <c r="H47" s="34">
        <v>1965</v>
      </c>
      <c r="I47" s="30" t="inlineStr">
        <is>
          <t xml:space="preserve">Maserati</t>
        </is>
      </c>
      <c r="J47" s="30" t="inlineStr">
        <is>
          <t xml:space="preserve">GranTurismo</t>
        </is>
      </c>
      <c r="K47" s="30" t="inlineStr">
        <is>
          <t xml:space="preserve">4L1PBA3BRC54WZU5X</t>
        </is>
      </c>
      <c r="L47" s="32" t="inlineStr">
        <is>
          <t xml:space="preserve">02 - Sports / GT</t>
        </is>
      </c>
      <c r="M47" s="35">
        <v>1850000</v>
      </c>
      <c r="N47" s="32" t="inlineStr">
        <is>
          <t xml:space="preserve">Personal</t>
        </is>
      </c>
      <c r="O47" s="30" t="inlineStr">
        <is>
          <t xml:space="preserve">Personal - regular use</t>
        </is>
      </c>
      <c r="P47" s="30" t="inlineStr">
        <is>
          <t xml:space="preserve">1,000 - 2,500</t>
        </is>
      </c>
      <c r="Q47" s="30" t="inlineStr">
        <is>
          <t xml:space="preserve">Pennsylvania</t>
        </is>
      </c>
      <c r="R47" s="30" t="inlineStr">
        <is>
          <t xml:space="preserve">19103</t>
        </is>
      </c>
      <c r="S47" s="32" t="inlineStr">
        <is>
          <t xml:space="preserve">Low hazard - inland benign</t>
        </is>
      </c>
      <c r="T47" s="36">
        <f>IF($A47="","",IF($S47="","",IFERROR(INDEX('[1]natural catastrophe'!$D$6:$D$17,MATCH($S47,'[1]natural catastrophe'!$B$6:$B$17,0)),"?")))</f>
      </c>
      <c r="U47" s="30" t="inlineStr">
        <is>
          <t xml:space="preserve">$5,000</t>
        </is>
      </c>
      <c r="V47" s="32" t="inlineStr">
        <is>
          <t xml:space="preserve">Agreed Value</t>
        </is>
      </c>
      <c r="W47" s="30" t="inlineStr">
        <is>
          <t xml:space="preserve">$1,000</t>
        </is>
      </c>
      <c r="X47" s="32" t="inlineStr">
        <is>
          <t xml:space="preserve">$1,000,000 CSL</t>
        </is>
      </c>
      <c r="Y47" s="30"/>
      <c r="Z47" s="30"/>
      <c r="AA47" s="32" t="inlineStr">
        <is>
          <t xml:space="preserve">Surplus Lines</t>
        </is>
      </c>
      <c r="AB47" s="35">
        <v>19198.11</v>
      </c>
      <c r="AC47" s="37">
        <v>0</v>
      </c>
      <c r="AD47" s="38">
        <f>IF(ISNUMBER($AB47),$AB47*(1+N($AC47)),"")</f>
      </c>
      <c r="AE47" s="35">
        <v>350</v>
      </c>
      <c r="AF47" s="35">
        <v>250</v>
      </c>
      <c r="AG47" s="37"/>
      <c r="AH47" s="39">
        <f>IF(ISNUMBER($AD47),($AD47+$AE47+$AF47)*$AG47,"")</f>
      </c>
      <c r="AI47" s="35"/>
      <c r="AJ47" s="38">
        <f>IF(ISNUMBER($AD47),SUM($AD47:$AH47),"")</f>
      </c>
      <c r="AK47" s="40">
        <f>IF(AND(ISNUMBER($AB47),ISNUMBER($AD47)),IF($AB47&gt;0,$AD47/$AB47,""),"")</f>
      </c>
      <c r="AL47" s="32" t="inlineStr">
        <is>
          <t xml:space="preserve">At technical</t>
        </is>
      </c>
      <c r="AM47" s="41">
        <f>IF(ISNUMBER($AD47),Header!$I$3,"")</f>
      </c>
      <c r="AN47" s="39">
        <f>IF(ISNUMBER($AD47),$AO47+$AP47,"")</f>
      </c>
      <c r="AO47" s="39">
        <f>IF(ISNUMBER($AD47),ROUND($AD47*Header!$K$3,2),"")</f>
      </c>
      <c r="AP47" s="39">
        <f>IF(ISNUMBER($AD47),ROUND($AD47*Header!$M$3,2),"")</f>
      </c>
      <c r="AQ47" s="38">
        <f>IF(ISNUMBER($AD47),ROUND($AD47,2)-$AO47-$AP47,"")</f>
      </c>
      <c r="AR47" s="39">
        <f>IF(ISNUMBER($AD47),IF(Header!$D$34="","?",$AD47*Header!$D$34),"")</f>
      </c>
      <c r="AS47" s="39">
        <f>IF(ISNUMBER($AB47),IF(Header!$D$34="","?",$AB47*Header!$D$34),"")</f>
      </c>
      <c r="AT47" s="42">
        <f>IF(AND(ISNUMBER($AB47),$M47&gt;0),$AB47/$M47*100,"")</f>
      </c>
      <c r="AU47" s="42">
        <f>IF(AND(ISNUMBER($AD47),$M47&gt;0),$AD47/$M47*100,"")</f>
      </c>
      <c r="AV47" s="40">
        <f>IF(AND(ISNUMBER($AB47),ISNUMBER($AD47),ABS($AB47)&gt;0),$AD47/$AB47,"")</f>
      </c>
      <c r="AW47" s="39">
        <f>IF(ISNUMBER($AD47),MAX(0,(1-0.55-Header!$O$3)*Header!$Q$3*$AQ47),"")</f>
      </c>
      <c r="AX47" s="43">
        <f>IF($A47="","",IF(TRIM(IF($A47="","Missing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",""))="","PASS","FAIL: "&amp;TRIM(IF($A47="","Missing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f>
      </c>
      <c r="AY47" s="44">
        <f>IF($M47="","",IF(ISNUMBER($M47),IF($M47&gt;=Header!$C$18,"YES — refer","No"),""))</f>
      </c>
      <c r="AZ47" s="44">
        <f>IF($AD47="","",IF(ISNUMBER($AD47),IF($AD47&lt;Header!$C$20,"BELOW MIN PREMIUM","OK"),""))</f>
      </c>
      <c r="BA47" s="32" t="inlineStr">
        <is>
          <t xml:space="preserve">Yes</t>
        </is>
      </c>
      <c r="BB47" s="32" t="inlineStr">
        <is>
          <t xml:space="preserve">Yes</t>
        </is>
      </c>
      <c r="BC47" s="30" t="inlineStr">
        <is>
          <t xml:space="preserve">Synthetic demo data</t>
        </is>
      </c>
      <c r="BE47" s="45">
        <f>IF(OR($A47="",$L47="",$H47=""),"",IF(AND(LEFT($L47,2)="06",$H47&gt;1945),"FAIL - pre-war class, year "&amp;$H47,IF(AND(LEFT($L47,2)="07",OR($H47&lt;1946,$H47&gt;1972)),"FAIL - 1946-72 class, year "&amp;$H47,IF(AND(LEFT($L47,2)="08",OR($H47&lt;1973,$H47&gt;1999)),"FAIL - 1973-99 class, year "&amp;$H47,IF(AND(LEFT($L47,2)="09",OR($H47&lt;2000,$H47&gt;2010)),"FAIL - 2000-10 class, year "&amp;$H47,"OK")))))</f>
      </c>
      <c r="BF47" s="45">
        <f>IF($AD47="","",IF(ROUND($AO47+$AP47+$AQ47-$AD47,2)=0,"OK","FAIL - out by "&amp;TEXT($AO47+$AP47+$AQ47-$AD47,"$0.00")))</f>
      </c>
    </row>
    <row r="48" spans="1:58" ht="18.75" customHeight="1" x14ac:dyDescent="0.25">
      <c r="A48" s="46" t="inlineStr">
        <is>
          <t xml:space="preserve">CANON-202508-000065</t>
        </is>
      </c>
      <c r="B48" s="46" t="inlineStr">
        <is>
          <t xml:space="preserve">Cassius Merriweather</t>
        </is>
      </c>
      <c r="C48" s="47">
        <v>45894</v>
      </c>
      <c r="D48" s="48" t="inlineStr">
        <is>
          <t xml:space="preserve">Bound - within authority</t>
        </is>
      </c>
      <c r="E48" s="48" t="inlineStr">
        <is>
          <t xml:space="preserve">New business</t>
        </is>
      </c>
      <c r="F48" s="46" t="inlineStr">
        <is>
          <t xml:space="preserve">B1234EXOTIC26</t>
        </is>
      </c>
      <c r="G48" s="33">
        <f>IF($A48="","",IF($C48="","",YEAR($C48)))</f>
      </c>
      <c r="H48" s="49">
        <v>1982</v>
      </c>
      <c r="I48" s="46" t="inlineStr">
        <is>
          <t xml:space="preserve">Jaguar</t>
        </is>
      </c>
      <c r="J48" s="46" t="inlineStr">
        <is>
          <t xml:space="preserve">E-Type Series 1</t>
        </is>
      </c>
      <c r="K48" s="46" t="inlineStr">
        <is>
          <t xml:space="preserve">EMS6RM5C8FXVJTR4G</t>
        </is>
      </c>
      <c r="L48" s="48" t="inlineStr">
        <is>
          <t xml:space="preserve">08 - Modern Classic (1973-1999)</t>
        </is>
      </c>
      <c r="M48" s="50">
        <v>280000</v>
      </c>
      <c r="N48" s="48" t="inlineStr">
        <is>
          <t xml:space="preserve">Personal</t>
        </is>
      </c>
      <c r="O48" s="46" t="inlineStr">
        <is>
          <t xml:space="preserve">Personal - regular use</t>
        </is>
      </c>
      <c r="P48" s="46" t="inlineStr">
        <is>
          <t xml:space="preserve">1,000 - 2,500</t>
        </is>
      </c>
      <c r="Q48" s="46" t="inlineStr">
        <is>
          <t xml:space="preserve">Alaska</t>
        </is>
      </c>
      <c r="R48" s="46" t="inlineStr">
        <is>
          <t xml:space="preserve">99501</t>
        </is>
      </c>
      <c r="S48" s="48" t="inlineStr">
        <is>
          <t xml:space="preserve">Earthquake - high (CA, Cascadia, New Madrid)</t>
        </is>
      </c>
      <c r="T48" s="36">
        <f>IF($A48="","",IF($S48="","",IFERROR(INDEX('[1]natural catastrophe'!$D$6:$D$17,MATCH($S48,'[1]natural catastrophe'!$B$6:$B$17,0)),"?")))</f>
      </c>
      <c r="U48" s="46" t="inlineStr">
        <is>
          <t xml:space="preserve">$5,000</t>
        </is>
      </c>
      <c r="V48" s="48" t="inlineStr">
        <is>
          <t xml:space="preserve">Agreed Value</t>
        </is>
      </c>
      <c r="W48" s="46" t="inlineStr">
        <is>
          <t xml:space="preserve">$1,000</t>
        </is>
      </c>
      <c r="X48" s="48" t="inlineStr">
        <is>
          <t xml:space="preserve">$1,000,000 CSL</t>
        </is>
      </c>
      <c r="Y48" s="46"/>
      <c r="Z48" s="46"/>
      <c r="AA48" s="48" t="inlineStr">
        <is>
          <t xml:space="preserve">Surplus Lines</t>
        </is>
      </c>
      <c r="AB48" s="50">
        <v>2890.87</v>
      </c>
      <c r="AC48" s="51">
        <v>0</v>
      </c>
      <c r="AD48" s="38">
        <f>IF(ISNUMBER($AB48),$AB48*(1+N($AC48)),"")</f>
      </c>
      <c r="AE48" s="50">
        <v>350</v>
      </c>
      <c r="AF48" s="50">
        <v>0</v>
      </c>
      <c r="AG48" s="51"/>
      <c r="AH48" s="39">
        <f>IF(ISNUMBER($AD48),($AD48+$AE48+$AF48)*$AG48,"")</f>
      </c>
      <c r="AI48" s="50"/>
      <c r="AJ48" s="38">
        <f>IF(ISNUMBER($AD48),SUM($AD48:$AH48),"")</f>
      </c>
      <c r="AK48" s="40">
        <f>IF(AND(ISNUMBER($AB48),ISNUMBER($AD48)),IF($AB48&gt;0,$AD48/$AB48,""),"")</f>
      </c>
      <c r="AL48" s="48" t="inlineStr">
        <is>
          <t xml:space="preserve">At technical</t>
        </is>
      </c>
      <c r="AM48" s="41">
        <f>IF(ISNUMBER($AD48),Header!$I$3,"")</f>
      </c>
      <c r="AN48" s="39">
        <f>IF(ISNUMBER($AD48),$AO48+$AP48,"")</f>
      </c>
      <c r="AO48" s="39">
        <f>IF(ISNUMBER($AD48),ROUND($AD48*Header!$K$3,2),"")</f>
      </c>
      <c r="AP48" s="39">
        <f>IF(ISNUMBER($AD48),ROUND($AD48*Header!$M$3,2),"")</f>
      </c>
      <c r="AQ48" s="38">
        <f>IF(ISNUMBER($AD48),ROUND($AD48,2)-$AO48-$AP48,"")</f>
      </c>
      <c r="AR48" s="39">
        <f>IF(ISNUMBER($AD48),IF(Header!$D$34="","?",$AD48*Header!$D$34),"")</f>
      </c>
      <c r="AS48" s="39">
        <f>IF(ISNUMBER($AB48),IF(Header!$D$34="","?",$AB48*Header!$D$34),"")</f>
      </c>
      <c r="AT48" s="42">
        <f>IF(AND(ISNUMBER($AB48),$M48&gt;0),$AB48/$M48*100,"")</f>
      </c>
      <c r="AU48" s="42">
        <f>IF(AND(ISNUMBER($AD48),$M48&gt;0),$AD48/$M48*100,"")</f>
      </c>
      <c r="AV48" s="40">
        <f>IF(AND(ISNUMBER($AB48),ISNUMBER($AD48),ABS($AB48)&gt;0),$AD48/$AB48,"")</f>
      </c>
      <c r="AW48" s="39">
        <f>IF(ISNUMBER($AD48),MAX(0,(1-0.55-Header!$O$3)*Header!$Q$3*$AQ48),"")</f>
      </c>
      <c r="AX48" s="43">
        <f>IF($A48="","",IF(TRIM(IF($A48="","Missing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",""))="","PASS","FAIL: "&amp;TRIM(IF($A48="","Missing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f>
      </c>
      <c r="AY48" s="44">
        <f>IF($M48="","",IF(ISNUMBER($M48),IF($M48&gt;=Header!$C$18,"YES — refer","No"),""))</f>
      </c>
      <c r="AZ48" s="44">
        <f>IF($AD48="","",IF(ISNUMBER($AD48),IF($AD48&lt;Header!$C$20,"BELOW MIN PREMIUM","OK"),""))</f>
      </c>
      <c r="BA48" s="48" t="inlineStr">
        <is>
          <t xml:space="preserve">Yes</t>
        </is>
      </c>
      <c r="BB48" s="48" t="inlineStr">
        <is>
          <t xml:space="preserve">Yes</t>
        </is>
      </c>
      <c r="BC48" s="46" t="inlineStr">
        <is>
          <t xml:space="preserve">Synthetic demo data</t>
        </is>
      </c>
      <c r="BE48" s="45">
        <f>IF(OR($A48="",$L48="",$H48=""),"",IF(AND(LEFT($L48,2)="06",$H48&gt;1945),"FAIL - pre-war class, year "&amp;$H48,IF(AND(LEFT($L48,2)="07",OR($H48&lt;1946,$H48&gt;1972)),"FAIL - 1946-72 class, year "&amp;$H48,IF(AND(LEFT($L48,2)="08",OR($H48&lt;1973,$H48&gt;1999)),"FAIL - 1973-99 class, year "&amp;$H48,IF(AND(LEFT($L48,2)="09",OR($H48&lt;2000,$H48&gt;2010)),"FAIL - 2000-10 class, year "&amp;$H48,"OK")))))</f>
      </c>
      <c r="BF48" s="45">
        <f>IF($AD48="","",IF(ROUND($AO48+$AP48+$AQ48-$AD48,2)=0,"OK","FAIL - out by "&amp;TEXT($AO48+$AP48+$AQ48-$AD48,"$0.00")))</f>
      </c>
    </row>
    <row r="49" spans="1:58" ht="18.75" customHeight="1" x14ac:dyDescent="0.25">
      <c r="A49" s="30" t="inlineStr">
        <is>
          <t xml:space="preserve">CANON-202508-000067</t>
        </is>
      </c>
      <c r="B49" s="30" t="inlineStr">
        <is>
          <t xml:space="preserve">Mireille Fairweather</t>
        </is>
      </c>
      <c r="C49" s="31">
        <v>45873</v>
      </c>
      <c r="D49" s="32" t="inlineStr">
        <is>
          <t xml:space="preserve">Bound - within authority</t>
        </is>
      </c>
      <c r="E49" s="32" t="inlineStr">
        <is>
          <t xml:space="preserve">New business</t>
        </is>
      </c>
      <c r="F49" s="30" t="inlineStr">
        <is>
          <t xml:space="preserve">B1234EXOTIC26</t>
        </is>
      </c>
      <c r="G49" s="33">
        <f>IF($A49="","",IF($C49="","",YEAR($C49)))</f>
      </c>
      <c r="H49" s="34">
        <v>1998</v>
      </c>
      <c r="I49" s="30" t="inlineStr">
        <is>
          <t xml:space="preserve">Mercedes-Benz</t>
        </is>
      </c>
      <c r="J49" s="30" t="inlineStr">
        <is>
          <t xml:space="preserve">AMG GT</t>
        </is>
      </c>
      <c r="K49" s="30" t="inlineStr">
        <is>
          <t xml:space="preserve">HPJHTLK059B193NKE</t>
        </is>
      </c>
      <c r="L49" s="32" t="inlineStr">
        <is>
          <t xml:space="preserve">02 - Sports / GT</t>
        </is>
      </c>
      <c r="M49" s="35">
        <v>430000</v>
      </c>
      <c r="N49" s="32" t="inlineStr">
        <is>
          <t xml:space="preserve">Personal</t>
        </is>
      </c>
      <c r="O49" s="30" t="inlineStr">
        <is>
          <t xml:space="preserve">Personal - regular use</t>
        </is>
      </c>
      <c r="P49" s="30" t="inlineStr">
        <is>
          <t xml:space="preserve">Under 1,000</t>
        </is>
      </c>
      <c r="Q49" s="30" t="inlineStr">
        <is>
          <t xml:space="preserve">California</t>
        </is>
      </c>
      <c r="R49" s="30" t="inlineStr">
        <is>
          <t xml:space="preserve">90012</t>
        </is>
      </c>
      <c r="S49" s="32" t="inlineStr">
        <is>
          <t xml:space="preserve">Earthquake - high (CA, Cascadia, New Madrid)</t>
        </is>
      </c>
      <c r="T49" s="36">
        <f>IF($A49="","",IF($S49="","",IFERROR(INDEX('[1]natural catastrophe'!$D$6:$D$17,MATCH($S49,'[1]natural catastrophe'!$B$6:$B$17,0)),"?")))</f>
      </c>
      <c r="U49" s="30" t="inlineStr">
        <is>
          <t xml:space="preserve">$5,000</t>
        </is>
      </c>
      <c r="V49" s="32" t="inlineStr">
        <is>
          <t xml:space="preserve">Agreed Value</t>
        </is>
      </c>
      <c r="W49" s="30" t="inlineStr">
        <is>
          <t xml:space="preserve">$1,000</t>
        </is>
      </c>
      <c r="X49" s="32" t="inlineStr">
        <is>
          <t xml:space="preserve">$1,000,000 CSL</t>
        </is>
      </c>
      <c r="Y49" s="30"/>
      <c r="Z49" s="30"/>
      <c r="AA49" s="32" t="inlineStr">
        <is>
          <t xml:space="preserve">Surplus Lines</t>
        </is>
      </c>
      <c r="AB49" s="35">
        <v>8214.62</v>
      </c>
      <c r="AC49" s="37">
        <v>0</v>
      </c>
      <c r="AD49" s="38">
        <f>IF(ISNUMBER($AB49),$AB49*(1+N($AC49)),"")</f>
      </c>
      <c r="AE49" s="35">
        <v>350</v>
      </c>
      <c r="AF49" s="35">
        <v>0</v>
      </c>
      <c r="AG49" s="37"/>
      <c r="AH49" s="39">
        <f>IF(ISNUMBER($AD49),($AD49+$AE49+$AF49)*$AG49,"")</f>
      </c>
      <c r="AI49" s="35"/>
      <c r="AJ49" s="38">
        <f>IF(ISNUMBER($AD49),SUM($AD49:$AH49),"")</f>
      </c>
      <c r="AK49" s="40">
        <f>IF(AND(ISNUMBER($AB49),ISNUMBER($AD49)),IF($AB49&gt;0,$AD49/$AB49,""),"")</f>
      </c>
      <c r="AL49" s="32" t="inlineStr">
        <is>
          <t xml:space="preserve">At technical</t>
        </is>
      </c>
      <c r="AM49" s="41">
        <f>IF(ISNUMBER($AD49),Header!$I$3,"")</f>
      </c>
      <c r="AN49" s="39">
        <f>IF(ISNUMBER($AD49),$AO49+$AP49,"")</f>
      </c>
      <c r="AO49" s="39">
        <f>IF(ISNUMBER($AD49),ROUND($AD49*Header!$K$3,2),"")</f>
      </c>
      <c r="AP49" s="39">
        <f>IF(ISNUMBER($AD49),ROUND($AD49*Header!$M$3,2),"")</f>
      </c>
      <c r="AQ49" s="38">
        <f>IF(ISNUMBER($AD49),ROUND($AD49,2)-$AO49-$AP49,"")</f>
      </c>
      <c r="AR49" s="39">
        <f>IF(ISNUMBER($AD49),IF(Header!$D$34="","?",$AD49*Header!$D$34),"")</f>
      </c>
      <c r="AS49" s="39">
        <f>IF(ISNUMBER($AB49),IF(Header!$D$34="","?",$AB49*Header!$D$34),"")</f>
      </c>
      <c r="AT49" s="42">
        <f>IF(AND(ISNUMBER($AB49),$M49&gt;0),$AB49/$M49*100,"")</f>
      </c>
      <c r="AU49" s="42">
        <f>IF(AND(ISNUMBER($AD49),$M49&gt;0),$AD49/$M49*100,"")</f>
      </c>
      <c r="AV49" s="40">
        <f>IF(AND(ISNUMBER($AB49),ISNUMBER($AD49),ABS($AB49)&gt;0),$AD49/$AB49,"")</f>
      </c>
      <c r="AW49" s="39">
        <f>IF(ISNUMBER($AD49),MAX(0,(1-0.55-Header!$O$3)*Header!$Q$3*$AQ49),"")</f>
      </c>
      <c r="AX49" s="43">
        <f>IF($A49="","",IF(TRIM(IF($A49="","Missing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",""))="","PASS","FAIL: "&amp;TRIM(IF($A49="","Missing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f>
      </c>
      <c r="AY49" s="44">
        <f>IF($M49="","",IF(ISNUMBER($M49),IF($M49&gt;=Header!$C$18,"YES — refer","No"),""))</f>
      </c>
      <c r="AZ49" s="44">
        <f>IF($AD49="","",IF(ISNUMBER($AD49),IF($AD49&lt;Header!$C$20,"BELOW MIN PREMIUM","OK"),""))</f>
      </c>
      <c r="BA49" s="32" t="inlineStr">
        <is>
          <t xml:space="preserve">Yes</t>
        </is>
      </c>
      <c r="BB49" s="32" t="inlineStr">
        <is>
          <t xml:space="preserve">Yes</t>
        </is>
      </c>
      <c r="BC49" s="30" t="inlineStr">
        <is>
          <t xml:space="preserve">Synthetic demo data</t>
        </is>
      </c>
      <c r="BE49" s="45">
        <f>IF(OR($A49="",$L49="",$H49=""),"",IF(AND(LEFT($L49,2)="06",$H49&gt;1945),"FAIL - pre-war class, year "&amp;$H49,IF(AND(LEFT($L49,2)="07",OR($H49&lt;1946,$H49&gt;1972)),"FAIL - 1946-72 class, year "&amp;$H49,IF(AND(LEFT($L49,2)="08",OR($H49&lt;1973,$H49&gt;1999)),"FAIL - 1973-99 class, year "&amp;$H49,IF(AND(LEFT($L49,2)="09",OR($H49&lt;2000,$H49&gt;2010)),"FAIL - 2000-10 class, year "&amp;$H49,"OK")))))</f>
      </c>
      <c r="BF49" s="45">
        <f>IF($AD49="","",IF(ROUND($AO49+$AP49+$AQ49-$AD49,2)=0,"OK","FAIL - out by "&amp;TEXT($AO49+$AP49+$AQ49-$AD49,"$0.00")))</f>
      </c>
    </row>
    <row r="50" spans="1:58" ht="18.75" customHeight="1" x14ac:dyDescent="0.25">
      <c r="A50" s="46" t="inlineStr">
        <is>
          <t xml:space="preserve">CANON-202508-000068</t>
        </is>
      </c>
      <c r="B50" s="46" t="inlineStr">
        <is>
          <t xml:space="preserve">Saoirse Castellanos</t>
        </is>
      </c>
      <c r="C50" s="47">
        <v>45889</v>
      </c>
      <c r="D50" s="48" t="inlineStr">
        <is>
          <t xml:space="preserve">Bound - within authority</t>
        </is>
      </c>
      <c r="E50" s="48" t="inlineStr">
        <is>
          <t xml:space="preserve">New business</t>
        </is>
      </c>
      <c r="F50" s="46" t="inlineStr">
        <is>
          <t xml:space="preserve">B1234EXOTIC26</t>
        </is>
      </c>
      <c r="G50" s="33">
        <f>IF($A50="","",IF($C50="","",YEAR($C50)))</f>
      </c>
      <c r="H50" s="49">
        <v>1976</v>
      </c>
      <c r="I50" s="46" t="inlineStr">
        <is>
          <t xml:space="preserve">Mercedes-Benz</t>
        </is>
      </c>
      <c r="J50" s="46" t="inlineStr">
        <is>
          <t xml:space="preserve">AMG GT</t>
        </is>
      </c>
      <c r="K50" s="46" t="inlineStr">
        <is>
          <t xml:space="preserve">H7WJ6K3WJ9VFXBU66</t>
        </is>
      </c>
      <c r="L50" s="48" t="inlineStr">
        <is>
          <t xml:space="preserve">02 - Sports / GT</t>
        </is>
      </c>
      <c r="M50" s="50">
        <v>795000</v>
      </c>
      <c r="N50" s="48" t="inlineStr">
        <is>
          <t xml:space="preserve">Personal</t>
        </is>
      </c>
      <c r="O50" s="46" t="inlineStr">
        <is>
          <t xml:space="preserve">Personal - regular use</t>
        </is>
      </c>
      <c r="P50" s="46" t="inlineStr">
        <is>
          <t xml:space="preserve">Under 1,000</t>
        </is>
      </c>
      <c r="Q50" s="46" t="inlineStr">
        <is>
          <t xml:space="preserve">Nebraska</t>
        </is>
      </c>
      <c r="R50" s="46" t="inlineStr">
        <is>
          <t xml:space="preserve">68102</t>
        </is>
      </c>
      <c r="S50" s="48" t="inlineStr">
        <is>
          <t xml:space="preserve">Severe convective - hail alley (high)</t>
        </is>
      </c>
      <c r="T50" s="36">
        <f>IF($A50="","",IF($S50="","",IFERROR(INDEX('[1]natural catastrophe'!$D$6:$D$17,MATCH($S50,'[1]natural catastrophe'!$B$6:$B$17,0)),"?")))</f>
      </c>
      <c r="U50" s="46" t="inlineStr">
        <is>
          <t xml:space="preserve">$5,000</t>
        </is>
      </c>
      <c r="V50" s="48" t="inlineStr">
        <is>
          <t xml:space="preserve">Agreed Value</t>
        </is>
      </c>
      <c r="W50" s="46" t="inlineStr">
        <is>
          <t xml:space="preserve">$1,000</t>
        </is>
      </c>
      <c r="X50" s="48" t="inlineStr">
        <is>
          <t xml:space="preserve">$1,000,000 CSL</t>
        </is>
      </c>
      <c r="Y50" s="46"/>
      <c r="Z50" s="46"/>
      <c r="AA50" s="48" t="inlineStr">
        <is>
          <t xml:space="preserve">Surplus Lines</t>
        </is>
      </c>
      <c r="AB50" s="50">
        <v>12675</v>
      </c>
      <c r="AC50" s="51">
        <v>0</v>
      </c>
      <c r="AD50" s="38">
        <f>IF(ISNUMBER($AB50),$AB50*(1+N($AC50)),"")</f>
      </c>
      <c r="AE50" s="50">
        <v>350</v>
      </c>
      <c r="AF50" s="50">
        <v>0</v>
      </c>
      <c r="AG50" s="51"/>
      <c r="AH50" s="39">
        <f>IF(ISNUMBER($AD50),($AD50+$AE50+$AF50)*$AG50,"")</f>
      </c>
      <c r="AI50" s="50"/>
      <c r="AJ50" s="38">
        <f>IF(ISNUMBER($AD50),SUM($AD50:$AH50),"")</f>
      </c>
      <c r="AK50" s="40">
        <f>IF(AND(ISNUMBER($AB50),ISNUMBER($AD50)),IF($AB50&gt;0,$AD50/$AB50,""),"")</f>
      </c>
      <c r="AL50" s="48" t="inlineStr">
        <is>
          <t xml:space="preserve">At technical</t>
        </is>
      </c>
      <c r="AM50" s="41">
        <f>IF(ISNUMBER($AD50),Header!$I$3,"")</f>
      </c>
      <c r="AN50" s="39">
        <f>IF(ISNUMBER($AD50),$AO50+$AP50,"")</f>
      </c>
      <c r="AO50" s="39">
        <f>IF(ISNUMBER($AD50),ROUND($AD50*Header!$K$3,2),"")</f>
      </c>
      <c r="AP50" s="39">
        <f>IF(ISNUMBER($AD50),ROUND($AD50*Header!$M$3,2),"")</f>
      </c>
      <c r="AQ50" s="38">
        <f>IF(ISNUMBER($AD50),ROUND($AD50,2)-$AO50-$AP50,"")</f>
      </c>
      <c r="AR50" s="39">
        <f>IF(ISNUMBER($AD50),IF(Header!$D$34="","?",$AD50*Header!$D$34),"")</f>
      </c>
      <c r="AS50" s="39">
        <f>IF(ISNUMBER($AB50),IF(Header!$D$34="","?",$AB50*Header!$D$34),"")</f>
      </c>
      <c r="AT50" s="42">
        <f>IF(AND(ISNUMBER($AB50),$M50&gt;0),$AB50/$M50*100,"")</f>
      </c>
      <c r="AU50" s="42">
        <f>IF(AND(ISNUMBER($AD50),$M50&gt;0),$AD50/$M50*100,"")</f>
      </c>
      <c r="AV50" s="40">
        <f>IF(AND(ISNUMBER($AB50),ISNUMBER($AD50),ABS($AB50)&gt;0),$AD50/$AB50,"")</f>
      </c>
      <c r="AW50" s="39">
        <f>IF(ISNUMBER($AD50),MAX(0,(1-0.55-Header!$O$3)*Header!$Q$3*$AQ50),"")</f>
      </c>
      <c r="AX50" s="43">
        <f>IF($A50="","",IF(TRIM(IF($A50="","Missing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",""))="","PASS","FAIL: "&amp;TRIM(IF($A50="","Missing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f>
      </c>
      <c r="AY50" s="44">
        <f>IF($M50="","",IF(ISNUMBER($M50),IF($M50&gt;=Header!$C$18,"YES — refer","No"),""))</f>
      </c>
      <c r="AZ50" s="44">
        <f>IF($AD50="","",IF(ISNUMBER($AD50),IF($AD50&lt;Header!$C$20,"BELOW MIN PREMIUM","OK"),""))</f>
      </c>
      <c r="BA50" s="48" t="inlineStr">
        <is>
          <t xml:space="preserve">Yes</t>
        </is>
      </c>
      <c r="BB50" s="48" t="inlineStr">
        <is>
          <t xml:space="preserve">Yes</t>
        </is>
      </c>
      <c r="BC50" s="46" t="inlineStr">
        <is>
          <t xml:space="preserve">Synthetic demo data</t>
        </is>
      </c>
      <c r="BE50" s="45">
        <f>IF(OR($A50="",$L50="",$H50=""),"",IF(AND(LEFT($L50,2)="06",$H50&gt;1945),"FAIL - pre-war class, year "&amp;$H50,IF(AND(LEFT($L50,2)="07",OR($H50&lt;1946,$H50&gt;1972)),"FAIL - 1946-72 class, year "&amp;$H50,IF(AND(LEFT($L50,2)="08",OR($H50&lt;1973,$H50&gt;1999)),"FAIL - 1973-99 class, year "&amp;$H50,IF(AND(LEFT($L50,2)="09",OR($H50&lt;2000,$H50&gt;2010)),"FAIL - 2000-10 class, year "&amp;$H50,"OK")))))</f>
      </c>
      <c r="BF50" s="45">
        <f>IF($AD50="","",IF(ROUND($AO50+$AP50+$AQ50-$AD50,2)=0,"OK","FAIL - out by "&amp;TEXT($AO50+$AP50+$AQ50-$AD50,"$0.00")))</f>
      </c>
    </row>
    <row r="51" spans="1:58" ht="18.75" customHeight="1" x14ac:dyDescent="0.25">
      <c r="A51" s="30" t="inlineStr">
        <is>
          <t xml:space="preserve">CANON-202508-000069</t>
        </is>
      </c>
      <c r="B51" s="30" t="inlineStr">
        <is>
          <t xml:space="preserve">Emiliano Merriweather</t>
        </is>
      </c>
      <c r="C51" s="31">
        <v>45878</v>
      </c>
      <c r="D51" s="32" t="inlineStr">
        <is>
          <t xml:space="preserve">Bound - within authority</t>
        </is>
      </c>
      <c r="E51" s="32" t="inlineStr">
        <is>
          <t xml:space="preserve">New business</t>
        </is>
      </c>
      <c r="F51" s="30" t="inlineStr">
        <is>
          <t xml:space="preserve">B1234EXOTIC26</t>
        </is>
      </c>
      <c r="G51" s="33">
        <f>IF($A51="","",IF($C51="","",YEAR($C51)))</f>
      </c>
      <c r="H51" s="34">
        <v>1988</v>
      </c>
      <c r="I51" s="30" t="inlineStr">
        <is>
          <t xml:space="preserve">Jaguar</t>
        </is>
      </c>
      <c r="J51" s="30" t="inlineStr">
        <is>
          <t xml:space="preserve">E-Type Series 1</t>
        </is>
      </c>
      <c r="K51" s="30" t="inlineStr">
        <is>
          <t xml:space="preserve">YWG2TCPES2LU1JWUX</t>
        </is>
      </c>
      <c r="L51" s="32" t="inlineStr">
        <is>
          <t xml:space="preserve">08 - Modern Classic (1973-1999)</t>
        </is>
      </c>
      <c r="M51" s="35">
        <v>1075000</v>
      </c>
      <c r="N51" s="32" t="inlineStr">
        <is>
          <t xml:space="preserve">Personal</t>
        </is>
      </c>
      <c r="O51" s="30" t="inlineStr">
        <is>
          <t xml:space="preserve">Personal - regular use</t>
        </is>
      </c>
      <c r="P51" s="30" t="inlineStr">
        <is>
          <t xml:space="preserve">1,000 - 2,500</t>
        </is>
      </c>
      <c r="Q51" s="30" t="inlineStr">
        <is>
          <t xml:space="preserve">Delaware</t>
        </is>
      </c>
      <c r="R51" s="30" t="inlineStr">
        <is>
          <t xml:space="preserve">19801</t>
        </is>
      </c>
      <c r="S51" s="32" t="inlineStr">
        <is>
          <t xml:space="preserve">Tier 3 - Coastal wind (25-100 miles)</t>
        </is>
      </c>
      <c r="T51" s="36">
        <f>IF($A51="","",IF($S51="","",IFERROR(INDEX('[1]natural catastrophe'!$D$6:$D$17,MATCH($S51,'[1]natural catastrophe'!$B$6:$B$17,0)),"?")))</f>
      </c>
      <c r="U51" s="30" t="inlineStr">
        <is>
          <t xml:space="preserve">2% of agreed value, minimum $10,000</t>
        </is>
      </c>
      <c r="V51" s="32" t="inlineStr">
        <is>
          <t xml:space="preserve">Agreed Value</t>
        </is>
      </c>
      <c r="W51" s="30" t="inlineStr">
        <is>
          <t xml:space="preserve">$1,000</t>
        </is>
      </c>
      <c r="X51" s="32" t="inlineStr">
        <is>
          <t xml:space="preserve">$1,000,000 CSL</t>
        </is>
      </c>
      <c r="Y51" s="30"/>
      <c r="Z51" s="30"/>
      <c r="AA51" s="32" t="inlineStr">
        <is>
          <t xml:space="preserve">Surplus Lines</t>
        </is>
      </c>
      <c r="AB51" s="35">
        <v>9634.43</v>
      </c>
      <c r="AC51" s="37">
        <v>0</v>
      </c>
      <c r="AD51" s="38">
        <f>IF(ISNUMBER($AB51),$AB51*(1+N($AC51)),"")</f>
      </c>
      <c r="AE51" s="35">
        <v>350</v>
      </c>
      <c r="AF51" s="35">
        <v>250</v>
      </c>
      <c r="AG51" s="37"/>
      <c r="AH51" s="39">
        <f>IF(ISNUMBER($AD51),($AD51+$AE51+$AF51)*$AG51,"")</f>
      </c>
      <c r="AI51" s="35"/>
      <c r="AJ51" s="38">
        <f>IF(ISNUMBER($AD51),SUM($AD51:$AH51),"")</f>
      </c>
      <c r="AK51" s="40">
        <f>IF(AND(ISNUMBER($AB51),ISNUMBER($AD51)),IF($AB51&gt;0,$AD51/$AB51,""),"")</f>
      </c>
      <c r="AL51" s="32" t="inlineStr">
        <is>
          <t xml:space="preserve">At technical</t>
        </is>
      </c>
      <c r="AM51" s="41">
        <f>IF(ISNUMBER($AD51),Header!$I$3,"")</f>
      </c>
      <c r="AN51" s="39">
        <f>IF(ISNUMBER($AD51),$AO51+$AP51,"")</f>
      </c>
      <c r="AO51" s="39">
        <f>IF(ISNUMBER($AD51),ROUND($AD51*Header!$K$3,2),"")</f>
      </c>
      <c r="AP51" s="39">
        <f>IF(ISNUMBER($AD51),ROUND($AD51*Header!$M$3,2),"")</f>
      </c>
      <c r="AQ51" s="38">
        <f>IF(ISNUMBER($AD51),ROUND($AD51,2)-$AO51-$AP51,"")</f>
      </c>
      <c r="AR51" s="39">
        <f>IF(ISNUMBER($AD51),IF(Header!$D$34="","?",$AD51*Header!$D$34),"")</f>
      </c>
      <c r="AS51" s="39">
        <f>IF(ISNUMBER($AB51),IF(Header!$D$34="","?",$AB51*Header!$D$34),"")</f>
      </c>
      <c r="AT51" s="42">
        <f>IF(AND(ISNUMBER($AB51),$M51&gt;0),$AB51/$M51*100,"")</f>
      </c>
      <c r="AU51" s="42">
        <f>IF(AND(ISNUMBER($AD51),$M51&gt;0),$AD51/$M51*100,"")</f>
      </c>
      <c r="AV51" s="40">
        <f>IF(AND(ISNUMBER($AB51),ISNUMBER($AD51),ABS($AB51)&gt;0),$AD51/$AB51,"")</f>
      </c>
      <c r="AW51" s="39">
        <f>IF(ISNUMBER($AD51),MAX(0,(1-0.55-Header!$O$3)*Header!$Q$3*$AQ51),"")</f>
      </c>
      <c r="AX51" s="43">
        <f>IF($A51="","",IF(TRIM(IF($A51="","Missing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",""))="","PASS","FAIL: "&amp;TRIM(IF($A51="","Missing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f>
      </c>
      <c r="AY51" s="44">
        <f>IF($M51="","",IF(ISNUMBER($M51),IF($M51&gt;=Header!$C$18,"YES — refer","No"),""))</f>
      </c>
      <c r="AZ51" s="44">
        <f>IF($AD51="","",IF(ISNUMBER($AD51),IF($AD51&lt;Header!$C$20,"BELOW MIN PREMIUM","OK"),""))</f>
      </c>
      <c r="BA51" s="32" t="inlineStr">
        <is>
          <t xml:space="preserve">Yes</t>
        </is>
      </c>
      <c r="BB51" s="32" t="inlineStr">
        <is>
          <t xml:space="preserve">Yes</t>
        </is>
      </c>
      <c r="BC51" s="30" t="inlineStr">
        <is>
          <t xml:space="preserve">Synthetic demo data</t>
        </is>
      </c>
      <c r="BE51" s="45">
        <f>IF(OR($A51="",$L51="",$H51=""),"",IF(AND(LEFT($L51,2)="06",$H51&gt;1945),"FAIL - pre-war class, year "&amp;$H51,IF(AND(LEFT($L51,2)="07",OR($H51&lt;1946,$H51&gt;1972)),"FAIL - 1946-72 class, year "&amp;$H51,IF(AND(LEFT($L51,2)="08",OR($H51&lt;1973,$H51&gt;1999)),"FAIL - 1973-99 class, year "&amp;$H51,IF(AND(LEFT($L51,2)="09",OR($H51&lt;2000,$H51&gt;2010)),"FAIL - 2000-10 class, year "&amp;$H51,"OK")))))</f>
      </c>
      <c r="BF51" s="45">
        <f>IF($AD51="","",IF(ROUND($AO51+$AP51+$AQ51-$AD51,2)=0,"OK","FAIL - out by "&amp;TEXT($AO51+$AP51+$AQ51-$AD51,"$0.00")))</f>
      </c>
    </row>
    <row r="52" spans="1:58" ht="18.75" customHeight="1" x14ac:dyDescent="0.25">
      <c r="A52" s="46" t="inlineStr">
        <is>
          <t xml:space="preserve">CANON-202508-000070</t>
        </is>
      </c>
      <c r="B52" s="46" t="inlineStr">
        <is>
          <t xml:space="preserve">Sunniva Harrington</t>
        </is>
      </c>
      <c r="C52" s="47">
        <v>45872</v>
      </c>
      <c r="D52" s="48" t="inlineStr">
        <is>
          <t xml:space="preserve">Bound - within authority</t>
        </is>
      </c>
      <c r="E52" s="48" t="inlineStr">
        <is>
          <t xml:space="preserve">New business</t>
        </is>
      </c>
      <c r="F52" s="46" t="inlineStr">
        <is>
          <t xml:space="preserve">B1234EXOTIC26</t>
        </is>
      </c>
      <c r="G52" s="33">
        <f>IF($A52="","",IF($C52="","",YEAR($C52)))</f>
      </c>
      <c r="H52" s="49">
        <v>1962</v>
      </c>
      <c r="I52" s="46" t="inlineStr">
        <is>
          <t xml:space="preserve">Bugatti</t>
        </is>
      </c>
      <c r="J52" s="46" t="inlineStr">
        <is>
          <t xml:space="preserve">Type 57</t>
        </is>
      </c>
      <c r="K52" s="46" t="inlineStr">
        <is>
          <t xml:space="preserve">66VXMSSKABFPZSU7J</t>
        </is>
      </c>
      <c r="L52" s="48" t="inlineStr">
        <is>
          <t xml:space="preserve">07 - Post-War Classic (1946-1972)</t>
        </is>
      </c>
      <c r="M52" s="50">
        <v>1950000</v>
      </c>
      <c r="N52" s="48" t="inlineStr">
        <is>
          <t xml:space="preserve">Personal</t>
        </is>
      </c>
      <c r="O52" s="46" t="inlineStr">
        <is>
          <t xml:space="preserve">Personal - regular use</t>
        </is>
      </c>
      <c r="P52" s="46" t="inlineStr">
        <is>
          <t xml:space="preserve">2,500 - 5,000</t>
        </is>
      </c>
      <c r="Q52" s="46" t="inlineStr">
        <is>
          <t xml:space="preserve">Wyoming</t>
        </is>
      </c>
      <c r="R52" s="46" t="inlineStr">
        <is>
          <t xml:space="preserve">82001</t>
        </is>
      </c>
      <c r="S52" s="48" t="inlineStr">
        <is>
          <t xml:space="preserve">Severe convective - hail alley (high)</t>
        </is>
      </c>
      <c r="T52" s="36">
        <f>IF($A52="","",IF($S52="","",IFERROR(INDEX('[1]natural catastrophe'!$D$6:$D$17,MATCH($S52,'[1]natural catastrophe'!$B$6:$B$17,0)),"?")))</f>
      </c>
      <c r="U52" s="46" t="inlineStr">
        <is>
          <t xml:space="preserve">$5,000</t>
        </is>
      </c>
      <c r="V52" s="48" t="inlineStr">
        <is>
          <t xml:space="preserve">Agreed Value</t>
        </is>
      </c>
      <c r="W52" s="46" t="inlineStr">
        <is>
          <t xml:space="preserve">$1,000</t>
        </is>
      </c>
      <c r="X52" s="48" t="inlineStr">
        <is>
          <t xml:space="preserve">$1,000,000 CSL</t>
        </is>
      </c>
      <c r="Y52" s="46"/>
      <c r="Z52" s="46"/>
      <c r="AA52" s="48" t="inlineStr">
        <is>
          <t xml:space="preserve">Surplus Lines</t>
        </is>
      </c>
      <c r="AB52" s="50">
        <v>13385.09</v>
      </c>
      <c r="AC52" s="51">
        <v>0</v>
      </c>
      <c r="AD52" s="38">
        <f>IF(ISNUMBER($AB52),$AB52*(1+N($AC52)),"")</f>
      </c>
      <c r="AE52" s="50">
        <v>350</v>
      </c>
      <c r="AF52" s="50">
        <v>250</v>
      </c>
      <c r="AG52" s="51"/>
      <c r="AH52" s="39">
        <f>IF(ISNUMBER($AD52),($AD52+$AE52+$AF52)*$AG52,"")</f>
      </c>
      <c r="AI52" s="50"/>
      <c r="AJ52" s="38">
        <f>IF(ISNUMBER($AD52),SUM($AD52:$AH52),"")</f>
      </c>
      <c r="AK52" s="40">
        <f>IF(AND(ISNUMBER($AB52),ISNUMBER($AD52)),IF($AB52&gt;0,$AD52/$AB52,""),"")</f>
      </c>
      <c r="AL52" s="48" t="inlineStr">
        <is>
          <t xml:space="preserve">At technical</t>
        </is>
      </c>
      <c r="AM52" s="41">
        <f>IF(ISNUMBER($AD52),Header!$I$3,"")</f>
      </c>
      <c r="AN52" s="39">
        <f>IF(ISNUMBER($AD52),$AO52+$AP52,"")</f>
      </c>
      <c r="AO52" s="39">
        <f>IF(ISNUMBER($AD52),ROUND($AD52*Header!$K$3,2),"")</f>
      </c>
      <c r="AP52" s="39">
        <f>IF(ISNUMBER($AD52),ROUND($AD52*Header!$M$3,2),"")</f>
      </c>
      <c r="AQ52" s="38">
        <f>IF(ISNUMBER($AD52),ROUND($AD52,2)-$AO52-$AP52,"")</f>
      </c>
      <c r="AR52" s="39">
        <f>IF(ISNUMBER($AD52),IF(Header!$D$34="","?",$AD52*Header!$D$34),"")</f>
      </c>
      <c r="AS52" s="39">
        <f>IF(ISNUMBER($AB52),IF(Header!$D$34="","?",$AB52*Header!$D$34),"")</f>
      </c>
      <c r="AT52" s="42">
        <f>IF(AND(ISNUMBER($AB52),$M52&gt;0),$AB52/$M52*100,"")</f>
      </c>
      <c r="AU52" s="42">
        <f>IF(AND(ISNUMBER($AD52),$M52&gt;0),$AD52/$M52*100,"")</f>
      </c>
      <c r="AV52" s="40">
        <f>IF(AND(ISNUMBER($AB52),ISNUMBER($AD52),ABS($AB52)&gt;0),$AD52/$AB52,"")</f>
      </c>
      <c r="AW52" s="39">
        <f>IF(ISNUMBER($AD52),MAX(0,(1-0.55-Header!$O$3)*Header!$Q$3*$AQ52),"")</f>
      </c>
      <c r="AX52" s="43">
        <f>IF($A52="","",IF(TRIM(IF($A52="","Missing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",""))="","PASS","FAIL: "&amp;TRIM(IF($A52="","Missing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f>
      </c>
      <c r="AY52" s="44">
        <f>IF($M52="","",IF(ISNUMBER($M52),IF($M52&gt;=Header!$C$18,"YES — refer","No"),""))</f>
      </c>
      <c r="AZ52" s="44">
        <f>IF($AD52="","",IF(ISNUMBER($AD52),IF($AD52&lt;Header!$C$20,"BELOW MIN PREMIUM","OK"),""))</f>
      </c>
      <c r="BA52" s="48" t="inlineStr">
        <is>
          <t xml:space="preserve">Yes</t>
        </is>
      </c>
      <c r="BB52" s="48" t="inlineStr">
        <is>
          <t xml:space="preserve">Yes</t>
        </is>
      </c>
      <c r="BC52" s="46" t="inlineStr">
        <is>
          <t xml:space="preserve">Synthetic demo data</t>
        </is>
      </c>
      <c r="BE52" s="45">
        <f>IF(OR($A52="",$L52="",$H52=""),"",IF(AND(LEFT($L52,2)="06",$H52&gt;1945),"FAIL - pre-war class, year "&amp;$H52,IF(AND(LEFT($L52,2)="07",OR($H52&lt;1946,$H52&gt;1972)),"FAIL - 1946-72 class, year "&amp;$H52,IF(AND(LEFT($L52,2)="08",OR($H52&lt;1973,$H52&gt;1999)),"FAIL - 1973-99 class, year "&amp;$H52,IF(AND(LEFT($L52,2)="09",OR($H52&lt;2000,$H52&gt;2010)),"FAIL - 2000-10 class, year "&amp;$H52,"OK")))))</f>
      </c>
      <c r="BF52" s="45">
        <f>IF($AD52="","",IF(ROUND($AO52+$AP52+$AQ52-$AD52,2)=0,"OK","FAIL - out by "&amp;TEXT($AO52+$AP52+$AQ52-$AD52,"$0.00")))</f>
      </c>
    </row>
    <row r="53" spans="1:58" ht="18.75" customHeight="1" x14ac:dyDescent="0.25">
      <c r="A53" s="30" t="inlineStr">
        <is>
          <t xml:space="preserve">CANON-202508-000071</t>
        </is>
      </c>
      <c r="B53" s="30" t="inlineStr">
        <is>
          <t xml:space="preserve">Everett Blackwood</t>
        </is>
      </c>
      <c r="C53" s="31">
        <v>45898</v>
      </c>
      <c r="D53" s="32" t="inlineStr">
        <is>
          <t xml:space="preserve">Bound - within authority</t>
        </is>
      </c>
      <c r="E53" s="32" t="inlineStr">
        <is>
          <t xml:space="preserve">New business</t>
        </is>
      </c>
      <c r="F53" s="30" t="inlineStr">
        <is>
          <t xml:space="preserve">B1234EXOTIC26</t>
        </is>
      </c>
      <c r="G53" s="33">
        <f>IF($A53="","",IF($C53="","",YEAR($C53)))</f>
      </c>
      <c r="H53" s="34">
        <v>1993</v>
      </c>
      <c r="I53" s="30" t="inlineStr">
        <is>
          <t xml:space="preserve">BMW</t>
        </is>
      </c>
      <c r="J53" s="30" t="inlineStr">
        <is>
          <t xml:space="preserve">M8 Competition</t>
        </is>
      </c>
      <c r="K53" s="30" t="inlineStr">
        <is>
          <t xml:space="preserve">CWD2XLZZ0NJFWRGRR</t>
        </is>
      </c>
      <c r="L53" s="32" t="inlineStr">
        <is>
          <t xml:space="preserve">02 - Sports / GT</t>
        </is>
      </c>
      <c r="M53" s="35">
        <v>1945000</v>
      </c>
      <c r="N53" s="32" t="inlineStr">
        <is>
          <t xml:space="preserve">Personal</t>
        </is>
      </c>
      <c r="O53" s="30" t="inlineStr">
        <is>
          <t xml:space="preserve">Personal - regular use</t>
        </is>
      </c>
      <c r="P53" s="30" t="inlineStr">
        <is>
          <t xml:space="preserve">1,000 - 2,500</t>
        </is>
      </c>
      <c r="Q53" s="30" t="inlineStr">
        <is>
          <t xml:space="preserve">Pennsylvania</t>
        </is>
      </c>
      <c r="R53" s="30" t="inlineStr">
        <is>
          <t xml:space="preserve">19103</t>
        </is>
      </c>
      <c r="S53" s="32" t="inlineStr">
        <is>
          <t xml:space="preserve">Low hazard - inland benign</t>
        </is>
      </c>
      <c r="T53" s="36">
        <f>IF($A53="","",IF($S53="","",IFERROR(INDEX('[1]natural catastrophe'!$D$6:$D$17,MATCH($S53,'[1]natural catastrophe'!$B$6:$B$17,0)),"?")))</f>
      </c>
      <c r="U53" s="30" t="inlineStr">
        <is>
          <t xml:space="preserve">$5,000</t>
        </is>
      </c>
      <c r="V53" s="32" t="inlineStr">
        <is>
          <t xml:space="preserve">Agreed Value</t>
        </is>
      </c>
      <c r="W53" s="30" t="inlineStr">
        <is>
          <t xml:space="preserve">$1,000</t>
        </is>
      </c>
      <c r="X53" s="32" t="inlineStr">
        <is>
          <t xml:space="preserve">$1,000,000 CSL</t>
        </is>
      </c>
      <c r="Y53" s="30"/>
      <c r="Z53" s="30"/>
      <c r="AA53" s="32" t="inlineStr">
        <is>
          <t xml:space="preserve">Surplus Lines</t>
        </is>
      </c>
      <c r="AB53" s="35">
        <v>20183.96</v>
      </c>
      <c r="AC53" s="37">
        <v>0</v>
      </c>
      <c r="AD53" s="38">
        <f>IF(ISNUMBER($AB53),$AB53*(1+N($AC53)),"")</f>
      </c>
      <c r="AE53" s="35">
        <v>350</v>
      </c>
      <c r="AF53" s="35">
        <v>250</v>
      </c>
      <c r="AG53" s="37"/>
      <c r="AH53" s="39">
        <f>IF(ISNUMBER($AD53),($AD53+$AE53+$AF53)*$AG53,"")</f>
      </c>
      <c r="AI53" s="35"/>
      <c r="AJ53" s="38">
        <f>IF(ISNUMBER($AD53),SUM($AD53:$AH53),"")</f>
      </c>
      <c r="AK53" s="40">
        <f>IF(AND(ISNUMBER($AB53),ISNUMBER($AD53)),IF($AB53&gt;0,$AD53/$AB53,""),"")</f>
      </c>
      <c r="AL53" s="32" t="inlineStr">
        <is>
          <t xml:space="preserve">At technical</t>
        </is>
      </c>
      <c r="AM53" s="41">
        <f>IF(ISNUMBER($AD53),Header!$I$3,"")</f>
      </c>
      <c r="AN53" s="39">
        <f>IF(ISNUMBER($AD53),$AO53+$AP53,"")</f>
      </c>
      <c r="AO53" s="39">
        <f>IF(ISNUMBER($AD53),ROUND($AD53*Header!$K$3,2),"")</f>
      </c>
      <c r="AP53" s="39">
        <f>IF(ISNUMBER($AD53),ROUND($AD53*Header!$M$3,2),"")</f>
      </c>
      <c r="AQ53" s="38">
        <f>IF(ISNUMBER($AD53),ROUND($AD53,2)-$AO53-$AP53,"")</f>
      </c>
      <c r="AR53" s="39">
        <f>IF(ISNUMBER($AD53),IF(Header!$D$34="","?",$AD53*Header!$D$34),"")</f>
      </c>
      <c r="AS53" s="39">
        <f>IF(ISNUMBER($AB53),IF(Header!$D$34="","?",$AB53*Header!$D$34),"")</f>
      </c>
      <c r="AT53" s="42">
        <f>IF(AND(ISNUMBER($AB53),$M53&gt;0),$AB53/$M53*100,"")</f>
      </c>
      <c r="AU53" s="42">
        <f>IF(AND(ISNUMBER($AD53),$M53&gt;0),$AD53/$M53*100,"")</f>
      </c>
      <c r="AV53" s="40">
        <f>IF(AND(ISNUMBER($AB53),ISNUMBER($AD53),ABS($AB53)&gt;0),$AD53/$AB53,"")</f>
      </c>
      <c r="AW53" s="39">
        <f>IF(ISNUMBER($AD53),MAX(0,(1-0.55-Header!$O$3)*Header!$Q$3*$AQ53),"")</f>
      </c>
      <c r="AX53" s="43">
        <f>IF($A53="","",IF(TRIM(IF($A53="","Missing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",""))="","PASS","FAIL: "&amp;TRIM(IF($A53="","Missing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f>
      </c>
      <c r="AY53" s="44">
        <f>IF($M53="","",IF(ISNUMBER($M53),IF($M53&gt;=Header!$C$18,"YES — refer","No"),""))</f>
      </c>
      <c r="AZ53" s="44">
        <f>IF($AD53="","",IF(ISNUMBER($AD53),IF($AD53&lt;Header!$C$20,"BELOW MIN PREMIUM","OK"),""))</f>
      </c>
      <c r="BA53" s="32" t="inlineStr">
        <is>
          <t xml:space="preserve">Yes</t>
        </is>
      </c>
      <c r="BB53" s="32" t="inlineStr">
        <is>
          <t xml:space="preserve">Yes</t>
        </is>
      </c>
      <c r="BC53" s="30" t="inlineStr">
        <is>
          <t xml:space="preserve">Synthetic demo data</t>
        </is>
      </c>
      <c r="BE53" s="45">
        <f>IF(OR($A53="",$L53="",$H53=""),"",IF(AND(LEFT($L53,2)="06",$H53&gt;1945),"FAIL - pre-war class, year "&amp;$H53,IF(AND(LEFT($L53,2)="07",OR($H53&lt;1946,$H53&gt;1972)),"FAIL - 1946-72 class, year "&amp;$H53,IF(AND(LEFT($L53,2)="08",OR($H53&lt;1973,$H53&gt;1999)),"FAIL - 1973-99 class, year "&amp;$H53,IF(AND(LEFT($L53,2)="09",OR($H53&lt;2000,$H53&gt;2010)),"FAIL - 2000-10 class, year "&amp;$H53,"OK")))))</f>
      </c>
      <c r="BF53" s="45">
        <f>IF($AD53="","",IF(ROUND($AO53+$AP53+$AQ53-$AD53,2)=0,"OK","FAIL - out by "&amp;TEXT($AO53+$AP53+$AQ53-$AD53,"$0.00")))</f>
      </c>
    </row>
    <row r="54" spans="1:58" ht="18.75" customHeight="1" x14ac:dyDescent="0.25">
      <c r="A54" s="46" t="inlineStr">
        <is>
          <t xml:space="preserve">CANON-202508-000073</t>
        </is>
      </c>
      <c r="B54" s="46" t="inlineStr">
        <is>
          <t xml:space="preserve">Cassius Kingsford</t>
        </is>
      </c>
      <c r="C54" s="47">
        <v>45870</v>
      </c>
      <c r="D54" s="48" t="inlineStr">
        <is>
          <t xml:space="preserve">Bound - within authority</t>
        </is>
      </c>
      <c r="E54" s="48" t="inlineStr">
        <is>
          <t xml:space="preserve">New business</t>
        </is>
      </c>
      <c r="F54" s="46" t="inlineStr">
        <is>
          <t xml:space="preserve">B1234EXOTIC26</t>
        </is>
      </c>
      <c r="G54" s="33">
        <f>IF($A54="","",IF($C54="","",YEAR($C54)))</f>
      </c>
      <c r="H54" s="49">
        <v>2009</v>
      </c>
      <c r="I54" s="46" t="inlineStr">
        <is>
          <t xml:space="preserve">Porsche</t>
        </is>
      </c>
      <c r="J54" s="46" t="inlineStr">
        <is>
          <t xml:space="preserve">911 Turbo S</t>
        </is>
      </c>
      <c r="K54" s="46" t="inlineStr">
        <is>
          <t xml:space="preserve">A0HA4228L3BWU350G</t>
        </is>
      </c>
      <c r="L54" s="48" t="inlineStr">
        <is>
          <t xml:space="preserve">02 - Sports / GT</t>
        </is>
      </c>
      <c r="M54" s="50">
        <v>735000</v>
      </c>
      <c r="N54" s="48" t="inlineStr">
        <is>
          <t xml:space="preserve">Personal</t>
        </is>
      </c>
      <c r="O54" s="46" t="inlineStr">
        <is>
          <t xml:space="preserve">Personal - regular use</t>
        </is>
      </c>
      <c r="P54" s="46" t="inlineStr">
        <is>
          <t xml:space="preserve">1,000 - 2,500</t>
        </is>
      </c>
      <c r="Q54" s="46" t="inlineStr">
        <is>
          <t xml:space="preserve">Florida</t>
        </is>
      </c>
      <c r="R54" s="46" t="inlineStr">
        <is>
          <t xml:space="preserve">33139</t>
        </is>
      </c>
      <c r="S54" s="48" t="inlineStr">
        <is>
          <t xml:space="preserve">Tier 2 - Coastal wind (1-25 miles)</t>
        </is>
      </c>
      <c r="T54" s="36">
        <f>IF($A54="","",IF($S54="","",IFERROR(INDEX('[1]natural catastrophe'!$D$6:$D$17,MATCH($S54,'[1]natural catastrophe'!$B$6:$B$17,0)),"?")))</f>
      </c>
      <c r="U54" s="46" t="inlineStr">
        <is>
          <t xml:space="preserve">2% of agreed value, minimum $10,000</t>
        </is>
      </c>
      <c r="V54" s="48" t="inlineStr">
        <is>
          <t xml:space="preserve">Agreed Value</t>
        </is>
      </c>
      <c r="W54" s="46" t="inlineStr">
        <is>
          <t xml:space="preserve">$1,000</t>
        </is>
      </c>
      <c r="X54" s="48" t="inlineStr">
        <is>
          <t xml:space="preserve">$1,000,000 CSL</t>
        </is>
      </c>
      <c r="Y54" s="46"/>
      <c r="Z54" s="46"/>
      <c r="AA54" s="48" t="inlineStr">
        <is>
          <t xml:space="preserve">Surplus Lines</t>
        </is>
      </c>
      <c r="AB54" s="50">
        <v>12800.09</v>
      </c>
      <c r="AC54" s="51">
        <v>0</v>
      </c>
      <c r="AD54" s="38">
        <f>IF(ISNUMBER($AB54),$AB54*(1+N($AC54)),"")</f>
      </c>
      <c r="AE54" s="50">
        <v>350</v>
      </c>
      <c r="AF54" s="50">
        <v>0</v>
      </c>
      <c r="AG54" s="51"/>
      <c r="AH54" s="39">
        <f>IF(ISNUMBER($AD54),($AD54+$AE54+$AF54)*$AG54,"")</f>
      </c>
      <c r="AI54" s="50"/>
      <c r="AJ54" s="38">
        <f>IF(ISNUMBER($AD54),SUM($AD54:$AH54),"")</f>
      </c>
      <c r="AK54" s="40">
        <f>IF(AND(ISNUMBER($AB54),ISNUMBER($AD54)),IF($AB54&gt;0,$AD54/$AB54,""),"")</f>
      </c>
      <c r="AL54" s="48" t="inlineStr">
        <is>
          <t xml:space="preserve">At technical</t>
        </is>
      </c>
      <c r="AM54" s="41">
        <f>IF(ISNUMBER($AD54),Header!$I$3,"")</f>
      </c>
      <c r="AN54" s="39">
        <f>IF(ISNUMBER($AD54),$AO54+$AP54,"")</f>
      </c>
      <c r="AO54" s="39">
        <f>IF(ISNUMBER($AD54),ROUND($AD54*Header!$K$3,2),"")</f>
      </c>
      <c r="AP54" s="39">
        <f>IF(ISNUMBER($AD54),ROUND($AD54*Header!$M$3,2),"")</f>
      </c>
      <c r="AQ54" s="38">
        <f>IF(ISNUMBER($AD54),ROUND($AD54,2)-$AO54-$AP54,"")</f>
      </c>
      <c r="AR54" s="39">
        <f>IF(ISNUMBER($AD54),IF(Header!$D$34="","?",$AD54*Header!$D$34),"")</f>
      </c>
      <c r="AS54" s="39">
        <f>IF(ISNUMBER($AB54),IF(Header!$D$34="","?",$AB54*Header!$D$34),"")</f>
      </c>
      <c r="AT54" s="42">
        <f>IF(AND(ISNUMBER($AB54),$M54&gt;0),$AB54/$M54*100,"")</f>
      </c>
      <c r="AU54" s="42">
        <f>IF(AND(ISNUMBER($AD54),$M54&gt;0),$AD54/$M54*100,"")</f>
      </c>
      <c r="AV54" s="40">
        <f>IF(AND(ISNUMBER($AB54),ISNUMBER($AD54),ABS($AB54)&gt;0),$AD54/$AB54,"")</f>
      </c>
      <c r="AW54" s="39">
        <f>IF(ISNUMBER($AD54),MAX(0,(1-0.55-Header!$O$3)*Header!$Q$3*$AQ54),"")</f>
      </c>
      <c r="AX54" s="43">
        <f>IF($A54="","",IF(TRIM(IF($A54="","Missing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",""))="","PASS","FAIL: "&amp;TRIM(IF($A54="","Missing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f>
      </c>
      <c r="AY54" s="44">
        <f>IF($M54="","",IF(ISNUMBER($M54),IF($M54&gt;=Header!$C$18,"YES — refer","No"),""))</f>
      </c>
      <c r="AZ54" s="44">
        <f>IF($AD54="","",IF(ISNUMBER($AD54),IF($AD54&lt;Header!$C$20,"BELOW MIN PREMIUM","OK"),""))</f>
      </c>
      <c r="BA54" s="48" t="inlineStr">
        <is>
          <t xml:space="preserve">Yes</t>
        </is>
      </c>
      <c r="BB54" s="48" t="inlineStr">
        <is>
          <t xml:space="preserve">Yes</t>
        </is>
      </c>
      <c r="BC54" s="46" t="inlineStr">
        <is>
          <t xml:space="preserve">Synthetic demo data</t>
        </is>
      </c>
      <c r="BE54" s="45">
        <f>IF(OR($A54="",$L54="",$H54=""),"",IF(AND(LEFT($L54,2)="06",$H54&gt;1945),"FAIL - pre-war class, year "&amp;$H54,IF(AND(LEFT($L54,2)="07",OR($H54&lt;1946,$H54&gt;1972)),"FAIL - 1946-72 class, year "&amp;$H54,IF(AND(LEFT($L54,2)="08",OR($H54&lt;1973,$H54&gt;1999)),"FAIL - 1973-99 class, year "&amp;$H54,IF(AND(LEFT($L54,2)="09",OR($H54&lt;2000,$H54&gt;2010)),"FAIL - 2000-10 class, year "&amp;$H54,"OK")))))</f>
      </c>
      <c r="BF54" s="45">
        <f>IF($AD54="","",IF(ROUND($AO54+$AP54+$AQ54-$AD54,2)=0,"OK","FAIL - out by "&amp;TEXT($AO54+$AP54+$AQ54-$AD54,"$0.00")))</f>
      </c>
    </row>
    <row r="55" spans="1:58" ht="18.75" customHeight="1" x14ac:dyDescent="0.25">
      <c r="A55" s="30" t="inlineStr">
        <is>
          <t xml:space="preserve">CANON-202508-000074</t>
        </is>
      </c>
      <c r="B55" s="30" t="inlineStr">
        <is>
          <t xml:space="preserve">Callum Delacroix</t>
        </is>
      </c>
      <c r="C55" s="31">
        <v>45888</v>
      </c>
      <c r="D55" s="32" t="inlineStr">
        <is>
          <t xml:space="preserve">Bound - within authority</t>
        </is>
      </c>
      <c r="E55" s="32" t="inlineStr">
        <is>
          <t xml:space="preserve">New business</t>
        </is>
      </c>
      <c r="F55" s="30" t="inlineStr">
        <is>
          <t xml:space="preserve">B1234EXOTIC26</t>
        </is>
      </c>
      <c r="G55" s="33">
        <f>IF($A55="","",IF($C55="","",YEAR($C55)))</f>
      </c>
      <c r="H55" s="34">
        <v>1995</v>
      </c>
      <c r="I55" s="30" t="inlineStr">
        <is>
          <t xml:space="preserve">Icon</t>
        </is>
      </c>
      <c r="J55" s="30" t="inlineStr">
        <is>
          <t xml:space="preserve">Derelict</t>
        </is>
      </c>
      <c r="K55" s="30" t="inlineStr">
        <is>
          <t xml:space="preserve">4ESND9TD0S4FWKLA7</t>
        </is>
      </c>
      <c r="L55" s="32" t="inlineStr">
        <is>
          <t xml:space="preserve">11 - Restomod / Coachbuilt / Bespoke</t>
        </is>
      </c>
      <c r="M55" s="35">
        <v>595000</v>
      </c>
      <c r="N55" s="32" t="inlineStr">
        <is>
          <t xml:space="preserve">Personal</t>
        </is>
      </c>
      <c r="O55" s="30" t="inlineStr">
        <is>
          <t xml:space="preserve">Personal - regular use</t>
        </is>
      </c>
      <c r="P55" s="30" t="inlineStr">
        <is>
          <t xml:space="preserve">1,000 - 2,500</t>
        </is>
      </c>
      <c r="Q55" s="30" t="inlineStr">
        <is>
          <t xml:space="preserve">Florida</t>
        </is>
      </c>
      <c r="R55" s="30" t="inlineStr">
        <is>
          <t xml:space="preserve">33139</t>
        </is>
      </c>
      <c r="S55" s="32" t="inlineStr">
        <is>
          <t xml:space="preserve">Tier 2 - Coastal wind (1-25 miles)</t>
        </is>
      </c>
      <c r="T55" s="36">
        <f>IF($A55="","",IF($S55="","",IFERROR(INDEX('[1]natural catastrophe'!$D$6:$D$17,MATCH($S55,'[1]natural catastrophe'!$B$6:$B$17,0)),"?")))</f>
      </c>
      <c r="U55" s="30" t="inlineStr">
        <is>
          <t xml:space="preserve">2% of agreed value, minimum $10,000</t>
        </is>
      </c>
      <c r="V55" s="32" t="inlineStr">
        <is>
          <t xml:space="preserve">Agreed Value</t>
        </is>
      </c>
      <c r="W55" s="30" t="inlineStr">
        <is>
          <t xml:space="preserve">$1,000</t>
        </is>
      </c>
      <c r="X55" s="32" t="inlineStr">
        <is>
          <t xml:space="preserve">$1,000,000 CSL</t>
        </is>
      </c>
      <c r="Y55" s="30"/>
      <c r="Z55" s="30"/>
      <c r="AA55" s="32" t="inlineStr">
        <is>
          <t xml:space="preserve">Surplus Lines</t>
        </is>
      </c>
      <c r="AB55" s="35">
        <v>12434.38</v>
      </c>
      <c r="AC55" s="37">
        <v>0</v>
      </c>
      <c r="AD55" s="38">
        <f>IF(ISNUMBER($AB55),$AB55*(1+N($AC55)),"")</f>
      </c>
      <c r="AE55" s="35">
        <v>350</v>
      </c>
      <c r="AF55" s="35">
        <v>0</v>
      </c>
      <c r="AG55" s="37"/>
      <c r="AH55" s="39">
        <f>IF(ISNUMBER($AD55),($AD55+$AE55+$AF55)*$AG55,"")</f>
      </c>
      <c r="AI55" s="35"/>
      <c r="AJ55" s="38">
        <f>IF(ISNUMBER($AD55),SUM($AD55:$AH55),"")</f>
      </c>
      <c r="AK55" s="40">
        <f>IF(AND(ISNUMBER($AB55),ISNUMBER($AD55)),IF($AB55&gt;0,$AD55/$AB55,""),"")</f>
      </c>
      <c r="AL55" s="32" t="inlineStr">
        <is>
          <t xml:space="preserve">At technical</t>
        </is>
      </c>
      <c r="AM55" s="41">
        <f>IF(ISNUMBER($AD55),Header!$I$3,"")</f>
      </c>
      <c r="AN55" s="39">
        <f>IF(ISNUMBER($AD55),$AO55+$AP55,"")</f>
      </c>
      <c r="AO55" s="39">
        <f>IF(ISNUMBER($AD55),ROUND($AD55*Header!$K$3,2),"")</f>
      </c>
      <c r="AP55" s="39">
        <f>IF(ISNUMBER($AD55),ROUND($AD55*Header!$M$3,2),"")</f>
      </c>
      <c r="AQ55" s="38">
        <f>IF(ISNUMBER($AD55),ROUND($AD55,2)-$AO55-$AP55,"")</f>
      </c>
      <c r="AR55" s="39">
        <f>IF(ISNUMBER($AD55),IF(Header!$D$34="","?",$AD55*Header!$D$34),"")</f>
      </c>
      <c r="AS55" s="39">
        <f>IF(ISNUMBER($AB55),IF(Header!$D$34="","?",$AB55*Header!$D$34),"")</f>
      </c>
      <c r="AT55" s="42">
        <f>IF(AND(ISNUMBER($AB55),$M55&gt;0),$AB55/$M55*100,"")</f>
      </c>
      <c r="AU55" s="42">
        <f>IF(AND(ISNUMBER($AD55),$M55&gt;0),$AD55/$M55*100,"")</f>
      </c>
      <c r="AV55" s="40">
        <f>IF(AND(ISNUMBER($AB55),ISNUMBER($AD55),ABS($AB55)&gt;0),$AD55/$AB55,"")</f>
      </c>
      <c r="AW55" s="39">
        <f>IF(ISNUMBER($AD55),MAX(0,(1-0.55-Header!$O$3)*Header!$Q$3*$AQ55),"")</f>
      </c>
      <c r="AX55" s="43">
        <f>IF($A55="","",IF(TRIM(IF($A55="","Missing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",""))="","PASS","FAIL: "&amp;TRIM(IF($A55="","Missing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f>
      </c>
      <c r="AY55" s="44">
        <f>IF($M55="","",IF(ISNUMBER($M55),IF($M55&gt;=Header!$C$18,"YES — refer","No"),""))</f>
      </c>
      <c r="AZ55" s="44">
        <f>IF($AD55="","",IF(ISNUMBER($AD55),IF($AD55&lt;Header!$C$20,"BELOW MIN PREMIUM","OK"),""))</f>
      </c>
      <c r="BA55" s="32" t="inlineStr">
        <is>
          <t xml:space="preserve">Yes</t>
        </is>
      </c>
      <c r="BB55" s="32" t="inlineStr">
        <is>
          <t xml:space="preserve">Yes</t>
        </is>
      </c>
      <c r="BC55" s="30" t="inlineStr">
        <is>
          <t xml:space="preserve">Synthetic demo data</t>
        </is>
      </c>
      <c r="BE55" s="45">
        <f>IF(OR($A55="",$L55="",$H55=""),"",IF(AND(LEFT($L55,2)="06",$H55&gt;1945),"FAIL - pre-war class, year "&amp;$H55,IF(AND(LEFT($L55,2)="07",OR($H55&lt;1946,$H55&gt;1972)),"FAIL - 1946-72 class, year "&amp;$H55,IF(AND(LEFT($L55,2)="08",OR($H55&lt;1973,$H55&gt;1999)),"FAIL - 1973-99 class, year "&amp;$H55,IF(AND(LEFT($L55,2)="09",OR($H55&lt;2000,$H55&gt;2010)),"FAIL - 2000-10 class, year "&amp;$H55,"OK")))))</f>
      </c>
      <c r="BF55" s="45">
        <f>IF($AD55="","",IF(ROUND($AO55+$AP55+$AQ55-$AD55,2)=0,"OK","FAIL - out by "&amp;TEXT($AO55+$AP55+$AQ55-$AD55,"$0.00")))</f>
      </c>
    </row>
    <row r="56" spans="1:58" ht="18.75" customHeight="1" x14ac:dyDescent="0.25">
      <c r="A56" s="46" t="inlineStr">
        <is>
          <t xml:space="preserve">CANON-202508-000075</t>
        </is>
      </c>
      <c r="B56" s="46" t="inlineStr">
        <is>
          <t xml:space="preserve">Fenwick Montoya</t>
        </is>
      </c>
      <c r="C56" s="47">
        <v>45889</v>
      </c>
      <c r="D56" s="48" t="inlineStr">
        <is>
          <t xml:space="preserve">Bound - within authority</t>
        </is>
      </c>
      <c r="E56" s="48" t="inlineStr">
        <is>
          <t xml:space="preserve">New business</t>
        </is>
      </c>
      <c r="F56" s="46" t="inlineStr">
        <is>
          <t xml:space="preserve">B1234EXOTIC26</t>
        </is>
      </c>
      <c r="G56" s="33">
        <f>IF($A56="","",IF($C56="","",YEAR($C56)))</f>
      </c>
      <c r="H56" s="49">
        <v>1961</v>
      </c>
      <c r="I56" s="46" t="inlineStr">
        <is>
          <t xml:space="preserve">Ferrari</t>
        </is>
      </c>
      <c r="J56" s="46" t="inlineStr">
        <is>
          <t xml:space="preserve">275 GTB/4</t>
        </is>
      </c>
      <c r="K56" s="46" t="inlineStr">
        <is>
          <t xml:space="preserve">V2P83NK7MENWRNYT7</t>
        </is>
      </c>
      <c r="L56" s="48" t="inlineStr">
        <is>
          <t xml:space="preserve">07 - Post-War Classic (1946-1972)</t>
        </is>
      </c>
      <c r="M56" s="50">
        <v>725000</v>
      </c>
      <c r="N56" s="48" t="inlineStr">
        <is>
          <t xml:space="preserve">Personal</t>
        </is>
      </c>
      <c r="O56" s="46" t="inlineStr">
        <is>
          <t xml:space="preserve">Personal - regular use</t>
        </is>
      </c>
      <c r="P56" s="46" t="inlineStr">
        <is>
          <t xml:space="preserve">Under 1,000</t>
        </is>
      </c>
      <c r="Q56" s="46" t="inlineStr">
        <is>
          <t xml:space="preserve">New York</t>
        </is>
      </c>
      <c r="R56" s="46" t="inlineStr">
        <is>
          <t xml:space="preserve">10022</t>
        </is>
      </c>
      <c r="S56" s="48" t="inlineStr">
        <is>
          <t xml:space="preserve">Tier 3 - Coastal wind (25-100 miles)</t>
        </is>
      </c>
      <c r="T56" s="36">
        <f>IF($A56="","",IF($S56="","",IFERROR(INDEX('[1]natural catastrophe'!$D$6:$D$17,MATCH($S56,'[1]natural catastrophe'!$B$6:$B$17,0)),"?")))</f>
      </c>
      <c r="U56" s="46" t="inlineStr">
        <is>
          <t xml:space="preserve">2% of agreed value, minimum $10,000</t>
        </is>
      </c>
      <c r="V56" s="48" t="inlineStr">
        <is>
          <t xml:space="preserve">Agreed Value</t>
        </is>
      </c>
      <c r="W56" s="46" t="inlineStr">
        <is>
          <t xml:space="preserve">$1,000</t>
        </is>
      </c>
      <c r="X56" s="48" t="inlineStr">
        <is>
          <t xml:space="preserve">$1,000,000 CSL</t>
        </is>
      </c>
      <c r="Y56" s="46"/>
      <c r="Z56" s="46"/>
      <c r="AA56" s="48" t="inlineStr">
        <is>
          <t xml:space="preserve">Surplus Lines</t>
        </is>
      </c>
      <c r="AB56" s="50">
        <v>7529.06</v>
      </c>
      <c r="AC56" s="51">
        <v>0</v>
      </c>
      <c r="AD56" s="38">
        <f>IF(ISNUMBER($AB56),$AB56*(1+N($AC56)),"")</f>
      </c>
      <c r="AE56" s="50">
        <v>350</v>
      </c>
      <c r="AF56" s="50">
        <v>0</v>
      </c>
      <c r="AG56" s="51"/>
      <c r="AH56" s="39">
        <f>IF(ISNUMBER($AD56),($AD56+$AE56+$AF56)*$AG56,"")</f>
      </c>
      <c r="AI56" s="50"/>
      <c r="AJ56" s="38">
        <f>IF(ISNUMBER($AD56),SUM($AD56:$AH56),"")</f>
      </c>
      <c r="AK56" s="40">
        <f>IF(AND(ISNUMBER($AB56),ISNUMBER($AD56)),IF($AB56&gt;0,$AD56/$AB56,""),"")</f>
      </c>
      <c r="AL56" s="48" t="inlineStr">
        <is>
          <t xml:space="preserve">At technical</t>
        </is>
      </c>
      <c r="AM56" s="41">
        <f>IF(ISNUMBER($AD56),Header!$I$3,"")</f>
      </c>
      <c r="AN56" s="39">
        <f>IF(ISNUMBER($AD56),$AO56+$AP56,"")</f>
      </c>
      <c r="AO56" s="39">
        <f>IF(ISNUMBER($AD56),ROUND($AD56*Header!$K$3,2),"")</f>
      </c>
      <c r="AP56" s="39">
        <f>IF(ISNUMBER($AD56),ROUND($AD56*Header!$M$3,2),"")</f>
      </c>
      <c r="AQ56" s="38">
        <f>IF(ISNUMBER($AD56),ROUND($AD56,2)-$AO56-$AP56,"")</f>
      </c>
      <c r="AR56" s="39">
        <f>IF(ISNUMBER($AD56),IF(Header!$D$34="","?",$AD56*Header!$D$34),"")</f>
      </c>
      <c r="AS56" s="39">
        <f>IF(ISNUMBER($AB56),IF(Header!$D$34="","?",$AB56*Header!$D$34),"")</f>
      </c>
      <c r="AT56" s="42">
        <f>IF(AND(ISNUMBER($AB56),$M56&gt;0),$AB56/$M56*100,"")</f>
      </c>
      <c r="AU56" s="42">
        <f>IF(AND(ISNUMBER($AD56),$M56&gt;0),$AD56/$M56*100,"")</f>
      </c>
      <c r="AV56" s="40">
        <f>IF(AND(ISNUMBER($AB56),ISNUMBER($AD56),ABS($AB56)&gt;0),$AD56/$AB56,"")</f>
      </c>
      <c r="AW56" s="39">
        <f>IF(ISNUMBER($AD56),MAX(0,(1-0.55-Header!$O$3)*Header!$Q$3*$AQ56),"")</f>
      </c>
      <c r="AX56" s="43">
        <f>IF($A56="","",IF(TRIM(IF($A56="","Missing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",""))="","PASS","FAIL: "&amp;TRIM(IF($A56="","Missing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f>
      </c>
      <c r="AY56" s="44">
        <f>IF($M56="","",IF(ISNUMBER($M56),IF($M56&gt;=Header!$C$18,"YES — refer","No"),""))</f>
      </c>
      <c r="AZ56" s="44">
        <f>IF($AD56="","",IF(ISNUMBER($AD56),IF($AD56&lt;Header!$C$20,"BELOW MIN PREMIUM","OK"),""))</f>
      </c>
      <c r="BA56" s="48" t="inlineStr">
        <is>
          <t xml:space="preserve">Yes</t>
        </is>
      </c>
      <c r="BB56" s="48" t="inlineStr">
        <is>
          <t xml:space="preserve">Yes</t>
        </is>
      </c>
      <c r="BC56" s="46" t="inlineStr">
        <is>
          <t xml:space="preserve">Synthetic demo data</t>
        </is>
      </c>
      <c r="BE56" s="45">
        <f>IF(OR($A56="",$L56="",$H56=""),"",IF(AND(LEFT($L56,2)="06",$H56&gt;1945),"FAIL - pre-war class, year "&amp;$H56,IF(AND(LEFT($L56,2)="07",OR($H56&lt;1946,$H56&gt;1972)),"FAIL - 1946-72 class, year "&amp;$H56,IF(AND(LEFT($L56,2)="08",OR($H56&lt;1973,$H56&gt;1999)),"FAIL - 1973-99 class, year "&amp;$H56,IF(AND(LEFT($L56,2)="09",OR($H56&lt;2000,$H56&gt;2010)),"FAIL - 2000-10 class, year "&amp;$H56,"OK")))))</f>
      </c>
      <c r="BF56" s="45">
        <f>IF($AD56="","",IF(ROUND($AO56+$AP56+$AQ56-$AD56,2)=0,"OK","FAIL - out by "&amp;TEXT($AO56+$AP56+$AQ56-$AD56,"$0.00")))</f>
      </c>
    </row>
    <row r="57" spans="1:58" ht="18.75" customHeight="1" x14ac:dyDescent="0.25">
      <c r="A57" s="30" t="inlineStr">
        <is>
          <t xml:space="preserve">CANON-202508-000076</t>
        </is>
      </c>
      <c r="B57" s="30" t="inlineStr">
        <is>
          <t xml:space="preserve">Priya Okonkwo</t>
        </is>
      </c>
      <c r="C57" s="31">
        <v>45896</v>
      </c>
      <c r="D57" s="32" t="inlineStr">
        <is>
          <t xml:space="preserve">Bound - within authority</t>
        </is>
      </c>
      <c r="E57" s="32" t="inlineStr">
        <is>
          <t xml:space="preserve">New business</t>
        </is>
      </c>
      <c r="F57" s="30" t="inlineStr">
        <is>
          <t xml:space="preserve">B1234EXOTIC26</t>
        </is>
      </c>
      <c r="G57" s="33">
        <f>IF($A57="","",IF($C57="","",YEAR($C57)))</f>
      </c>
      <c r="H57" s="34">
        <v>1957</v>
      </c>
      <c r="I57" s="30" t="inlineStr">
        <is>
          <t xml:space="preserve">BMW</t>
        </is>
      </c>
      <c r="J57" s="30" t="inlineStr">
        <is>
          <t xml:space="preserve">M8 Competition</t>
        </is>
      </c>
      <c r="K57" s="30" t="inlineStr">
        <is>
          <t xml:space="preserve">PEYDAG9D89KZZ6C4E</t>
        </is>
      </c>
      <c r="L57" s="32" t="inlineStr">
        <is>
          <t xml:space="preserve">02 - Sports / GT</t>
        </is>
      </c>
      <c r="M57" s="35">
        <v>190000</v>
      </c>
      <c r="N57" s="32" t="inlineStr">
        <is>
          <t xml:space="preserve">Personal</t>
        </is>
      </c>
      <c r="O57" s="30" t="inlineStr">
        <is>
          <t xml:space="preserve">Personal - regular use</t>
        </is>
      </c>
      <c r="P57" s="30" t="inlineStr">
        <is>
          <t xml:space="preserve">Under 1,000</t>
        </is>
      </c>
      <c r="Q57" s="30" t="inlineStr">
        <is>
          <t xml:space="preserve">Iowa</t>
        </is>
      </c>
      <c r="R57" s="30" t="inlineStr">
        <is>
          <t xml:space="preserve">50309</t>
        </is>
      </c>
      <c r="S57" s="32" t="inlineStr">
        <is>
          <t xml:space="preserve">Severe convective - hail alley (high)</t>
        </is>
      </c>
      <c r="T57" s="36">
        <f>IF($A57="","",IF($S57="","",IFERROR(INDEX('[1]natural catastrophe'!$D$6:$D$17,MATCH($S57,'[1]natural catastrophe'!$B$6:$B$17,0)),"?")))</f>
      </c>
      <c r="U57" s="30" t="inlineStr">
        <is>
          <t xml:space="preserve">$5,000</t>
        </is>
      </c>
      <c r="V57" s="32" t="inlineStr">
        <is>
          <t xml:space="preserve">Agreed Value</t>
        </is>
      </c>
      <c r="W57" s="30" t="inlineStr">
        <is>
          <t xml:space="preserve">$1,000</t>
        </is>
      </c>
      <c r="X57" s="32" t="inlineStr">
        <is>
          <t xml:space="preserve">$1,000,000 CSL</t>
        </is>
      </c>
      <c r="Y57" s="30"/>
      <c r="Z57" s="30"/>
      <c r="AA57" s="32" t="inlineStr">
        <is>
          <t xml:space="preserve">Surplus Lines</t>
        </is>
      </c>
      <c r="AB57" s="35">
        <v>3627.92</v>
      </c>
      <c r="AC57" s="37">
        <v>0</v>
      </c>
      <c r="AD57" s="38">
        <f>IF(ISNUMBER($AB57),$AB57*(1+N($AC57)),"")</f>
      </c>
      <c r="AE57" s="35">
        <v>350</v>
      </c>
      <c r="AF57" s="35">
        <v>0</v>
      </c>
      <c r="AG57" s="37"/>
      <c r="AH57" s="39">
        <f>IF(ISNUMBER($AD57),($AD57+$AE57+$AF57)*$AG57,"")</f>
      </c>
      <c r="AI57" s="35"/>
      <c r="AJ57" s="38">
        <f>IF(ISNUMBER($AD57),SUM($AD57:$AH57),"")</f>
      </c>
      <c r="AK57" s="40">
        <f>IF(AND(ISNUMBER($AB57),ISNUMBER($AD57)),IF($AB57&gt;0,$AD57/$AB57,""),"")</f>
      </c>
      <c r="AL57" s="32" t="inlineStr">
        <is>
          <t xml:space="preserve">At technical</t>
        </is>
      </c>
      <c r="AM57" s="41">
        <f>IF(ISNUMBER($AD57),Header!$I$3,"")</f>
      </c>
      <c r="AN57" s="39">
        <f>IF(ISNUMBER($AD57),$AO57+$AP57,"")</f>
      </c>
      <c r="AO57" s="39">
        <f>IF(ISNUMBER($AD57),ROUND($AD57*Header!$K$3,2),"")</f>
      </c>
      <c r="AP57" s="39">
        <f>IF(ISNUMBER($AD57),ROUND($AD57*Header!$M$3,2),"")</f>
      </c>
      <c r="AQ57" s="38">
        <f>IF(ISNUMBER($AD57),ROUND($AD57,2)-$AO57-$AP57,"")</f>
      </c>
      <c r="AR57" s="39">
        <f>IF(ISNUMBER($AD57),IF(Header!$D$34="","?",$AD57*Header!$D$34),"")</f>
      </c>
      <c r="AS57" s="39">
        <f>IF(ISNUMBER($AB57),IF(Header!$D$34="","?",$AB57*Header!$D$34),"")</f>
      </c>
      <c r="AT57" s="42">
        <f>IF(AND(ISNUMBER($AB57),$M57&gt;0),$AB57/$M57*100,"")</f>
      </c>
      <c r="AU57" s="42">
        <f>IF(AND(ISNUMBER($AD57),$M57&gt;0),$AD57/$M57*100,"")</f>
      </c>
      <c r="AV57" s="40">
        <f>IF(AND(ISNUMBER($AB57),ISNUMBER($AD57),ABS($AB57)&gt;0),$AD57/$AB57,"")</f>
      </c>
      <c r="AW57" s="39">
        <f>IF(ISNUMBER($AD57),MAX(0,(1-0.55-Header!$O$3)*Header!$Q$3*$AQ57),"")</f>
      </c>
      <c r="AX57" s="43">
        <f>IF($A57="","",IF(TRIM(IF($A57="","Missing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",""))="","PASS","FAIL: "&amp;TRIM(IF($A57="","Missing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f>
      </c>
      <c r="AY57" s="44">
        <f>IF($M57="","",IF(ISNUMBER($M57),IF($M57&gt;=Header!$C$18,"YES — refer","No"),""))</f>
      </c>
      <c r="AZ57" s="44">
        <f>IF($AD57="","",IF(ISNUMBER($AD57),IF($AD57&lt;Header!$C$20,"BELOW MIN PREMIUM","OK"),""))</f>
      </c>
      <c r="BA57" s="32" t="inlineStr">
        <is>
          <t xml:space="preserve">Yes</t>
        </is>
      </c>
      <c r="BB57" s="32" t="inlineStr">
        <is>
          <t xml:space="preserve">Yes</t>
        </is>
      </c>
      <c r="BC57" s="30" t="inlineStr">
        <is>
          <t xml:space="preserve">Synthetic demo data</t>
        </is>
      </c>
      <c r="BE57" s="45">
        <f>IF(OR($A57="",$L57="",$H57=""),"",IF(AND(LEFT($L57,2)="06",$H57&gt;1945),"FAIL - pre-war class, year "&amp;$H57,IF(AND(LEFT($L57,2)="07",OR($H57&lt;1946,$H57&gt;1972)),"FAIL - 1946-72 class, year "&amp;$H57,IF(AND(LEFT($L57,2)="08",OR($H57&lt;1973,$H57&gt;1999)),"FAIL - 1973-99 class, year "&amp;$H57,IF(AND(LEFT($L57,2)="09",OR($H57&lt;2000,$H57&gt;2010)),"FAIL - 2000-10 class, year "&amp;$H57,"OK")))))</f>
      </c>
      <c r="BF57" s="45">
        <f>IF($AD57="","",IF(ROUND($AO57+$AP57+$AQ57-$AD57,2)=0,"OK","FAIL - out by "&amp;TEXT($AO57+$AP57+$AQ57-$AD57,"$0.00")))</f>
      </c>
    </row>
    <row r="58" spans="1:58" ht="18.75" customHeight="1" x14ac:dyDescent="0.25">
      <c r="A58" s="46" t="inlineStr">
        <is>
          <t xml:space="preserve">CANON-202508-000077</t>
        </is>
      </c>
      <c r="B58" s="46" t="inlineStr">
        <is>
          <t xml:space="preserve">Thaddeus Bellandi</t>
        </is>
      </c>
      <c r="C58" s="47">
        <v>45893</v>
      </c>
      <c r="D58" s="48" t="inlineStr">
        <is>
          <t xml:space="preserve">Bound - within authority</t>
        </is>
      </c>
      <c r="E58" s="48" t="inlineStr">
        <is>
          <t xml:space="preserve">New business</t>
        </is>
      </c>
      <c r="F58" s="46" t="inlineStr">
        <is>
          <t xml:space="preserve">B1234EXOTIC26</t>
        </is>
      </c>
      <c r="G58" s="33">
        <f>IF($A58="","",IF($C58="","",YEAR($C58)))</f>
      </c>
      <c r="H58" s="49">
        <v>2001</v>
      </c>
      <c r="I58" s="46" t="inlineStr">
        <is>
          <t xml:space="preserve">Maserati</t>
        </is>
      </c>
      <c r="J58" s="46" t="inlineStr">
        <is>
          <t xml:space="preserve">GranTurismo</t>
        </is>
      </c>
      <c r="K58" s="46" t="inlineStr">
        <is>
          <t xml:space="preserve">SLR706NSGKYW0HC0J</t>
        </is>
      </c>
      <c r="L58" s="48" t="inlineStr">
        <is>
          <t xml:space="preserve">02 - Sports / GT</t>
        </is>
      </c>
      <c r="M58" s="50">
        <v>970000</v>
      </c>
      <c r="N58" s="48" t="inlineStr">
        <is>
          <t xml:space="preserve">Personal</t>
        </is>
      </c>
      <c r="O58" s="46" t="inlineStr">
        <is>
          <t xml:space="preserve">Personal - regular use</t>
        </is>
      </c>
      <c r="P58" s="46" t="inlineStr">
        <is>
          <t xml:space="preserve">Under 1,000</t>
        </is>
      </c>
      <c r="Q58" s="46" t="inlineStr">
        <is>
          <t xml:space="preserve">Indiana</t>
        </is>
      </c>
      <c r="R58" s="46" t="inlineStr">
        <is>
          <t xml:space="preserve">46204</t>
        </is>
      </c>
      <c r="S58" s="48" t="inlineStr">
        <is>
          <t xml:space="preserve">Severe convective - hail / tornado (moderate)</t>
        </is>
      </c>
      <c r="T58" s="36">
        <f>IF($A58="","",IF($S58="","",IFERROR(INDEX('[1]natural catastrophe'!$D$6:$D$17,MATCH($S58,'[1]natural catastrophe'!$B$6:$B$17,0)),"?")))</f>
      </c>
      <c r="U58" s="46" t="inlineStr">
        <is>
          <t xml:space="preserve">$5,000</t>
        </is>
      </c>
      <c r="V58" s="48" t="inlineStr">
        <is>
          <t xml:space="preserve">Agreed Value</t>
        </is>
      </c>
      <c r="W58" s="46" t="inlineStr">
        <is>
          <t xml:space="preserve">$1,000</t>
        </is>
      </c>
      <c r="X58" s="48" t="inlineStr">
        <is>
          <t xml:space="preserve">$1,000,000 CSL</t>
        </is>
      </c>
      <c r="Y58" s="46"/>
      <c r="Z58" s="46"/>
      <c r="AA58" s="48" t="inlineStr">
        <is>
          <t xml:space="preserve">Surplus Lines</t>
        </is>
      </c>
      <c r="AB58" s="50">
        <v>14632.36</v>
      </c>
      <c r="AC58" s="51">
        <v>0</v>
      </c>
      <c r="AD58" s="38">
        <f>IF(ISNUMBER($AB58),$AB58*(1+N($AC58)),"")</f>
      </c>
      <c r="AE58" s="50">
        <v>350</v>
      </c>
      <c r="AF58" s="50">
        <v>0</v>
      </c>
      <c r="AG58" s="51"/>
      <c r="AH58" s="39">
        <f>IF(ISNUMBER($AD58),($AD58+$AE58+$AF58)*$AG58,"")</f>
      </c>
      <c r="AI58" s="50"/>
      <c r="AJ58" s="38">
        <f>IF(ISNUMBER($AD58),SUM($AD58:$AH58),"")</f>
      </c>
      <c r="AK58" s="40">
        <f>IF(AND(ISNUMBER($AB58),ISNUMBER($AD58)),IF($AB58&gt;0,$AD58/$AB58,""),"")</f>
      </c>
      <c r="AL58" s="48" t="inlineStr">
        <is>
          <t xml:space="preserve">At technical</t>
        </is>
      </c>
      <c r="AM58" s="41">
        <f>IF(ISNUMBER($AD58),Header!$I$3,"")</f>
      </c>
      <c r="AN58" s="39">
        <f>IF(ISNUMBER($AD58),$AO58+$AP58,"")</f>
      </c>
      <c r="AO58" s="39">
        <f>IF(ISNUMBER($AD58),ROUND($AD58*Header!$K$3,2),"")</f>
      </c>
      <c r="AP58" s="39">
        <f>IF(ISNUMBER($AD58),ROUND($AD58*Header!$M$3,2),"")</f>
      </c>
      <c r="AQ58" s="38">
        <f>IF(ISNUMBER($AD58),ROUND($AD58,2)-$AO58-$AP58,"")</f>
      </c>
      <c r="AR58" s="39">
        <f>IF(ISNUMBER($AD58),IF(Header!$D$34="","?",$AD58*Header!$D$34),"")</f>
      </c>
      <c r="AS58" s="39">
        <f>IF(ISNUMBER($AB58),IF(Header!$D$34="","?",$AB58*Header!$D$34),"")</f>
      </c>
      <c r="AT58" s="42">
        <f>IF(AND(ISNUMBER($AB58),$M58&gt;0),$AB58/$M58*100,"")</f>
      </c>
      <c r="AU58" s="42">
        <f>IF(AND(ISNUMBER($AD58),$M58&gt;0),$AD58/$M58*100,"")</f>
      </c>
      <c r="AV58" s="40">
        <f>IF(AND(ISNUMBER($AB58),ISNUMBER($AD58),ABS($AB58)&gt;0),$AD58/$AB58,"")</f>
      </c>
      <c r="AW58" s="39">
        <f>IF(ISNUMBER($AD58),MAX(0,(1-0.55-Header!$O$3)*Header!$Q$3*$AQ58),"")</f>
      </c>
      <c r="AX58" s="43">
        <f>IF($A58="","",IF(TRIM(IF($A58="","Missing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",""))="","PASS","FAIL: "&amp;TRIM(IF($A58="","Missing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f>
      </c>
      <c r="AY58" s="44">
        <f>IF($M58="","",IF(ISNUMBER($M58),IF($M58&gt;=Header!$C$18,"YES — refer","No"),""))</f>
      </c>
      <c r="AZ58" s="44">
        <f>IF($AD58="","",IF(ISNUMBER($AD58),IF($AD58&lt;Header!$C$20,"BELOW MIN PREMIUM","OK"),""))</f>
      </c>
      <c r="BA58" s="48" t="inlineStr">
        <is>
          <t xml:space="preserve">Yes</t>
        </is>
      </c>
      <c r="BB58" s="48" t="inlineStr">
        <is>
          <t xml:space="preserve">Yes</t>
        </is>
      </c>
      <c r="BC58" s="46" t="inlineStr">
        <is>
          <t xml:space="preserve">Synthetic demo data</t>
        </is>
      </c>
      <c r="BE58" s="45">
        <f>IF(OR($A58="",$L58="",$H58=""),"",IF(AND(LEFT($L58,2)="06",$H58&gt;1945),"FAIL - pre-war class, year "&amp;$H58,IF(AND(LEFT($L58,2)="07",OR($H58&lt;1946,$H58&gt;1972)),"FAIL - 1946-72 class, year "&amp;$H58,IF(AND(LEFT($L58,2)="08",OR($H58&lt;1973,$H58&gt;1999)),"FAIL - 1973-99 class, year "&amp;$H58,IF(AND(LEFT($L58,2)="09",OR($H58&lt;2000,$H58&gt;2010)),"FAIL - 2000-10 class, year "&amp;$H58,"OK")))))</f>
      </c>
      <c r="BF58" s="45">
        <f>IF($AD58="","",IF(ROUND($AO58+$AP58+$AQ58-$AD58,2)=0,"OK","FAIL - out by "&amp;TEXT($AO58+$AP58+$AQ58-$AD58,"$0.00")))</f>
      </c>
    </row>
    <row r="59" spans="1:58" ht="18.75" customHeight="1" x14ac:dyDescent="0.25">
      <c r="A59" s="30" t="inlineStr">
        <is>
          <t xml:space="preserve">CANON-202508-000078</t>
        </is>
      </c>
      <c r="B59" s="30" t="inlineStr">
        <is>
          <t xml:space="preserve">Saoirse Thistlewood</t>
        </is>
      </c>
      <c r="C59" s="31">
        <v>45890</v>
      </c>
      <c r="D59" s="32" t="inlineStr">
        <is>
          <t xml:space="preserve">Bound - within authority</t>
        </is>
      </c>
      <c r="E59" s="32" t="inlineStr">
        <is>
          <t xml:space="preserve">New business</t>
        </is>
      </c>
      <c r="F59" s="30" t="inlineStr">
        <is>
          <t xml:space="preserve">B1234EXOTIC26</t>
        </is>
      </c>
      <c r="G59" s="33">
        <f>IF($A59="","",IF($C59="","",YEAR($C59)))</f>
      </c>
      <c r="H59" s="34">
        <v>2022</v>
      </c>
      <c r="I59" s="30" t="inlineStr">
        <is>
          <t xml:space="preserve">Ferrari</t>
        </is>
      </c>
      <c r="J59" s="30" t="inlineStr">
        <is>
          <t xml:space="preserve">296 GTB</t>
        </is>
      </c>
      <c r="K59" s="30" t="inlineStr">
        <is>
          <t xml:space="preserve">92REPF8SA2ACKKU8P</t>
        </is>
      </c>
      <c r="L59" s="32" t="inlineStr">
        <is>
          <t xml:space="preserve">03 - Supercar</t>
        </is>
      </c>
      <c r="M59" s="35">
        <v>780000</v>
      </c>
      <c r="N59" s="32" t="inlineStr">
        <is>
          <t xml:space="preserve">Personal</t>
        </is>
      </c>
      <c r="O59" s="30" t="inlineStr">
        <is>
          <t xml:space="preserve">Personal - regular use</t>
        </is>
      </c>
      <c r="P59" s="30" t="inlineStr">
        <is>
          <t xml:space="preserve">2,500 - 5,000</t>
        </is>
      </c>
      <c r="Q59" s="30" t="inlineStr">
        <is>
          <t xml:space="preserve">Ohio</t>
        </is>
      </c>
      <c r="R59" s="30" t="inlineStr">
        <is>
          <t xml:space="preserve">43215</t>
        </is>
      </c>
      <c r="S59" s="32" t="inlineStr">
        <is>
          <t xml:space="preserve">Severe convective - hail / tornado (moderate)</t>
        </is>
      </c>
      <c r="T59" s="36">
        <f>IF($A59="","",IF($S59="","",IFERROR(INDEX('[1]natural catastrophe'!$D$6:$D$17,MATCH($S59,'[1]natural catastrophe'!$B$6:$B$17,0)),"?")))</f>
      </c>
      <c r="U59" s="30" t="inlineStr">
        <is>
          <t xml:space="preserve">$5,000</t>
        </is>
      </c>
      <c r="V59" s="32" t="inlineStr">
        <is>
          <t xml:space="preserve">Agreed Value</t>
        </is>
      </c>
      <c r="W59" s="30" t="inlineStr">
        <is>
          <t xml:space="preserve">$1,000</t>
        </is>
      </c>
      <c r="X59" s="32" t="inlineStr">
        <is>
          <t xml:space="preserve">$1,000,000 CSL</t>
        </is>
      </c>
      <c r="Y59" s="30"/>
      <c r="Z59" s="30"/>
      <c r="AA59" s="32" t="inlineStr">
        <is>
          <t xml:space="preserve">Surplus Lines</t>
        </is>
      </c>
      <c r="AB59" s="35">
        <v>19433.77</v>
      </c>
      <c r="AC59" s="37">
        <v>0</v>
      </c>
      <c r="AD59" s="38">
        <f>IF(ISNUMBER($AB59),$AB59*(1+N($AC59)),"")</f>
      </c>
      <c r="AE59" s="35">
        <v>350</v>
      </c>
      <c r="AF59" s="35">
        <v>0</v>
      </c>
      <c r="AG59" s="37"/>
      <c r="AH59" s="39">
        <f>IF(ISNUMBER($AD59),($AD59+$AE59+$AF59)*$AG59,"")</f>
      </c>
      <c r="AI59" s="35"/>
      <c r="AJ59" s="38">
        <f>IF(ISNUMBER($AD59),SUM($AD59:$AH59),"")</f>
      </c>
      <c r="AK59" s="40">
        <f>IF(AND(ISNUMBER($AB59),ISNUMBER($AD59)),IF($AB59&gt;0,$AD59/$AB59,""),"")</f>
      </c>
      <c r="AL59" s="32" t="inlineStr">
        <is>
          <t xml:space="preserve">At technical</t>
        </is>
      </c>
      <c r="AM59" s="41">
        <f>IF(ISNUMBER($AD59),Header!$I$3,"")</f>
      </c>
      <c r="AN59" s="39">
        <f>IF(ISNUMBER($AD59),$AO59+$AP59,"")</f>
      </c>
      <c r="AO59" s="39">
        <f>IF(ISNUMBER($AD59),ROUND($AD59*Header!$K$3,2),"")</f>
      </c>
      <c r="AP59" s="39">
        <f>IF(ISNUMBER($AD59),ROUND($AD59*Header!$M$3,2),"")</f>
      </c>
      <c r="AQ59" s="38">
        <f>IF(ISNUMBER($AD59),ROUND($AD59,2)-$AO59-$AP59,"")</f>
      </c>
      <c r="AR59" s="39">
        <f>IF(ISNUMBER($AD59),IF(Header!$D$34="","?",$AD59*Header!$D$34),"")</f>
      </c>
      <c r="AS59" s="39">
        <f>IF(ISNUMBER($AB59),IF(Header!$D$34="","?",$AB59*Header!$D$34),"")</f>
      </c>
      <c r="AT59" s="42">
        <f>IF(AND(ISNUMBER($AB59),$M59&gt;0),$AB59/$M59*100,"")</f>
      </c>
      <c r="AU59" s="42">
        <f>IF(AND(ISNUMBER($AD59),$M59&gt;0),$AD59/$M59*100,"")</f>
      </c>
      <c r="AV59" s="40">
        <f>IF(AND(ISNUMBER($AB59),ISNUMBER($AD59),ABS($AB59)&gt;0),$AD59/$AB59,"")</f>
      </c>
      <c r="AW59" s="39">
        <f>IF(ISNUMBER($AD59),MAX(0,(1-0.55-Header!$O$3)*Header!$Q$3*$AQ59),"")</f>
      </c>
      <c r="AX59" s="43">
        <f>IF($A59="","",IF(TRIM(IF($A59="","Missing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",""))="","PASS","FAIL: "&amp;TRIM(IF($A59="","Missing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f>
      </c>
      <c r="AY59" s="44">
        <f>IF($M59="","",IF(ISNUMBER($M59),IF($M59&gt;=Header!$C$18,"YES — refer","No"),""))</f>
      </c>
      <c r="AZ59" s="44">
        <f>IF($AD59="","",IF(ISNUMBER($AD59),IF($AD59&lt;Header!$C$20,"BELOW MIN PREMIUM","OK"),""))</f>
      </c>
      <c r="BA59" s="32" t="inlineStr">
        <is>
          <t xml:space="preserve">Yes</t>
        </is>
      </c>
      <c r="BB59" s="32" t="inlineStr">
        <is>
          <t xml:space="preserve">Yes</t>
        </is>
      </c>
      <c r="BC59" s="30" t="inlineStr">
        <is>
          <t xml:space="preserve">Synthetic demo data</t>
        </is>
      </c>
      <c r="BE59" s="45">
        <f>IF(OR($A59="",$L59="",$H59=""),"",IF(AND(LEFT($L59,2)="06",$H59&gt;1945),"FAIL - pre-war class, year "&amp;$H59,IF(AND(LEFT($L59,2)="07",OR($H59&lt;1946,$H59&gt;1972)),"FAIL - 1946-72 class, year "&amp;$H59,IF(AND(LEFT($L59,2)="08",OR($H59&lt;1973,$H59&gt;1999)),"FAIL - 1973-99 class, year "&amp;$H59,IF(AND(LEFT($L59,2)="09",OR($H59&lt;2000,$H59&gt;2010)),"FAIL - 2000-10 class, year "&amp;$H59,"OK")))))</f>
      </c>
      <c r="BF59" s="45">
        <f>IF($AD59="","",IF(ROUND($AO59+$AP59+$AQ59-$AD59,2)=0,"OK","FAIL - out by "&amp;TEXT($AO59+$AP59+$AQ59-$AD59,"$0.00")))</f>
      </c>
    </row>
    <row r="60" spans="1:58" ht="18.75" customHeight="1" x14ac:dyDescent="0.25">
      <c r="A60" s="46" t="inlineStr">
        <is>
          <t xml:space="preserve">CANON-202508-000080</t>
        </is>
      </c>
      <c r="B60" s="46" t="inlineStr">
        <is>
          <t xml:space="preserve">Horace Blackwood</t>
        </is>
      </c>
      <c r="C60" s="47">
        <v>45893</v>
      </c>
      <c r="D60" s="48" t="inlineStr">
        <is>
          <t xml:space="preserve">Bound - within authority</t>
        </is>
      </c>
      <c r="E60" s="48" t="inlineStr">
        <is>
          <t xml:space="preserve">New business</t>
        </is>
      </c>
      <c r="F60" s="46" t="inlineStr">
        <is>
          <t xml:space="preserve">B1234EXOTIC26</t>
        </is>
      </c>
      <c r="G60" s="33">
        <f>IF($A60="","",IF($C60="","",YEAR($C60)))</f>
      </c>
      <c r="H60" s="49">
        <v>1994</v>
      </c>
      <c r="I60" s="46" t="inlineStr">
        <is>
          <t xml:space="preserve">Mercedes-Benz</t>
        </is>
      </c>
      <c r="J60" s="46" t="inlineStr">
        <is>
          <t xml:space="preserve">AMG GT</t>
        </is>
      </c>
      <c r="K60" s="46" t="inlineStr">
        <is>
          <t xml:space="preserve">0WZVA2FZ1PT8VK6J7</t>
        </is>
      </c>
      <c r="L60" s="48" t="inlineStr">
        <is>
          <t xml:space="preserve">02 - Sports / GT</t>
        </is>
      </c>
      <c r="M60" s="50">
        <v>1030000</v>
      </c>
      <c r="N60" s="48" t="inlineStr">
        <is>
          <t xml:space="preserve">Personal</t>
        </is>
      </c>
      <c r="O60" s="46" t="inlineStr">
        <is>
          <t xml:space="preserve">Personal - regular use</t>
        </is>
      </c>
      <c r="P60" s="46" t="inlineStr">
        <is>
          <t xml:space="preserve">2,500 - 5,000</t>
        </is>
      </c>
      <c r="Q60" s="46" t="inlineStr">
        <is>
          <t xml:space="preserve">Mississippi</t>
        </is>
      </c>
      <c r="R60" s="46" t="inlineStr">
        <is>
          <t xml:space="preserve">39201</t>
        </is>
      </c>
      <c r="S60" s="48" t="inlineStr">
        <is>
          <t xml:space="preserve">Tier 2 - Coastal wind (1-25 miles)</t>
        </is>
      </c>
      <c r="T60" s="36">
        <f>IF($A60="","",IF($S60="","",IFERROR(INDEX('[1]natural catastrophe'!$D$6:$D$17,MATCH($S60,'[1]natural catastrophe'!$B$6:$B$17,0)),"?")))</f>
      </c>
      <c r="U60" s="46" t="inlineStr">
        <is>
          <t xml:space="preserve">2% of agreed value, minimum $10,000</t>
        </is>
      </c>
      <c r="V60" s="48" t="inlineStr">
        <is>
          <t xml:space="preserve">Agreed Value</t>
        </is>
      </c>
      <c r="W60" s="46" t="inlineStr">
        <is>
          <t xml:space="preserve">$1,000</t>
        </is>
      </c>
      <c r="X60" s="48" t="inlineStr">
        <is>
          <t xml:space="preserve">$1,000,000 CSL</t>
        </is>
      </c>
      <c r="Y60" s="46"/>
      <c r="Z60" s="46"/>
      <c r="AA60" s="48" t="inlineStr">
        <is>
          <t xml:space="preserve">Surplus Lines</t>
        </is>
      </c>
      <c r="AB60" s="50">
        <v>12719.53</v>
      </c>
      <c r="AC60" s="51">
        <v>0</v>
      </c>
      <c r="AD60" s="38">
        <f>IF(ISNUMBER($AB60),$AB60*(1+N($AC60)),"")</f>
      </c>
      <c r="AE60" s="50">
        <v>350</v>
      </c>
      <c r="AF60" s="50">
        <v>250</v>
      </c>
      <c r="AG60" s="51"/>
      <c r="AH60" s="39">
        <f>IF(ISNUMBER($AD60),($AD60+$AE60+$AF60)*$AG60,"")</f>
      </c>
      <c r="AI60" s="50"/>
      <c r="AJ60" s="38">
        <f>IF(ISNUMBER($AD60),SUM($AD60:$AH60),"")</f>
      </c>
      <c r="AK60" s="40">
        <f>IF(AND(ISNUMBER($AB60),ISNUMBER($AD60)),IF($AB60&gt;0,$AD60/$AB60,""),"")</f>
      </c>
      <c r="AL60" s="48" t="inlineStr">
        <is>
          <t xml:space="preserve">At technical</t>
        </is>
      </c>
      <c r="AM60" s="41">
        <f>IF(ISNUMBER($AD60),Header!$I$3,"")</f>
      </c>
      <c r="AN60" s="39">
        <f>IF(ISNUMBER($AD60),$AO60+$AP60,"")</f>
      </c>
      <c r="AO60" s="39">
        <f>IF(ISNUMBER($AD60),ROUND($AD60*Header!$K$3,2),"")</f>
      </c>
      <c r="AP60" s="39">
        <f>IF(ISNUMBER($AD60),ROUND($AD60*Header!$M$3,2),"")</f>
      </c>
      <c r="AQ60" s="38">
        <f>IF(ISNUMBER($AD60),ROUND($AD60,2)-$AO60-$AP60,"")</f>
      </c>
      <c r="AR60" s="39">
        <f>IF(ISNUMBER($AD60),IF(Header!$D$34="","?",$AD60*Header!$D$34),"")</f>
      </c>
      <c r="AS60" s="39">
        <f>IF(ISNUMBER($AB60),IF(Header!$D$34="","?",$AB60*Header!$D$34),"")</f>
      </c>
      <c r="AT60" s="42">
        <f>IF(AND(ISNUMBER($AB60),$M60&gt;0),$AB60/$M60*100,"")</f>
      </c>
      <c r="AU60" s="42">
        <f>IF(AND(ISNUMBER($AD60),$M60&gt;0),$AD60/$M60*100,"")</f>
      </c>
      <c r="AV60" s="40">
        <f>IF(AND(ISNUMBER($AB60),ISNUMBER($AD60),ABS($AB60)&gt;0),$AD60/$AB60,"")</f>
      </c>
      <c r="AW60" s="39">
        <f>IF(ISNUMBER($AD60),MAX(0,(1-0.55-Header!$O$3)*Header!$Q$3*$AQ60),"")</f>
      </c>
      <c r="AX60" s="43">
        <f>IF($A60="","",IF(TRIM(IF($A60="","Missing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",""))="","PASS","FAIL: "&amp;TRIM(IF($A60="","Missing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f>
      </c>
      <c r="AY60" s="44">
        <f>IF($M60="","",IF(ISNUMBER($M60),IF($M60&gt;=Header!$C$18,"YES — refer","No"),""))</f>
      </c>
      <c r="AZ60" s="44">
        <f>IF($AD60="","",IF(ISNUMBER($AD60),IF($AD60&lt;Header!$C$20,"BELOW MIN PREMIUM","OK"),""))</f>
      </c>
      <c r="BA60" s="48" t="inlineStr">
        <is>
          <t xml:space="preserve">Yes</t>
        </is>
      </c>
      <c r="BB60" s="48" t="inlineStr">
        <is>
          <t xml:space="preserve">Yes</t>
        </is>
      </c>
      <c r="BC60" s="46" t="inlineStr">
        <is>
          <t xml:space="preserve">Synthetic demo data</t>
        </is>
      </c>
      <c r="BE60" s="45">
        <f>IF(OR($A60="",$L60="",$H60=""),"",IF(AND(LEFT($L60,2)="06",$H60&gt;1945),"FAIL - pre-war class, year "&amp;$H60,IF(AND(LEFT($L60,2)="07",OR($H60&lt;1946,$H60&gt;1972)),"FAIL - 1946-72 class, year "&amp;$H60,IF(AND(LEFT($L60,2)="08",OR($H60&lt;1973,$H60&gt;1999)),"FAIL - 1973-99 class, year "&amp;$H60,IF(AND(LEFT($L60,2)="09",OR($H60&lt;2000,$H60&gt;2010)),"FAIL - 2000-10 class, year "&amp;$H60,"OK")))))</f>
      </c>
      <c r="BF60" s="45">
        <f>IF($AD60="","",IF(ROUND($AO60+$AP60+$AQ60-$AD60,2)=0,"OK","FAIL - out by "&amp;TEXT($AO60+$AP60+$AQ60-$AD60,"$0.00")))</f>
      </c>
    </row>
    <row r="61" spans="1:58" ht="18.75" customHeight="1" x14ac:dyDescent="0.25">
      <c r="A61" s="30" t="inlineStr">
        <is>
          <t xml:space="preserve">CANON-202508-000081</t>
        </is>
      </c>
      <c r="B61" s="30" t="inlineStr">
        <is>
          <t xml:space="preserve">Emiliano Montoya</t>
        </is>
      </c>
      <c r="C61" s="31">
        <v>45870</v>
      </c>
      <c r="D61" s="32" t="inlineStr">
        <is>
          <t xml:space="preserve">Bound - within authority</t>
        </is>
      </c>
      <c r="E61" s="32" t="inlineStr">
        <is>
          <t xml:space="preserve">New business</t>
        </is>
      </c>
      <c r="F61" s="30" t="inlineStr">
        <is>
          <t xml:space="preserve">B1234EXOTIC26</t>
        </is>
      </c>
      <c r="G61" s="33">
        <f>IF($A61="","",IF($C61="","",YEAR($C61)))</f>
      </c>
      <c r="H61" s="34">
        <v>1989</v>
      </c>
      <c r="I61" s="30" t="inlineStr">
        <is>
          <t xml:space="preserve">McLaren</t>
        </is>
      </c>
      <c r="J61" s="30" t="inlineStr">
        <is>
          <t xml:space="preserve">750S</t>
        </is>
      </c>
      <c r="K61" s="30" t="inlineStr">
        <is>
          <t xml:space="preserve">1TGH6BAJBMJJ6W1YR</t>
        </is>
      </c>
      <c r="L61" s="32" t="inlineStr">
        <is>
          <t xml:space="preserve">03 - Supercar</t>
        </is>
      </c>
      <c r="M61" s="35">
        <v>1950000</v>
      </c>
      <c r="N61" s="32" t="inlineStr">
        <is>
          <t xml:space="preserve">Personal</t>
        </is>
      </c>
      <c r="O61" s="30" t="inlineStr">
        <is>
          <t xml:space="preserve">Personal - regular use</t>
        </is>
      </c>
      <c r="P61" s="30" t="inlineStr">
        <is>
          <t xml:space="preserve">2,500 - 5,000</t>
        </is>
      </c>
      <c r="Q61" s="30" t="inlineStr">
        <is>
          <t xml:space="preserve">Tennessee</t>
        </is>
      </c>
      <c r="R61" s="30" t="inlineStr">
        <is>
          <t xml:space="preserve">37203</t>
        </is>
      </c>
      <c r="S61" s="32" t="inlineStr">
        <is>
          <t xml:space="preserve">Severe convective - hail / tornado (moderate)</t>
        </is>
      </c>
      <c r="T61" s="36">
        <f>IF($A61="","",IF($S61="","",IFERROR(INDEX('[1]natural catastrophe'!$D$6:$D$17,MATCH($S61,'[1]natural catastrophe'!$B$6:$B$17,0)),"?")))</f>
      </c>
      <c r="U61" s="30" t="inlineStr">
        <is>
          <t xml:space="preserve">$5,000</t>
        </is>
      </c>
      <c r="V61" s="32" t="inlineStr">
        <is>
          <t xml:space="preserve">Agreed Value</t>
        </is>
      </c>
      <c r="W61" s="30" t="inlineStr">
        <is>
          <t xml:space="preserve">$1,000</t>
        </is>
      </c>
      <c r="X61" s="32" t="inlineStr">
        <is>
          <t xml:space="preserve">$1,000,000 CSL</t>
        </is>
      </c>
      <c r="Y61" s="30"/>
      <c r="Z61" s="30"/>
      <c r="AA61" s="32" t="inlineStr">
        <is>
          <t xml:space="preserve">Surplus Lines</t>
        </is>
      </c>
      <c r="AB61" s="35">
        <v>28845.28</v>
      </c>
      <c r="AC61" s="37">
        <v>0</v>
      </c>
      <c r="AD61" s="38">
        <f>IF(ISNUMBER($AB61),$AB61*(1+N($AC61)),"")</f>
      </c>
      <c r="AE61" s="35">
        <v>350</v>
      </c>
      <c r="AF61" s="35">
        <v>250</v>
      </c>
      <c r="AG61" s="37"/>
      <c r="AH61" s="39">
        <f>IF(ISNUMBER($AD61),($AD61+$AE61+$AF61)*$AG61,"")</f>
      </c>
      <c r="AI61" s="35"/>
      <c r="AJ61" s="38">
        <f>IF(ISNUMBER($AD61),SUM($AD61:$AH61),"")</f>
      </c>
      <c r="AK61" s="40">
        <f>IF(AND(ISNUMBER($AB61),ISNUMBER($AD61)),IF($AB61&gt;0,$AD61/$AB61,""),"")</f>
      </c>
      <c r="AL61" s="32" t="inlineStr">
        <is>
          <t xml:space="preserve">At technical</t>
        </is>
      </c>
      <c r="AM61" s="41">
        <f>IF(ISNUMBER($AD61),Header!$I$3,"")</f>
      </c>
      <c r="AN61" s="39">
        <f>IF(ISNUMBER($AD61),$AO61+$AP61,"")</f>
      </c>
      <c r="AO61" s="39">
        <f>IF(ISNUMBER($AD61),ROUND($AD61*Header!$K$3,2),"")</f>
      </c>
      <c r="AP61" s="39">
        <f>IF(ISNUMBER($AD61),ROUND($AD61*Header!$M$3,2),"")</f>
      </c>
      <c r="AQ61" s="38">
        <f>IF(ISNUMBER($AD61),ROUND($AD61,2)-$AO61-$AP61,"")</f>
      </c>
      <c r="AR61" s="39">
        <f>IF(ISNUMBER($AD61),IF(Header!$D$34="","?",$AD61*Header!$D$34),"")</f>
      </c>
      <c r="AS61" s="39">
        <f>IF(ISNUMBER($AB61),IF(Header!$D$34="","?",$AB61*Header!$D$34),"")</f>
      </c>
      <c r="AT61" s="42">
        <f>IF(AND(ISNUMBER($AB61),$M61&gt;0),$AB61/$M61*100,"")</f>
      </c>
      <c r="AU61" s="42">
        <f>IF(AND(ISNUMBER($AD61),$M61&gt;0),$AD61/$M61*100,"")</f>
      </c>
      <c r="AV61" s="40">
        <f>IF(AND(ISNUMBER($AB61),ISNUMBER($AD61),ABS($AB61)&gt;0),$AD61/$AB61,"")</f>
      </c>
      <c r="AW61" s="39">
        <f>IF(ISNUMBER($AD61),MAX(0,(1-0.55-Header!$O$3)*Header!$Q$3*$AQ61),"")</f>
      </c>
      <c r="AX61" s="43">
        <f>IF($A61="","",IF(TRIM(IF($A61="","Missing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",""))="","PASS","FAIL: "&amp;TRIM(IF($A61="","Missing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f>
      </c>
      <c r="AY61" s="44">
        <f>IF($M61="","",IF(ISNUMBER($M61),IF($M61&gt;=Header!$C$18,"YES — refer","No"),""))</f>
      </c>
      <c r="AZ61" s="44">
        <f>IF($AD61="","",IF(ISNUMBER($AD61),IF($AD61&lt;Header!$C$20,"BELOW MIN PREMIUM","OK"),""))</f>
      </c>
      <c r="BA61" s="32" t="inlineStr">
        <is>
          <t xml:space="preserve">Yes</t>
        </is>
      </c>
      <c r="BB61" s="32" t="inlineStr">
        <is>
          <t xml:space="preserve">Yes</t>
        </is>
      </c>
      <c r="BC61" s="30" t="inlineStr">
        <is>
          <t xml:space="preserve">Synthetic demo data</t>
        </is>
      </c>
      <c r="BE61" s="45">
        <f>IF(OR($A61="",$L61="",$H61=""),"",IF(AND(LEFT($L61,2)="06",$H61&gt;1945),"FAIL - pre-war class, year "&amp;$H61,IF(AND(LEFT($L61,2)="07",OR($H61&lt;1946,$H61&gt;1972)),"FAIL - 1946-72 class, year "&amp;$H61,IF(AND(LEFT($L61,2)="08",OR($H61&lt;1973,$H61&gt;1999)),"FAIL - 1973-99 class, year "&amp;$H61,IF(AND(LEFT($L61,2)="09",OR($H61&lt;2000,$H61&gt;2010)),"FAIL - 2000-10 class, year "&amp;$H61,"OK")))))</f>
      </c>
      <c r="BF61" s="45">
        <f>IF($AD61="","",IF(ROUND($AO61+$AP61+$AQ61-$AD61,2)=0,"OK","FAIL - out by "&amp;TEXT($AO61+$AP61+$AQ61-$AD61,"$0.00")))</f>
      </c>
    </row>
    <row r="62" spans="1:58" ht="18.75" customHeight="1" x14ac:dyDescent="0.25">
      <c r="A62" s="46" t="inlineStr">
        <is>
          <t xml:space="preserve">CANON-202508-000082</t>
        </is>
      </c>
      <c r="B62" s="46" t="inlineStr">
        <is>
          <t xml:space="preserve">Sunniva Merriweather</t>
        </is>
      </c>
      <c r="C62" s="47">
        <v>45893</v>
      </c>
      <c r="D62" s="48" t="inlineStr">
        <is>
          <t xml:space="preserve">Bound - within authority</t>
        </is>
      </c>
      <c r="E62" s="48" t="inlineStr">
        <is>
          <t xml:space="preserve">New business</t>
        </is>
      </c>
      <c r="F62" s="46" t="inlineStr">
        <is>
          <t xml:space="preserve">B1234EXOTIC26</t>
        </is>
      </c>
      <c r="G62" s="33">
        <f>IF($A62="","",IF($C62="","",YEAR($C62)))</f>
      </c>
      <c r="H62" s="49">
        <v>1985</v>
      </c>
      <c r="I62" s="46" t="inlineStr">
        <is>
          <t xml:space="preserve">Porsche</t>
        </is>
      </c>
      <c r="J62" s="46" t="inlineStr">
        <is>
          <t xml:space="preserve">911 Turbo S</t>
        </is>
      </c>
      <c r="K62" s="46" t="inlineStr">
        <is>
          <t xml:space="preserve">J8SWRZK65D2Y92WZ4</t>
        </is>
      </c>
      <c r="L62" s="48" t="inlineStr">
        <is>
          <t xml:space="preserve">02 - Sports / GT</t>
        </is>
      </c>
      <c r="M62" s="50">
        <v>965000</v>
      </c>
      <c r="N62" s="48" t="inlineStr">
        <is>
          <t xml:space="preserve">Personal</t>
        </is>
      </c>
      <c r="O62" s="46" t="inlineStr">
        <is>
          <t xml:space="preserve">Personal - regular use</t>
        </is>
      </c>
      <c r="P62" s="46" t="inlineStr">
        <is>
          <t xml:space="preserve">1,000 - 2,500</t>
        </is>
      </c>
      <c r="Q62" s="46" t="inlineStr">
        <is>
          <t xml:space="preserve">Texas</t>
        </is>
      </c>
      <c r="R62" s="46" t="inlineStr">
        <is>
          <t xml:space="preserve">75201</t>
        </is>
      </c>
      <c r="S62" s="48" t="inlineStr">
        <is>
          <t xml:space="preserve">Tier 2 - Coastal wind (1-25 miles)</t>
        </is>
      </c>
      <c r="T62" s="36">
        <f>IF($A62="","",IF($S62="","",IFERROR(INDEX('[1]natural catastrophe'!$D$6:$D$17,MATCH($S62,'[1]natural catastrophe'!$B$6:$B$17,0)),"?")))</f>
      </c>
      <c r="U62" s="46" t="inlineStr">
        <is>
          <t xml:space="preserve">2% of agreed value, minimum $10,000</t>
        </is>
      </c>
      <c r="V62" s="48" t="inlineStr">
        <is>
          <t xml:space="preserve">Agreed Value</t>
        </is>
      </c>
      <c r="W62" s="46" t="inlineStr">
        <is>
          <t xml:space="preserve">$1,000</t>
        </is>
      </c>
      <c r="X62" s="48" t="inlineStr">
        <is>
          <t xml:space="preserve">$1,000,000 CSL</t>
        </is>
      </c>
      <c r="Y62" s="46"/>
      <c r="Z62" s="46"/>
      <c r="AA62" s="48" t="inlineStr">
        <is>
          <t xml:space="preserve">Surplus Lines</t>
        </is>
      </c>
      <c r="AB62" s="50">
        <v>13610.14</v>
      </c>
      <c r="AC62" s="51">
        <v>0</v>
      </c>
      <c r="AD62" s="38">
        <f>IF(ISNUMBER($AB62),$AB62*(1+N($AC62)),"")</f>
      </c>
      <c r="AE62" s="50">
        <v>350</v>
      </c>
      <c r="AF62" s="50">
        <v>0</v>
      </c>
      <c r="AG62" s="51"/>
      <c r="AH62" s="39">
        <f>IF(ISNUMBER($AD62),($AD62+$AE62+$AF62)*$AG62,"")</f>
      </c>
      <c r="AI62" s="50"/>
      <c r="AJ62" s="38">
        <f>IF(ISNUMBER($AD62),SUM($AD62:$AH62),"")</f>
      </c>
      <c r="AK62" s="40">
        <f>IF(AND(ISNUMBER($AB62),ISNUMBER($AD62)),IF($AB62&gt;0,$AD62/$AB62,""),"")</f>
      </c>
      <c r="AL62" s="48" t="inlineStr">
        <is>
          <t xml:space="preserve">At technical</t>
        </is>
      </c>
      <c r="AM62" s="41">
        <f>IF(ISNUMBER($AD62),Header!$I$3,"")</f>
      </c>
      <c r="AN62" s="39">
        <f>IF(ISNUMBER($AD62),$AO62+$AP62,"")</f>
      </c>
      <c r="AO62" s="39">
        <f>IF(ISNUMBER($AD62),ROUND($AD62*Header!$K$3,2),"")</f>
      </c>
      <c r="AP62" s="39">
        <f>IF(ISNUMBER($AD62),ROUND($AD62*Header!$M$3,2),"")</f>
      </c>
      <c r="AQ62" s="38">
        <f>IF(ISNUMBER($AD62),ROUND($AD62,2)-$AO62-$AP62,"")</f>
      </c>
      <c r="AR62" s="39">
        <f>IF(ISNUMBER($AD62),IF(Header!$D$34="","?",$AD62*Header!$D$34),"")</f>
      </c>
      <c r="AS62" s="39">
        <f>IF(ISNUMBER($AB62),IF(Header!$D$34="","?",$AB62*Header!$D$34),"")</f>
      </c>
      <c r="AT62" s="42">
        <f>IF(AND(ISNUMBER($AB62),$M62&gt;0),$AB62/$M62*100,"")</f>
      </c>
      <c r="AU62" s="42">
        <f>IF(AND(ISNUMBER($AD62),$M62&gt;0),$AD62/$M62*100,"")</f>
      </c>
      <c r="AV62" s="40">
        <f>IF(AND(ISNUMBER($AB62),ISNUMBER($AD62),ABS($AB62)&gt;0),$AD62/$AB62,"")</f>
      </c>
      <c r="AW62" s="39">
        <f>IF(ISNUMBER($AD62),MAX(0,(1-0.55-Header!$O$3)*Header!$Q$3*$AQ62),"")</f>
      </c>
      <c r="AX62" s="43">
        <f>IF($A62="","",IF(TRIM(IF($A62="","Missing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",""))="","PASS","FAIL: "&amp;TRIM(IF($A62="","Missing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f>
      </c>
      <c r="AY62" s="44">
        <f>IF($M62="","",IF(ISNUMBER($M62),IF($M62&gt;=Header!$C$18,"YES — refer","No"),""))</f>
      </c>
      <c r="AZ62" s="44">
        <f>IF($AD62="","",IF(ISNUMBER($AD62),IF($AD62&lt;Header!$C$20,"BELOW MIN PREMIUM","OK"),""))</f>
      </c>
      <c r="BA62" s="48" t="inlineStr">
        <is>
          <t xml:space="preserve">Yes</t>
        </is>
      </c>
      <c r="BB62" s="48" t="inlineStr">
        <is>
          <t xml:space="preserve">Yes</t>
        </is>
      </c>
      <c r="BC62" s="46" t="inlineStr">
        <is>
          <t xml:space="preserve">Synthetic demo data</t>
        </is>
      </c>
      <c r="BE62" s="45">
        <f>IF(OR($A62="",$L62="",$H62=""),"",IF(AND(LEFT($L62,2)="06",$H62&gt;1945),"FAIL - pre-war class, year "&amp;$H62,IF(AND(LEFT($L62,2)="07",OR($H62&lt;1946,$H62&gt;1972)),"FAIL - 1946-72 class, year "&amp;$H62,IF(AND(LEFT($L62,2)="08",OR($H62&lt;1973,$H62&gt;1999)),"FAIL - 1973-99 class, year "&amp;$H62,IF(AND(LEFT($L62,2)="09",OR($H62&lt;2000,$H62&gt;2010)),"FAIL - 2000-10 class, year "&amp;$H62,"OK")))))</f>
      </c>
      <c r="BF62" s="45">
        <f>IF($AD62="","",IF(ROUND($AO62+$AP62+$AQ62-$AD62,2)=0,"OK","FAIL - out by "&amp;TEXT($AO62+$AP62+$AQ62-$AD62,"$0.00")))</f>
      </c>
    </row>
    <row r="63" spans="1:58" ht="18.75" customHeight="1" x14ac:dyDescent="0.25">
      <c r="A63" s="30" t="inlineStr">
        <is>
          <t xml:space="preserve">CANON-202508-000083</t>
        </is>
      </c>
      <c r="B63" s="30" t="inlineStr">
        <is>
          <t xml:space="preserve">Fenwick Chattopadhyay</t>
        </is>
      </c>
      <c r="C63" s="31">
        <v>45891</v>
      </c>
      <c r="D63" s="32" t="inlineStr">
        <is>
          <t xml:space="preserve">Bound - within authority</t>
        </is>
      </c>
      <c r="E63" s="32" t="inlineStr">
        <is>
          <t xml:space="preserve">New business</t>
        </is>
      </c>
      <c r="F63" s="30" t="inlineStr">
        <is>
          <t xml:space="preserve">B1234EXOTIC26</t>
        </is>
      </c>
      <c r="G63" s="33">
        <f>IF($A63="","",IF($C63="","",YEAR($C63)))</f>
      </c>
      <c r="H63" s="34">
        <v>2019</v>
      </c>
      <c r="I63" s="30" t="inlineStr">
        <is>
          <t xml:space="preserve">Aston Martin</t>
        </is>
      </c>
      <c r="J63" s="30" t="inlineStr">
        <is>
          <t xml:space="preserve">DB12</t>
        </is>
      </c>
      <c r="K63" s="30" t="inlineStr">
        <is>
          <t xml:space="preserve">H8GEWS0MU8XKEGM4J</t>
        </is>
      </c>
      <c r="L63" s="32" t="inlineStr">
        <is>
          <t xml:space="preserve">02 - Sports / GT</t>
        </is>
      </c>
      <c r="M63" s="35">
        <v>870000</v>
      </c>
      <c r="N63" s="32" t="inlineStr">
        <is>
          <t xml:space="preserve">Personal</t>
        </is>
      </c>
      <c r="O63" s="30" t="inlineStr">
        <is>
          <t xml:space="preserve">Personal - regular use</t>
        </is>
      </c>
      <c r="P63" s="30" t="inlineStr">
        <is>
          <t xml:space="preserve">2,500 - 5,000</t>
        </is>
      </c>
      <c r="Q63" s="30" t="inlineStr">
        <is>
          <t xml:space="preserve">Minnesota</t>
        </is>
      </c>
      <c r="R63" s="30" t="inlineStr">
        <is>
          <t xml:space="preserve">55401</t>
        </is>
      </c>
      <c r="S63" s="32" t="inlineStr">
        <is>
          <t xml:space="preserve">Severe convective - hail / tornado (moderate)</t>
        </is>
      </c>
      <c r="T63" s="36">
        <f>IF($A63="","",IF($S63="","",IFERROR(INDEX('[1]natural catastrophe'!$D$6:$D$17,MATCH($S63,'[1]natural catastrophe'!$B$6:$B$17,0)),"?")))</f>
      </c>
      <c r="U63" s="30" t="inlineStr">
        <is>
          <t xml:space="preserve">$5,000</t>
        </is>
      </c>
      <c r="V63" s="32" t="inlineStr">
        <is>
          <t xml:space="preserve">Agreed Value</t>
        </is>
      </c>
      <c r="W63" s="30" t="inlineStr">
        <is>
          <t xml:space="preserve">$1,000</t>
        </is>
      </c>
      <c r="X63" s="32" t="inlineStr">
        <is>
          <t xml:space="preserve">$1,000,000 CSL</t>
        </is>
      </c>
      <c r="Y63" s="30"/>
      <c r="Z63" s="30"/>
      <c r="AA63" s="32" t="inlineStr">
        <is>
          <t xml:space="preserve">Surplus Lines</t>
        </is>
      </c>
      <c r="AB63" s="35">
        <v>14084.15</v>
      </c>
      <c r="AC63" s="37">
        <v>0</v>
      </c>
      <c r="AD63" s="38">
        <f>IF(ISNUMBER($AB63),$AB63*(1+N($AC63)),"")</f>
      </c>
      <c r="AE63" s="35">
        <v>350</v>
      </c>
      <c r="AF63" s="35">
        <v>0</v>
      </c>
      <c r="AG63" s="37"/>
      <c r="AH63" s="39">
        <f>IF(ISNUMBER($AD63),($AD63+$AE63+$AF63)*$AG63,"")</f>
      </c>
      <c r="AI63" s="35"/>
      <c r="AJ63" s="38">
        <f>IF(ISNUMBER($AD63),SUM($AD63:$AH63),"")</f>
      </c>
      <c r="AK63" s="40">
        <f>IF(AND(ISNUMBER($AB63),ISNUMBER($AD63)),IF($AB63&gt;0,$AD63/$AB63,""),"")</f>
      </c>
      <c r="AL63" s="32" t="inlineStr">
        <is>
          <t xml:space="preserve">At technical</t>
        </is>
      </c>
      <c r="AM63" s="41">
        <f>IF(ISNUMBER($AD63),Header!$I$3,"")</f>
      </c>
      <c r="AN63" s="39">
        <f>IF(ISNUMBER($AD63),$AO63+$AP63,"")</f>
      </c>
      <c r="AO63" s="39">
        <f>IF(ISNUMBER($AD63),ROUND($AD63*Header!$K$3,2),"")</f>
      </c>
      <c r="AP63" s="39">
        <f>IF(ISNUMBER($AD63),ROUND($AD63*Header!$M$3,2),"")</f>
      </c>
      <c r="AQ63" s="38">
        <f>IF(ISNUMBER($AD63),ROUND($AD63,2)-$AO63-$AP63,"")</f>
      </c>
      <c r="AR63" s="39">
        <f>IF(ISNUMBER($AD63),IF(Header!$D$34="","?",$AD63*Header!$D$34),"")</f>
      </c>
      <c r="AS63" s="39">
        <f>IF(ISNUMBER($AB63),IF(Header!$D$34="","?",$AB63*Header!$D$34),"")</f>
      </c>
      <c r="AT63" s="42">
        <f>IF(AND(ISNUMBER($AB63),$M63&gt;0),$AB63/$M63*100,"")</f>
      </c>
      <c r="AU63" s="42">
        <f>IF(AND(ISNUMBER($AD63),$M63&gt;0),$AD63/$M63*100,"")</f>
      </c>
      <c r="AV63" s="40">
        <f>IF(AND(ISNUMBER($AB63),ISNUMBER($AD63),ABS($AB63)&gt;0),$AD63/$AB63,"")</f>
      </c>
      <c r="AW63" s="39">
        <f>IF(ISNUMBER($AD63),MAX(0,(1-0.55-Header!$O$3)*Header!$Q$3*$AQ63),"")</f>
      </c>
      <c r="AX63" s="43">
        <f>IF($A63="","",IF(TRIM(IF($A63="","Missing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",""))="","PASS","FAIL: "&amp;TRIM(IF($A63="","Missing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f>
      </c>
      <c r="AY63" s="44">
        <f>IF($M63="","",IF(ISNUMBER($M63),IF($M63&gt;=Header!$C$18,"YES — refer","No"),""))</f>
      </c>
      <c r="AZ63" s="44">
        <f>IF($AD63="","",IF(ISNUMBER($AD63),IF($AD63&lt;Header!$C$20,"BELOW MIN PREMIUM","OK"),""))</f>
      </c>
      <c r="BA63" s="32" t="inlineStr">
        <is>
          <t xml:space="preserve">Yes</t>
        </is>
      </c>
      <c r="BB63" s="32" t="inlineStr">
        <is>
          <t xml:space="preserve">Yes</t>
        </is>
      </c>
      <c r="BC63" s="30" t="inlineStr">
        <is>
          <t xml:space="preserve">Synthetic demo data</t>
        </is>
      </c>
      <c r="BE63" s="45">
        <f>IF(OR($A63="",$L63="",$H63=""),"",IF(AND(LEFT($L63,2)="06",$H63&gt;1945),"FAIL - pre-war class, year "&amp;$H63,IF(AND(LEFT($L63,2)="07",OR($H63&lt;1946,$H63&gt;1972)),"FAIL - 1946-72 class, year "&amp;$H63,IF(AND(LEFT($L63,2)="08",OR($H63&lt;1973,$H63&gt;1999)),"FAIL - 1973-99 class, year "&amp;$H63,IF(AND(LEFT($L63,2)="09",OR($H63&lt;2000,$H63&gt;2010)),"FAIL - 2000-10 class, year "&amp;$H63,"OK")))))</f>
      </c>
      <c r="BF63" s="45">
        <f>IF($AD63="","",IF(ROUND($AO63+$AP63+$AQ63-$AD63,2)=0,"OK","FAIL - out by "&amp;TEXT($AO63+$AP63+$AQ63-$AD63,"$0.00")))</f>
      </c>
    </row>
    <row r="64" spans="1:58" ht="18.75" customHeight="1" x14ac:dyDescent="0.25">
      <c r="A64" s="46" t="inlineStr">
        <is>
          <t xml:space="preserve">CANON-202508-000086</t>
        </is>
      </c>
      <c r="B64" s="46" t="inlineStr">
        <is>
          <t xml:space="preserve">Emiliano Rourke</t>
        </is>
      </c>
      <c r="C64" s="47">
        <v>45873</v>
      </c>
      <c r="D64" s="48" t="inlineStr">
        <is>
          <t xml:space="preserve">Bound - within authority</t>
        </is>
      </c>
      <c r="E64" s="48" t="inlineStr">
        <is>
          <t xml:space="preserve">New business</t>
        </is>
      </c>
      <c r="F64" s="46" t="inlineStr">
        <is>
          <t xml:space="preserve">B1234EXOTIC26</t>
        </is>
      </c>
      <c r="G64" s="33">
        <f>IF($A64="","",IF($C64="","",YEAR($C64)))</f>
      </c>
      <c r="H64" s="49">
        <v>1984</v>
      </c>
      <c r="I64" s="46" t="inlineStr">
        <is>
          <t xml:space="preserve">Bentley</t>
        </is>
      </c>
      <c r="J64" s="46" t="inlineStr">
        <is>
          <t xml:space="preserve">Continental GT</t>
        </is>
      </c>
      <c r="K64" s="46" t="inlineStr">
        <is>
          <t xml:space="preserve">YNDZ8Z3X8AZPEJECS</t>
        </is>
      </c>
      <c r="L64" s="48" t="inlineStr">
        <is>
          <t xml:space="preserve">02 - Sports / GT</t>
        </is>
      </c>
      <c r="M64" s="50">
        <v>1045000</v>
      </c>
      <c r="N64" s="48" t="inlineStr">
        <is>
          <t xml:space="preserve">Personal</t>
        </is>
      </c>
      <c r="O64" s="46" t="inlineStr">
        <is>
          <t xml:space="preserve">Personal - regular use</t>
        </is>
      </c>
      <c r="P64" s="46" t="inlineStr">
        <is>
          <t xml:space="preserve">2,500 - 5,000</t>
        </is>
      </c>
      <c r="Q64" s="46" t="inlineStr">
        <is>
          <t xml:space="preserve">Alabama</t>
        </is>
      </c>
      <c r="R64" s="46" t="inlineStr">
        <is>
          <t xml:space="preserve">35203</t>
        </is>
      </c>
      <c r="S64" s="48" t="inlineStr">
        <is>
          <t xml:space="preserve">Tier 2 - Coastal wind (1-25 miles)</t>
        </is>
      </c>
      <c r="T64" s="36">
        <f>IF($A64="","",IF($S64="","",IFERROR(INDEX('[1]natural catastrophe'!$D$6:$D$17,MATCH($S64,'[1]natural catastrophe'!$B$6:$B$17,0)),"?")))</f>
      </c>
      <c r="U64" s="46" t="inlineStr">
        <is>
          <t xml:space="preserve">2% of agreed value, minimum $10,000</t>
        </is>
      </c>
      <c r="V64" s="48" t="inlineStr">
        <is>
          <t xml:space="preserve">Agreed Value</t>
        </is>
      </c>
      <c r="W64" s="46" t="inlineStr">
        <is>
          <t xml:space="preserve">$1,000</t>
        </is>
      </c>
      <c r="X64" s="48" t="inlineStr">
        <is>
          <t xml:space="preserve">$1,000,000 CSL</t>
        </is>
      </c>
      <c r="Y64" s="46"/>
      <c r="Z64" s="46"/>
      <c r="AA64" s="48" t="inlineStr">
        <is>
          <t xml:space="preserve">Surplus Lines</t>
        </is>
      </c>
      <c r="AB64" s="50">
        <v>13772.31</v>
      </c>
      <c r="AC64" s="51">
        <v>0</v>
      </c>
      <c r="AD64" s="38">
        <f>IF(ISNUMBER($AB64),$AB64*(1+N($AC64)),"")</f>
      </c>
      <c r="AE64" s="50">
        <v>350</v>
      </c>
      <c r="AF64" s="50">
        <v>250</v>
      </c>
      <c r="AG64" s="51"/>
      <c r="AH64" s="39">
        <f>IF(ISNUMBER($AD64),($AD64+$AE64+$AF64)*$AG64,"")</f>
      </c>
      <c r="AI64" s="50"/>
      <c r="AJ64" s="38">
        <f>IF(ISNUMBER($AD64),SUM($AD64:$AH64),"")</f>
      </c>
      <c r="AK64" s="40">
        <f>IF(AND(ISNUMBER($AB64),ISNUMBER($AD64)),IF($AB64&gt;0,$AD64/$AB64,""),"")</f>
      </c>
      <c r="AL64" s="48" t="inlineStr">
        <is>
          <t xml:space="preserve">At technical</t>
        </is>
      </c>
      <c r="AM64" s="41">
        <f>IF(ISNUMBER($AD64),Header!$I$3,"")</f>
      </c>
      <c r="AN64" s="39">
        <f>IF(ISNUMBER($AD64),$AO64+$AP64,"")</f>
      </c>
      <c r="AO64" s="39">
        <f>IF(ISNUMBER($AD64),ROUND($AD64*Header!$K$3,2),"")</f>
      </c>
      <c r="AP64" s="39">
        <f>IF(ISNUMBER($AD64),ROUND($AD64*Header!$M$3,2),"")</f>
      </c>
      <c r="AQ64" s="38">
        <f>IF(ISNUMBER($AD64),ROUND($AD64,2)-$AO64-$AP64,"")</f>
      </c>
      <c r="AR64" s="39">
        <f>IF(ISNUMBER($AD64),IF(Header!$D$34="","?",$AD64*Header!$D$34),"")</f>
      </c>
      <c r="AS64" s="39">
        <f>IF(ISNUMBER($AB64),IF(Header!$D$34="","?",$AB64*Header!$D$34),"")</f>
      </c>
      <c r="AT64" s="42">
        <f>IF(AND(ISNUMBER($AB64),$M64&gt;0),$AB64/$M64*100,"")</f>
      </c>
      <c r="AU64" s="42">
        <f>IF(AND(ISNUMBER($AD64),$M64&gt;0),$AD64/$M64*100,"")</f>
      </c>
      <c r="AV64" s="40">
        <f>IF(AND(ISNUMBER($AB64),ISNUMBER($AD64),ABS($AB64)&gt;0),$AD64/$AB64,"")</f>
      </c>
      <c r="AW64" s="39">
        <f>IF(ISNUMBER($AD64),MAX(0,(1-0.55-Header!$O$3)*Header!$Q$3*$AQ64),"")</f>
      </c>
      <c r="AX64" s="43">
        <f>IF($A64="","",IF(TRIM(IF($A64="","Missing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",""))="","PASS","FAIL: "&amp;TRIM(IF($A64="","Missing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f>
      </c>
      <c r="AY64" s="44">
        <f>IF($M64="","",IF(ISNUMBER($M64),IF($M64&gt;=Header!$C$18,"YES — refer","No"),""))</f>
      </c>
      <c r="AZ64" s="44">
        <f>IF($AD64="","",IF(ISNUMBER($AD64),IF($AD64&lt;Header!$C$20,"BELOW MIN PREMIUM","OK"),""))</f>
      </c>
      <c r="BA64" s="48" t="inlineStr">
        <is>
          <t xml:space="preserve">Yes</t>
        </is>
      </c>
      <c r="BB64" s="48" t="inlineStr">
        <is>
          <t xml:space="preserve">Yes</t>
        </is>
      </c>
      <c r="BC64" s="46" t="inlineStr">
        <is>
          <t xml:space="preserve">Synthetic demo data</t>
        </is>
      </c>
      <c r="BE64" s="45">
        <f>IF(OR($A64="",$L64="",$H64=""),"",IF(AND(LEFT($L64,2)="06",$H64&gt;1945),"FAIL - pre-war class, year "&amp;$H64,IF(AND(LEFT($L64,2)="07",OR($H64&lt;1946,$H64&gt;1972)),"FAIL - 1946-72 class, year "&amp;$H64,IF(AND(LEFT($L64,2)="08",OR($H64&lt;1973,$H64&gt;1999)),"FAIL - 1973-99 class, year "&amp;$H64,IF(AND(LEFT($L64,2)="09",OR($H64&lt;2000,$H64&gt;2010)),"FAIL - 2000-10 class, year "&amp;$H64,"OK")))))</f>
      </c>
      <c r="BF64" s="45">
        <f>IF($AD64="","",IF(ROUND($AO64+$AP64+$AQ64-$AD64,2)=0,"OK","FAIL - out by "&amp;TEXT($AO64+$AP64+$AQ64-$AD64,"$0.00")))</f>
      </c>
    </row>
    <row r="65" spans="1:58" ht="18.75" customHeight="1" x14ac:dyDescent="0.25">
      <c r="A65" s="30" t="inlineStr">
        <is>
          <t xml:space="preserve">CANON-202508-000087</t>
        </is>
      </c>
      <c r="B65" s="30" t="inlineStr">
        <is>
          <t xml:space="preserve">Cassius Kingsford</t>
        </is>
      </c>
      <c r="C65" s="31">
        <v>45882</v>
      </c>
      <c r="D65" s="32" t="inlineStr">
        <is>
          <t xml:space="preserve">Bound - within authority</t>
        </is>
      </c>
      <c r="E65" s="32" t="inlineStr">
        <is>
          <t xml:space="preserve">New business</t>
        </is>
      </c>
      <c r="F65" s="30" t="inlineStr">
        <is>
          <t xml:space="preserve">B1234EXOTIC26</t>
        </is>
      </c>
      <c r="G65" s="33">
        <f>IF($A65="","",IF($C65="","",YEAR($C65)))</f>
      </c>
      <c r="H65" s="34">
        <v>1999</v>
      </c>
      <c r="I65" s="30" t="inlineStr">
        <is>
          <t xml:space="preserve">Ferrari</t>
        </is>
      </c>
      <c r="J65" s="30" t="inlineStr">
        <is>
          <t xml:space="preserve">SF90 Stradale</t>
        </is>
      </c>
      <c r="K65" s="30" t="inlineStr">
        <is>
          <t xml:space="preserve">T7HCKTM1ZJVDYXB8W</t>
        </is>
      </c>
      <c r="L65" s="32" t="inlineStr">
        <is>
          <t xml:space="preserve">03 - Supercar</t>
        </is>
      </c>
      <c r="M65" s="35">
        <v>800000</v>
      </c>
      <c r="N65" s="32" t="inlineStr">
        <is>
          <t xml:space="preserve">Personal</t>
        </is>
      </c>
      <c r="O65" s="30" t="inlineStr">
        <is>
          <t xml:space="preserve">Personal - regular use</t>
        </is>
      </c>
      <c r="P65" s="30" t="inlineStr">
        <is>
          <t xml:space="preserve">Under 1,000</t>
        </is>
      </c>
      <c r="Q65" s="30" t="inlineStr">
        <is>
          <t xml:space="preserve">Florida</t>
        </is>
      </c>
      <c r="R65" s="30" t="inlineStr">
        <is>
          <t xml:space="preserve">33139</t>
        </is>
      </c>
      <c r="S65" s="32" t="inlineStr">
        <is>
          <t xml:space="preserve">Tier 2 - Coastal wind (1-25 miles)</t>
        </is>
      </c>
      <c r="T65" s="36">
        <f>IF($A65="","",IF($S65="","",IFERROR(INDEX('[1]natural catastrophe'!$D$6:$D$17,MATCH($S65,'[1]natural catastrophe'!$B$6:$B$17,0)),"?")))</f>
      </c>
      <c r="U65" s="30" t="inlineStr">
        <is>
          <t xml:space="preserve">2% of agreed value, minimum $10,000</t>
        </is>
      </c>
      <c r="V65" s="32" t="inlineStr">
        <is>
          <t xml:space="preserve">Agreed Value</t>
        </is>
      </c>
      <c r="W65" s="30" t="inlineStr">
        <is>
          <t xml:space="preserve">$1,000</t>
        </is>
      </c>
      <c r="X65" s="32" t="inlineStr">
        <is>
          <t xml:space="preserve">$1,000,000 CSL</t>
        </is>
      </c>
      <c r="Y65" s="30"/>
      <c r="Z65" s="30"/>
      <c r="AA65" s="32" t="inlineStr">
        <is>
          <t xml:space="preserve">Surplus Lines</t>
        </is>
      </c>
      <c r="AB65" s="35">
        <v>20362.26</v>
      </c>
      <c r="AC65" s="37">
        <v>0</v>
      </c>
      <c r="AD65" s="38">
        <f>IF(ISNUMBER($AB65),$AB65*(1+N($AC65)),"")</f>
      </c>
      <c r="AE65" s="35">
        <v>350</v>
      </c>
      <c r="AF65" s="35">
        <v>0</v>
      </c>
      <c r="AG65" s="37"/>
      <c r="AH65" s="39">
        <f>IF(ISNUMBER($AD65),($AD65+$AE65+$AF65)*$AG65,"")</f>
      </c>
      <c r="AI65" s="35"/>
      <c r="AJ65" s="38">
        <f>IF(ISNUMBER($AD65),SUM($AD65:$AH65),"")</f>
      </c>
      <c r="AK65" s="40">
        <f>IF(AND(ISNUMBER($AB65),ISNUMBER($AD65)),IF($AB65&gt;0,$AD65/$AB65,""),"")</f>
      </c>
      <c r="AL65" s="32" t="inlineStr">
        <is>
          <t xml:space="preserve">At technical</t>
        </is>
      </c>
      <c r="AM65" s="41">
        <f>IF(ISNUMBER($AD65),Header!$I$3,"")</f>
      </c>
      <c r="AN65" s="39">
        <f>IF(ISNUMBER($AD65),$AO65+$AP65,"")</f>
      </c>
      <c r="AO65" s="39">
        <f>IF(ISNUMBER($AD65),ROUND($AD65*Header!$K$3,2),"")</f>
      </c>
      <c r="AP65" s="39">
        <f>IF(ISNUMBER($AD65),ROUND($AD65*Header!$M$3,2),"")</f>
      </c>
      <c r="AQ65" s="38">
        <f>IF(ISNUMBER($AD65),ROUND($AD65,2)-$AO65-$AP65,"")</f>
      </c>
      <c r="AR65" s="39">
        <f>IF(ISNUMBER($AD65),IF(Header!$D$34="","?",$AD65*Header!$D$34),"")</f>
      </c>
      <c r="AS65" s="39">
        <f>IF(ISNUMBER($AB65),IF(Header!$D$34="","?",$AB65*Header!$D$34),"")</f>
      </c>
      <c r="AT65" s="42">
        <f>IF(AND(ISNUMBER($AB65),$M65&gt;0),$AB65/$M65*100,"")</f>
      </c>
      <c r="AU65" s="42">
        <f>IF(AND(ISNUMBER($AD65),$M65&gt;0),$AD65/$M65*100,"")</f>
      </c>
      <c r="AV65" s="40">
        <f>IF(AND(ISNUMBER($AB65),ISNUMBER($AD65),ABS($AB65)&gt;0),$AD65/$AB65,"")</f>
      </c>
      <c r="AW65" s="39">
        <f>IF(ISNUMBER($AD65),MAX(0,(1-0.55-Header!$O$3)*Header!$Q$3*$AQ65),"")</f>
      </c>
      <c r="AX65" s="43">
        <f>IF($A65="","",IF(TRIM(IF($A65="","Missing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",""))="","PASS","FAIL: "&amp;TRIM(IF($A65="","Missing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f>
      </c>
      <c r="AY65" s="44">
        <f>IF($M65="","",IF(ISNUMBER($M65),IF($M65&gt;=Header!$C$18,"YES — refer","No"),""))</f>
      </c>
      <c r="AZ65" s="44">
        <f>IF($AD65="","",IF(ISNUMBER($AD65),IF($AD65&lt;Header!$C$20,"BELOW MIN PREMIUM","OK"),""))</f>
      </c>
      <c r="BA65" s="32" t="inlineStr">
        <is>
          <t xml:space="preserve">Yes</t>
        </is>
      </c>
      <c r="BB65" s="32" t="inlineStr">
        <is>
          <t xml:space="preserve">Yes</t>
        </is>
      </c>
      <c r="BC65" s="30" t="inlineStr">
        <is>
          <t xml:space="preserve">Synthetic demo data</t>
        </is>
      </c>
      <c r="BE65" s="45">
        <f>IF(OR($A65="",$L65="",$H65=""),"",IF(AND(LEFT($L65,2)="06",$H65&gt;1945),"FAIL - pre-war class, year "&amp;$H65,IF(AND(LEFT($L65,2)="07",OR($H65&lt;1946,$H65&gt;1972)),"FAIL - 1946-72 class, year "&amp;$H65,IF(AND(LEFT($L65,2)="08",OR($H65&lt;1973,$H65&gt;1999)),"FAIL - 1973-99 class, year "&amp;$H65,IF(AND(LEFT($L65,2)="09",OR($H65&lt;2000,$H65&gt;2010)),"FAIL - 2000-10 class, year "&amp;$H65,"OK")))))</f>
      </c>
      <c r="BF65" s="45">
        <f>IF($AD65="","",IF(ROUND($AO65+$AP65+$AQ65-$AD65,2)=0,"OK","FAIL - out by "&amp;TEXT($AO65+$AP65+$AQ65-$AD65,"$0.00")))</f>
      </c>
    </row>
    <row r="66" spans="1:58" ht="18.75" customHeight="1" x14ac:dyDescent="0.25">
      <c r="A66" s="46" t="inlineStr">
        <is>
          <t xml:space="preserve">CANON-202508-000088</t>
        </is>
      </c>
      <c r="B66" s="46" t="inlineStr">
        <is>
          <t xml:space="preserve">Aurelio Castellanos</t>
        </is>
      </c>
      <c r="C66" s="47">
        <v>45897</v>
      </c>
      <c r="D66" s="48" t="inlineStr">
        <is>
          <t xml:space="preserve">Bound - within authority</t>
        </is>
      </c>
      <c r="E66" s="48" t="inlineStr">
        <is>
          <t xml:space="preserve">New business</t>
        </is>
      </c>
      <c r="F66" s="46" t="inlineStr">
        <is>
          <t xml:space="preserve">B1234EXOTIC26</t>
        </is>
      </c>
      <c r="G66" s="33">
        <f>IF($A66="","",IF($C66="","",YEAR($C66)))</f>
      </c>
      <c r="H66" s="49">
        <v>1961</v>
      </c>
      <c r="I66" s="46" t="inlineStr">
        <is>
          <t xml:space="preserve">Porsche</t>
        </is>
      </c>
      <c r="J66" s="46" t="inlineStr">
        <is>
          <t xml:space="preserve">911 Turbo S</t>
        </is>
      </c>
      <c r="K66" s="46" t="inlineStr">
        <is>
          <t xml:space="preserve">XE7LFCDN58W56U70D</t>
        </is>
      </c>
      <c r="L66" s="48" t="inlineStr">
        <is>
          <t xml:space="preserve">02 - Sports / GT</t>
        </is>
      </c>
      <c r="M66" s="50">
        <v>1400000</v>
      </c>
      <c r="N66" s="48" t="inlineStr">
        <is>
          <t xml:space="preserve">Personal</t>
        </is>
      </c>
      <c r="O66" s="46" t="inlineStr">
        <is>
          <t xml:space="preserve">Personal - regular use</t>
        </is>
      </c>
      <c r="P66" s="46" t="inlineStr">
        <is>
          <t xml:space="preserve">1,000 - 2,500</t>
        </is>
      </c>
      <c r="Q66" s="46" t="inlineStr">
        <is>
          <t xml:space="preserve">Texas</t>
        </is>
      </c>
      <c r="R66" s="46" t="inlineStr">
        <is>
          <t xml:space="preserve">75201</t>
        </is>
      </c>
      <c r="S66" s="48" t="inlineStr">
        <is>
          <t xml:space="preserve">Tier 2 - Coastal wind (1-25 miles)</t>
        </is>
      </c>
      <c r="T66" s="36">
        <f>IF($A66="","",IF($S66="","",IFERROR(INDEX('[1]natural catastrophe'!$D$6:$D$17,MATCH($S66,'[1]natural catastrophe'!$B$6:$B$17,0)),"?")))</f>
      </c>
      <c r="U66" s="46" t="inlineStr">
        <is>
          <t xml:space="preserve">2% of agreed value, minimum $10,000</t>
        </is>
      </c>
      <c r="V66" s="48" t="inlineStr">
        <is>
          <t xml:space="preserve">Agreed Value</t>
        </is>
      </c>
      <c r="W66" s="46" t="inlineStr">
        <is>
          <t xml:space="preserve">$1,000</t>
        </is>
      </c>
      <c r="X66" s="48" t="inlineStr">
        <is>
          <t xml:space="preserve">$1,000,000 CSL</t>
        </is>
      </c>
      <c r="Y66" s="46"/>
      <c r="Z66" s="46"/>
      <c r="AA66" s="48" t="inlineStr">
        <is>
          <t xml:space="preserve">Surplus Lines</t>
        </is>
      </c>
      <c r="AB66" s="50">
        <v>16707.55</v>
      </c>
      <c r="AC66" s="51">
        <v>0</v>
      </c>
      <c r="AD66" s="38">
        <f>IF(ISNUMBER($AB66),$AB66*(1+N($AC66)),"")</f>
      </c>
      <c r="AE66" s="50">
        <v>350</v>
      </c>
      <c r="AF66" s="50">
        <v>250</v>
      </c>
      <c r="AG66" s="51"/>
      <c r="AH66" s="39">
        <f>IF(ISNUMBER($AD66),($AD66+$AE66+$AF66)*$AG66,"")</f>
      </c>
      <c r="AI66" s="50"/>
      <c r="AJ66" s="38">
        <f>IF(ISNUMBER($AD66),SUM($AD66:$AH66),"")</f>
      </c>
      <c r="AK66" s="40">
        <f>IF(AND(ISNUMBER($AB66),ISNUMBER($AD66)),IF($AB66&gt;0,$AD66/$AB66,""),"")</f>
      </c>
      <c r="AL66" s="48" t="inlineStr">
        <is>
          <t xml:space="preserve">At technical</t>
        </is>
      </c>
      <c r="AM66" s="41">
        <f>IF(ISNUMBER($AD66),Header!$I$3,"")</f>
      </c>
      <c r="AN66" s="39">
        <f>IF(ISNUMBER($AD66),$AO66+$AP66,"")</f>
      </c>
      <c r="AO66" s="39">
        <f>IF(ISNUMBER($AD66),ROUND($AD66*Header!$K$3,2),"")</f>
      </c>
      <c r="AP66" s="39">
        <f>IF(ISNUMBER($AD66),ROUND($AD66*Header!$M$3,2),"")</f>
      </c>
      <c r="AQ66" s="38">
        <f>IF(ISNUMBER($AD66),ROUND($AD66,2)-$AO66-$AP66,"")</f>
      </c>
      <c r="AR66" s="39">
        <f>IF(ISNUMBER($AD66),IF(Header!$D$34="","?",$AD66*Header!$D$34),"")</f>
      </c>
      <c r="AS66" s="39">
        <f>IF(ISNUMBER($AB66),IF(Header!$D$34="","?",$AB66*Header!$D$34),"")</f>
      </c>
      <c r="AT66" s="42">
        <f>IF(AND(ISNUMBER($AB66),$M66&gt;0),$AB66/$M66*100,"")</f>
      </c>
      <c r="AU66" s="42">
        <f>IF(AND(ISNUMBER($AD66),$M66&gt;0),$AD66/$M66*100,"")</f>
      </c>
      <c r="AV66" s="40">
        <f>IF(AND(ISNUMBER($AB66),ISNUMBER($AD66),ABS($AB66)&gt;0),$AD66/$AB66,"")</f>
      </c>
      <c r="AW66" s="39">
        <f>IF(ISNUMBER($AD66),MAX(0,(1-0.55-Header!$O$3)*Header!$Q$3*$AQ66),"")</f>
      </c>
      <c r="AX66" s="43">
        <f>IF($A66="","",IF(TRIM(IF($A66="","Missing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",""))="","PASS","FAIL: "&amp;TRIM(IF($A66="","Missing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f>
      </c>
      <c r="AY66" s="44">
        <f>IF($M66="","",IF(ISNUMBER($M66),IF($M66&gt;=Header!$C$18,"YES — refer","No"),""))</f>
      </c>
      <c r="AZ66" s="44">
        <f>IF($AD66="","",IF(ISNUMBER($AD66),IF($AD66&lt;Header!$C$20,"BELOW MIN PREMIUM","OK"),""))</f>
      </c>
      <c r="BA66" s="48" t="inlineStr">
        <is>
          <t xml:space="preserve">Yes</t>
        </is>
      </c>
      <c r="BB66" s="48" t="inlineStr">
        <is>
          <t xml:space="preserve">Yes</t>
        </is>
      </c>
      <c r="BC66" s="46" t="inlineStr">
        <is>
          <t xml:space="preserve">Synthetic demo data</t>
        </is>
      </c>
      <c r="BE66" s="45">
        <f>IF(OR($A66="",$L66="",$H66=""),"",IF(AND(LEFT($L66,2)="06",$H66&gt;1945),"FAIL - pre-war class, year "&amp;$H66,IF(AND(LEFT($L66,2)="07",OR($H66&lt;1946,$H66&gt;1972)),"FAIL - 1946-72 class, year "&amp;$H66,IF(AND(LEFT($L66,2)="08",OR($H66&lt;1973,$H66&gt;1999)),"FAIL - 1973-99 class, year "&amp;$H66,IF(AND(LEFT($L66,2)="09",OR($H66&lt;2000,$H66&gt;2010)),"FAIL - 2000-10 class, year "&amp;$H66,"OK")))))</f>
      </c>
      <c r="BF66" s="45">
        <f>IF($AD66="","",IF(ROUND($AO66+$AP66+$AQ66-$AD66,2)=0,"OK","FAIL - out by "&amp;TEXT($AO66+$AP66+$AQ66-$AD66,"$0.00")))</f>
      </c>
    </row>
    <row r="67" spans="1:58" ht="18.75" customHeight="1" x14ac:dyDescent="0.25">
      <c r="A67" s="30" t="inlineStr">
        <is>
          <t xml:space="preserve">CANON-202508-000089</t>
        </is>
      </c>
      <c r="B67" s="30" t="inlineStr">
        <is>
          <t xml:space="preserve">Sunniva Farkas</t>
        </is>
      </c>
      <c r="C67" s="31">
        <v>45893</v>
      </c>
      <c r="D67" s="32" t="inlineStr">
        <is>
          <t xml:space="preserve">Bound - within authority</t>
        </is>
      </c>
      <c r="E67" s="32" t="inlineStr">
        <is>
          <t xml:space="preserve">New business</t>
        </is>
      </c>
      <c r="F67" s="30" t="inlineStr">
        <is>
          <t xml:space="preserve">B1234EXOTIC26</t>
        </is>
      </c>
      <c r="G67" s="33">
        <f>IF($A67="","",IF($C67="","",YEAR($C67)))</f>
      </c>
      <c r="H67" s="34">
        <v>2004</v>
      </c>
      <c r="I67" s="30" t="inlineStr">
        <is>
          <t xml:space="preserve">Ferrari</t>
        </is>
      </c>
      <c r="J67" s="30" t="inlineStr">
        <is>
          <t xml:space="preserve">275 GTB/4</t>
        </is>
      </c>
      <c r="K67" s="30" t="inlineStr">
        <is>
          <t xml:space="preserve">2EY6HYLMT56XSVWLK</t>
        </is>
      </c>
      <c r="L67" s="32" t="inlineStr">
        <is>
          <t xml:space="preserve">09 - Youngtimer / Collectible (2000-2010)</t>
        </is>
      </c>
      <c r="M67" s="35">
        <v>830000</v>
      </c>
      <c r="N67" s="32" t="inlineStr">
        <is>
          <t xml:space="preserve">Personal</t>
        </is>
      </c>
      <c r="O67" s="30" t="inlineStr">
        <is>
          <t xml:space="preserve">Personal - regular use</t>
        </is>
      </c>
      <c r="P67" s="30" t="inlineStr">
        <is>
          <t xml:space="preserve">2,500 - 5,000</t>
        </is>
      </c>
      <c r="Q67" s="30" t="inlineStr">
        <is>
          <t xml:space="preserve">Wisconsin</t>
        </is>
      </c>
      <c r="R67" s="30" t="inlineStr">
        <is>
          <t xml:space="preserve">53202</t>
        </is>
      </c>
      <c r="S67" s="32" t="inlineStr">
        <is>
          <t xml:space="preserve">Severe convective - hail / tornado (moderate)</t>
        </is>
      </c>
      <c r="T67" s="36">
        <f>IF($A67="","",IF($S67="","",IFERROR(INDEX('[1]natural catastrophe'!$D$6:$D$17,MATCH($S67,'[1]natural catastrophe'!$B$6:$B$17,0)),"?")))</f>
      </c>
      <c r="U67" s="30" t="inlineStr">
        <is>
          <t xml:space="preserve">$5,000</t>
        </is>
      </c>
      <c r="V67" s="32" t="inlineStr">
        <is>
          <t xml:space="preserve">Agreed Value</t>
        </is>
      </c>
      <c r="W67" s="30" t="inlineStr">
        <is>
          <t xml:space="preserve">$1,000</t>
        </is>
      </c>
      <c r="X67" s="32" t="inlineStr">
        <is>
          <t xml:space="preserve">$1,000,000 CSL</t>
        </is>
      </c>
      <c r="Y67" s="30"/>
      <c r="Z67" s="30"/>
      <c r="AA67" s="32" t="inlineStr">
        <is>
          <t xml:space="preserve">Surplus Lines</t>
        </is>
      </c>
      <c r="AB67" s="35">
        <v>8080.75</v>
      </c>
      <c r="AC67" s="37">
        <v>0</v>
      </c>
      <c r="AD67" s="38">
        <f>IF(ISNUMBER($AB67),$AB67*(1+N($AC67)),"")</f>
      </c>
      <c r="AE67" s="35">
        <v>350</v>
      </c>
      <c r="AF67" s="35">
        <v>0</v>
      </c>
      <c r="AG67" s="37"/>
      <c r="AH67" s="39">
        <f>IF(ISNUMBER($AD67),($AD67+$AE67+$AF67)*$AG67,"")</f>
      </c>
      <c r="AI67" s="35"/>
      <c r="AJ67" s="38">
        <f>IF(ISNUMBER($AD67),SUM($AD67:$AH67),"")</f>
      </c>
      <c r="AK67" s="40">
        <f>IF(AND(ISNUMBER($AB67),ISNUMBER($AD67)),IF($AB67&gt;0,$AD67/$AB67,""),"")</f>
      </c>
      <c r="AL67" s="32" t="inlineStr">
        <is>
          <t xml:space="preserve">At technical</t>
        </is>
      </c>
      <c r="AM67" s="41">
        <f>IF(ISNUMBER($AD67),Header!$I$3,"")</f>
      </c>
      <c r="AN67" s="39">
        <f>IF(ISNUMBER($AD67),$AO67+$AP67,"")</f>
      </c>
      <c r="AO67" s="39">
        <f>IF(ISNUMBER($AD67),ROUND($AD67*Header!$K$3,2),"")</f>
      </c>
      <c r="AP67" s="39">
        <f>IF(ISNUMBER($AD67),ROUND($AD67*Header!$M$3,2),"")</f>
      </c>
      <c r="AQ67" s="38">
        <f>IF(ISNUMBER($AD67),ROUND($AD67,2)-$AO67-$AP67,"")</f>
      </c>
      <c r="AR67" s="39">
        <f>IF(ISNUMBER($AD67),IF(Header!$D$34="","?",$AD67*Header!$D$34),"")</f>
      </c>
      <c r="AS67" s="39">
        <f>IF(ISNUMBER($AB67),IF(Header!$D$34="","?",$AB67*Header!$D$34),"")</f>
      </c>
      <c r="AT67" s="42">
        <f>IF(AND(ISNUMBER($AB67),$M67&gt;0),$AB67/$M67*100,"")</f>
      </c>
      <c r="AU67" s="42">
        <f>IF(AND(ISNUMBER($AD67),$M67&gt;0),$AD67/$M67*100,"")</f>
      </c>
      <c r="AV67" s="40">
        <f>IF(AND(ISNUMBER($AB67),ISNUMBER($AD67),ABS($AB67)&gt;0),$AD67/$AB67,"")</f>
      </c>
      <c r="AW67" s="39">
        <f>IF(ISNUMBER($AD67),MAX(0,(1-0.55-Header!$O$3)*Header!$Q$3*$AQ67),"")</f>
      </c>
      <c r="AX67" s="43">
        <f>IF($A67="","",IF(TRIM(IF($A67="","Missing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",""))="","PASS","FAIL: "&amp;TRIM(IF($A67="","Missing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f>
      </c>
      <c r="AY67" s="44">
        <f>IF($M67="","",IF(ISNUMBER($M67),IF($M67&gt;=Header!$C$18,"YES — refer","No"),""))</f>
      </c>
      <c r="AZ67" s="44">
        <f>IF($AD67="","",IF(ISNUMBER($AD67),IF($AD67&lt;Header!$C$20,"BELOW MIN PREMIUM","OK"),""))</f>
      </c>
      <c r="BA67" s="32" t="inlineStr">
        <is>
          <t xml:space="preserve">Yes</t>
        </is>
      </c>
      <c r="BB67" s="32" t="inlineStr">
        <is>
          <t xml:space="preserve">Yes</t>
        </is>
      </c>
      <c r="BC67" s="30" t="inlineStr">
        <is>
          <t xml:space="preserve">Synthetic demo data</t>
        </is>
      </c>
      <c r="BE67" s="45">
        <f>IF(OR($A67="",$L67="",$H67=""),"",IF(AND(LEFT($L67,2)="06",$H67&gt;1945),"FAIL - pre-war class, year "&amp;$H67,IF(AND(LEFT($L67,2)="07",OR($H67&lt;1946,$H67&gt;1972)),"FAIL - 1946-72 class, year "&amp;$H67,IF(AND(LEFT($L67,2)="08",OR($H67&lt;1973,$H67&gt;1999)),"FAIL - 1973-99 class, year "&amp;$H67,IF(AND(LEFT($L67,2)="09",OR($H67&lt;2000,$H67&gt;2010)),"FAIL - 2000-10 class, year "&amp;$H67,"OK")))))</f>
      </c>
      <c r="BF67" s="45">
        <f>IF($AD67="","",IF(ROUND($AO67+$AP67+$AQ67-$AD67,2)=0,"OK","FAIL - out by "&amp;TEXT($AO67+$AP67+$AQ67-$AD67,"$0.00")))</f>
      </c>
    </row>
    <row r="68" spans="1:58" ht="18.75" customHeight="1" x14ac:dyDescent="0.25">
      <c r="A68" s="46" t="inlineStr">
        <is>
          <t xml:space="preserve">CANON-202508-000090</t>
        </is>
      </c>
      <c r="B68" s="46" t="inlineStr">
        <is>
          <t xml:space="preserve">Everett Pennington</t>
        </is>
      </c>
      <c r="C68" s="47">
        <v>45872</v>
      </c>
      <c r="D68" s="48" t="inlineStr">
        <is>
          <t xml:space="preserve">Bound - within authority</t>
        </is>
      </c>
      <c r="E68" s="48" t="inlineStr">
        <is>
          <t xml:space="preserve">New business</t>
        </is>
      </c>
      <c r="F68" s="46" t="inlineStr">
        <is>
          <t xml:space="preserve">B1234EXOTIC26</t>
        </is>
      </c>
      <c r="G68" s="33">
        <f>IF($A68="","",IF($C68="","",YEAR($C68)))</f>
      </c>
      <c r="H68" s="49">
        <v>1965</v>
      </c>
      <c r="I68" s="46" t="inlineStr">
        <is>
          <t xml:space="preserve">Bentley</t>
        </is>
      </c>
      <c r="J68" s="46" t="inlineStr">
        <is>
          <t xml:space="preserve">Continental GT</t>
        </is>
      </c>
      <c r="K68" s="46" t="inlineStr">
        <is>
          <t xml:space="preserve">SE5LGEVTP1V8D1NER</t>
        </is>
      </c>
      <c r="L68" s="48" t="inlineStr">
        <is>
          <t xml:space="preserve">02 - Sports / GT</t>
        </is>
      </c>
      <c r="M68" s="50">
        <v>705000</v>
      </c>
      <c r="N68" s="48" t="inlineStr">
        <is>
          <t xml:space="preserve">Personal</t>
        </is>
      </c>
      <c r="O68" s="46" t="inlineStr">
        <is>
          <t xml:space="preserve">Personal - regular use</t>
        </is>
      </c>
      <c r="P68" s="46" t="inlineStr">
        <is>
          <t xml:space="preserve">Under 1,000</t>
        </is>
      </c>
      <c r="Q68" s="46" t="inlineStr">
        <is>
          <t xml:space="preserve">Florida</t>
        </is>
      </c>
      <c r="R68" s="46" t="inlineStr">
        <is>
          <t xml:space="preserve">33139</t>
        </is>
      </c>
      <c r="S68" s="48" t="inlineStr">
        <is>
          <t xml:space="preserve">Tier 2 - Coastal wind (1-25 miles)</t>
        </is>
      </c>
      <c r="T68" s="36">
        <f>IF($A68="","",IF($S68="","",IFERROR(INDEX('[1]natural catastrophe'!$D$6:$D$17,MATCH($S68,'[1]natural catastrophe'!$B$6:$B$17,0)),"?")))</f>
      </c>
      <c r="U68" s="46" t="inlineStr">
        <is>
          <t xml:space="preserve">2% of agreed value, minimum $10,000</t>
        </is>
      </c>
      <c r="V68" s="48" t="inlineStr">
        <is>
          <t xml:space="preserve">Agreed Value</t>
        </is>
      </c>
      <c r="W68" s="46" t="inlineStr">
        <is>
          <t xml:space="preserve">$1,000</t>
        </is>
      </c>
      <c r="X68" s="48" t="inlineStr">
        <is>
          <t xml:space="preserve">$1,000,000 CSL</t>
        </is>
      </c>
      <c r="Y68" s="46"/>
      <c r="Z68" s="46"/>
      <c r="AA68" s="48" t="inlineStr">
        <is>
          <t xml:space="preserve">Surplus Lines</t>
        </is>
      </c>
      <c r="AB68" s="50">
        <v>12277.64</v>
      </c>
      <c r="AC68" s="51">
        <v>0</v>
      </c>
      <c r="AD68" s="38">
        <f>IF(ISNUMBER($AB68),$AB68*(1+N($AC68)),"")</f>
      </c>
      <c r="AE68" s="50">
        <v>350</v>
      </c>
      <c r="AF68" s="50">
        <v>0</v>
      </c>
      <c r="AG68" s="51"/>
      <c r="AH68" s="39">
        <f>IF(ISNUMBER($AD68),($AD68+$AE68+$AF68)*$AG68,"")</f>
      </c>
      <c r="AI68" s="50"/>
      <c r="AJ68" s="38">
        <f>IF(ISNUMBER($AD68),SUM($AD68:$AH68),"")</f>
      </c>
      <c r="AK68" s="40">
        <f>IF(AND(ISNUMBER($AB68),ISNUMBER($AD68)),IF($AB68&gt;0,$AD68/$AB68,""),"")</f>
      </c>
      <c r="AL68" s="48" t="inlineStr">
        <is>
          <t xml:space="preserve">At technical</t>
        </is>
      </c>
      <c r="AM68" s="41">
        <f>IF(ISNUMBER($AD68),Header!$I$3,"")</f>
      </c>
      <c r="AN68" s="39">
        <f>IF(ISNUMBER($AD68),$AO68+$AP68,"")</f>
      </c>
      <c r="AO68" s="39">
        <f>IF(ISNUMBER($AD68),ROUND($AD68*Header!$K$3,2),"")</f>
      </c>
      <c r="AP68" s="39">
        <f>IF(ISNUMBER($AD68),ROUND($AD68*Header!$M$3,2),"")</f>
      </c>
      <c r="AQ68" s="38">
        <f>IF(ISNUMBER($AD68),ROUND($AD68,2)-$AO68-$AP68,"")</f>
      </c>
      <c r="AR68" s="39">
        <f>IF(ISNUMBER($AD68),IF(Header!$D$34="","?",$AD68*Header!$D$34),"")</f>
      </c>
      <c r="AS68" s="39">
        <f>IF(ISNUMBER($AB68),IF(Header!$D$34="","?",$AB68*Header!$D$34),"")</f>
      </c>
      <c r="AT68" s="42">
        <f>IF(AND(ISNUMBER($AB68),$M68&gt;0),$AB68/$M68*100,"")</f>
      </c>
      <c r="AU68" s="42">
        <f>IF(AND(ISNUMBER($AD68),$M68&gt;0),$AD68/$M68*100,"")</f>
      </c>
      <c r="AV68" s="40">
        <f>IF(AND(ISNUMBER($AB68),ISNUMBER($AD68),ABS($AB68)&gt;0),$AD68/$AB68,"")</f>
      </c>
      <c r="AW68" s="39">
        <f>IF(ISNUMBER($AD68),MAX(0,(1-0.55-Header!$O$3)*Header!$Q$3*$AQ68),"")</f>
      </c>
      <c r="AX68" s="43">
        <f>IF($A68="","",IF(TRIM(IF($A68="","Missing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",""))="","PASS","FAIL: "&amp;TRIM(IF($A68="","Missing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f>
      </c>
      <c r="AY68" s="44">
        <f>IF($M68="","",IF(ISNUMBER($M68),IF($M68&gt;=Header!$C$18,"YES — refer","No"),""))</f>
      </c>
      <c r="AZ68" s="44">
        <f>IF($AD68="","",IF(ISNUMBER($AD68),IF($AD68&lt;Header!$C$20,"BELOW MIN PREMIUM","OK"),""))</f>
      </c>
      <c r="BA68" s="48" t="inlineStr">
        <is>
          <t xml:space="preserve">Yes</t>
        </is>
      </c>
      <c r="BB68" s="48" t="inlineStr">
        <is>
          <t xml:space="preserve">Yes</t>
        </is>
      </c>
      <c r="BC68" s="46" t="inlineStr">
        <is>
          <t xml:space="preserve">Synthetic demo data</t>
        </is>
      </c>
      <c r="BE68" s="45">
        <f>IF(OR($A68="",$L68="",$H68=""),"",IF(AND(LEFT($L68,2)="06",$H68&gt;1945),"FAIL - pre-war class, year "&amp;$H68,IF(AND(LEFT($L68,2)="07",OR($H68&lt;1946,$H68&gt;1972)),"FAIL - 1946-72 class, year "&amp;$H68,IF(AND(LEFT($L68,2)="08",OR($H68&lt;1973,$H68&gt;1999)),"FAIL - 1973-99 class, year "&amp;$H68,IF(AND(LEFT($L68,2)="09",OR($H68&lt;2000,$H68&gt;2010)),"FAIL - 2000-10 class, year "&amp;$H68,"OK")))))</f>
      </c>
      <c r="BF68" s="45">
        <f>IF($AD68="","",IF(ROUND($AO68+$AP68+$AQ68-$AD68,2)=0,"OK","FAIL - out by "&amp;TEXT($AO68+$AP68+$AQ68-$AD68,"$0.00")))</f>
      </c>
    </row>
    <row r="69" spans="1:58" ht="18.75" customHeight="1" x14ac:dyDescent="0.25">
      <c r="A69" s="30" t="inlineStr">
        <is>
          <t xml:space="preserve">CANON-202508-000093</t>
        </is>
      </c>
      <c r="B69" s="30" t="inlineStr">
        <is>
          <t xml:space="preserve">Fenwick Rourke</t>
        </is>
      </c>
      <c r="C69" s="31">
        <v>45882</v>
      </c>
      <c r="D69" s="32" t="inlineStr">
        <is>
          <t xml:space="preserve">Bound - within authority</t>
        </is>
      </c>
      <c r="E69" s="32" t="inlineStr">
        <is>
          <t xml:space="preserve">New business</t>
        </is>
      </c>
      <c r="F69" s="30" t="inlineStr">
        <is>
          <t xml:space="preserve">B1234EXOTIC26</t>
        </is>
      </c>
      <c r="G69" s="33">
        <f>IF($A69="","",IF($C69="","",YEAR($C69)))</f>
      </c>
      <c r="H69" s="34">
        <v>1999</v>
      </c>
      <c r="I69" s="30" t="inlineStr">
        <is>
          <t xml:space="preserve">BMW</t>
        </is>
      </c>
      <c r="J69" s="30" t="inlineStr">
        <is>
          <t xml:space="preserve">M8 Competition</t>
        </is>
      </c>
      <c r="K69" s="30" t="inlineStr">
        <is>
          <t xml:space="preserve">D3UPLVRA9MR16AUDV</t>
        </is>
      </c>
      <c r="L69" s="32" t="inlineStr">
        <is>
          <t xml:space="preserve">02 - Sports / GT</t>
        </is>
      </c>
      <c r="M69" s="35">
        <v>190000</v>
      </c>
      <c r="N69" s="32" t="inlineStr">
        <is>
          <t xml:space="preserve">Personal</t>
        </is>
      </c>
      <c r="O69" s="30" t="inlineStr">
        <is>
          <t xml:space="preserve">Personal - regular use</t>
        </is>
      </c>
      <c r="P69" s="30" t="inlineStr">
        <is>
          <t xml:space="preserve">Under 1,000</t>
        </is>
      </c>
      <c r="Q69" s="30" t="inlineStr">
        <is>
          <t xml:space="preserve">Connecticut</t>
        </is>
      </c>
      <c r="R69" s="30" t="inlineStr">
        <is>
          <t xml:space="preserve">06103</t>
        </is>
      </c>
      <c r="S69" s="32" t="inlineStr">
        <is>
          <t xml:space="preserve">Tier 3 - Coastal wind (25-100 miles)</t>
        </is>
      </c>
      <c r="T69" s="36">
        <f>IF($A69="","",IF($S69="","",IFERROR(INDEX('[1]natural catastrophe'!$D$6:$D$17,MATCH($S69,'[1]natural catastrophe'!$B$6:$B$17,0)),"?")))</f>
      </c>
      <c r="U69" s="30" t="inlineStr">
        <is>
          <t xml:space="preserve">2% of agreed value, minimum $10,000</t>
        </is>
      </c>
      <c r="V69" s="32" t="inlineStr">
        <is>
          <t xml:space="preserve">Agreed Value</t>
        </is>
      </c>
      <c r="W69" s="30" t="inlineStr">
        <is>
          <t xml:space="preserve">$1,000</t>
        </is>
      </c>
      <c r="X69" s="32" t="inlineStr">
        <is>
          <t xml:space="preserve">$1,000,000 CSL</t>
        </is>
      </c>
      <c r="Y69" s="30"/>
      <c r="Z69" s="30"/>
      <c r="AA69" s="32" t="inlineStr">
        <is>
          <t xml:space="preserve">Surplus Lines</t>
        </is>
      </c>
      <c r="AB69" s="35">
        <v>3693.89</v>
      </c>
      <c r="AC69" s="37">
        <v>0</v>
      </c>
      <c r="AD69" s="38">
        <f>IF(ISNUMBER($AB69),$AB69*(1+N($AC69)),"")</f>
      </c>
      <c r="AE69" s="35">
        <v>350</v>
      </c>
      <c r="AF69" s="35">
        <v>0</v>
      </c>
      <c r="AG69" s="37"/>
      <c r="AH69" s="39">
        <f>IF(ISNUMBER($AD69),($AD69+$AE69+$AF69)*$AG69,"")</f>
      </c>
      <c r="AI69" s="35"/>
      <c r="AJ69" s="38">
        <f>IF(ISNUMBER($AD69),SUM($AD69:$AH69),"")</f>
      </c>
      <c r="AK69" s="40">
        <f>IF(AND(ISNUMBER($AB69),ISNUMBER($AD69)),IF($AB69&gt;0,$AD69/$AB69,""),"")</f>
      </c>
      <c r="AL69" s="32" t="inlineStr">
        <is>
          <t xml:space="preserve">At technical</t>
        </is>
      </c>
      <c r="AM69" s="41">
        <f>IF(ISNUMBER($AD69),Header!$I$3,"")</f>
      </c>
      <c r="AN69" s="39">
        <f>IF(ISNUMBER($AD69),$AO69+$AP69,"")</f>
      </c>
      <c r="AO69" s="39">
        <f>IF(ISNUMBER($AD69),ROUND($AD69*Header!$K$3,2),"")</f>
      </c>
      <c r="AP69" s="39">
        <f>IF(ISNUMBER($AD69),ROUND($AD69*Header!$M$3,2),"")</f>
      </c>
      <c r="AQ69" s="38">
        <f>IF(ISNUMBER($AD69),ROUND($AD69,2)-$AO69-$AP69,"")</f>
      </c>
      <c r="AR69" s="39">
        <f>IF(ISNUMBER($AD69),IF(Header!$D$34="","?",$AD69*Header!$D$34),"")</f>
      </c>
      <c r="AS69" s="39">
        <f>IF(ISNUMBER($AB69),IF(Header!$D$34="","?",$AB69*Header!$D$34),"")</f>
      </c>
      <c r="AT69" s="42">
        <f>IF(AND(ISNUMBER($AB69),$M69&gt;0),$AB69/$M69*100,"")</f>
      </c>
      <c r="AU69" s="42">
        <f>IF(AND(ISNUMBER($AD69),$M69&gt;0),$AD69/$M69*100,"")</f>
      </c>
      <c r="AV69" s="40">
        <f>IF(AND(ISNUMBER($AB69),ISNUMBER($AD69),ABS($AB69)&gt;0),$AD69/$AB69,"")</f>
      </c>
      <c r="AW69" s="39">
        <f>IF(ISNUMBER($AD69),MAX(0,(1-0.55-Header!$O$3)*Header!$Q$3*$AQ69),"")</f>
      </c>
      <c r="AX69" s="43">
        <f>IF($A69="","",IF(TRIM(IF($A69="","Missing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",""))="","PASS","FAIL: "&amp;TRIM(IF($A69="","Missing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f>
      </c>
      <c r="AY69" s="44">
        <f>IF($M69="","",IF(ISNUMBER($M69),IF($M69&gt;=Header!$C$18,"YES — refer","No"),""))</f>
      </c>
      <c r="AZ69" s="44">
        <f>IF($AD69="","",IF(ISNUMBER($AD69),IF($AD69&lt;Header!$C$20,"BELOW MIN PREMIUM","OK"),""))</f>
      </c>
      <c r="BA69" s="32" t="inlineStr">
        <is>
          <t xml:space="preserve">Yes</t>
        </is>
      </c>
      <c r="BB69" s="32" t="inlineStr">
        <is>
          <t xml:space="preserve">Yes</t>
        </is>
      </c>
      <c r="BC69" s="30" t="inlineStr">
        <is>
          <t xml:space="preserve">Synthetic demo data</t>
        </is>
      </c>
      <c r="BE69" s="45">
        <f>IF(OR($A69="",$L69="",$H69=""),"",IF(AND(LEFT($L69,2)="06",$H69&gt;1945),"FAIL - pre-war class, year "&amp;$H69,IF(AND(LEFT($L69,2)="07",OR($H69&lt;1946,$H69&gt;1972)),"FAIL - 1946-72 class, year "&amp;$H69,IF(AND(LEFT($L69,2)="08",OR($H69&lt;1973,$H69&gt;1999)),"FAIL - 1973-99 class, year "&amp;$H69,IF(AND(LEFT($L69,2)="09",OR($H69&lt;2000,$H69&gt;2010)),"FAIL - 2000-10 class, year "&amp;$H69,"OK")))))</f>
      </c>
      <c r="BF69" s="45">
        <f>IF($AD69="","",IF(ROUND($AO69+$AP69+$AQ69-$AD69,2)=0,"OK","FAIL - out by "&amp;TEXT($AO69+$AP69+$AQ69-$AD69,"$0.00")))</f>
      </c>
    </row>
    <row r="70" spans="1:58" ht="18.75" customHeight="1" x14ac:dyDescent="0.25">
      <c r="A70" s="46" t="inlineStr">
        <is>
          <t xml:space="preserve">CANON-202508-000096</t>
        </is>
      </c>
      <c r="B70" s="46" t="inlineStr">
        <is>
          <t xml:space="preserve">Ottilie Montoya</t>
        </is>
      </c>
      <c r="C70" s="47">
        <v>45894</v>
      </c>
      <c r="D70" s="48" t="inlineStr">
        <is>
          <t xml:space="preserve">Bound - within authority</t>
        </is>
      </c>
      <c r="E70" s="48" t="inlineStr">
        <is>
          <t xml:space="preserve">New business</t>
        </is>
      </c>
      <c r="F70" s="46" t="inlineStr">
        <is>
          <t xml:space="preserve">B1234EXOTIC26</t>
        </is>
      </c>
      <c r="G70" s="33">
        <f>IF($A70="","",IF($C70="","",YEAR($C70)))</f>
      </c>
      <c r="H70" s="49">
        <v>2016</v>
      </c>
      <c r="I70" s="46" t="inlineStr">
        <is>
          <t xml:space="preserve">Mercedes-Benz</t>
        </is>
      </c>
      <c r="J70" s="46" t="inlineStr">
        <is>
          <t xml:space="preserve">AMG GT</t>
        </is>
      </c>
      <c r="K70" s="46" t="inlineStr">
        <is>
          <t xml:space="preserve">FXP0UH3T6HUBAUD35</t>
        </is>
      </c>
      <c r="L70" s="48" t="inlineStr">
        <is>
          <t xml:space="preserve">02 - Sports / GT</t>
        </is>
      </c>
      <c r="M70" s="50">
        <v>695000</v>
      </c>
      <c r="N70" s="48" t="inlineStr">
        <is>
          <t xml:space="preserve">Personal</t>
        </is>
      </c>
      <c r="O70" s="46" t="inlineStr">
        <is>
          <t xml:space="preserve">Personal - regular use</t>
        </is>
      </c>
      <c r="P70" s="46" t="inlineStr">
        <is>
          <t xml:space="preserve">Under 1,000</t>
        </is>
      </c>
      <c r="Q70" s="46" t="inlineStr">
        <is>
          <t xml:space="preserve">Washington</t>
        </is>
      </c>
      <c r="R70" s="46" t="inlineStr">
        <is>
          <t xml:space="preserve">98101</t>
        </is>
      </c>
      <c r="S70" s="48" t="inlineStr">
        <is>
          <t xml:space="preserve">Earthquake - high (CA, Cascadia, New Madrid)</t>
        </is>
      </c>
      <c r="T70" s="36">
        <f>IF($A70="","",IF($S70="","",IFERROR(INDEX('[1]natural catastrophe'!$D$6:$D$17,MATCH($S70,'[1]natural catastrophe'!$B$6:$B$17,0)),"?")))</f>
      </c>
      <c r="U70" s="46" t="inlineStr">
        <is>
          <t xml:space="preserve">$5,000</t>
        </is>
      </c>
      <c r="V70" s="48" t="inlineStr">
        <is>
          <t xml:space="preserve">Agreed Value</t>
        </is>
      </c>
      <c r="W70" s="46" t="inlineStr">
        <is>
          <t xml:space="preserve">$1,000</t>
        </is>
      </c>
      <c r="X70" s="48" t="inlineStr">
        <is>
          <t xml:space="preserve">$1,000,000 CSL</t>
        </is>
      </c>
      <c r="Y70" s="46"/>
      <c r="Z70" s="46"/>
      <c r="AA70" s="48" t="inlineStr">
        <is>
          <t xml:space="preserve">Surplus Lines</t>
        </is>
      </c>
      <c r="AB70" s="50">
        <v>8182.64</v>
      </c>
      <c r="AC70" s="51">
        <v>0</v>
      </c>
      <c r="AD70" s="38">
        <f>IF(ISNUMBER($AB70),$AB70*(1+N($AC70)),"")</f>
      </c>
      <c r="AE70" s="50">
        <v>350</v>
      </c>
      <c r="AF70" s="50">
        <v>0</v>
      </c>
      <c r="AG70" s="51"/>
      <c r="AH70" s="39">
        <f>IF(ISNUMBER($AD70),($AD70+$AE70+$AF70)*$AG70,"")</f>
      </c>
      <c r="AI70" s="50"/>
      <c r="AJ70" s="38">
        <f>IF(ISNUMBER($AD70),SUM($AD70:$AH70),"")</f>
      </c>
      <c r="AK70" s="40">
        <f>IF(AND(ISNUMBER($AB70),ISNUMBER($AD70)),IF($AB70&gt;0,$AD70/$AB70,""),"")</f>
      </c>
      <c r="AL70" s="48" t="inlineStr">
        <is>
          <t xml:space="preserve">At technical</t>
        </is>
      </c>
      <c r="AM70" s="41">
        <f>IF(ISNUMBER($AD70),Header!$I$3,"")</f>
      </c>
      <c r="AN70" s="39">
        <f>IF(ISNUMBER($AD70),$AO70+$AP70,"")</f>
      </c>
      <c r="AO70" s="39">
        <f>IF(ISNUMBER($AD70),ROUND($AD70*Header!$K$3,2),"")</f>
      </c>
      <c r="AP70" s="39">
        <f>IF(ISNUMBER($AD70),ROUND($AD70*Header!$M$3,2),"")</f>
      </c>
      <c r="AQ70" s="38">
        <f>IF(ISNUMBER($AD70),ROUND($AD70,2)-$AO70-$AP70,"")</f>
      </c>
      <c r="AR70" s="39">
        <f>IF(ISNUMBER($AD70),IF(Header!$D$34="","?",$AD70*Header!$D$34),"")</f>
      </c>
      <c r="AS70" s="39">
        <f>IF(ISNUMBER($AB70),IF(Header!$D$34="","?",$AB70*Header!$D$34),"")</f>
      </c>
      <c r="AT70" s="42">
        <f>IF(AND(ISNUMBER($AB70),$M70&gt;0),$AB70/$M70*100,"")</f>
      </c>
      <c r="AU70" s="42">
        <f>IF(AND(ISNUMBER($AD70),$M70&gt;0),$AD70/$M70*100,"")</f>
      </c>
      <c r="AV70" s="40">
        <f>IF(AND(ISNUMBER($AB70),ISNUMBER($AD70),ABS($AB70)&gt;0),$AD70/$AB70,"")</f>
      </c>
      <c r="AW70" s="39">
        <f>IF(ISNUMBER($AD70),MAX(0,(1-0.55-Header!$O$3)*Header!$Q$3*$AQ70),"")</f>
      </c>
      <c r="AX70" s="43">
        <f>IF($A70="","",IF(TRIM(IF($A70="","Missing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",""))="","PASS","FAIL: "&amp;TRIM(IF($A70="","Missing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f>
      </c>
      <c r="AY70" s="44">
        <f>IF($M70="","",IF(ISNUMBER($M70),IF($M70&gt;=Header!$C$18,"YES — refer","No"),""))</f>
      </c>
      <c r="AZ70" s="44">
        <f>IF($AD70="","",IF(ISNUMBER($AD70),IF($AD70&lt;Header!$C$20,"BELOW MIN PREMIUM","OK"),""))</f>
      </c>
      <c r="BA70" s="48" t="inlineStr">
        <is>
          <t xml:space="preserve">Yes</t>
        </is>
      </c>
      <c r="BB70" s="48" t="inlineStr">
        <is>
          <t xml:space="preserve">Yes</t>
        </is>
      </c>
      <c r="BC70" s="46" t="inlineStr">
        <is>
          <t xml:space="preserve">Synthetic demo data</t>
        </is>
      </c>
      <c r="BE70" s="45">
        <f>IF(OR($A70="",$L70="",$H70=""),"",IF(AND(LEFT($L70,2)="06",$H70&gt;1945),"FAIL - pre-war class, year "&amp;$H70,IF(AND(LEFT($L70,2)="07",OR($H70&lt;1946,$H70&gt;1972)),"FAIL - 1946-72 class, year "&amp;$H70,IF(AND(LEFT($L70,2)="08",OR($H70&lt;1973,$H70&gt;1999)),"FAIL - 1973-99 class, year "&amp;$H70,IF(AND(LEFT($L70,2)="09",OR($H70&lt;2000,$H70&gt;2010)),"FAIL - 2000-10 class, year "&amp;$H70,"OK")))))</f>
      </c>
      <c r="BF70" s="45">
        <f>IF($AD70="","",IF(ROUND($AO70+$AP70+$AQ70-$AD70,2)=0,"OK","FAIL - out by "&amp;TEXT($AO70+$AP70+$AQ70-$AD70,"$0.00")))</f>
      </c>
    </row>
    <row r="71" spans="1:58" ht="18.75" customHeight="1" x14ac:dyDescent="0.25">
      <c r="A71" s="30" t="inlineStr">
        <is>
          <t xml:space="preserve">CANON-202508-000097</t>
        </is>
      </c>
      <c r="B71" s="30" t="inlineStr">
        <is>
          <t xml:space="preserve">Desmond Montoya</t>
        </is>
      </c>
      <c r="C71" s="31">
        <v>45899</v>
      </c>
      <c r="D71" s="32" t="inlineStr">
        <is>
          <t xml:space="preserve">Bound - within authority</t>
        </is>
      </c>
      <c r="E71" s="32" t="inlineStr">
        <is>
          <t xml:space="preserve">New business</t>
        </is>
      </c>
      <c r="F71" s="30" t="inlineStr">
        <is>
          <t xml:space="preserve">B1234EXOTIC26</t>
        </is>
      </c>
      <c r="G71" s="33">
        <f>IF($A71="","",IF($C71="","",YEAR($C71)))</f>
      </c>
      <c r="H71" s="34">
        <v>1994</v>
      </c>
      <c r="I71" s="30" t="inlineStr">
        <is>
          <t xml:space="preserve">McLaren</t>
        </is>
      </c>
      <c r="J71" s="30" t="inlineStr">
        <is>
          <t xml:space="preserve">750S</t>
        </is>
      </c>
      <c r="K71" s="30" t="inlineStr">
        <is>
          <t xml:space="preserve">49N1YJMZ434L28JW2</t>
        </is>
      </c>
      <c r="L71" s="32" t="inlineStr">
        <is>
          <t xml:space="preserve">03 - Supercar</t>
        </is>
      </c>
      <c r="M71" s="35">
        <v>980000</v>
      </c>
      <c r="N71" s="32" t="inlineStr">
        <is>
          <t xml:space="preserve">Personal</t>
        </is>
      </c>
      <c r="O71" s="30" t="inlineStr">
        <is>
          <t xml:space="preserve">Personal - regular use</t>
        </is>
      </c>
      <c r="P71" s="30" t="inlineStr">
        <is>
          <t xml:space="preserve">2,500 - 5,000</t>
        </is>
      </c>
      <c r="Q71" s="30" t="inlineStr">
        <is>
          <t xml:space="preserve">West Virginia</t>
        </is>
      </c>
      <c r="R71" s="30" t="inlineStr">
        <is>
          <t xml:space="preserve">25301</t>
        </is>
      </c>
      <c r="S71" s="32" t="inlineStr">
        <is>
          <t xml:space="preserve">Low hazard - inland benign</t>
        </is>
      </c>
      <c r="T71" s="36">
        <f>IF($A71="","",IF($S71="","",IFERROR(INDEX('[1]natural catastrophe'!$D$6:$D$17,MATCH($S71,'[1]natural catastrophe'!$B$6:$B$17,0)),"?")))</f>
      </c>
      <c r="U71" s="30" t="inlineStr">
        <is>
          <t xml:space="preserve">$5,000</t>
        </is>
      </c>
      <c r="V71" s="32" t="inlineStr">
        <is>
          <t xml:space="preserve">Agreed Value</t>
        </is>
      </c>
      <c r="W71" s="30" t="inlineStr">
        <is>
          <t xml:space="preserve">$1,000</t>
        </is>
      </c>
      <c r="X71" s="32" t="inlineStr">
        <is>
          <t xml:space="preserve">$1,000,000 CSL</t>
        </is>
      </c>
      <c r="Y71" s="30"/>
      <c r="Z71" s="30"/>
      <c r="AA71" s="32" t="inlineStr">
        <is>
          <t xml:space="preserve">Surplus Lines</t>
        </is>
      </c>
      <c r="AB71" s="35">
        <v>23362.83</v>
      </c>
      <c r="AC71" s="37">
        <v>0</v>
      </c>
      <c r="AD71" s="38">
        <f>IF(ISNUMBER($AB71),$AB71*(1+N($AC71)),"")</f>
      </c>
      <c r="AE71" s="35">
        <v>350</v>
      </c>
      <c r="AF71" s="35">
        <v>0</v>
      </c>
      <c r="AG71" s="37"/>
      <c r="AH71" s="39">
        <f>IF(ISNUMBER($AD71),($AD71+$AE71+$AF71)*$AG71,"")</f>
      </c>
      <c r="AI71" s="35"/>
      <c r="AJ71" s="38">
        <f>IF(ISNUMBER($AD71),SUM($AD71:$AH71),"")</f>
      </c>
      <c r="AK71" s="40">
        <f>IF(AND(ISNUMBER($AB71),ISNUMBER($AD71)),IF($AB71&gt;0,$AD71/$AB71,""),"")</f>
      </c>
      <c r="AL71" s="32" t="inlineStr">
        <is>
          <t xml:space="preserve">At technical</t>
        </is>
      </c>
      <c r="AM71" s="41">
        <f>IF(ISNUMBER($AD71),Header!$I$3,"")</f>
      </c>
      <c r="AN71" s="39">
        <f>IF(ISNUMBER($AD71),$AO71+$AP71,"")</f>
      </c>
      <c r="AO71" s="39">
        <f>IF(ISNUMBER($AD71),ROUND($AD71*Header!$K$3,2),"")</f>
      </c>
      <c r="AP71" s="39">
        <f>IF(ISNUMBER($AD71),ROUND($AD71*Header!$M$3,2),"")</f>
      </c>
      <c r="AQ71" s="38">
        <f>IF(ISNUMBER($AD71),ROUND($AD71,2)-$AO71-$AP71,"")</f>
      </c>
      <c r="AR71" s="39">
        <f>IF(ISNUMBER($AD71),IF(Header!$D$34="","?",$AD71*Header!$D$34),"")</f>
      </c>
      <c r="AS71" s="39">
        <f>IF(ISNUMBER($AB71),IF(Header!$D$34="","?",$AB71*Header!$D$34),"")</f>
      </c>
      <c r="AT71" s="42">
        <f>IF(AND(ISNUMBER($AB71),$M71&gt;0),$AB71/$M71*100,"")</f>
      </c>
      <c r="AU71" s="42">
        <f>IF(AND(ISNUMBER($AD71),$M71&gt;0),$AD71/$M71*100,"")</f>
      </c>
      <c r="AV71" s="40">
        <f>IF(AND(ISNUMBER($AB71),ISNUMBER($AD71),ABS($AB71)&gt;0),$AD71/$AB71,"")</f>
      </c>
      <c r="AW71" s="39">
        <f>IF(ISNUMBER($AD71),MAX(0,(1-0.55-Header!$O$3)*Header!$Q$3*$AQ71),"")</f>
      </c>
      <c r="AX71" s="43">
        <f>IF($A71="","",IF(TRIM(IF($A71="","Missing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",""))="","PASS","FAIL: "&amp;TRIM(IF($A71="","Missing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f>
      </c>
      <c r="AY71" s="44">
        <f>IF($M71="","",IF(ISNUMBER($M71),IF($M71&gt;=Header!$C$18,"YES — refer","No"),""))</f>
      </c>
      <c r="AZ71" s="44">
        <f>IF($AD71="","",IF(ISNUMBER($AD71),IF($AD71&lt;Header!$C$20,"BELOW MIN PREMIUM","OK"),""))</f>
      </c>
      <c r="BA71" s="32" t="inlineStr">
        <is>
          <t xml:space="preserve">Yes</t>
        </is>
      </c>
      <c r="BB71" s="32" t="inlineStr">
        <is>
          <t xml:space="preserve">Yes</t>
        </is>
      </c>
      <c r="BC71" s="30" t="inlineStr">
        <is>
          <t xml:space="preserve">Synthetic demo data</t>
        </is>
      </c>
      <c r="BE71" s="45">
        <f>IF(OR($A71="",$L71="",$H71=""),"",IF(AND(LEFT($L71,2)="06",$H71&gt;1945),"FAIL - pre-war class, year "&amp;$H71,IF(AND(LEFT($L71,2)="07",OR($H71&lt;1946,$H71&gt;1972)),"FAIL - 1946-72 class, year "&amp;$H71,IF(AND(LEFT($L71,2)="08",OR($H71&lt;1973,$H71&gt;1999)),"FAIL - 1973-99 class, year "&amp;$H71,IF(AND(LEFT($L71,2)="09",OR($H71&lt;2000,$H71&gt;2010)),"FAIL - 2000-10 class, year "&amp;$H71,"OK")))))</f>
      </c>
      <c r="BF71" s="45">
        <f>IF($AD71="","",IF(ROUND($AO71+$AP71+$AQ71-$AD71,2)=0,"OK","FAIL - out by "&amp;TEXT($AO71+$AP71+$AQ71-$AD71,"$0.00")))</f>
      </c>
    </row>
    <row r="72" spans="1:58" ht="18.75" customHeight="1" x14ac:dyDescent="0.25">
      <c r="A72" s="46" t="inlineStr">
        <is>
          <t xml:space="preserve">CANON-202508-000098</t>
        </is>
      </c>
      <c r="B72" s="46" t="inlineStr">
        <is>
          <t xml:space="preserve">Noor Ashcombe</t>
        </is>
      </c>
      <c r="C72" s="47">
        <v>45876</v>
      </c>
      <c r="D72" s="48" t="inlineStr">
        <is>
          <t xml:space="preserve">Bound - within authority</t>
        </is>
      </c>
      <c r="E72" s="48" t="inlineStr">
        <is>
          <t xml:space="preserve">New business</t>
        </is>
      </c>
      <c r="F72" s="46" t="inlineStr">
        <is>
          <t xml:space="preserve">B1234EXOTIC26</t>
        </is>
      </c>
      <c r="G72" s="33">
        <f>IF($A72="","",IF($C72="","",YEAR($C72)))</f>
      </c>
      <c r="H72" s="49">
        <v>2005</v>
      </c>
      <c r="I72" s="46" t="inlineStr">
        <is>
          <t xml:space="preserve">Porsche</t>
        </is>
      </c>
      <c r="J72" s="46" t="inlineStr">
        <is>
          <t xml:space="preserve">911 Turbo S</t>
        </is>
      </c>
      <c r="K72" s="46" t="inlineStr">
        <is>
          <t xml:space="preserve">PWDD9AXL8CV0R8L6C</t>
        </is>
      </c>
      <c r="L72" s="48" t="inlineStr">
        <is>
          <t xml:space="preserve">02 - Sports / GT</t>
        </is>
      </c>
      <c r="M72" s="50">
        <v>875000</v>
      </c>
      <c r="N72" s="48" t="inlineStr">
        <is>
          <t xml:space="preserve">Personal</t>
        </is>
      </c>
      <c r="O72" s="46" t="inlineStr">
        <is>
          <t xml:space="preserve">Personal - regular use</t>
        </is>
      </c>
      <c r="P72" s="46" t="inlineStr">
        <is>
          <t xml:space="preserve">1,000 - 2,500</t>
        </is>
      </c>
      <c r="Q72" s="46" t="inlineStr">
        <is>
          <t xml:space="preserve">Florida</t>
        </is>
      </c>
      <c r="R72" s="46" t="inlineStr">
        <is>
          <t xml:space="preserve">33139</t>
        </is>
      </c>
      <c r="S72" s="48" t="inlineStr">
        <is>
          <t xml:space="preserve">Tier 2 - Coastal wind (1-25 miles)</t>
        </is>
      </c>
      <c r="T72" s="36">
        <f>IF($A72="","",IF($S72="","",IFERROR(INDEX('[1]natural catastrophe'!$D$6:$D$17,MATCH($S72,'[1]natural catastrophe'!$B$6:$B$17,0)),"?")))</f>
      </c>
      <c r="U72" s="46" t="inlineStr">
        <is>
          <t xml:space="preserve">2% of agreed value, minimum $10,000</t>
        </is>
      </c>
      <c r="V72" s="48" t="inlineStr">
        <is>
          <t xml:space="preserve">Agreed Value</t>
        </is>
      </c>
      <c r="W72" s="46" t="inlineStr">
        <is>
          <t xml:space="preserve">$1,000</t>
        </is>
      </c>
      <c r="X72" s="48" t="inlineStr">
        <is>
          <t xml:space="preserve">$1,000,000 CSL</t>
        </is>
      </c>
      <c r="Y72" s="46"/>
      <c r="Z72" s="46"/>
      <c r="AA72" s="48" t="inlineStr">
        <is>
          <t xml:space="preserve">Surplus Lines</t>
        </is>
      </c>
      <c r="AB72" s="50">
        <v>15238.21</v>
      </c>
      <c r="AC72" s="51">
        <v>0</v>
      </c>
      <c r="AD72" s="38">
        <f>IF(ISNUMBER($AB72),$AB72*(1+N($AC72)),"")</f>
      </c>
      <c r="AE72" s="50">
        <v>350</v>
      </c>
      <c r="AF72" s="50">
        <v>0</v>
      </c>
      <c r="AG72" s="51"/>
      <c r="AH72" s="39">
        <f>IF(ISNUMBER($AD72),($AD72+$AE72+$AF72)*$AG72,"")</f>
      </c>
      <c r="AI72" s="50"/>
      <c r="AJ72" s="38">
        <f>IF(ISNUMBER($AD72),SUM($AD72:$AH72),"")</f>
      </c>
      <c r="AK72" s="40">
        <f>IF(AND(ISNUMBER($AB72),ISNUMBER($AD72)),IF($AB72&gt;0,$AD72/$AB72,""),"")</f>
      </c>
      <c r="AL72" s="48" t="inlineStr">
        <is>
          <t xml:space="preserve">At technical</t>
        </is>
      </c>
      <c r="AM72" s="41">
        <f>IF(ISNUMBER($AD72),Header!$I$3,"")</f>
      </c>
      <c r="AN72" s="39">
        <f>IF(ISNUMBER($AD72),$AO72+$AP72,"")</f>
      </c>
      <c r="AO72" s="39">
        <f>IF(ISNUMBER($AD72),ROUND($AD72*Header!$K$3,2),"")</f>
      </c>
      <c r="AP72" s="39">
        <f>IF(ISNUMBER($AD72),ROUND($AD72*Header!$M$3,2),"")</f>
      </c>
      <c r="AQ72" s="38">
        <f>IF(ISNUMBER($AD72),ROUND($AD72,2)-$AO72-$AP72,"")</f>
      </c>
      <c r="AR72" s="39">
        <f>IF(ISNUMBER($AD72),IF(Header!$D$34="","?",$AD72*Header!$D$34),"")</f>
      </c>
      <c r="AS72" s="39">
        <f>IF(ISNUMBER($AB72),IF(Header!$D$34="","?",$AB72*Header!$D$34),"")</f>
      </c>
      <c r="AT72" s="42">
        <f>IF(AND(ISNUMBER($AB72),$M72&gt;0),$AB72/$M72*100,"")</f>
      </c>
      <c r="AU72" s="42">
        <f>IF(AND(ISNUMBER($AD72),$M72&gt;0),$AD72/$M72*100,"")</f>
      </c>
      <c r="AV72" s="40">
        <f>IF(AND(ISNUMBER($AB72),ISNUMBER($AD72),ABS($AB72)&gt;0),$AD72/$AB72,"")</f>
      </c>
      <c r="AW72" s="39">
        <f>IF(ISNUMBER($AD72),MAX(0,(1-0.55-Header!$O$3)*Header!$Q$3*$AQ72),"")</f>
      </c>
      <c r="AX72" s="43">
        <f>IF($A72="","",IF(TRIM(IF($A72="","Missing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",""))="","PASS","FAIL: "&amp;TRIM(IF($A72="","Missing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f>
      </c>
      <c r="AY72" s="44">
        <f>IF($M72="","",IF(ISNUMBER($M72),IF($M72&gt;=Header!$C$18,"YES — refer","No"),""))</f>
      </c>
      <c r="AZ72" s="44">
        <f>IF($AD72="","",IF(ISNUMBER($AD72),IF($AD72&lt;Header!$C$20,"BELOW MIN PREMIUM","OK"),""))</f>
      </c>
      <c r="BA72" s="48" t="inlineStr">
        <is>
          <t xml:space="preserve">Yes</t>
        </is>
      </c>
      <c r="BB72" s="48" t="inlineStr">
        <is>
          <t xml:space="preserve">Yes</t>
        </is>
      </c>
      <c r="BC72" s="46" t="inlineStr">
        <is>
          <t xml:space="preserve">Synthetic demo data</t>
        </is>
      </c>
      <c r="BE72" s="45">
        <f>IF(OR($A72="",$L72="",$H72=""),"",IF(AND(LEFT($L72,2)="06",$H72&gt;1945),"FAIL - pre-war class, year "&amp;$H72,IF(AND(LEFT($L72,2)="07",OR($H72&lt;1946,$H72&gt;1972)),"FAIL - 1946-72 class, year "&amp;$H72,IF(AND(LEFT($L72,2)="08",OR($H72&lt;1973,$H72&gt;1999)),"FAIL - 1973-99 class, year "&amp;$H72,IF(AND(LEFT($L72,2)="09",OR($H72&lt;2000,$H72&gt;2010)),"FAIL - 2000-10 class, year "&amp;$H72,"OK")))))</f>
      </c>
      <c r="BF72" s="45">
        <f>IF($AD72="","",IF(ROUND($AO72+$AP72+$AQ72-$AD72,2)=0,"OK","FAIL - out by "&amp;TEXT($AO72+$AP72+$AQ72-$AD72,"$0.00")))</f>
      </c>
    </row>
    <row r="73" spans="1:58" ht="18.75" customHeight="1" x14ac:dyDescent="0.25">
      <c r="A73" s="30" t="inlineStr">
        <is>
          <t xml:space="preserve">CANON-202508-000099</t>
        </is>
      </c>
      <c r="B73" s="30" t="inlineStr">
        <is>
          <t xml:space="preserve">Wilhelmina Nakashima</t>
        </is>
      </c>
      <c r="C73" s="31">
        <v>45875</v>
      </c>
      <c r="D73" s="32" t="inlineStr">
        <is>
          <t xml:space="preserve">Bound - within authority</t>
        </is>
      </c>
      <c r="E73" s="32" t="inlineStr">
        <is>
          <t xml:space="preserve">New business</t>
        </is>
      </c>
      <c r="F73" s="30" t="inlineStr">
        <is>
          <t xml:space="preserve">B1234EXOTIC26</t>
        </is>
      </c>
      <c r="G73" s="33">
        <f>IF($A73="","",IF($C73="","",YEAR($C73)))</f>
      </c>
      <c r="H73" s="34">
        <v>1965</v>
      </c>
      <c r="I73" s="30" t="inlineStr">
        <is>
          <t xml:space="preserve">Ringbrothers</t>
        </is>
      </c>
      <c r="J73" s="30" t="inlineStr">
        <is>
          <t xml:space="preserve">Mustang</t>
        </is>
      </c>
      <c r="K73" s="30" t="inlineStr">
        <is>
          <t xml:space="preserve">9ZDGTJ8C5859HNZ58</t>
        </is>
      </c>
      <c r="L73" s="32" t="inlineStr">
        <is>
          <t xml:space="preserve">11 - Restomod / Coachbuilt / Bespoke</t>
        </is>
      </c>
      <c r="M73" s="35">
        <v>550000</v>
      </c>
      <c r="N73" s="32" t="inlineStr">
        <is>
          <t xml:space="preserve">Personal</t>
        </is>
      </c>
      <c r="O73" s="30" t="inlineStr">
        <is>
          <t xml:space="preserve">Personal - regular use</t>
        </is>
      </c>
      <c r="P73" s="30" t="inlineStr">
        <is>
          <t xml:space="preserve">1,000 - 2,500</t>
        </is>
      </c>
      <c r="Q73" s="30" t="inlineStr">
        <is>
          <t xml:space="preserve">Alabama</t>
        </is>
      </c>
      <c r="R73" s="30" t="inlineStr">
        <is>
          <t xml:space="preserve">35203</t>
        </is>
      </c>
      <c r="S73" s="32" t="inlineStr">
        <is>
          <t xml:space="preserve">Tier 2 - Coastal wind (1-25 miles)</t>
        </is>
      </c>
      <c r="T73" s="36">
        <f>IF($A73="","",IF($S73="","",IFERROR(INDEX('[1]natural catastrophe'!$D$6:$D$17,MATCH($S73,'[1]natural catastrophe'!$B$6:$B$17,0)),"?")))</f>
      </c>
      <c r="U73" s="30" t="inlineStr">
        <is>
          <t xml:space="preserve">2% of agreed value, minimum $10,000</t>
        </is>
      </c>
      <c r="V73" s="32" t="inlineStr">
        <is>
          <t xml:space="preserve">Agreed Value</t>
        </is>
      </c>
      <c r="W73" s="30" t="inlineStr">
        <is>
          <t xml:space="preserve">$1,000</t>
        </is>
      </c>
      <c r="X73" s="32" t="inlineStr">
        <is>
          <t xml:space="preserve">$1,000,000 CSL</t>
        </is>
      </c>
      <c r="Y73" s="30"/>
      <c r="Z73" s="30"/>
      <c r="AA73" s="32" t="inlineStr">
        <is>
          <t xml:space="preserve">Surplus Lines</t>
        </is>
      </c>
      <c r="AB73" s="35">
        <v>10279.81</v>
      </c>
      <c r="AC73" s="37">
        <v>0</v>
      </c>
      <c r="AD73" s="38">
        <f>IF(ISNUMBER($AB73),$AB73*(1+N($AC73)),"")</f>
      </c>
      <c r="AE73" s="35">
        <v>350</v>
      </c>
      <c r="AF73" s="35">
        <v>0</v>
      </c>
      <c r="AG73" s="37"/>
      <c r="AH73" s="39">
        <f>IF(ISNUMBER($AD73),($AD73+$AE73+$AF73)*$AG73,"")</f>
      </c>
      <c r="AI73" s="35"/>
      <c r="AJ73" s="38">
        <f>IF(ISNUMBER($AD73),SUM($AD73:$AH73),"")</f>
      </c>
      <c r="AK73" s="40">
        <f>IF(AND(ISNUMBER($AB73),ISNUMBER($AD73)),IF($AB73&gt;0,$AD73/$AB73,""),"")</f>
      </c>
      <c r="AL73" s="32" t="inlineStr">
        <is>
          <t xml:space="preserve">At technical</t>
        </is>
      </c>
      <c r="AM73" s="41">
        <f>IF(ISNUMBER($AD73),Header!$I$3,"")</f>
      </c>
      <c r="AN73" s="39">
        <f>IF(ISNUMBER($AD73),$AO73+$AP73,"")</f>
      </c>
      <c r="AO73" s="39">
        <f>IF(ISNUMBER($AD73),ROUND($AD73*Header!$K$3,2),"")</f>
      </c>
      <c r="AP73" s="39">
        <f>IF(ISNUMBER($AD73),ROUND($AD73*Header!$M$3,2),"")</f>
      </c>
      <c r="AQ73" s="38">
        <f>IF(ISNUMBER($AD73),ROUND($AD73,2)-$AO73-$AP73,"")</f>
      </c>
      <c r="AR73" s="39">
        <f>IF(ISNUMBER($AD73),IF(Header!$D$34="","?",$AD73*Header!$D$34),"")</f>
      </c>
      <c r="AS73" s="39">
        <f>IF(ISNUMBER($AB73),IF(Header!$D$34="","?",$AB73*Header!$D$34),"")</f>
      </c>
      <c r="AT73" s="42">
        <f>IF(AND(ISNUMBER($AB73),$M73&gt;0),$AB73/$M73*100,"")</f>
      </c>
      <c r="AU73" s="42">
        <f>IF(AND(ISNUMBER($AD73),$M73&gt;0),$AD73/$M73*100,"")</f>
      </c>
      <c r="AV73" s="40">
        <f>IF(AND(ISNUMBER($AB73),ISNUMBER($AD73),ABS($AB73)&gt;0),$AD73/$AB73,"")</f>
      </c>
      <c r="AW73" s="39">
        <f>IF(ISNUMBER($AD73),MAX(0,(1-0.55-Header!$O$3)*Header!$Q$3*$AQ73),"")</f>
      </c>
      <c r="AX73" s="43">
        <f>IF($A73="","",IF(TRIM(IF($A73="","Missing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",""))="","PASS","FAIL: "&amp;TRIM(IF($A73="","Missing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f>
      </c>
      <c r="AY73" s="44">
        <f>IF($M73="","",IF(ISNUMBER($M73),IF($M73&gt;=Header!$C$18,"YES — refer","No"),""))</f>
      </c>
      <c r="AZ73" s="44">
        <f>IF($AD73="","",IF(ISNUMBER($AD73),IF($AD73&lt;Header!$C$20,"BELOW MIN PREMIUM","OK"),""))</f>
      </c>
      <c r="BA73" s="32" t="inlineStr">
        <is>
          <t xml:space="preserve">Yes</t>
        </is>
      </c>
      <c r="BB73" s="32" t="inlineStr">
        <is>
          <t xml:space="preserve">Yes</t>
        </is>
      </c>
      <c r="BC73" s="30" t="inlineStr">
        <is>
          <t xml:space="preserve">Synthetic demo data</t>
        </is>
      </c>
      <c r="BE73" s="45">
        <f>IF(OR($A73="",$L73="",$H73=""),"",IF(AND(LEFT($L73,2)="06",$H73&gt;1945),"FAIL - pre-war class, year "&amp;$H73,IF(AND(LEFT($L73,2)="07",OR($H73&lt;1946,$H73&gt;1972)),"FAIL - 1946-72 class, year "&amp;$H73,IF(AND(LEFT($L73,2)="08",OR($H73&lt;1973,$H73&gt;1999)),"FAIL - 1973-99 class, year "&amp;$H73,IF(AND(LEFT($L73,2)="09",OR($H73&lt;2000,$H73&gt;2010)),"FAIL - 2000-10 class, year "&amp;$H73,"OK")))))</f>
      </c>
      <c r="BF73" s="45">
        <f>IF($AD73="","",IF(ROUND($AO73+$AP73+$AQ73-$AD73,2)=0,"OK","FAIL - out by "&amp;TEXT($AO73+$AP73+$AQ73-$AD73,"$0.00")))</f>
      </c>
    </row>
    <row r="74" spans="1:58" ht="18.75" customHeight="1" x14ac:dyDescent="0.25">
      <c r="A74" s="46" t="inlineStr">
        <is>
          <t xml:space="preserve">CANON-202508-000100</t>
        </is>
      </c>
      <c r="B74" s="46" t="inlineStr">
        <is>
          <t xml:space="preserve">Desmond Bellandi</t>
        </is>
      </c>
      <c r="C74" s="47">
        <v>45896</v>
      </c>
      <c r="D74" s="48" t="inlineStr">
        <is>
          <t xml:space="preserve">Bound - within authority</t>
        </is>
      </c>
      <c r="E74" s="48" t="inlineStr">
        <is>
          <t xml:space="preserve">New business</t>
        </is>
      </c>
      <c r="F74" s="46" t="inlineStr">
        <is>
          <t xml:space="preserve">B1234EXOTIC26</t>
        </is>
      </c>
      <c r="G74" s="33">
        <f>IF($A74="","",IF($C74="","",YEAR($C74)))</f>
      </c>
      <c r="H74" s="49">
        <v>2010</v>
      </c>
      <c r="I74" s="46" t="inlineStr">
        <is>
          <t xml:space="preserve">Mercedes-Benz</t>
        </is>
      </c>
      <c r="J74" s="46" t="inlineStr">
        <is>
          <t xml:space="preserve">AMG GT</t>
        </is>
      </c>
      <c r="K74" s="46" t="inlineStr">
        <is>
          <t xml:space="preserve">Y621NT2D6RKZXV1LA</t>
        </is>
      </c>
      <c r="L74" s="48" t="inlineStr">
        <is>
          <t xml:space="preserve">02 - Sports / GT</t>
        </is>
      </c>
      <c r="M74" s="50">
        <v>385000</v>
      </c>
      <c r="N74" s="48" t="inlineStr">
        <is>
          <t xml:space="preserve">Personal</t>
        </is>
      </c>
      <c r="O74" s="46" t="inlineStr">
        <is>
          <t xml:space="preserve">Personal - regular use</t>
        </is>
      </c>
      <c r="P74" s="46" t="inlineStr">
        <is>
          <t xml:space="preserve">2,500 - 5,000</t>
        </is>
      </c>
      <c r="Q74" s="46" t="inlineStr">
        <is>
          <t xml:space="preserve">Louisiana</t>
        </is>
      </c>
      <c r="R74" s="46" t="inlineStr">
        <is>
          <t xml:space="preserve">70112</t>
        </is>
      </c>
      <c r="S74" s="48" t="inlineStr">
        <is>
          <t xml:space="preserve">Tier 2 - Coastal wind (1-25 miles)</t>
        </is>
      </c>
      <c r="T74" s="36">
        <f>IF($A74="","",IF($S74="","",IFERROR(INDEX('[1]natural catastrophe'!$D$6:$D$17,MATCH($S74,'[1]natural catastrophe'!$B$6:$B$17,0)),"?")))</f>
      </c>
      <c r="U74" s="46" t="inlineStr">
        <is>
          <t xml:space="preserve">2% of agreed value, minimum $10,000</t>
        </is>
      </c>
      <c r="V74" s="48" t="inlineStr">
        <is>
          <t xml:space="preserve">Agreed Value</t>
        </is>
      </c>
      <c r="W74" s="46" t="inlineStr">
        <is>
          <t xml:space="preserve">$1,000</t>
        </is>
      </c>
      <c r="X74" s="48" t="inlineStr">
        <is>
          <t xml:space="preserve">$1,000,000 CSL</t>
        </is>
      </c>
      <c r="Y74" s="46"/>
      <c r="Z74" s="46"/>
      <c r="AA74" s="48" t="inlineStr">
        <is>
          <t xml:space="preserve">Surplus Lines</t>
        </is>
      </c>
      <c r="AB74" s="50">
        <v>6592.22</v>
      </c>
      <c r="AC74" s="51">
        <v>0</v>
      </c>
      <c r="AD74" s="38">
        <f>IF(ISNUMBER($AB74),$AB74*(1+N($AC74)),"")</f>
      </c>
      <c r="AE74" s="50">
        <v>350</v>
      </c>
      <c r="AF74" s="50">
        <v>0</v>
      </c>
      <c r="AG74" s="51"/>
      <c r="AH74" s="39">
        <f>IF(ISNUMBER($AD74),($AD74+$AE74+$AF74)*$AG74,"")</f>
      </c>
      <c r="AI74" s="50"/>
      <c r="AJ74" s="38">
        <f>IF(ISNUMBER($AD74),SUM($AD74:$AH74),"")</f>
      </c>
      <c r="AK74" s="40">
        <f>IF(AND(ISNUMBER($AB74),ISNUMBER($AD74)),IF($AB74&gt;0,$AD74/$AB74,""),"")</f>
      </c>
      <c r="AL74" s="48" t="inlineStr">
        <is>
          <t xml:space="preserve">At technical</t>
        </is>
      </c>
      <c r="AM74" s="41">
        <f>IF(ISNUMBER($AD74),Header!$I$3,"")</f>
      </c>
      <c r="AN74" s="39">
        <f>IF(ISNUMBER($AD74),$AO74+$AP74,"")</f>
      </c>
      <c r="AO74" s="39">
        <f>IF(ISNUMBER($AD74),ROUND($AD74*Header!$K$3,2),"")</f>
      </c>
      <c r="AP74" s="39">
        <f>IF(ISNUMBER($AD74),ROUND($AD74*Header!$M$3,2),"")</f>
      </c>
      <c r="AQ74" s="38">
        <f>IF(ISNUMBER($AD74),ROUND($AD74,2)-$AO74-$AP74,"")</f>
      </c>
      <c r="AR74" s="39">
        <f>IF(ISNUMBER($AD74),IF(Header!$D$34="","?",$AD74*Header!$D$34),"")</f>
      </c>
      <c r="AS74" s="39">
        <f>IF(ISNUMBER($AB74),IF(Header!$D$34="","?",$AB74*Header!$D$34),"")</f>
      </c>
      <c r="AT74" s="42">
        <f>IF(AND(ISNUMBER($AB74),$M74&gt;0),$AB74/$M74*100,"")</f>
      </c>
      <c r="AU74" s="42">
        <f>IF(AND(ISNUMBER($AD74),$M74&gt;0),$AD74/$M74*100,"")</f>
      </c>
      <c r="AV74" s="40">
        <f>IF(AND(ISNUMBER($AB74),ISNUMBER($AD74),ABS($AB74)&gt;0),$AD74/$AB74,"")</f>
      </c>
      <c r="AW74" s="39">
        <f>IF(ISNUMBER($AD74),MAX(0,(1-0.55-Header!$O$3)*Header!$Q$3*$AQ74),"")</f>
      </c>
      <c r="AX74" s="43">
        <f>IF($A74="","",IF(TRIM(IF($A74="","Missing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",""))="","PASS","FAIL: "&amp;TRIM(IF($A74="","Missing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f>
      </c>
      <c r="AY74" s="44">
        <f>IF($M74="","",IF(ISNUMBER($M74),IF($M74&gt;=Header!$C$18,"YES — refer","No"),""))</f>
      </c>
      <c r="AZ74" s="44">
        <f>IF($AD74="","",IF(ISNUMBER($AD74),IF($AD74&lt;Header!$C$20,"BELOW MIN PREMIUM","OK"),""))</f>
      </c>
      <c r="BA74" s="48" t="inlineStr">
        <is>
          <t xml:space="preserve">Yes</t>
        </is>
      </c>
      <c r="BB74" s="48" t="inlineStr">
        <is>
          <t xml:space="preserve">Yes</t>
        </is>
      </c>
      <c r="BC74" s="46" t="inlineStr">
        <is>
          <t xml:space="preserve">Synthetic demo data</t>
        </is>
      </c>
      <c r="BE74" s="45">
        <f>IF(OR($A74="",$L74="",$H74=""),"",IF(AND(LEFT($L74,2)="06",$H74&gt;1945),"FAIL - pre-war class, year "&amp;$H74,IF(AND(LEFT($L74,2)="07",OR($H74&lt;1946,$H74&gt;1972)),"FAIL - 1946-72 class, year "&amp;$H74,IF(AND(LEFT($L74,2)="08",OR($H74&lt;1973,$H74&gt;1999)),"FAIL - 1973-99 class, year "&amp;$H74,IF(AND(LEFT($L74,2)="09",OR($H74&lt;2000,$H74&gt;2010)),"FAIL - 2000-10 class, year "&amp;$H74,"OK")))))</f>
      </c>
      <c r="BF74" s="45">
        <f>IF($AD74="","",IF(ROUND($AO74+$AP74+$AQ74-$AD74,2)=0,"OK","FAIL - out by "&amp;TEXT($AO74+$AP74+$AQ74-$AD74,"$0.00")))</f>
      </c>
    </row>
    <row r="75" spans="1:58" ht="18.75" customHeight="1" x14ac:dyDescent="0.25">
      <c r="A75" s="30" t="inlineStr">
        <is>
          <t xml:space="preserve">CANON-202508-000101</t>
        </is>
      </c>
      <c r="B75" s="30" t="inlineStr">
        <is>
          <t xml:space="preserve">Desmond Fairweather</t>
        </is>
      </c>
      <c r="C75" s="31">
        <v>45882</v>
      </c>
      <c r="D75" s="32" t="inlineStr">
        <is>
          <t xml:space="preserve">Bound - within authority</t>
        </is>
      </c>
      <c r="E75" s="32" t="inlineStr">
        <is>
          <t xml:space="preserve">New business</t>
        </is>
      </c>
      <c r="F75" s="30" t="inlineStr">
        <is>
          <t xml:space="preserve">B1234EXOTIC26</t>
        </is>
      </c>
      <c r="G75" s="33">
        <f>IF($A75="","",IF($C75="","",YEAR($C75)))</f>
      </c>
      <c r="H75" s="34">
        <v>1987</v>
      </c>
      <c r="I75" s="30" t="inlineStr">
        <is>
          <t xml:space="preserve">Aston Martin</t>
        </is>
      </c>
      <c r="J75" s="30" t="inlineStr">
        <is>
          <t xml:space="preserve">DB12</t>
        </is>
      </c>
      <c r="K75" s="30" t="inlineStr">
        <is>
          <t xml:space="preserve">2ERD88C01Z205LJ7C</t>
        </is>
      </c>
      <c r="L75" s="32" t="inlineStr">
        <is>
          <t xml:space="preserve">02 - Sports / GT</t>
        </is>
      </c>
      <c r="M75" s="35">
        <v>530000</v>
      </c>
      <c r="N75" s="32" t="inlineStr">
        <is>
          <t xml:space="preserve">Personal</t>
        </is>
      </c>
      <c r="O75" s="30" t="inlineStr">
        <is>
          <t xml:space="preserve">Personal - regular use</t>
        </is>
      </c>
      <c r="P75" s="30" t="inlineStr">
        <is>
          <t xml:space="preserve">1,000 - 2,500</t>
        </is>
      </c>
      <c r="Q75" s="30" t="inlineStr">
        <is>
          <t xml:space="preserve">Texas</t>
        </is>
      </c>
      <c r="R75" s="30" t="inlineStr">
        <is>
          <t xml:space="preserve">75201</t>
        </is>
      </c>
      <c r="S75" s="32" t="inlineStr">
        <is>
          <t xml:space="preserve">Tier 2 - Coastal wind (1-25 miles)</t>
        </is>
      </c>
      <c r="T75" s="36">
        <f>IF($A75="","",IF($S75="","",IFERROR(INDEX('[1]natural catastrophe'!$D$6:$D$17,MATCH($S75,'[1]natural catastrophe'!$B$6:$B$17,0)),"?")))</f>
      </c>
      <c r="U75" s="30" t="inlineStr">
        <is>
          <t xml:space="preserve">2% of agreed value, minimum $10,000</t>
        </is>
      </c>
      <c r="V75" s="32" t="inlineStr">
        <is>
          <t xml:space="preserve">Agreed Value</t>
        </is>
      </c>
      <c r="W75" s="30" t="inlineStr">
        <is>
          <t xml:space="preserve">$1,000</t>
        </is>
      </c>
      <c r="X75" s="32" t="inlineStr">
        <is>
          <t xml:space="preserve">$1,000,000 CSL</t>
        </is>
      </c>
      <c r="Y75" s="30"/>
      <c r="Z75" s="30"/>
      <c r="AA75" s="32" t="inlineStr">
        <is>
          <t xml:space="preserve">Surplus Lines</t>
        </is>
      </c>
      <c r="AB75" s="35">
        <v>7475</v>
      </c>
      <c r="AC75" s="37">
        <v>0</v>
      </c>
      <c r="AD75" s="38">
        <f>IF(ISNUMBER($AB75),$AB75*(1+N($AC75)),"")</f>
      </c>
      <c r="AE75" s="35">
        <v>350</v>
      </c>
      <c r="AF75" s="35">
        <v>0</v>
      </c>
      <c r="AG75" s="37"/>
      <c r="AH75" s="39">
        <f>IF(ISNUMBER($AD75),($AD75+$AE75+$AF75)*$AG75,"")</f>
      </c>
      <c r="AI75" s="35"/>
      <c r="AJ75" s="38">
        <f>IF(ISNUMBER($AD75),SUM($AD75:$AH75),"")</f>
      </c>
      <c r="AK75" s="40">
        <f>IF(AND(ISNUMBER($AB75),ISNUMBER($AD75)),IF($AB75&gt;0,$AD75/$AB75,""),"")</f>
      </c>
      <c r="AL75" s="32" t="inlineStr">
        <is>
          <t xml:space="preserve">At technical</t>
        </is>
      </c>
      <c r="AM75" s="41">
        <f>IF(ISNUMBER($AD75),Header!$I$3,"")</f>
      </c>
      <c r="AN75" s="39">
        <f>IF(ISNUMBER($AD75),$AO75+$AP75,"")</f>
      </c>
      <c r="AO75" s="39">
        <f>IF(ISNUMBER($AD75),ROUND($AD75*Header!$K$3,2),"")</f>
      </c>
      <c r="AP75" s="39">
        <f>IF(ISNUMBER($AD75),ROUND($AD75*Header!$M$3,2),"")</f>
      </c>
      <c r="AQ75" s="38">
        <f>IF(ISNUMBER($AD75),ROUND($AD75,2)-$AO75-$AP75,"")</f>
      </c>
      <c r="AR75" s="39">
        <f>IF(ISNUMBER($AD75),IF(Header!$D$34="","?",$AD75*Header!$D$34),"")</f>
      </c>
      <c r="AS75" s="39">
        <f>IF(ISNUMBER($AB75),IF(Header!$D$34="","?",$AB75*Header!$D$34),"")</f>
      </c>
      <c r="AT75" s="42">
        <f>IF(AND(ISNUMBER($AB75),$M75&gt;0),$AB75/$M75*100,"")</f>
      </c>
      <c r="AU75" s="42">
        <f>IF(AND(ISNUMBER($AD75),$M75&gt;0),$AD75/$M75*100,"")</f>
      </c>
      <c r="AV75" s="40">
        <f>IF(AND(ISNUMBER($AB75),ISNUMBER($AD75),ABS($AB75)&gt;0),$AD75/$AB75,"")</f>
      </c>
      <c r="AW75" s="39">
        <f>IF(ISNUMBER($AD75),MAX(0,(1-0.55-Header!$O$3)*Header!$Q$3*$AQ75),"")</f>
      </c>
      <c r="AX75" s="43">
        <f>IF($A75="","",IF(TRIM(IF($A75="","Missing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",""))="","PASS","FAIL: "&amp;TRIM(IF($A75="","Missing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f>
      </c>
      <c r="AY75" s="44">
        <f>IF($M75="","",IF(ISNUMBER($M75),IF($M75&gt;=Header!$C$18,"YES — refer","No"),""))</f>
      </c>
      <c r="AZ75" s="44">
        <f>IF($AD75="","",IF(ISNUMBER($AD75),IF($AD75&lt;Header!$C$20,"BELOW MIN PREMIUM","OK"),""))</f>
      </c>
      <c r="BA75" s="32" t="inlineStr">
        <is>
          <t xml:space="preserve">Yes</t>
        </is>
      </c>
      <c r="BB75" s="32" t="inlineStr">
        <is>
          <t xml:space="preserve">Yes</t>
        </is>
      </c>
      <c r="BC75" s="30" t="inlineStr">
        <is>
          <t xml:space="preserve">Synthetic demo data</t>
        </is>
      </c>
      <c r="BE75" s="45">
        <f>IF(OR($A75="",$L75="",$H75=""),"",IF(AND(LEFT($L75,2)="06",$H75&gt;1945),"FAIL - pre-war class, year "&amp;$H75,IF(AND(LEFT($L75,2)="07",OR($H75&lt;1946,$H75&gt;1972)),"FAIL - 1946-72 class, year "&amp;$H75,IF(AND(LEFT($L75,2)="08",OR($H75&lt;1973,$H75&gt;1999)),"FAIL - 1973-99 class, year "&amp;$H75,IF(AND(LEFT($L75,2)="09",OR($H75&lt;2000,$H75&gt;2010)),"FAIL - 2000-10 class, year "&amp;$H75,"OK")))))</f>
      </c>
      <c r="BF75" s="45">
        <f>IF($AD75="","",IF(ROUND($AO75+$AP75+$AQ75-$AD75,2)=0,"OK","FAIL - out by "&amp;TEXT($AO75+$AP75+$AQ75-$AD75,"$0.00")))</f>
      </c>
    </row>
    <row r="76" spans="1:58" ht="18.75" customHeight="1" x14ac:dyDescent="0.25">
      <c r="A76" s="46" t="inlineStr">
        <is>
          <t xml:space="preserve">CANON-202508-000103</t>
        </is>
      </c>
      <c r="B76" s="46" t="inlineStr">
        <is>
          <t xml:space="preserve">Anouk Vandermeer</t>
        </is>
      </c>
      <c r="C76" s="47">
        <v>45895</v>
      </c>
      <c r="D76" s="48" t="inlineStr">
        <is>
          <t xml:space="preserve">Bound - within authority</t>
        </is>
      </c>
      <c r="E76" s="48" t="inlineStr">
        <is>
          <t xml:space="preserve">New business</t>
        </is>
      </c>
      <c r="F76" s="46" t="inlineStr">
        <is>
          <t xml:space="preserve">B1234EXOTIC26</t>
        </is>
      </c>
      <c r="G76" s="33">
        <f>IF($A76="","",IF($C76="","",YEAR($C76)))</f>
      </c>
      <c r="H76" s="49">
        <v>2005</v>
      </c>
      <c r="I76" s="46" t="inlineStr">
        <is>
          <t xml:space="preserve">Bentley</t>
        </is>
      </c>
      <c r="J76" s="46" t="inlineStr">
        <is>
          <t xml:space="preserve">4.5 Litre</t>
        </is>
      </c>
      <c r="K76" s="46" t="inlineStr">
        <is>
          <t xml:space="preserve">7MKGDSYLLCEXADNYK</t>
        </is>
      </c>
      <c r="L76" s="48" t="inlineStr">
        <is>
          <t xml:space="preserve">09 - Youngtimer / Collectible (2000-2010)</t>
        </is>
      </c>
      <c r="M76" s="50">
        <v>1950000</v>
      </c>
      <c r="N76" s="48" t="inlineStr">
        <is>
          <t xml:space="preserve">Personal</t>
        </is>
      </c>
      <c r="O76" s="46" t="inlineStr">
        <is>
          <t xml:space="preserve">Personal - regular use</t>
        </is>
      </c>
      <c r="P76" s="46" t="inlineStr">
        <is>
          <t xml:space="preserve">1,000 - 2,500</t>
        </is>
      </c>
      <c r="Q76" s="46" t="inlineStr">
        <is>
          <t xml:space="preserve">Virginia</t>
        </is>
      </c>
      <c r="R76" s="46" t="inlineStr">
        <is>
          <t xml:space="preserve">23219</t>
        </is>
      </c>
      <c r="S76" s="48" t="inlineStr">
        <is>
          <t xml:space="preserve">Tier 3 - Coastal wind (25-100 miles)</t>
        </is>
      </c>
      <c r="T76" s="36">
        <f>IF($A76="","",IF($S76="","",IFERROR(INDEX('[1]natural catastrophe'!$D$6:$D$17,MATCH($S76,'[1]natural catastrophe'!$B$6:$B$17,0)),"?")))</f>
      </c>
      <c r="U76" s="46" t="inlineStr">
        <is>
          <t xml:space="preserve">2% of agreed value, minimum $10,000</t>
        </is>
      </c>
      <c r="V76" s="48" t="inlineStr">
        <is>
          <t xml:space="preserve">Agreed Value</t>
        </is>
      </c>
      <c r="W76" s="46" t="inlineStr">
        <is>
          <t xml:space="preserve">$1,000</t>
        </is>
      </c>
      <c r="X76" s="48" t="inlineStr">
        <is>
          <t xml:space="preserve">$1,000,000 CSL</t>
        </is>
      </c>
      <c r="Y76" s="46"/>
      <c r="Z76" s="46"/>
      <c r="AA76" s="48" t="inlineStr">
        <is>
          <t xml:space="preserve">Surplus Lines</t>
        </is>
      </c>
      <c r="AB76" s="50">
        <v>13635.28</v>
      </c>
      <c r="AC76" s="51">
        <v>0</v>
      </c>
      <c r="AD76" s="38">
        <f>IF(ISNUMBER($AB76),$AB76*(1+N($AC76)),"")</f>
      </c>
      <c r="AE76" s="50">
        <v>350</v>
      </c>
      <c r="AF76" s="50">
        <v>250</v>
      </c>
      <c r="AG76" s="51"/>
      <c r="AH76" s="39">
        <f>IF(ISNUMBER($AD76),($AD76+$AE76+$AF76)*$AG76,"")</f>
      </c>
      <c r="AI76" s="50"/>
      <c r="AJ76" s="38">
        <f>IF(ISNUMBER($AD76),SUM($AD76:$AH76),"")</f>
      </c>
      <c r="AK76" s="40">
        <f>IF(AND(ISNUMBER($AB76),ISNUMBER($AD76)),IF($AB76&gt;0,$AD76/$AB76,""),"")</f>
      </c>
      <c r="AL76" s="48" t="inlineStr">
        <is>
          <t xml:space="preserve">At technical</t>
        </is>
      </c>
      <c r="AM76" s="41">
        <f>IF(ISNUMBER($AD76),Header!$I$3,"")</f>
      </c>
      <c r="AN76" s="39">
        <f>IF(ISNUMBER($AD76),$AO76+$AP76,"")</f>
      </c>
      <c r="AO76" s="39">
        <f>IF(ISNUMBER($AD76),ROUND($AD76*Header!$K$3,2),"")</f>
      </c>
      <c r="AP76" s="39">
        <f>IF(ISNUMBER($AD76),ROUND($AD76*Header!$M$3,2),"")</f>
      </c>
      <c r="AQ76" s="38">
        <f>IF(ISNUMBER($AD76),ROUND($AD76,2)-$AO76-$AP76,"")</f>
      </c>
      <c r="AR76" s="39">
        <f>IF(ISNUMBER($AD76),IF(Header!$D$34="","?",$AD76*Header!$D$34),"")</f>
      </c>
      <c r="AS76" s="39">
        <f>IF(ISNUMBER($AB76),IF(Header!$D$34="","?",$AB76*Header!$D$34),"")</f>
      </c>
      <c r="AT76" s="42">
        <f>IF(AND(ISNUMBER($AB76),$M76&gt;0),$AB76/$M76*100,"")</f>
      </c>
      <c r="AU76" s="42">
        <f>IF(AND(ISNUMBER($AD76),$M76&gt;0),$AD76/$M76*100,"")</f>
      </c>
      <c r="AV76" s="40">
        <f>IF(AND(ISNUMBER($AB76),ISNUMBER($AD76),ABS($AB76)&gt;0),$AD76/$AB76,"")</f>
      </c>
      <c r="AW76" s="39">
        <f>IF(ISNUMBER($AD76),MAX(0,(1-0.55-Header!$O$3)*Header!$Q$3*$AQ76),"")</f>
      </c>
      <c r="AX76" s="43">
        <f>IF($A76="","",IF(TRIM(IF($A76="","Missing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",""))="","PASS","FAIL: "&amp;TRIM(IF($A76="","Missing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f>
      </c>
      <c r="AY76" s="44">
        <f>IF($M76="","",IF(ISNUMBER($M76),IF($M76&gt;=Header!$C$18,"YES — refer","No"),""))</f>
      </c>
      <c r="AZ76" s="44">
        <f>IF($AD76="","",IF(ISNUMBER($AD76),IF($AD76&lt;Header!$C$20,"BELOW MIN PREMIUM","OK"),""))</f>
      </c>
      <c r="BA76" s="48" t="inlineStr">
        <is>
          <t xml:space="preserve">Yes</t>
        </is>
      </c>
      <c r="BB76" s="48" t="inlineStr">
        <is>
          <t xml:space="preserve">Yes</t>
        </is>
      </c>
      <c r="BC76" s="46" t="inlineStr">
        <is>
          <t xml:space="preserve">Synthetic demo data</t>
        </is>
      </c>
      <c r="BE76" s="45">
        <f>IF(OR($A76="",$L76="",$H76=""),"",IF(AND(LEFT($L76,2)="06",$H76&gt;1945),"FAIL - pre-war class, year "&amp;$H76,IF(AND(LEFT($L76,2)="07",OR($H76&lt;1946,$H76&gt;1972)),"FAIL - 1946-72 class, year "&amp;$H76,IF(AND(LEFT($L76,2)="08",OR($H76&lt;1973,$H76&gt;1999)),"FAIL - 1973-99 class, year "&amp;$H76,IF(AND(LEFT($L76,2)="09",OR($H76&lt;2000,$H76&gt;2010)),"FAIL - 2000-10 class, year "&amp;$H76,"OK")))))</f>
      </c>
      <c r="BF76" s="45">
        <f>IF($AD76="","",IF(ROUND($AO76+$AP76+$AQ76-$AD76,2)=0,"OK","FAIL - out by "&amp;TEXT($AO76+$AP76+$AQ76-$AD76,"$0.00")))</f>
      </c>
    </row>
    <row r="77" spans="1:58" ht="18.75" customHeight="1" x14ac:dyDescent="0.25">
      <c r="A77" s="30" t="inlineStr">
        <is>
          <t xml:space="preserve">CANON-202508-000104</t>
        </is>
      </c>
      <c r="B77" s="30" t="inlineStr">
        <is>
          <t xml:space="preserve">Mireille Kingsford</t>
        </is>
      </c>
      <c r="C77" s="31">
        <v>45886</v>
      </c>
      <c r="D77" s="32" t="inlineStr">
        <is>
          <t xml:space="preserve">Bound - within authority</t>
        </is>
      </c>
      <c r="E77" s="32" t="inlineStr">
        <is>
          <t xml:space="preserve">New business</t>
        </is>
      </c>
      <c r="F77" s="30" t="inlineStr">
        <is>
          <t xml:space="preserve">B1234EXOTIC26</t>
        </is>
      </c>
      <c r="G77" s="33">
        <f>IF($A77="","",IF($C77="","",YEAR($C77)))</f>
      </c>
      <c r="H77" s="34">
        <v>1985</v>
      </c>
      <c r="I77" s="30" t="inlineStr">
        <is>
          <t xml:space="preserve">Bentley</t>
        </is>
      </c>
      <c r="J77" s="30" t="inlineStr">
        <is>
          <t xml:space="preserve">Continental GT</t>
        </is>
      </c>
      <c r="K77" s="30" t="inlineStr">
        <is>
          <t xml:space="preserve">B43A7PZUE7KGF2KPC</t>
        </is>
      </c>
      <c r="L77" s="32" t="inlineStr">
        <is>
          <t xml:space="preserve">02 - Sports / GT</t>
        </is>
      </c>
      <c r="M77" s="35">
        <v>595000</v>
      </c>
      <c r="N77" s="32" t="inlineStr">
        <is>
          <t xml:space="preserve">Personal</t>
        </is>
      </c>
      <c r="O77" s="30" t="inlineStr">
        <is>
          <t xml:space="preserve">Personal - regular use</t>
        </is>
      </c>
      <c r="P77" s="30" t="inlineStr">
        <is>
          <t xml:space="preserve">1,000 - 2,500</t>
        </is>
      </c>
      <c r="Q77" s="30" t="inlineStr">
        <is>
          <t xml:space="preserve">Colorado</t>
        </is>
      </c>
      <c r="R77" s="30" t="inlineStr">
        <is>
          <t xml:space="preserve">80202</t>
        </is>
      </c>
      <c r="S77" s="32" t="inlineStr">
        <is>
          <t xml:space="preserve">Severe convective - hail alley (high)</t>
        </is>
      </c>
      <c r="T77" s="36">
        <f>IF($A77="","",IF($S77="","",IFERROR(INDEX('[1]natural catastrophe'!$D$6:$D$17,MATCH($S77,'[1]natural catastrophe'!$B$6:$B$17,0)),"?")))</f>
      </c>
      <c r="U77" s="30" t="inlineStr">
        <is>
          <t xml:space="preserve">$5,000</t>
        </is>
      </c>
      <c r="V77" s="32" t="inlineStr">
        <is>
          <t xml:space="preserve">Agreed Value</t>
        </is>
      </c>
      <c r="W77" s="30" t="inlineStr">
        <is>
          <t xml:space="preserve">$1,000</t>
        </is>
      </c>
      <c r="X77" s="32" t="inlineStr">
        <is>
          <t xml:space="preserve">$1,000,000 CSL</t>
        </is>
      </c>
      <c r="Y77" s="30"/>
      <c r="Z77" s="30"/>
      <c r="AA77" s="32" t="inlineStr">
        <is>
          <t xml:space="preserve">Surplus Lines</t>
        </is>
      </c>
      <c r="AB77" s="35">
        <v>8026.89</v>
      </c>
      <c r="AC77" s="37">
        <v>0</v>
      </c>
      <c r="AD77" s="38">
        <f>IF(ISNUMBER($AB77),$AB77*(1+N($AC77)),"")</f>
      </c>
      <c r="AE77" s="35">
        <v>350</v>
      </c>
      <c r="AF77" s="35">
        <v>0</v>
      </c>
      <c r="AG77" s="37"/>
      <c r="AH77" s="39">
        <f>IF(ISNUMBER($AD77),($AD77+$AE77+$AF77)*$AG77,"")</f>
      </c>
      <c r="AI77" s="35"/>
      <c r="AJ77" s="38">
        <f>IF(ISNUMBER($AD77),SUM($AD77:$AH77),"")</f>
      </c>
      <c r="AK77" s="40">
        <f>IF(AND(ISNUMBER($AB77),ISNUMBER($AD77)),IF($AB77&gt;0,$AD77/$AB77,""),"")</f>
      </c>
      <c r="AL77" s="32" t="inlineStr">
        <is>
          <t xml:space="preserve">At technical</t>
        </is>
      </c>
      <c r="AM77" s="41">
        <f>IF(ISNUMBER($AD77),Header!$I$3,"")</f>
      </c>
      <c r="AN77" s="39">
        <f>IF(ISNUMBER($AD77),$AO77+$AP77,"")</f>
      </c>
      <c r="AO77" s="39">
        <f>IF(ISNUMBER($AD77),ROUND($AD77*Header!$K$3,2),"")</f>
      </c>
      <c r="AP77" s="39">
        <f>IF(ISNUMBER($AD77),ROUND($AD77*Header!$M$3,2),"")</f>
      </c>
      <c r="AQ77" s="38">
        <f>IF(ISNUMBER($AD77),ROUND($AD77,2)-$AO77-$AP77,"")</f>
      </c>
      <c r="AR77" s="39">
        <f>IF(ISNUMBER($AD77),IF(Header!$D$34="","?",$AD77*Header!$D$34),"")</f>
      </c>
      <c r="AS77" s="39">
        <f>IF(ISNUMBER($AB77),IF(Header!$D$34="","?",$AB77*Header!$D$34),"")</f>
      </c>
      <c r="AT77" s="42">
        <f>IF(AND(ISNUMBER($AB77),$M77&gt;0),$AB77/$M77*100,"")</f>
      </c>
      <c r="AU77" s="42">
        <f>IF(AND(ISNUMBER($AD77),$M77&gt;0),$AD77/$M77*100,"")</f>
      </c>
      <c r="AV77" s="40">
        <f>IF(AND(ISNUMBER($AB77),ISNUMBER($AD77),ABS($AB77)&gt;0),$AD77/$AB77,"")</f>
      </c>
      <c r="AW77" s="39">
        <f>IF(ISNUMBER($AD77),MAX(0,(1-0.55-Header!$O$3)*Header!$Q$3*$AQ77),"")</f>
      </c>
      <c r="AX77" s="43">
        <f>IF($A77="","",IF(TRIM(IF($A77="","Missing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",""))="","PASS","FAIL: "&amp;TRIM(IF($A77="","Missing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f>
      </c>
      <c r="AY77" s="44">
        <f>IF($M77="","",IF(ISNUMBER($M77),IF($M77&gt;=Header!$C$18,"YES — refer","No"),""))</f>
      </c>
      <c r="AZ77" s="44">
        <f>IF($AD77="","",IF(ISNUMBER($AD77),IF($AD77&lt;Header!$C$20,"BELOW MIN PREMIUM","OK"),""))</f>
      </c>
      <c r="BA77" s="32" t="inlineStr">
        <is>
          <t xml:space="preserve">Yes</t>
        </is>
      </c>
      <c r="BB77" s="32" t="inlineStr">
        <is>
          <t xml:space="preserve">Yes</t>
        </is>
      </c>
      <c r="BC77" s="30" t="inlineStr">
        <is>
          <t xml:space="preserve">Synthetic demo data</t>
        </is>
      </c>
      <c r="BE77" s="45">
        <f>IF(OR($A77="",$L77="",$H77=""),"",IF(AND(LEFT($L77,2)="06",$H77&gt;1945),"FAIL - pre-war class, year "&amp;$H77,IF(AND(LEFT($L77,2)="07",OR($H77&lt;1946,$H77&gt;1972)),"FAIL - 1946-72 class, year "&amp;$H77,IF(AND(LEFT($L77,2)="08",OR($H77&lt;1973,$H77&gt;1999)),"FAIL - 1973-99 class, year "&amp;$H77,IF(AND(LEFT($L77,2)="09",OR($H77&lt;2000,$H77&gt;2010)),"FAIL - 2000-10 class, year "&amp;$H77,"OK")))))</f>
      </c>
      <c r="BF77" s="45">
        <f>IF($AD77="","",IF(ROUND($AO77+$AP77+$AQ77-$AD77,2)=0,"OK","FAIL - out by "&amp;TEXT($AO77+$AP77+$AQ77-$AD77,"$0.00")))</f>
      </c>
    </row>
    <row r="78" spans="1:58" ht="18.75" customHeight="1" x14ac:dyDescent="0.25">
      <c r="A78" s="46" t="inlineStr">
        <is>
          <t xml:space="preserve">CANON-202508-000105</t>
        </is>
      </c>
      <c r="B78" s="46" t="inlineStr">
        <is>
          <t xml:space="preserve">Fitzgerald Ashcombe</t>
        </is>
      </c>
      <c r="C78" s="47">
        <v>45871</v>
      </c>
      <c r="D78" s="48" t="inlineStr">
        <is>
          <t xml:space="preserve">Bound - within authority</t>
        </is>
      </c>
      <c r="E78" s="48" t="inlineStr">
        <is>
          <t xml:space="preserve">New business</t>
        </is>
      </c>
      <c r="F78" s="46" t="inlineStr">
        <is>
          <t xml:space="preserve">B1234EXOTIC26</t>
        </is>
      </c>
      <c r="G78" s="33">
        <f>IF($A78="","",IF($C78="","",YEAR($C78)))</f>
      </c>
      <c r="H78" s="49">
        <v>2011</v>
      </c>
      <c r="I78" s="46" t="inlineStr">
        <is>
          <t xml:space="preserve">Lamborghini</t>
        </is>
      </c>
      <c r="J78" s="46" t="inlineStr">
        <is>
          <t xml:space="preserve">Huracan EVO</t>
        </is>
      </c>
      <c r="K78" s="46" t="inlineStr">
        <is>
          <t xml:space="preserve">BGUXRK7FFHHP4F34Z</t>
        </is>
      </c>
      <c r="L78" s="48" t="inlineStr">
        <is>
          <t xml:space="preserve">03 - Supercar</t>
        </is>
      </c>
      <c r="M78" s="50">
        <v>595000</v>
      </c>
      <c r="N78" s="48" t="inlineStr">
        <is>
          <t xml:space="preserve">Personal</t>
        </is>
      </c>
      <c r="O78" s="46" t="inlineStr">
        <is>
          <t xml:space="preserve">Personal - regular use</t>
        </is>
      </c>
      <c r="P78" s="46" t="inlineStr">
        <is>
          <t xml:space="preserve">2,500 - 5,000</t>
        </is>
      </c>
      <c r="Q78" s="46" t="inlineStr">
        <is>
          <t xml:space="preserve">California</t>
        </is>
      </c>
      <c r="R78" s="46" t="inlineStr">
        <is>
          <t xml:space="preserve">90012</t>
        </is>
      </c>
      <c r="S78" s="48" t="inlineStr">
        <is>
          <t xml:space="preserve">Earthquake - high (CA, Cascadia, New Madrid)</t>
        </is>
      </c>
      <c r="T78" s="36">
        <f>IF($A78="","",IF($S78="","",IFERROR(INDEX('[1]natural catastrophe'!$D$6:$D$17,MATCH($S78,'[1]natural catastrophe'!$B$6:$B$17,0)),"?")))</f>
      </c>
      <c r="U78" s="46" t="inlineStr">
        <is>
          <t xml:space="preserve">$5,000</t>
        </is>
      </c>
      <c r="V78" s="48" t="inlineStr">
        <is>
          <t xml:space="preserve">Agreed Value</t>
        </is>
      </c>
      <c r="W78" s="46" t="inlineStr">
        <is>
          <t xml:space="preserve">$1,000</t>
        </is>
      </c>
      <c r="X78" s="48" t="inlineStr">
        <is>
          <t xml:space="preserve">$1,000,000 CSL</t>
        </is>
      </c>
      <c r="Y78" s="46"/>
      <c r="Z78" s="46"/>
      <c r="AA78" s="48" t="inlineStr">
        <is>
          <t xml:space="preserve">Surplus Lines</t>
        </is>
      </c>
      <c r="AB78" s="50">
        <v>14397.88</v>
      </c>
      <c r="AC78" s="51">
        <v>0</v>
      </c>
      <c r="AD78" s="38">
        <f>IF(ISNUMBER($AB78),$AB78*(1+N($AC78)),"")</f>
      </c>
      <c r="AE78" s="50">
        <v>350</v>
      </c>
      <c r="AF78" s="50">
        <v>0</v>
      </c>
      <c r="AG78" s="51"/>
      <c r="AH78" s="39">
        <f>IF(ISNUMBER($AD78),($AD78+$AE78+$AF78)*$AG78,"")</f>
      </c>
      <c r="AI78" s="50"/>
      <c r="AJ78" s="38">
        <f>IF(ISNUMBER($AD78),SUM($AD78:$AH78),"")</f>
      </c>
      <c r="AK78" s="40">
        <f>IF(AND(ISNUMBER($AB78),ISNUMBER($AD78)),IF($AB78&gt;0,$AD78/$AB78,""),"")</f>
      </c>
      <c r="AL78" s="48" t="inlineStr">
        <is>
          <t xml:space="preserve">At technical</t>
        </is>
      </c>
      <c r="AM78" s="41">
        <f>IF(ISNUMBER($AD78),Header!$I$3,"")</f>
      </c>
      <c r="AN78" s="39">
        <f>IF(ISNUMBER($AD78),$AO78+$AP78,"")</f>
      </c>
      <c r="AO78" s="39">
        <f>IF(ISNUMBER($AD78),ROUND($AD78*Header!$K$3,2),"")</f>
      </c>
      <c r="AP78" s="39">
        <f>IF(ISNUMBER($AD78),ROUND($AD78*Header!$M$3,2),"")</f>
      </c>
      <c r="AQ78" s="38">
        <f>IF(ISNUMBER($AD78),ROUND($AD78,2)-$AO78-$AP78,"")</f>
      </c>
      <c r="AR78" s="39">
        <f>IF(ISNUMBER($AD78),IF(Header!$D$34="","?",$AD78*Header!$D$34),"")</f>
      </c>
      <c r="AS78" s="39">
        <f>IF(ISNUMBER($AB78),IF(Header!$D$34="","?",$AB78*Header!$D$34),"")</f>
      </c>
      <c r="AT78" s="42">
        <f>IF(AND(ISNUMBER($AB78),$M78&gt;0),$AB78/$M78*100,"")</f>
      </c>
      <c r="AU78" s="42">
        <f>IF(AND(ISNUMBER($AD78),$M78&gt;0),$AD78/$M78*100,"")</f>
      </c>
      <c r="AV78" s="40">
        <f>IF(AND(ISNUMBER($AB78),ISNUMBER($AD78),ABS($AB78)&gt;0),$AD78/$AB78,"")</f>
      </c>
      <c r="AW78" s="39">
        <f>IF(ISNUMBER($AD78),MAX(0,(1-0.55-Header!$O$3)*Header!$Q$3*$AQ78),"")</f>
      </c>
      <c r="AX78" s="43">
        <f>IF($A78="","",IF(TRIM(IF($A78="","Missing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",""))="","PASS","FAIL: "&amp;TRIM(IF($A78="","Missing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f>
      </c>
      <c r="AY78" s="44">
        <f>IF($M78="","",IF(ISNUMBER($M78),IF($M78&gt;=Header!$C$18,"YES — refer","No"),""))</f>
      </c>
      <c r="AZ78" s="44">
        <f>IF($AD78="","",IF(ISNUMBER($AD78),IF($AD78&lt;Header!$C$20,"BELOW MIN PREMIUM","OK"),""))</f>
      </c>
      <c r="BA78" s="48" t="inlineStr">
        <is>
          <t xml:space="preserve">Yes</t>
        </is>
      </c>
      <c r="BB78" s="48" t="inlineStr">
        <is>
          <t xml:space="preserve">Yes</t>
        </is>
      </c>
      <c r="BC78" s="46" t="inlineStr">
        <is>
          <t xml:space="preserve">Synthetic demo data</t>
        </is>
      </c>
      <c r="BE78" s="45">
        <f>IF(OR($A78="",$L78="",$H78=""),"",IF(AND(LEFT($L78,2)="06",$H78&gt;1945),"FAIL - pre-war class, year "&amp;$H78,IF(AND(LEFT($L78,2)="07",OR($H78&lt;1946,$H78&gt;1972)),"FAIL - 1946-72 class, year "&amp;$H78,IF(AND(LEFT($L78,2)="08",OR($H78&lt;1973,$H78&gt;1999)),"FAIL - 1973-99 class, year "&amp;$H78,IF(AND(LEFT($L78,2)="09",OR($H78&lt;2000,$H78&gt;2010)),"FAIL - 2000-10 class, year "&amp;$H78,"OK")))))</f>
      </c>
      <c r="BF78" s="45">
        <f>IF($AD78="","",IF(ROUND($AO78+$AP78+$AQ78-$AD78,2)=0,"OK","FAIL - out by "&amp;TEXT($AO78+$AP78+$AQ78-$AD78,"$0.00")))</f>
      </c>
    </row>
    <row r="79" spans="1:58" ht="18.75" customHeight="1" x14ac:dyDescent="0.25">
      <c r="A79" s="30" t="inlineStr">
        <is>
          <t xml:space="preserve">CANON-202508-000106</t>
        </is>
      </c>
      <c r="B79" s="30" t="inlineStr">
        <is>
          <t xml:space="preserve">Delphine Merriweather</t>
        </is>
      </c>
      <c r="C79" s="31">
        <v>45883</v>
      </c>
      <c r="D79" s="32" t="inlineStr">
        <is>
          <t xml:space="preserve">Bound - within authority</t>
        </is>
      </c>
      <c r="E79" s="32" t="inlineStr">
        <is>
          <t xml:space="preserve">New business</t>
        </is>
      </c>
      <c r="F79" s="30" t="inlineStr">
        <is>
          <t xml:space="preserve">B1234EXOTIC26</t>
        </is>
      </c>
      <c r="G79" s="33">
        <f>IF($A79="","",IF($C79="","",YEAR($C79)))</f>
      </c>
      <c r="H79" s="34">
        <v>2017</v>
      </c>
      <c r="I79" s="30" t="inlineStr">
        <is>
          <t xml:space="preserve">Ferrari</t>
        </is>
      </c>
      <c r="J79" s="30" t="inlineStr">
        <is>
          <t xml:space="preserve">296 GTB</t>
        </is>
      </c>
      <c r="K79" s="30" t="inlineStr">
        <is>
          <t xml:space="preserve">N1JECR14VMV588YMR</t>
        </is>
      </c>
      <c r="L79" s="32" t="inlineStr">
        <is>
          <t xml:space="preserve">03 - Supercar</t>
        </is>
      </c>
      <c r="M79" s="35">
        <v>335000</v>
      </c>
      <c r="N79" s="32" t="inlineStr">
        <is>
          <t xml:space="preserve">Personal</t>
        </is>
      </c>
      <c r="O79" s="30" t="inlineStr">
        <is>
          <t xml:space="preserve">Personal - regular use</t>
        </is>
      </c>
      <c r="P79" s="30" t="inlineStr">
        <is>
          <t xml:space="preserve">2,500 - 5,000</t>
        </is>
      </c>
      <c r="Q79" s="30" t="inlineStr">
        <is>
          <t xml:space="preserve">Florida</t>
        </is>
      </c>
      <c r="R79" s="30" t="inlineStr">
        <is>
          <t xml:space="preserve">33139</t>
        </is>
      </c>
      <c r="S79" s="32" t="inlineStr">
        <is>
          <t xml:space="preserve">Tier 2 - Coastal wind (1-25 miles)</t>
        </is>
      </c>
      <c r="T79" s="36">
        <f>IF($A79="","",IF($S79="","",IFERROR(INDEX('[1]natural catastrophe'!$D$6:$D$17,MATCH($S79,'[1]natural catastrophe'!$B$6:$B$17,0)),"?")))</f>
      </c>
      <c r="U79" s="30" t="inlineStr">
        <is>
          <t xml:space="preserve">2% of agreed value, minimum $10,000</t>
        </is>
      </c>
      <c r="V79" s="32" t="inlineStr">
        <is>
          <t xml:space="preserve">Agreed Value</t>
        </is>
      </c>
      <c r="W79" s="30" t="inlineStr">
        <is>
          <t xml:space="preserve">$1,000</t>
        </is>
      </c>
      <c r="X79" s="32" t="inlineStr">
        <is>
          <t xml:space="preserve">$1,000,000 CSL</t>
        </is>
      </c>
      <c r="Y79" s="30"/>
      <c r="Z79" s="30"/>
      <c r="AA79" s="32" t="inlineStr">
        <is>
          <t xml:space="preserve">Surplus Lines</t>
        </is>
      </c>
      <c r="AB79" s="35">
        <v>10321.79</v>
      </c>
      <c r="AC79" s="37">
        <v>0</v>
      </c>
      <c r="AD79" s="38">
        <f>IF(ISNUMBER($AB79),$AB79*(1+N($AC79)),"")</f>
      </c>
      <c r="AE79" s="35">
        <v>350</v>
      </c>
      <c r="AF79" s="35">
        <v>0</v>
      </c>
      <c r="AG79" s="37"/>
      <c r="AH79" s="39">
        <f>IF(ISNUMBER($AD79),($AD79+$AE79+$AF79)*$AG79,"")</f>
      </c>
      <c r="AI79" s="35"/>
      <c r="AJ79" s="38">
        <f>IF(ISNUMBER($AD79),SUM($AD79:$AH79),"")</f>
      </c>
      <c r="AK79" s="40">
        <f>IF(AND(ISNUMBER($AB79),ISNUMBER($AD79)),IF($AB79&gt;0,$AD79/$AB79,""),"")</f>
      </c>
      <c r="AL79" s="32" t="inlineStr">
        <is>
          <t xml:space="preserve">At technical</t>
        </is>
      </c>
      <c r="AM79" s="41">
        <f>IF(ISNUMBER($AD79),Header!$I$3,"")</f>
      </c>
      <c r="AN79" s="39">
        <f>IF(ISNUMBER($AD79),$AO79+$AP79,"")</f>
      </c>
      <c r="AO79" s="39">
        <f>IF(ISNUMBER($AD79),ROUND($AD79*Header!$K$3,2),"")</f>
      </c>
      <c r="AP79" s="39">
        <f>IF(ISNUMBER($AD79),ROUND($AD79*Header!$M$3,2),"")</f>
      </c>
      <c r="AQ79" s="38">
        <f>IF(ISNUMBER($AD79),ROUND($AD79,2)-$AO79-$AP79,"")</f>
      </c>
      <c r="AR79" s="39">
        <f>IF(ISNUMBER($AD79),IF(Header!$D$34="","?",$AD79*Header!$D$34),"")</f>
      </c>
      <c r="AS79" s="39">
        <f>IF(ISNUMBER($AB79),IF(Header!$D$34="","?",$AB79*Header!$D$34),"")</f>
      </c>
      <c r="AT79" s="42">
        <f>IF(AND(ISNUMBER($AB79),$M79&gt;0),$AB79/$M79*100,"")</f>
      </c>
      <c r="AU79" s="42">
        <f>IF(AND(ISNUMBER($AD79),$M79&gt;0),$AD79/$M79*100,"")</f>
      </c>
      <c r="AV79" s="40">
        <f>IF(AND(ISNUMBER($AB79),ISNUMBER($AD79),ABS($AB79)&gt;0),$AD79/$AB79,"")</f>
      </c>
      <c r="AW79" s="39">
        <f>IF(ISNUMBER($AD79),MAX(0,(1-0.55-Header!$O$3)*Header!$Q$3*$AQ79),"")</f>
      </c>
      <c r="AX79" s="43">
        <f>IF($A79="","",IF(TRIM(IF($A79="","Missing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",""))="","PASS","FAIL: "&amp;TRIM(IF($A79="","Missing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f>
      </c>
      <c r="AY79" s="44">
        <f>IF($M79="","",IF(ISNUMBER($M79),IF($M79&gt;=Header!$C$18,"YES — refer","No"),""))</f>
      </c>
      <c r="AZ79" s="44">
        <f>IF($AD79="","",IF(ISNUMBER($AD79),IF($AD79&lt;Header!$C$20,"BELOW MIN PREMIUM","OK"),""))</f>
      </c>
      <c r="BA79" s="32" t="inlineStr">
        <is>
          <t xml:space="preserve">Yes</t>
        </is>
      </c>
      <c r="BB79" s="32" t="inlineStr">
        <is>
          <t xml:space="preserve">Yes</t>
        </is>
      </c>
      <c r="BC79" s="30" t="inlineStr">
        <is>
          <t xml:space="preserve">Synthetic demo data</t>
        </is>
      </c>
      <c r="BE79" s="45">
        <f>IF(OR($A79="",$L79="",$H79=""),"",IF(AND(LEFT($L79,2)="06",$H79&gt;1945),"FAIL - pre-war class, year "&amp;$H79,IF(AND(LEFT($L79,2)="07",OR($H79&lt;1946,$H79&gt;1972)),"FAIL - 1946-72 class, year "&amp;$H79,IF(AND(LEFT($L79,2)="08",OR($H79&lt;1973,$H79&gt;1999)),"FAIL - 1973-99 class, year "&amp;$H79,IF(AND(LEFT($L79,2)="09",OR($H79&lt;2000,$H79&gt;2010)),"FAIL - 2000-10 class, year "&amp;$H79,"OK")))))</f>
      </c>
      <c r="BF79" s="45">
        <f>IF($AD79="","",IF(ROUND($AO79+$AP79+$AQ79-$AD79,2)=0,"OK","FAIL - out by "&amp;TEXT($AO79+$AP79+$AQ79-$AD79,"$0.00")))</f>
      </c>
    </row>
    <row r="80" spans="1:58" ht="18.75" customHeight="1" x14ac:dyDescent="0.25">
      <c r="A80" s="46" t="inlineStr">
        <is>
          <t xml:space="preserve">CANON-202508-000107</t>
        </is>
      </c>
      <c r="B80" s="46" t="inlineStr">
        <is>
          <t xml:space="preserve">Ingrid Farkas</t>
        </is>
      </c>
      <c r="C80" s="47">
        <v>45885</v>
      </c>
      <c r="D80" s="48" t="inlineStr">
        <is>
          <t xml:space="preserve">Bound - within authority</t>
        </is>
      </c>
      <c r="E80" s="48" t="inlineStr">
        <is>
          <t xml:space="preserve">New business</t>
        </is>
      </c>
      <c r="F80" s="46" t="inlineStr">
        <is>
          <t xml:space="preserve">B1234EXOTIC26</t>
        </is>
      </c>
      <c r="G80" s="33">
        <f>IF($A80="","",IF($C80="","",YEAR($C80)))</f>
      </c>
      <c r="H80" s="49">
        <v>1957</v>
      </c>
      <c r="I80" s="46" t="inlineStr">
        <is>
          <t xml:space="preserve">Aston Martin</t>
        </is>
      </c>
      <c r="J80" s="46" t="inlineStr">
        <is>
          <t xml:space="preserve">DB12</t>
        </is>
      </c>
      <c r="K80" s="46" t="inlineStr">
        <is>
          <t xml:space="preserve">T2W8NHX07354JFXNW</t>
        </is>
      </c>
      <c r="L80" s="48" t="inlineStr">
        <is>
          <t xml:space="preserve">02 - Sports / GT</t>
        </is>
      </c>
      <c r="M80" s="50">
        <v>760000</v>
      </c>
      <c r="N80" s="48" t="inlineStr">
        <is>
          <t xml:space="preserve">Personal</t>
        </is>
      </c>
      <c r="O80" s="46" t="inlineStr">
        <is>
          <t xml:space="preserve">Personal - regular use</t>
        </is>
      </c>
      <c r="P80" s="46" t="inlineStr">
        <is>
          <t xml:space="preserve">Under 1,000</t>
        </is>
      </c>
      <c r="Q80" s="46" t="inlineStr">
        <is>
          <t xml:space="preserve">Colorado</t>
        </is>
      </c>
      <c r="R80" s="46" t="inlineStr">
        <is>
          <t xml:space="preserve">80202</t>
        </is>
      </c>
      <c r="S80" s="48" t="inlineStr">
        <is>
          <t xml:space="preserve">Severe convective - hail alley (high)</t>
        </is>
      </c>
      <c r="T80" s="36">
        <f>IF($A80="","",IF($S80="","",IFERROR(INDEX('[1]natural catastrophe'!$D$6:$D$17,MATCH($S80,'[1]natural catastrophe'!$B$6:$B$17,0)),"?")))</f>
      </c>
      <c r="U80" s="46" t="inlineStr">
        <is>
          <t xml:space="preserve">$5,000</t>
        </is>
      </c>
      <c r="V80" s="48" t="inlineStr">
        <is>
          <t xml:space="preserve">Agreed Value</t>
        </is>
      </c>
      <c r="W80" s="46" t="inlineStr">
        <is>
          <t xml:space="preserve">$1,000</t>
        </is>
      </c>
      <c r="X80" s="48" t="inlineStr">
        <is>
          <t xml:space="preserve">$1,000,000 CSL</t>
        </is>
      </c>
      <c r="Y80" s="46"/>
      <c r="Z80" s="46"/>
      <c r="AA80" s="48" t="inlineStr">
        <is>
          <t xml:space="preserve">Surplus Lines</t>
        </is>
      </c>
      <c r="AB80" s="50">
        <v>10252.83</v>
      </c>
      <c r="AC80" s="51">
        <v>0</v>
      </c>
      <c r="AD80" s="38">
        <f>IF(ISNUMBER($AB80),$AB80*(1+N($AC80)),"")</f>
      </c>
      <c r="AE80" s="50">
        <v>350</v>
      </c>
      <c r="AF80" s="50">
        <v>0</v>
      </c>
      <c r="AG80" s="51"/>
      <c r="AH80" s="39">
        <f>IF(ISNUMBER($AD80),($AD80+$AE80+$AF80)*$AG80,"")</f>
      </c>
      <c r="AI80" s="50"/>
      <c r="AJ80" s="38">
        <f>IF(ISNUMBER($AD80),SUM($AD80:$AH80),"")</f>
      </c>
      <c r="AK80" s="40">
        <f>IF(AND(ISNUMBER($AB80),ISNUMBER($AD80)),IF($AB80&gt;0,$AD80/$AB80,""),"")</f>
      </c>
      <c r="AL80" s="48" t="inlineStr">
        <is>
          <t xml:space="preserve">At technical</t>
        </is>
      </c>
      <c r="AM80" s="41">
        <f>IF(ISNUMBER($AD80),Header!$I$3,"")</f>
      </c>
      <c r="AN80" s="39">
        <f>IF(ISNUMBER($AD80),$AO80+$AP80,"")</f>
      </c>
      <c r="AO80" s="39">
        <f>IF(ISNUMBER($AD80),ROUND($AD80*Header!$K$3,2),"")</f>
      </c>
      <c r="AP80" s="39">
        <f>IF(ISNUMBER($AD80),ROUND($AD80*Header!$M$3,2),"")</f>
      </c>
      <c r="AQ80" s="38">
        <f>IF(ISNUMBER($AD80),ROUND($AD80,2)-$AO80-$AP80,"")</f>
      </c>
      <c r="AR80" s="39">
        <f>IF(ISNUMBER($AD80),IF(Header!$D$34="","?",$AD80*Header!$D$34),"")</f>
      </c>
      <c r="AS80" s="39">
        <f>IF(ISNUMBER($AB80),IF(Header!$D$34="","?",$AB80*Header!$D$34),"")</f>
      </c>
      <c r="AT80" s="42">
        <f>IF(AND(ISNUMBER($AB80),$M80&gt;0),$AB80/$M80*100,"")</f>
      </c>
      <c r="AU80" s="42">
        <f>IF(AND(ISNUMBER($AD80),$M80&gt;0),$AD80/$M80*100,"")</f>
      </c>
      <c r="AV80" s="40">
        <f>IF(AND(ISNUMBER($AB80),ISNUMBER($AD80),ABS($AB80)&gt;0),$AD80/$AB80,"")</f>
      </c>
      <c r="AW80" s="39">
        <f>IF(ISNUMBER($AD80),MAX(0,(1-0.55-Header!$O$3)*Header!$Q$3*$AQ80),"")</f>
      </c>
      <c r="AX80" s="43">
        <f>IF($A80="","",IF(TRIM(IF($A80="","Missing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",""))="","PASS","FAIL: "&amp;TRIM(IF($A80="","Missing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f>
      </c>
      <c r="AY80" s="44">
        <f>IF($M80="","",IF(ISNUMBER($M80),IF($M80&gt;=Header!$C$18,"YES — refer","No"),""))</f>
      </c>
      <c r="AZ80" s="44">
        <f>IF($AD80="","",IF(ISNUMBER($AD80),IF($AD80&lt;Header!$C$20,"BELOW MIN PREMIUM","OK"),""))</f>
      </c>
      <c r="BA80" s="48" t="inlineStr">
        <is>
          <t xml:space="preserve">Yes</t>
        </is>
      </c>
      <c r="BB80" s="48" t="inlineStr">
        <is>
          <t xml:space="preserve">Yes</t>
        </is>
      </c>
      <c r="BC80" s="46" t="inlineStr">
        <is>
          <t xml:space="preserve">Synthetic demo data</t>
        </is>
      </c>
      <c r="BE80" s="45">
        <f>IF(OR($A80="",$L80="",$H80=""),"",IF(AND(LEFT($L80,2)="06",$H80&gt;1945),"FAIL - pre-war class, year "&amp;$H80,IF(AND(LEFT($L80,2)="07",OR($H80&lt;1946,$H80&gt;1972)),"FAIL - 1946-72 class, year "&amp;$H80,IF(AND(LEFT($L80,2)="08",OR($H80&lt;1973,$H80&gt;1999)),"FAIL - 1973-99 class, year "&amp;$H80,IF(AND(LEFT($L80,2)="09",OR($H80&lt;2000,$H80&gt;2010)),"FAIL - 2000-10 class, year "&amp;$H80,"OK")))))</f>
      </c>
      <c r="BF80" s="45">
        <f>IF($AD80="","",IF(ROUND($AO80+$AP80+$AQ80-$AD80,2)=0,"OK","FAIL - out by "&amp;TEXT($AO80+$AP80+$AQ80-$AD80,"$0.00")))</f>
      </c>
    </row>
    <row r="81" spans="1:58" ht="18.75" customHeight="1" x14ac:dyDescent="0.25">
      <c r="A81" s="30" t="inlineStr">
        <is>
          <t xml:space="preserve">CANON-202508-000108</t>
        </is>
      </c>
      <c r="B81" s="30" t="inlineStr">
        <is>
          <t xml:space="preserve">Fitzgerald Delacroix</t>
        </is>
      </c>
      <c r="C81" s="31">
        <v>45888</v>
      </c>
      <c r="D81" s="32" t="inlineStr">
        <is>
          <t xml:space="preserve">Bound - within authority</t>
        </is>
      </c>
      <c r="E81" s="32" t="inlineStr">
        <is>
          <t xml:space="preserve">New business</t>
        </is>
      </c>
      <c r="F81" s="30" t="inlineStr">
        <is>
          <t xml:space="preserve">B1234EXOTIC26</t>
        </is>
      </c>
      <c r="G81" s="33">
        <f>IF($A81="","",IF($C81="","",YEAR($C81)))</f>
      </c>
      <c r="H81" s="34">
        <v>1977</v>
      </c>
      <c r="I81" s="30" t="inlineStr">
        <is>
          <t xml:space="preserve">Lamborghini</t>
        </is>
      </c>
      <c r="J81" s="30" t="inlineStr">
        <is>
          <t xml:space="preserve">Huracan EVO</t>
        </is>
      </c>
      <c r="K81" s="30" t="inlineStr">
        <is>
          <t xml:space="preserve">48UTJ0P9NJEGVMTGC</t>
        </is>
      </c>
      <c r="L81" s="32" t="inlineStr">
        <is>
          <t xml:space="preserve">03 - Supercar</t>
        </is>
      </c>
      <c r="M81" s="35">
        <v>610000</v>
      </c>
      <c r="N81" s="32" t="inlineStr">
        <is>
          <t xml:space="preserve">Personal</t>
        </is>
      </c>
      <c r="O81" s="30" t="inlineStr">
        <is>
          <t xml:space="preserve">Personal - regular use</t>
        </is>
      </c>
      <c r="P81" s="30" t="inlineStr">
        <is>
          <t xml:space="preserve">2,500 - 5,000</t>
        </is>
      </c>
      <c r="Q81" s="30" t="inlineStr">
        <is>
          <t xml:space="preserve">New Jersey</t>
        </is>
      </c>
      <c r="R81" s="30" t="inlineStr">
        <is>
          <t xml:space="preserve">07102</t>
        </is>
      </c>
      <c r="S81" s="32" t="inlineStr">
        <is>
          <t xml:space="preserve">Tier 3 - Coastal wind (25-100 miles)</t>
        </is>
      </c>
      <c r="T81" s="36">
        <f>IF($A81="","",IF($S81="","",IFERROR(INDEX('[1]natural catastrophe'!$D$6:$D$17,MATCH($S81,'[1]natural catastrophe'!$B$6:$B$17,0)),"?")))</f>
      </c>
      <c r="U81" s="30" t="inlineStr">
        <is>
          <t xml:space="preserve">2% of agreed value, minimum $10,000</t>
        </is>
      </c>
      <c r="V81" s="32" t="inlineStr">
        <is>
          <t xml:space="preserve">Agreed Value</t>
        </is>
      </c>
      <c r="W81" s="30" t="inlineStr">
        <is>
          <t xml:space="preserve">$1,000</t>
        </is>
      </c>
      <c r="X81" s="32" t="inlineStr">
        <is>
          <t xml:space="preserve">$1,000,000 CSL</t>
        </is>
      </c>
      <c r="Y81" s="30"/>
      <c r="Z81" s="30"/>
      <c r="AA81" s="32" t="inlineStr">
        <is>
          <t xml:space="preserve">Surplus Lines</t>
        </is>
      </c>
      <c r="AB81" s="35">
        <v>9949.91</v>
      </c>
      <c r="AC81" s="37">
        <v>0</v>
      </c>
      <c r="AD81" s="38">
        <f>IF(ISNUMBER($AB81),$AB81*(1+N($AC81)),"")</f>
      </c>
      <c r="AE81" s="35">
        <v>350</v>
      </c>
      <c r="AF81" s="35">
        <v>0</v>
      </c>
      <c r="AG81" s="37"/>
      <c r="AH81" s="39">
        <f>IF(ISNUMBER($AD81),($AD81+$AE81+$AF81)*$AG81,"")</f>
      </c>
      <c r="AI81" s="35"/>
      <c r="AJ81" s="38">
        <f>IF(ISNUMBER($AD81),SUM($AD81:$AH81),"")</f>
      </c>
      <c r="AK81" s="40">
        <f>IF(AND(ISNUMBER($AB81),ISNUMBER($AD81)),IF($AB81&gt;0,$AD81/$AB81,""),"")</f>
      </c>
      <c r="AL81" s="32" t="inlineStr">
        <is>
          <t xml:space="preserve">At technical</t>
        </is>
      </c>
      <c r="AM81" s="41">
        <f>IF(ISNUMBER($AD81),Header!$I$3,"")</f>
      </c>
      <c r="AN81" s="39">
        <f>IF(ISNUMBER($AD81),$AO81+$AP81,"")</f>
      </c>
      <c r="AO81" s="39">
        <f>IF(ISNUMBER($AD81),ROUND($AD81*Header!$K$3,2),"")</f>
      </c>
      <c r="AP81" s="39">
        <f>IF(ISNUMBER($AD81),ROUND($AD81*Header!$M$3,2),"")</f>
      </c>
      <c r="AQ81" s="38">
        <f>IF(ISNUMBER($AD81),ROUND($AD81,2)-$AO81-$AP81,"")</f>
      </c>
      <c r="AR81" s="39">
        <f>IF(ISNUMBER($AD81),IF(Header!$D$34="","?",$AD81*Header!$D$34),"")</f>
      </c>
      <c r="AS81" s="39">
        <f>IF(ISNUMBER($AB81),IF(Header!$D$34="","?",$AB81*Header!$D$34),"")</f>
      </c>
      <c r="AT81" s="42">
        <f>IF(AND(ISNUMBER($AB81),$M81&gt;0),$AB81/$M81*100,"")</f>
      </c>
      <c r="AU81" s="42">
        <f>IF(AND(ISNUMBER($AD81),$M81&gt;0),$AD81/$M81*100,"")</f>
      </c>
      <c r="AV81" s="40">
        <f>IF(AND(ISNUMBER($AB81),ISNUMBER($AD81),ABS($AB81)&gt;0),$AD81/$AB81,"")</f>
      </c>
      <c r="AW81" s="39">
        <f>IF(ISNUMBER($AD81),MAX(0,(1-0.55-Header!$O$3)*Header!$Q$3*$AQ81),"")</f>
      </c>
      <c r="AX81" s="43">
        <f>IF($A81="","",IF(TRIM(IF($A81="","Missing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",""))="","PASS","FAIL: "&amp;TRIM(IF($A81="","Missing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f>
      </c>
      <c r="AY81" s="44">
        <f>IF($M81="","",IF(ISNUMBER($M81),IF($M81&gt;=Header!$C$18,"YES — refer","No"),""))</f>
      </c>
      <c r="AZ81" s="44">
        <f>IF($AD81="","",IF(ISNUMBER($AD81),IF($AD81&lt;Header!$C$20,"BELOW MIN PREMIUM","OK"),""))</f>
      </c>
      <c r="BA81" s="32" t="inlineStr">
        <is>
          <t xml:space="preserve">Yes</t>
        </is>
      </c>
      <c r="BB81" s="32" t="inlineStr">
        <is>
          <t xml:space="preserve">Yes</t>
        </is>
      </c>
      <c r="BC81" s="30" t="inlineStr">
        <is>
          <t xml:space="preserve">Synthetic demo data</t>
        </is>
      </c>
      <c r="BE81" s="45">
        <f>IF(OR($A81="",$L81="",$H81=""),"",IF(AND(LEFT($L81,2)="06",$H81&gt;1945),"FAIL - pre-war class, year "&amp;$H81,IF(AND(LEFT($L81,2)="07",OR($H81&lt;1946,$H81&gt;1972)),"FAIL - 1946-72 class, year "&amp;$H81,IF(AND(LEFT($L81,2)="08",OR($H81&lt;1973,$H81&gt;1999)),"FAIL - 1973-99 class, year "&amp;$H81,IF(AND(LEFT($L81,2)="09",OR($H81&lt;2000,$H81&gt;2010)),"FAIL - 2000-10 class, year "&amp;$H81,"OK")))))</f>
      </c>
      <c r="BF81" s="45">
        <f>IF($AD81="","",IF(ROUND($AO81+$AP81+$AQ81-$AD81,2)=0,"OK","FAIL - out by "&amp;TEXT($AO81+$AP81+$AQ81-$AD81,"$0.00")))</f>
      </c>
    </row>
    <row r="82" spans="1:58" ht="18.75" customHeight="1" x14ac:dyDescent="0.25">
      <c r="A82" s="46" t="inlineStr">
        <is>
          <t xml:space="preserve">CANON-202508-000109</t>
        </is>
      </c>
      <c r="B82" s="46" t="inlineStr">
        <is>
          <t xml:space="preserve">Mireille Nakashima</t>
        </is>
      </c>
      <c r="C82" s="47">
        <v>45891</v>
      </c>
      <c r="D82" s="48" t="inlineStr">
        <is>
          <t xml:space="preserve">Bound - within authority</t>
        </is>
      </c>
      <c r="E82" s="48" t="inlineStr">
        <is>
          <t xml:space="preserve">New business</t>
        </is>
      </c>
      <c r="F82" s="46" t="inlineStr">
        <is>
          <t xml:space="preserve">B1234EXOTIC26</t>
        </is>
      </c>
      <c r="G82" s="33">
        <f>IF($A82="","",IF($C82="","",YEAR($C82)))</f>
      </c>
      <c r="H82" s="49">
        <v>1977</v>
      </c>
      <c r="I82" s="46" t="inlineStr">
        <is>
          <t xml:space="preserve">Porsche</t>
        </is>
      </c>
      <c r="J82" s="46" t="inlineStr">
        <is>
          <t xml:space="preserve">911 Turbo S</t>
        </is>
      </c>
      <c r="K82" s="46" t="inlineStr">
        <is>
          <t xml:space="preserve">SNE8UWKV7KUDYKTVT</t>
        </is>
      </c>
      <c r="L82" s="48" t="inlineStr">
        <is>
          <t xml:space="preserve">02 - Sports / GT</t>
        </is>
      </c>
      <c r="M82" s="50">
        <v>410000</v>
      </c>
      <c r="N82" s="48" t="inlineStr">
        <is>
          <t xml:space="preserve">Personal</t>
        </is>
      </c>
      <c r="O82" s="46" t="inlineStr">
        <is>
          <t xml:space="preserve">Personal - regular use</t>
        </is>
      </c>
      <c r="P82" s="46" t="inlineStr">
        <is>
          <t xml:space="preserve">2,500 - 5,000</t>
        </is>
      </c>
      <c r="Q82" s="46" t="inlineStr">
        <is>
          <t xml:space="preserve">California</t>
        </is>
      </c>
      <c r="R82" s="46" t="inlineStr">
        <is>
          <t xml:space="preserve">90012</t>
        </is>
      </c>
      <c r="S82" s="48" t="inlineStr">
        <is>
          <t xml:space="preserve">Earthquake - high (CA, Cascadia, New Madrid)</t>
        </is>
      </c>
      <c r="T82" s="36">
        <f>IF($A82="","",IF($S82="","",IFERROR(INDEX('[1]natural catastrophe'!$D$6:$D$17,MATCH($S82,'[1]natural catastrophe'!$B$6:$B$17,0)),"?")))</f>
      </c>
      <c r="U82" s="46" t="inlineStr">
        <is>
          <t xml:space="preserve">$5,000</t>
        </is>
      </c>
      <c r="V82" s="48" t="inlineStr">
        <is>
          <t xml:space="preserve">Agreed Value</t>
        </is>
      </c>
      <c r="W82" s="46" t="inlineStr">
        <is>
          <t xml:space="preserve">$1,000</t>
        </is>
      </c>
      <c r="X82" s="48" t="inlineStr">
        <is>
          <t xml:space="preserve">$1,000,000 CSL</t>
        </is>
      </c>
      <c r="Y82" s="46"/>
      <c r="Z82" s="46"/>
      <c r="AA82" s="48" t="inlineStr">
        <is>
          <t xml:space="preserve">Surplus Lines</t>
        </is>
      </c>
      <c r="AB82" s="50">
        <v>7832.55</v>
      </c>
      <c r="AC82" s="51">
        <v>0</v>
      </c>
      <c r="AD82" s="38">
        <f>IF(ISNUMBER($AB82),$AB82*(1+N($AC82)),"")</f>
      </c>
      <c r="AE82" s="50">
        <v>350</v>
      </c>
      <c r="AF82" s="50">
        <v>0</v>
      </c>
      <c r="AG82" s="51"/>
      <c r="AH82" s="39">
        <f>IF(ISNUMBER($AD82),($AD82+$AE82+$AF82)*$AG82,"")</f>
      </c>
      <c r="AI82" s="50"/>
      <c r="AJ82" s="38">
        <f>IF(ISNUMBER($AD82),SUM($AD82:$AH82),"")</f>
      </c>
      <c r="AK82" s="40">
        <f>IF(AND(ISNUMBER($AB82),ISNUMBER($AD82)),IF($AB82&gt;0,$AD82/$AB82,""),"")</f>
      </c>
      <c r="AL82" s="48" t="inlineStr">
        <is>
          <t xml:space="preserve">At technical</t>
        </is>
      </c>
      <c r="AM82" s="41">
        <f>IF(ISNUMBER($AD82),Header!$I$3,"")</f>
      </c>
      <c r="AN82" s="39">
        <f>IF(ISNUMBER($AD82),$AO82+$AP82,"")</f>
      </c>
      <c r="AO82" s="39">
        <f>IF(ISNUMBER($AD82),ROUND($AD82*Header!$K$3,2),"")</f>
      </c>
      <c r="AP82" s="39">
        <f>IF(ISNUMBER($AD82),ROUND($AD82*Header!$M$3,2),"")</f>
      </c>
      <c r="AQ82" s="38">
        <f>IF(ISNUMBER($AD82),ROUND($AD82,2)-$AO82-$AP82,"")</f>
      </c>
      <c r="AR82" s="39">
        <f>IF(ISNUMBER($AD82),IF(Header!$D$34="","?",$AD82*Header!$D$34),"")</f>
      </c>
      <c r="AS82" s="39">
        <f>IF(ISNUMBER($AB82),IF(Header!$D$34="","?",$AB82*Header!$D$34),"")</f>
      </c>
      <c r="AT82" s="42">
        <f>IF(AND(ISNUMBER($AB82),$M82&gt;0),$AB82/$M82*100,"")</f>
      </c>
      <c r="AU82" s="42">
        <f>IF(AND(ISNUMBER($AD82),$M82&gt;0),$AD82/$M82*100,"")</f>
      </c>
      <c r="AV82" s="40">
        <f>IF(AND(ISNUMBER($AB82),ISNUMBER($AD82),ABS($AB82)&gt;0),$AD82/$AB82,"")</f>
      </c>
      <c r="AW82" s="39">
        <f>IF(ISNUMBER($AD82),MAX(0,(1-0.55-Header!$O$3)*Header!$Q$3*$AQ82),"")</f>
      </c>
      <c r="AX82" s="43">
        <f>IF($A82="","",IF(TRIM(IF($A82="","Missing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",""))="","PASS","FAIL: "&amp;TRIM(IF($A82="","Missing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f>
      </c>
      <c r="AY82" s="44">
        <f>IF($M82="","",IF(ISNUMBER($M82),IF($M82&gt;=Header!$C$18,"YES — refer","No"),""))</f>
      </c>
      <c r="AZ82" s="44">
        <f>IF($AD82="","",IF(ISNUMBER($AD82),IF($AD82&lt;Header!$C$20,"BELOW MIN PREMIUM","OK"),""))</f>
      </c>
      <c r="BA82" s="48" t="inlineStr">
        <is>
          <t xml:space="preserve">Yes</t>
        </is>
      </c>
      <c r="BB82" s="48" t="inlineStr">
        <is>
          <t xml:space="preserve">Yes</t>
        </is>
      </c>
      <c r="BC82" s="46" t="inlineStr">
        <is>
          <t xml:space="preserve">Synthetic demo data</t>
        </is>
      </c>
      <c r="BE82" s="45">
        <f>IF(OR($A82="",$L82="",$H82=""),"",IF(AND(LEFT($L82,2)="06",$H82&gt;1945),"FAIL - pre-war class, year "&amp;$H82,IF(AND(LEFT($L82,2)="07",OR($H82&lt;1946,$H82&gt;1972)),"FAIL - 1946-72 class, year "&amp;$H82,IF(AND(LEFT($L82,2)="08",OR($H82&lt;1973,$H82&gt;1999)),"FAIL - 1973-99 class, year "&amp;$H82,IF(AND(LEFT($L82,2)="09",OR($H82&lt;2000,$H82&gt;2010)),"FAIL - 2000-10 class, year "&amp;$H82,"OK")))))</f>
      </c>
      <c r="BF82" s="45">
        <f>IF($AD82="","",IF(ROUND($AO82+$AP82+$AQ82-$AD82,2)=0,"OK","FAIL - out by "&amp;TEXT($AO82+$AP82+$AQ82-$AD82,"$0.00")))</f>
      </c>
    </row>
    <row r="83" spans="1:58" ht="18.75" customHeight="1" x14ac:dyDescent="0.25">
      <c r="A83" s="30" t="inlineStr">
        <is>
          <t xml:space="preserve">CANON-202508-000110</t>
        </is>
      </c>
      <c r="B83" s="30" t="inlineStr">
        <is>
          <t xml:space="preserve">Lorenzo Castellanos</t>
        </is>
      </c>
      <c r="C83" s="31">
        <v>45891</v>
      </c>
      <c r="D83" s="32" t="inlineStr">
        <is>
          <t xml:space="preserve">Bound - within authority</t>
        </is>
      </c>
      <c r="E83" s="32" t="inlineStr">
        <is>
          <t xml:space="preserve">New business</t>
        </is>
      </c>
      <c r="F83" s="30" t="inlineStr">
        <is>
          <t xml:space="preserve">B1234EXOTIC26</t>
        </is>
      </c>
      <c r="G83" s="33">
        <f>IF($A83="","",IF($C83="","",YEAR($C83)))</f>
      </c>
      <c r="H83" s="34">
        <v>1981</v>
      </c>
      <c r="I83" s="30" t="inlineStr">
        <is>
          <t xml:space="preserve">Ferrari</t>
        </is>
      </c>
      <c r="J83" s="30" t="inlineStr">
        <is>
          <t xml:space="preserve">296 GTB</t>
        </is>
      </c>
      <c r="K83" s="30" t="inlineStr">
        <is>
          <t xml:space="preserve">285ZW28BX7RWNPR12</t>
        </is>
      </c>
      <c r="L83" s="32" t="inlineStr">
        <is>
          <t xml:space="preserve">03 - Supercar</t>
        </is>
      </c>
      <c r="M83" s="35">
        <v>1045000</v>
      </c>
      <c r="N83" s="32" t="inlineStr">
        <is>
          <t xml:space="preserve">Personal</t>
        </is>
      </c>
      <c r="O83" s="30" t="inlineStr">
        <is>
          <t xml:space="preserve">Personal - regular use</t>
        </is>
      </c>
      <c r="P83" s="30" t="inlineStr">
        <is>
          <t xml:space="preserve">2,500 - 5,000</t>
        </is>
      </c>
      <c r="Q83" s="30" t="inlineStr">
        <is>
          <t xml:space="preserve">California</t>
        </is>
      </c>
      <c r="R83" s="30" t="inlineStr">
        <is>
          <t xml:space="preserve">90012</t>
        </is>
      </c>
      <c r="S83" s="32" t="inlineStr">
        <is>
          <t xml:space="preserve">Earthquake - high (CA, Cascadia, New Madrid)</t>
        </is>
      </c>
      <c r="T83" s="36">
        <f>IF($A83="","",IF($S83="","",IFERROR(INDEX('[1]natural catastrophe'!$D$6:$D$17,MATCH($S83,'[1]natural catastrophe'!$B$6:$B$17,0)),"?")))</f>
      </c>
      <c r="U83" s="30" t="inlineStr">
        <is>
          <t xml:space="preserve">$5,000</t>
        </is>
      </c>
      <c r="V83" s="32" t="inlineStr">
        <is>
          <t xml:space="preserve">Agreed Value</t>
        </is>
      </c>
      <c r="W83" s="30" t="inlineStr">
        <is>
          <t xml:space="preserve">$1,000</t>
        </is>
      </c>
      <c r="X83" s="32" t="inlineStr">
        <is>
          <t xml:space="preserve">$1,000,000 CSL</t>
        </is>
      </c>
      <c r="Y83" s="30"/>
      <c r="Z83" s="30"/>
      <c r="AA83" s="32" t="inlineStr">
        <is>
          <t xml:space="preserve">Surplus Lines</t>
        </is>
      </c>
      <c r="AB83" s="35">
        <v>21294.34</v>
      </c>
      <c r="AC83" s="37">
        <v>0</v>
      </c>
      <c r="AD83" s="38">
        <f>IF(ISNUMBER($AB83),$AB83*(1+N($AC83)),"")</f>
      </c>
      <c r="AE83" s="35">
        <v>350</v>
      </c>
      <c r="AF83" s="35">
        <v>250</v>
      </c>
      <c r="AG83" s="37"/>
      <c r="AH83" s="39">
        <f>IF(ISNUMBER($AD83),($AD83+$AE83+$AF83)*$AG83,"")</f>
      </c>
      <c r="AI83" s="35"/>
      <c r="AJ83" s="38">
        <f>IF(ISNUMBER($AD83),SUM($AD83:$AH83),"")</f>
      </c>
      <c r="AK83" s="40">
        <f>IF(AND(ISNUMBER($AB83),ISNUMBER($AD83)),IF($AB83&gt;0,$AD83/$AB83,""),"")</f>
      </c>
      <c r="AL83" s="32" t="inlineStr">
        <is>
          <t xml:space="preserve">At technical</t>
        </is>
      </c>
      <c r="AM83" s="41">
        <f>IF(ISNUMBER($AD83),Header!$I$3,"")</f>
      </c>
      <c r="AN83" s="39">
        <f>IF(ISNUMBER($AD83),$AO83+$AP83,"")</f>
      </c>
      <c r="AO83" s="39">
        <f>IF(ISNUMBER($AD83),ROUND($AD83*Header!$K$3,2),"")</f>
      </c>
      <c r="AP83" s="39">
        <f>IF(ISNUMBER($AD83),ROUND($AD83*Header!$M$3,2),"")</f>
      </c>
      <c r="AQ83" s="38">
        <f>IF(ISNUMBER($AD83),ROUND($AD83,2)-$AO83-$AP83,"")</f>
      </c>
      <c r="AR83" s="39">
        <f>IF(ISNUMBER($AD83),IF(Header!$D$34="","?",$AD83*Header!$D$34),"")</f>
      </c>
      <c r="AS83" s="39">
        <f>IF(ISNUMBER($AB83),IF(Header!$D$34="","?",$AB83*Header!$D$34),"")</f>
      </c>
      <c r="AT83" s="42">
        <f>IF(AND(ISNUMBER($AB83),$M83&gt;0),$AB83/$M83*100,"")</f>
      </c>
      <c r="AU83" s="42">
        <f>IF(AND(ISNUMBER($AD83),$M83&gt;0),$AD83/$M83*100,"")</f>
      </c>
      <c r="AV83" s="40">
        <f>IF(AND(ISNUMBER($AB83),ISNUMBER($AD83),ABS($AB83)&gt;0),$AD83/$AB83,"")</f>
      </c>
      <c r="AW83" s="39">
        <f>IF(ISNUMBER($AD83),MAX(0,(1-0.55-Header!$O$3)*Header!$Q$3*$AQ83),"")</f>
      </c>
      <c r="AX83" s="43">
        <f>IF($A83="","",IF(TRIM(IF($A83="","Missing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",""))="","PASS","FAIL: "&amp;TRIM(IF($A83="","Missing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f>
      </c>
      <c r="AY83" s="44">
        <f>IF($M83="","",IF(ISNUMBER($M83),IF($M83&gt;=Header!$C$18,"YES — refer","No"),""))</f>
      </c>
      <c r="AZ83" s="44">
        <f>IF($AD83="","",IF(ISNUMBER($AD83),IF($AD83&lt;Header!$C$20,"BELOW MIN PREMIUM","OK"),""))</f>
      </c>
      <c r="BA83" s="32" t="inlineStr">
        <is>
          <t xml:space="preserve">Yes</t>
        </is>
      </c>
      <c r="BB83" s="32" t="inlineStr">
        <is>
          <t xml:space="preserve">Yes</t>
        </is>
      </c>
      <c r="BC83" s="30" t="inlineStr">
        <is>
          <t xml:space="preserve">Synthetic demo data</t>
        </is>
      </c>
      <c r="BE83" s="45">
        <f>IF(OR($A83="",$L83="",$H83=""),"",IF(AND(LEFT($L83,2)="06",$H83&gt;1945),"FAIL - pre-war class, year "&amp;$H83,IF(AND(LEFT($L83,2)="07",OR($H83&lt;1946,$H83&gt;1972)),"FAIL - 1946-72 class, year "&amp;$H83,IF(AND(LEFT($L83,2)="08",OR($H83&lt;1973,$H83&gt;1999)),"FAIL - 1973-99 class, year "&amp;$H83,IF(AND(LEFT($L83,2)="09",OR($H83&lt;2000,$H83&gt;2010)),"FAIL - 2000-10 class, year "&amp;$H83,"OK")))))</f>
      </c>
      <c r="BF83" s="45">
        <f>IF($AD83="","",IF(ROUND($AO83+$AP83+$AQ83-$AD83,2)=0,"OK","FAIL - out by "&amp;TEXT($AO83+$AP83+$AQ83-$AD83,"$0.00")))</f>
      </c>
    </row>
    <row r="84" spans="1:58" ht="18.75" customHeight="1" x14ac:dyDescent="0.25">
      <c r="A84" s="46" t="inlineStr">
        <is>
          <t xml:space="preserve">CANON-202508-000111</t>
        </is>
      </c>
      <c r="B84" s="46" t="inlineStr">
        <is>
          <t xml:space="preserve">Delphine Whitlock</t>
        </is>
      </c>
      <c r="C84" s="47">
        <v>45895</v>
      </c>
      <c r="D84" s="48" t="inlineStr">
        <is>
          <t xml:space="preserve">Bound - within authority</t>
        </is>
      </c>
      <c r="E84" s="48" t="inlineStr">
        <is>
          <t xml:space="preserve">New business</t>
        </is>
      </c>
      <c r="F84" s="46" t="inlineStr">
        <is>
          <t xml:space="preserve">B1234EXOTIC26</t>
        </is>
      </c>
      <c r="G84" s="33">
        <f>IF($A84="","",IF($C84="","",YEAR($C84)))</f>
      </c>
      <c r="H84" s="49">
        <v>1992</v>
      </c>
      <c r="I84" s="46" t="inlineStr">
        <is>
          <t xml:space="preserve">Alfa Romeo</t>
        </is>
      </c>
      <c r="J84" s="46" t="inlineStr">
        <is>
          <t xml:space="preserve">8C 2900</t>
        </is>
      </c>
      <c r="K84" s="46" t="inlineStr">
        <is>
          <t xml:space="preserve">223AR1R0AU2CP2954</t>
        </is>
      </c>
      <c r="L84" s="48" t="inlineStr">
        <is>
          <t xml:space="preserve">08 - Modern Classic (1973-1999)</t>
        </is>
      </c>
      <c r="M84" s="50">
        <v>365000</v>
      </c>
      <c r="N84" s="48" t="inlineStr">
        <is>
          <t xml:space="preserve">Personal</t>
        </is>
      </c>
      <c r="O84" s="46" t="inlineStr">
        <is>
          <t xml:space="preserve">Personal - regular use</t>
        </is>
      </c>
      <c r="P84" s="46" t="inlineStr">
        <is>
          <t xml:space="preserve">2,500 - 5,000</t>
        </is>
      </c>
      <c r="Q84" s="46" t="inlineStr">
        <is>
          <t xml:space="preserve">Texas</t>
        </is>
      </c>
      <c r="R84" s="46" t="inlineStr">
        <is>
          <t xml:space="preserve">75201</t>
        </is>
      </c>
      <c r="S84" s="48" t="inlineStr">
        <is>
          <t xml:space="preserve">Tier 2 - Coastal wind (1-25 miles)</t>
        </is>
      </c>
      <c r="T84" s="36">
        <f>IF($A84="","",IF($S84="","",IFERROR(INDEX('[1]natural catastrophe'!$D$6:$D$17,MATCH($S84,'[1]natural catastrophe'!$B$6:$B$17,0)),"?")))</f>
      </c>
      <c r="U84" s="46" t="inlineStr">
        <is>
          <t xml:space="preserve">2% of agreed value, minimum $10,000</t>
        </is>
      </c>
      <c r="V84" s="48" t="inlineStr">
        <is>
          <t xml:space="preserve">Agreed Value</t>
        </is>
      </c>
      <c r="W84" s="46" t="inlineStr">
        <is>
          <t xml:space="preserve">$1,000</t>
        </is>
      </c>
      <c r="X84" s="48" t="inlineStr">
        <is>
          <t xml:space="preserve">$1,000,000 CSL</t>
        </is>
      </c>
      <c r="Y84" s="46"/>
      <c r="Z84" s="46"/>
      <c r="AA84" s="48" t="inlineStr">
        <is>
          <t xml:space="preserve">Surplus Lines</t>
        </is>
      </c>
      <c r="AB84" s="50">
        <v>3326.32</v>
      </c>
      <c r="AC84" s="51">
        <v>0</v>
      </c>
      <c r="AD84" s="38">
        <f>IF(ISNUMBER($AB84),$AB84*(1+N($AC84)),"")</f>
      </c>
      <c r="AE84" s="50">
        <v>350</v>
      </c>
      <c r="AF84" s="50">
        <v>0</v>
      </c>
      <c r="AG84" s="51"/>
      <c r="AH84" s="39">
        <f>IF(ISNUMBER($AD84),($AD84+$AE84+$AF84)*$AG84,"")</f>
      </c>
      <c r="AI84" s="50"/>
      <c r="AJ84" s="38">
        <f>IF(ISNUMBER($AD84),SUM($AD84:$AH84),"")</f>
      </c>
      <c r="AK84" s="40">
        <f>IF(AND(ISNUMBER($AB84),ISNUMBER($AD84)),IF($AB84&gt;0,$AD84/$AB84,""),"")</f>
      </c>
      <c r="AL84" s="48" t="inlineStr">
        <is>
          <t xml:space="preserve">At technical</t>
        </is>
      </c>
      <c r="AM84" s="41">
        <f>IF(ISNUMBER($AD84),Header!$I$3,"")</f>
      </c>
      <c r="AN84" s="39">
        <f>IF(ISNUMBER($AD84),$AO84+$AP84,"")</f>
      </c>
      <c r="AO84" s="39">
        <f>IF(ISNUMBER($AD84),ROUND($AD84*Header!$K$3,2),"")</f>
      </c>
      <c r="AP84" s="39">
        <f>IF(ISNUMBER($AD84),ROUND($AD84*Header!$M$3,2),"")</f>
      </c>
      <c r="AQ84" s="38">
        <f>IF(ISNUMBER($AD84),ROUND($AD84,2)-$AO84-$AP84,"")</f>
      </c>
      <c r="AR84" s="39">
        <f>IF(ISNUMBER($AD84),IF(Header!$D$34="","?",$AD84*Header!$D$34),"")</f>
      </c>
      <c r="AS84" s="39">
        <f>IF(ISNUMBER($AB84),IF(Header!$D$34="","?",$AB84*Header!$D$34),"")</f>
      </c>
      <c r="AT84" s="42">
        <f>IF(AND(ISNUMBER($AB84),$M84&gt;0),$AB84/$M84*100,"")</f>
      </c>
      <c r="AU84" s="42">
        <f>IF(AND(ISNUMBER($AD84),$M84&gt;0),$AD84/$M84*100,"")</f>
      </c>
      <c r="AV84" s="40">
        <f>IF(AND(ISNUMBER($AB84),ISNUMBER($AD84),ABS($AB84)&gt;0),$AD84/$AB84,"")</f>
      </c>
      <c r="AW84" s="39">
        <f>IF(ISNUMBER($AD84),MAX(0,(1-0.55-Header!$O$3)*Header!$Q$3*$AQ84),"")</f>
      </c>
      <c r="AX84" s="43">
        <f>IF($A84="","",IF(TRIM(IF($A84="","Missing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",""))="","PASS","FAIL: "&amp;TRIM(IF($A84="","Missing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f>
      </c>
      <c r="AY84" s="44">
        <f>IF($M84="","",IF(ISNUMBER($M84),IF($M84&gt;=Header!$C$18,"YES — refer","No"),""))</f>
      </c>
      <c r="AZ84" s="44">
        <f>IF($AD84="","",IF(ISNUMBER($AD84),IF($AD84&lt;Header!$C$20,"BELOW MIN PREMIUM","OK"),""))</f>
      </c>
      <c r="BA84" s="48" t="inlineStr">
        <is>
          <t xml:space="preserve">Yes</t>
        </is>
      </c>
      <c r="BB84" s="48" t="inlineStr">
        <is>
          <t xml:space="preserve">Yes</t>
        </is>
      </c>
      <c r="BC84" s="46" t="inlineStr">
        <is>
          <t xml:space="preserve">Synthetic demo data</t>
        </is>
      </c>
      <c r="BE84" s="45">
        <f>IF(OR($A84="",$L84="",$H84=""),"",IF(AND(LEFT($L84,2)="06",$H84&gt;1945),"FAIL - pre-war class, year "&amp;$H84,IF(AND(LEFT($L84,2)="07",OR($H84&lt;1946,$H84&gt;1972)),"FAIL - 1946-72 class, year "&amp;$H84,IF(AND(LEFT($L84,2)="08",OR($H84&lt;1973,$H84&gt;1999)),"FAIL - 1973-99 class, year "&amp;$H84,IF(AND(LEFT($L84,2)="09",OR($H84&lt;2000,$H84&gt;2010)),"FAIL - 2000-10 class, year "&amp;$H84,"OK")))))</f>
      </c>
      <c r="BF84" s="45">
        <f>IF($AD84="","",IF(ROUND($AO84+$AP84+$AQ84-$AD84,2)=0,"OK","FAIL - out by "&amp;TEXT($AO84+$AP84+$AQ84-$AD84,"$0.00")))</f>
      </c>
    </row>
    <row r="85" spans="1:58" ht="18.75" customHeight="1" x14ac:dyDescent="0.25">
      <c r="A85" s="30" t="inlineStr">
        <is>
          <t xml:space="preserve">CANON-202508-000112</t>
        </is>
      </c>
      <c r="B85" s="30" t="inlineStr">
        <is>
          <t xml:space="preserve">Lorenzo Larsson</t>
        </is>
      </c>
      <c r="C85" s="31">
        <v>45880</v>
      </c>
      <c r="D85" s="32" t="inlineStr">
        <is>
          <t xml:space="preserve">Bound - within authority</t>
        </is>
      </c>
      <c r="E85" s="32" t="inlineStr">
        <is>
          <t xml:space="preserve">New business</t>
        </is>
      </c>
      <c r="F85" s="30" t="inlineStr">
        <is>
          <t xml:space="preserve">B1234EXOTIC26</t>
        </is>
      </c>
      <c r="G85" s="33">
        <f>IF($A85="","",IF($C85="","",YEAR($C85)))</f>
      </c>
      <c r="H85" s="34">
        <v>2004</v>
      </c>
      <c r="I85" s="30" t="inlineStr">
        <is>
          <t xml:space="preserve">Lamborghini</t>
        </is>
      </c>
      <c r="J85" s="30" t="inlineStr">
        <is>
          <t xml:space="preserve">Huracan EVO</t>
        </is>
      </c>
      <c r="K85" s="30" t="inlineStr">
        <is>
          <t xml:space="preserve">YX6597H8ZCFPYS5CH</t>
        </is>
      </c>
      <c r="L85" s="32" t="inlineStr">
        <is>
          <t xml:space="preserve">03 - Supercar</t>
        </is>
      </c>
      <c r="M85" s="35">
        <v>1665000</v>
      </c>
      <c r="N85" s="32" t="inlineStr">
        <is>
          <t xml:space="preserve">Personal</t>
        </is>
      </c>
      <c r="O85" s="30" t="inlineStr">
        <is>
          <t xml:space="preserve">Personal - regular use</t>
        </is>
      </c>
      <c r="P85" s="30" t="inlineStr">
        <is>
          <t xml:space="preserve">1,000 - 2,500</t>
        </is>
      </c>
      <c r="Q85" s="30" t="inlineStr">
        <is>
          <t xml:space="preserve">Ohio</t>
        </is>
      </c>
      <c r="R85" s="30" t="inlineStr">
        <is>
          <t xml:space="preserve">43215</t>
        </is>
      </c>
      <c r="S85" s="32" t="inlineStr">
        <is>
          <t xml:space="preserve">Severe convective - hail / tornado (moderate)</t>
        </is>
      </c>
      <c r="T85" s="36">
        <f>IF($A85="","",IF($S85="","",IFERROR(INDEX('[1]natural catastrophe'!$D$6:$D$17,MATCH($S85,'[1]natural catastrophe'!$B$6:$B$17,0)),"?")))</f>
      </c>
      <c r="U85" s="30" t="inlineStr">
        <is>
          <t xml:space="preserve">$5,000</t>
        </is>
      </c>
      <c r="V85" s="32" t="inlineStr">
        <is>
          <t xml:space="preserve">Agreed Value</t>
        </is>
      </c>
      <c r="W85" s="30" t="inlineStr">
        <is>
          <t xml:space="preserve">$1,000</t>
        </is>
      </c>
      <c r="X85" s="32" t="inlineStr">
        <is>
          <t xml:space="preserve">$1,000,000 CSL</t>
        </is>
      </c>
      <c r="Y85" s="30"/>
      <c r="Z85" s="30"/>
      <c r="AA85" s="32" t="inlineStr">
        <is>
          <t xml:space="preserve">Surplus Lines</t>
        </is>
      </c>
      <c r="AB85" s="35">
        <v>34933.58</v>
      </c>
      <c r="AC85" s="37">
        <v>0</v>
      </c>
      <c r="AD85" s="38">
        <f>IF(ISNUMBER($AB85),$AB85*(1+N($AC85)),"")</f>
      </c>
      <c r="AE85" s="35">
        <v>350</v>
      </c>
      <c r="AF85" s="35">
        <v>250</v>
      </c>
      <c r="AG85" s="37"/>
      <c r="AH85" s="39">
        <f>IF(ISNUMBER($AD85),($AD85+$AE85+$AF85)*$AG85,"")</f>
      </c>
      <c r="AI85" s="35"/>
      <c r="AJ85" s="38">
        <f>IF(ISNUMBER($AD85),SUM($AD85:$AH85),"")</f>
      </c>
      <c r="AK85" s="40">
        <f>IF(AND(ISNUMBER($AB85),ISNUMBER($AD85)),IF($AB85&gt;0,$AD85/$AB85,""),"")</f>
      </c>
      <c r="AL85" s="32" t="inlineStr">
        <is>
          <t xml:space="preserve">At technical</t>
        </is>
      </c>
      <c r="AM85" s="41">
        <f>IF(ISNUMBER($AD85),Header!$I$3,"")</f>
      </c>
      <c r="AN85" s="39">
        <f>IF(ISNUMBER($AD85),$AO85+$AP85,"")</f>
      </c>
      <c r="AO85" s="39">
        <f>IF(ISNUMBER($AD85),ROUND($AD85*Header!$K$3,2),"")</f>
      </c>
      <c r="AP85" s="39">
        <f>IF(ISNUMBER($AD85),ROUND($AD85*Header!$M$3,2),"")</f>
      </c>
      <c r="AQ85" s="38">
        <f>IF(ISNUMBER($AD85),ROUND($AD85,2)-$AO85-$AP85,"")</f>
      </c>
      <c r="AR85" s="39">
        <f>IF(ISNUMBER($AD85),IF(Header!$D$34="","?",$AD85*Header!$D$34),"")</f>
      </c>
      <c r="AS85" s="39">
        <f>IF(ISNUMBER($AB85),IF(Header!$D$34="","?",$AB85*Header!$D$34),"")</f>
      </c>
      <c r="AT85" s="42">
        <f>IF(AND(ISNUMBER($AB85),$M85&gt;0),$AB85/$M85*100,"")</f>
      </c>
      <c r="AU85" s="42">
        <f>IF(AND(ISNUMBER($AD85),$M85&gt;0),$AD85/$M85*100,"")</f>
      </c>
      <c r="AV85" s="40">
        <f>IF(AND(ISNUMBER($AB85),ISNUMBER($AD85),ABS($AB85)&gt;0),$AD85/$AB85,"")</f>
      </c>
      <c r="AW85" s="39">
        <f>IF(ISNUMBER($AD85),MAX(0,(1-0.55-Header!$O$3)*Header!$Q$3*$AQ85),"")</f>
      </c>
      <c r="AX85" s="43">
        <f>IF($A85="","",IF(TRIM(IF($A85="","Missing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",""))="","PASS","FAIL: "&amp;TRIM(IF($A85="","Missing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f>
      </c>
      <c r="AY85" s="44">
        <f>IF($M85="","",IF(ISNUMBER($M85),IF($M85&gt;=Header!$C$18,"YES — refer","No"),""))</f>
      </c>
      <c r="AZ85" s="44">
        <f>IF($AD85="","",IF(ISNUMBER($AD85),IF($AD85&lt;Header!$C$20,"BELOW MIN PREMIUM","OK"),""))</f>
      </c>
      <c r="BA85" s="32" t="inlineStr">
        <is>
          <t xml:space="preserve">Yes</t>
        </is>
      </c>
      <c r="BB85" s="32" t="inlineStr">
        <is>
          <t xml:space="preserve">Yes</t>
        </is>
      </c>
      <c r="BC85" s="30" t="inlineStr">
        <is>
          <t xml:space="preserve">Synthetic demo data</t>
        </is>
      </c>
      <c r="BE85" s="45">
        <f>IF(OR($A85="",$L85="",$H85=""),"",IF(AND(LEFT($L85,2)="06",$H85&gt;1945),"FAIL - pre-war class, year "&amp;$H85,IF(AND(LEFT($L85,2)="07",OR($H85&lt;1946,$H85&gt;1972)),"FAIL - 1946-72 class, year "&amp;$H85,IF(AND(LEFT($L85,2)="08",OR($H85&lt;1973,$H85&gt;1999)),"FAIL - 1973-99 class, year "&amp;$H85,IF(AND(LEFT($L85,2)="09",OR($H85&lt;2000,$H85&gt;2010)),"FAIL - 2000-10 class, year "&amp;$H85,"OK")))))</f>
      </c>
      <c r="BF85" s="45">
        <f>IF($AD85="","",IF(ROUND($AO85+$AP85+$AQ85-$AD85,2)=0,"OK","FAIL - out by "&amp;TEXT($AO85+$AP85+$AQ85-$AD85,"$0.00")))</f>
      </c>
    </row>
    <row r="86" spans="1:58" ht="18.75" customHeight="1" x14ac:dyDescent="0.25">
      <c r="A86" s="46" t="inlineStr">
        <is>
          <t xml:space="preserve">CANON-202508-000114</t>
        </is>
      </c>
      <c r="B86" s="46" t="inlineStr">
        <is>
          <t xml:space="preserve">Everett Underwood</t>
        </is>
      </c>
      <c r="C86" s="47">
        <v>45878</v>
      </c>
      <c r="D86" s="48" t="inlineStr">
        <is>
          <t xml:space="preserve">Bound - within authority</t>
        </is>
      </c>
      <c r="E86" s="48" t="inlineStr">
        <is>
          <t xml:space="preserve">New business</t>
        </is>
      </c>
      <c r="F86" s="46" t="inlineStr">
        <is>
          <t xml:space="preserve">B1234EXOTIC26</t>
        </is>
      </c>
      <c r="G86" s="33">
        <f>IF($A86="","",IF($C86="","",YEAR($C86)))</f>
      </c>
      <c r="H86" s="49">
        <v>2017</v>
      </c>
      <c r="I86" s="46" t="inlineStr">
        <is>
          <t xml:space="preserve">Mercedes-Benz</t>
        </is>
      </c>
      <c r="J86" s="46" t="inlineStr">
        <is>
          <t xml:space="preserve">280SL Pagoda</t>
        </is>
      </c>
      <c r="K86" s="46" t="inlineStr">
        <is>
          <t xml:space="preserve">5LKMY14SFG1PN9SX7</t>
        </is>
      </c>
      <c r="L86" s="48" t="inlineStr">
        <is>
          <t xml:space="preserve">02 - Sports / GT</t>
        </is>
      </c>
      <c r="M86" s="50">
        <v>1025000</v>
      </c>
      <c r="N86" s="48" t="inlineStr">
        <is>
          <t xml:space="preserve">Personal</t>
        </is>
      </c>
      <c r="O86" s="46" t="inlineStr">
        <is>
          <t xml:space="preserve">Personal - regular use</t>
        </is>
      </c>
      <c r="P86" s="46" t="inlineStr">
        <is>
          <t xml:space="preserve">2,500 - 5,000</t>
        </is>
      </c>
      <c r="Q86" s="46" t="inlineStr">
        <is>
          <t xml:space="preserve">Minnesota</t>
        </is>
      </c>
      <c r="R86" s="46" t="inlineStr">
        <is>
          <t xml:space="preserve">55401</t>
        </is>
      </c>
      <c r="S86" s="48" t="inlineStr">
        <is>
          <t xml:space="preserve">Severe convective - hail / tornado (moderate)</t>
        </is>
      </c>
      <c r="T86" s="36">
        <f>IF($A86="","",IF($S86="","",IFERROR(INDEX('[1]natural catastrophe'!$D$6:$D$17,MATCH($S86,'[1]natural catastrophe'!$B$6:$B$17,0)),"?")))</f>
      </c>
      <c r="U86" s="46" t="inlineStr">
        <is>
          <t xml:space="preserve">$5,000</t>
        </is>
      </c>
      <c r="V86" s="48" t="inlineStr">
        <is>
          <t xml:space="preserve">Agreed Value</t>
        </is>
      </c>
      <c r="W86" s="46" t="inlineStr">
        <is>
          <t xml:space="preserve">$1,000</t>
        </is>
      </c>
      <c r="X86" s="48" t="inlineStr">
        <is>
          <t xml:space="preserve">$1,000,000 CSL</t>
        </is>
      </c>
      <c r="Y86" s="46"/>
      <c r="Z86" s="46"/>
      <c r="AA86" s="48" t="inlineStr">
        <is>
          <t xml:space="preserve">Surplus Lines</t>
        </is>
      </c>
      <c r="AB86" s="50">
        <v>9700.75</v>
      </c>
      <c r="AC86" s="51">
        <v>0</v>
      </c>
      <c r="AD86" s="38">
        <f>IF(ISNUMBER($AB86),$AB86*(1+N($AC86)),"")</f>
      </c>
      <c r="AE86" s="50">
        <v>350</v>
      </c>
      <c r="AF86" s="50">
        <v>250</v>
      </c>
      <c r="AG86" s="51"/>
      <c r="AH86" s="39">
        <f>IF(ISNUMBER($AD86),($AD86+$AE86+$AF86)*$AG86,"")</f>
      </c>
      <c r="AI86" s="50"/>
      <c r="AJ86" s="38">
        <f>IF(ISNUMBER($AD86),SUM($AD86:$AH86),"")</f>
      </c>
      <c r="AK86" s="40">
        <f>IF(AND(ISNUMBER($AB86),ISNUMBER($AD86)),IF($AB86&gt;0,$AD86/$AB86,""),"")</f>
      </c>
      <c r="AL86" s="48" t="inlineStr">
        <is>
          <t xml:space="preserve">At technical</t>
        </is>
      </c>
      <c r="AM86" s="41">
        <f>IF(ISNUMBER($AD86),Header!$I$3,"")</f>
      </c>
      <c r="AN86" s="39">
        <f>IF(ISNUMBER($AD86),$AO86+$AP86,"")</f>
      </c>
      <c r="AO86" s="39">
        <f>IF(ISNUMBER($AD86),ROUND($AD86*Header!$K$3,2),"")</f>
      </c>
      <c r="AP86" s="39">
        <f>IF(ISNUMBER($AD86),ROUND($AD86*Header!$M$3,2),"")</f>
      </c>
      <c r="AQ86" s="38">
        <f>IF(ISNUMBER($AD86),ROUND($AD86,2)-$AO86-$AP86,"")</f>
      </c>
      <c r="AR86" s="39">
        <f>IF(ISNUMBER($AD86),IF(Header!$D$34="","?",$AD86*Header!$D$34),"")</f>
      </c>
      <c r="AS86" s="39">
        <f>IF(ISNUMBER($AB86),IF(Header!$D$34="","?",$AB86*Header!$D$34),"")</f>
      </c>
      <c r="AT86" s="42">
        <f>IF(AND(ISNUMBER($AB86),$M86&gt;0),$AB86/$M86*100,"")</f>
      </c>
      <c r="AU86" s="42">
        <f>IF(AND(ISNUMBER($AD86),$M86&gt;0),$AD86/$M86*100,"")</f>
      </c>
      <c r="AV86" s="40">
        <f>IF(AND(ISNUMBER($AB86),ISNUMBER($AD86),ABS($AB86)&gt;0),$AD86/$AB86,"")</f>
      </c>
      <c r="AW86" s="39">
        <f>IF(ISNUMBER($AD86),MAX(0,(1-0.55-Header!$O$3)*Header!$Q$3*$AQ86),"")</f>
      </c>
      <c r="AX86" s="43">
        <f>IF($A86="","",IF(TRIM(IF($A86="","Missing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",""))="","PASS","FAIL: "&amp;TRIM(IF($A86="","Missing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f>
      </c>
      <c r="AY86" s="44">
        <f>IF($M86="","",IF(ISNUMBER($M86),IF($M86&gt;=Header!$C$18,"YES — refer","No"),""))</f>
      </c>
      <c r="AZ86" s="44">
        <f>IF($AD86="","",IF(ISNUMBER($AD86),IF($AD86&lt;Header!$C$20,"BELOW MIN PREMIUM","OK"),""))</f>
      </c>
      <c r="BA86" s="48" t="inlineStr">
        <is>
          <t xml:space="preserve">Yes</t>
        </is>
      </c>
      <c r="BB86" s="48" t="inlineStr">
        <is>
          <t xml:space="preserve">Yes</t>
        </is>
      </c>
      <c r="BC86" s="46" t="inlineStr">
        <is>
          <t xml:space="preserve">Synthetic demo data</t>
        </is>
      </c>
      <c r="BE86" s="45">
        <f>IF(OR($A86="",$L86="",$H86=""),"",IF(AND(LEFT($L86,2)="06",$H86&gt;1945),"FAIL - pre-war class, year "&amp;$H86,IF(AND(LEFT($L86,2)="07",OR($H86&lt;1946,$H86&gt;1972)),"FAIL - 1946-72 class, year "&amp;$H86,IF(AND(LEFT($L86,2)="08",OR($H86&lt;1973,$H86&gt;1999)),"FAIL - 1973-99 class, year "&amp;$H86,IF(AND(LEFT($L86,2)="09",OR($H86&lt;2000,$H86&gt;2010)),"FAIL - 2000-10 class, year "&amp;$H86,"OK")))))</f>
      </c>
      <c r="BF86" s="45">
        <f>IF($AD86="","",IF(ROUND($AO86+$AP86+$AQ86-$AD86,2)=0,"OK","FAIL - out by "&amp;TEXT($AO86+$AP86+$AQ86-$AD86,"$0.00")))</f>
      </c>
    </row>
    <row r="87" spans="1:58" ht="18.75" customHeight="1" x14ac:dyDescent="0.25">
      <c r="A87" s="30" t="inlineStr">
        <is>
          <t xml:space="preserve">CANON-202508-000116</t>
        </is>
      </c>
      <c r="B87" s="30" t="inlineStr">
        <is>
          <t xml:space="preserve">Lorenzo Ashcombe</t>
        </is>
      </c>
      <c r="C87" s="31">
        <v>45893</v>
      </c>
      <c r="D87" s="32" t="inlineStr">
        <is>
          <t xml:space="preserve">Bound - within authority</t>
        </is>
      </c>
      <c r="E87" s="32" t="inlineStr">
        <is>
          <t xml:space="preserve">New business</t>
        </is>
      </c>
      <c r="F87" s="30" t="inlineStr">
        <is>
          <t xml:space="preserve">B1234EXOTIC26</t>
        </is>
      </c>
      <c r="G87" s="33">
        <f>IF($A87="","",IF($C87="","",YEAR($C87)))</f>
      </c>
      <c r="H87" s="34">
        <v>1990</v>
      </c>
      <c r="I87" s="30" t="inlineStr">
        <is>
          <t xml:space="preserve">BMW</t>
        </is>
      </c>
      <c r="J87" s="30" t="inlineStr">
        <is>
          <t xml:space="preserve">M8 Competition</t>
        </is>
      </c>
      <c r="K87" s="30" t="inlineStr">
        <is>
          <t xml:space="preserve">Y5JDFFP8CNW86L8WU</t>
        </is>
      </c>
      <c r="L87" s="32" t="inlineStr">
        <is>
          <t xml:space="preserve">02 - Sports / GT</t>
        </is>
      </c>
      <c r="M87" s="35">
        <v>635000</v>
      </c>
      <c r="N87" s="32" t="inlineStr">
        <is>
          <t xml:space="preserve">Personal</t>
        </is>
      </c>
      <c r="O87" s="30" t="inlineStr">
        <is>
          <t xml:space="preserve">Personal - regular use</t>
        </is>
      </c>
      <c r="P87" s="30" t="inlineStr">
        <is>
          <t xml:space="preserve">2,500 - 5,000</t>
        </is>
      </c>
      <c r="Q87" s="30" t="inlineStr">
        <is>
          <t xml:space="preserve">Illinois</t>
        </is>
      </c>
      <c r="R87" s="30" t="inlineStr">
        <is>
          <t xml:space="preserve">60601</t>
        </is>
      </c>
      <c r="S87" s="32" t="inlineStr">
        <is>
          <t xml:space="preserve">Severe convective - hail / tornado (moderate)</t>
        </is>
      </c>
      <c r="T87" s="36">
        <f>IF($A87="","",IF($S87="","",IFERROR(INDEX('[1]natural catastrophe'!$D$6:$D$17,MATCH($S87,'[1]natural catastrophe'!$B$6:$B$17,0)),"?")))</f>
      </c>
      <c r="U87" s="30" t="inlineStr">
        <is>
          <t xml:space="preserve">$5,000</t>
        </is>
      </c>
      <c r="V87" s="32" t="inlineStr">
        <is>
          <t xml:space="preserve">Agreed Value</t>
        </is>
      </c>
      <c r="W87" s="30" t="inlineStr">
        <is>
          <t xml:space="preserve">$1,000</t>
        </is>
      </c>
      <c r="X87" s="32" t="inlineStr">
        <is>
          <t xml:space="preserve">$1,000,000 CSL</t>
        </is>
      </c>
      <c r="Y87" s="30"/>
      <c r="Z87" s="30"/>
      <c r="AA87" s="32" t="inlineStr">
        <is>
          <t xml:space="preserve">Surplus Lines</t>
        </is>
      </c>
      <c r="AB87" s="35">
        <v>10591.32</v>
      </c>
      <c r="AC87" s="37">
        <v>0</v>
      </c>
      <c r="AD87" s="38">
        <f>IF(ISNUMBER($AB87),$AB87*(1+N($AC87)),"")</f>
      </c>
      <c r="AE87" s="35">
        <v>350</v>
      </c>
      <c r="AF87" s="35">
        <v>0</v>
      </c>
      <c r="AG87" s="37"/>
      <c r="AH87" s="39">
        <f>IF(ISNUMBER($AD87),($AD87+$AE87+$AF87)*$AG87,"")</f>
      </c>
      <c r="AI87" s="35"/>
      <c r="AJ87" s="38">
        <f>IF(ISNUMBER($AD87),SUM($AD87:$AH87),"")</f>
      </c>
      <c r="AK87" s="40">
        <f>IF(AND(ISNUMBER($AB87),ISNUMBER($AD87)),IF($AB87&gt;0,$AD87/$AB87,""),"")</f>
      </c>
      <c r="AL87" s="32" t="inlineStr">
        <is>
          <t xml:space="preserve">At technical</t>
        </is>
      </c>
      <c r="AM87" s="41">
        <f>IF(ISNUMBER($AD87),Header!$I$3,"")</f>
      </c>
      <c r="AN87" s="39">
        <f>IF(ISNUMBER($AD87),$AO87+$AP87,"")</f>
      </c>
      <c r="AO87" s="39">
        <f>IF(ISNUMBER($AD87),ROUND($AD87*Header!$K$3,2),"")</f>
      </c>
      <c r="AP87" s="39">
        <f>IF(ISNUMBER($AD87),ROUND($AD87*Header!$M$3,2),"")</f>
      </c>
      <c r="AQ87" s="38">
        <f>IF(ISNUMBER($AD87),ROUND($AD87,2)-$AO87-$AP87,"")</f>
      </c>
      <c r="AR87" s="39">
        <f>IF(ISNUMBER($AD87),IF(Header!$D$34="","?",$AD87*Header!$D$34),"")</f>
      </c>
      <c r="AS87" s="39">
        <f>IF(ISNUMBER($AB87),IF(Header!$D$34="","?",$AB87*Header!$D$34),"")</f>
      </c>
      <c r="AT87" s="42">
        <f>IF(AND(ISNUMBER($AB87),$M87&gt;0),$AB87/$M87*100,"")</f>
      </c>
      <c r="AU87" s="42">
        <f>IF(AND(ISNUMBER($AD87),$M87&gt;0),$AD87/$M87*100,"")</f>
      </c>
      <c r="AV87" s="40">
        <f>IF(AND(ISNUMBER($AB87),ISNUMBER($AD87),ABS($AB87)&gt;0),$AD87/$AB87,"")</f>
      </c>
      <c r="AW87" s="39">
        <f>IF(ISNUMBER($AD87),MAX(0,(1-0.55-Header!$O$3)*Header!$Q$3*$AQ87),"")</f>
      </c>
      <c r="AX87" s="43">
        <f>IF($A87="","",IF(TRIM(IF($A87="","Missing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",""))="","PASS","FAIL: "&amp;TRIM(IF($A87="","Missing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f>
      </c>
      <c r="AY87" s="44">
        <f>IF($M87="","",IF(ISNUMBER($M87),IF($M87&gt;=Header!$C$18,"YES — refer","No"),""))</f>
      </c>
      <c r="AZ87" s="44">
        <f>IF($AD87="","",IF(ISNUMBER($AD87),IF($AD87&lt;Header!$C$20,"BELOW MIN PREMIUM","OK"),""))</f>
      </c>
      <c r="BA87" s="32" t="inlineStr">
        <is>
          <t xml:space="preserve">Yes</t>
        </is>
      </c>
      <c r="BB87" s="32" t="inlineStr">
        <is>
          <t xml:space="preserve">Yes</t>
        </is>
      </c>
      <c r="BC87" s="30" t="inlineStr">
        <is>
          <t xml:space="preserve">Synthetic demo data</t>
        </is>
      </c>
      <c r="BE87" s="45">
        <f>IF(OR($A87="",$L87="",$H87=""),"",IF(AND(LEFT($L87,2)="06",$H87&gt;1945),"FAIL - pre-war class, year "&amp;$H87,IF(AND(LEFT($L87,2)="07",OR($H87&lt;1946,$H87&gt;1972)),"FAIL - 1946-72 class, year "&amp;$H87,IF(AND(LEFT($L87,2)="08",OR($H87&lt;1973,$H87&gt;1999)),"FAIL - 1973-99 class, year "&amp;$H87,IF(AND(LEFT($L87,2)="09",OR($H87&lt;2000,$H87&gt;2010)),"FAIL - 2000-10 class, year "&amp;$H87,"OK")))))</f>
      </c>
      <c r="BF87" s="45">
        <f>IF($AD87="","",IF(ROUND($AO87+$AP87+$AQ87-$AD87,2)=0,"OK","FAIL - out by "&amp;TEXT($AO87+$AP87+$AQ87-$AD87,"$0.00")))</f>
      </c>
    </row>
    <row r="88" spans="1:58" ht="18.75" customHeight="1" x14ac:dyDescent="0.25">
      <c r="A88" s="46" t="inlineStr">
        <is>
          <t xml:space="preserve">CANON-202508-000117</t>
        </is>
      </c>
      <c r="B88" s="46" t="inlineStr">
        <is>
          <t xml:space="preserve">Noor Thistlewood</t>
        </is>
      </c>
      <c r="C88" s="47">
        <v>45877</v>
      </c>
      <c r="D88" s="48" t="inlineStr">
        <is>
          <t xml:space="preserve">Bound - within authority</t>
        </is>
      </c>
      <c r="E88" s="48" t="inlineStr">
        <is>
          <t xml:space="preserve">New business</t>
        </is>
      </c>
      <c r="F88" s="46" t="inlineStr">
        <is>
          <t xml:space="preserve">B1234EXOTIC26</t>
        </is>
      </c>
      <c r="G88" s="33">
        <f>IF($A88="","",IF($C88="","",YEAR($C88)))</f>
      </c>
      <c r="H88" s="49">
        <v>2013</v>
      </c>
      <c r="I88" s="46" t="inlineStr">
        <is>
          <t xml:space="preserve">Jaguar</t>
        </is>
      </c>
      <c r="J88" s="46" t="inlineStr">
        <is>
          <t xml:space="preserve">E-Type Series 1</t>
        </is>
      </c>
      <c r="K88" s="46" t="inlineStr">
        <is>
          <t xml:space="preserve">SVP4WYU9HRXF07AG6</t>
        </is>
      </c>
      <c r="L88" s="48" t="inlineStr">
        <is>
          <t xml:space="preserve">02 - Sports / GT</t>
        </is>
      </c>
      <c r="M88" s="50">
        <v>215000</v>
      </c>
      <c r="N88" s="48" t="inlineStr">
        <is>
          <t xml:space="preserve">Personal</t>
        </is>
      </c>
      <c r="O88" s="46" t="inlineStr">
        <is>
          <t xml:space="preserve">Personal - regular use</t>
        </is>
      </c>
      <c r="P88" s="46" t="inlineStr">
        <is>
          <t xml:space="preserve">Under 1,000</t>
        </is>
      </c>
      <c r="Q88" s="46" t="inlineStr">
        <is>
          <t xml:space="preserve">Alabama</t>
        </is>
      </c>
      <c r="R88" s="46" t="inlineStr">
        <is>
          <t xml:space="preserve">35203</t>
        </is>
      </c>
      <c r="S88" s="48" t="inlineStr">
        <is>
          <t xml:space="preserve">Tier 2 - Coastal wind (1-25 miles)</t>
        </is>
      </c>
      <c r="T88" s="36">
        <f>IF($A88="","",IF($S88="","",IFERROR(INDEX('[1]natural catastrophe'!$D$6:$D$17,MATCH($S88,'[1]natural catastrophe'!$B$6:$B$17,0)),"?")))</f>
      </c>
      <c r="U88" s="46" t="inlineStr">
        <is>
          <t xml:space="preserve">2% of agreed value, minimum $10,000</t>
        </is>
      </c>
      <c r="V88" s="48" t="inlineStr">
        <is>
          <t xml:space="preserve">Agreed Value</t>
        </is>
      </c>
      <c r="W88" s="46" t="inlineStr">
        <is>
          <t xml:space="preserve">$1,000</t>
        </is>
      </c>
      <c r="X88" s="48" t="inlineStr">
        <is>
          <t xml:space="preserve">$1,000,000 CSL</t>
        </is>
      </c>
      <c r="Y88" s="46"/>
      <c r="Z88" s="46"/>
      <c r="AA88" s="48" t="inlineStr">
        <is>
          <t xml:space="preserve">Surplus Lines</t>
        </is>
      </c>
      <c r="AB88" s="50">
        <v>2936.58</v>
      </c>
      <c r="AC88" s="51">
        <v>0</v>
      </c>
      <c r="AD88" s="38">
        <f>IF(ISNUMBER($AB88),$AB88*(1+N($AC88)),"")</f>
      </c>
      <c r="AE88" s="50">
        <v>350</v>
      </c>
      <c r="AF88" s="50">
        <v>0</v>
      </c>
      <c r="AG88" s="51"/>
      <c r="AH88" s="39">
        <f>IF(ISNUMBER($AD88),($AD88+$AE88+$AF88)*$AG88,"")</f>
      </c>
      <c r="AI88" s="50"/>
      <c r="AJ88" s="38">
        <f>IF(ISNUMBER($AD88),SUM($AD88:$AH88),"")</f>
      </c>
      <c r="AK88" s="40">
        <f>IF(AND(ISNUMBER($AB88),ISNUMBER($AD88)),IF($AB88&gt;0,$AD88/$AB88,""),"")</f>
      </c>
      <c r="AL88" s="48" t="inlineStr">
        <is>
          <t xml:space="preserve">At technical</t>
        </is>
      </c>
      <c r="AM88" s="41">
        <f>IF(ISNUMBER($AD88),Header!$I$3,"")</f>
      </c>
      <c r="AN88" s="39">
        <f>IF(ISNUMBER($AD88),$AO88+$AP88,"")</f>
      </c>
      <c r="AO88" s="39">
        <f>IF(ISNUMBER($AD88),ROUND($AD88*Header!$K$3,2),"")</f>
      </c>
      <c r="AP88" s="39">
        <f>IF(ISNUMBER($AD88),ROUND($AD88*Header!$M$3,2),"")</f>
      </c>
      <c r="AQ88" s="38">
        <f>IF(ISNUMBER($AD88),ROUND($AD88,2)-$AO88-$AP88,"")</f>
      </c>
      <c r="AR88" s="39">
        <f>IF(ISNUMBER($AD88),IF(Header!$D$34="","?",$AD88*Header!$D$34),"")</f>
      </c>
      <c r="AS88" s="39">
        <f>IF(ISNUMBER($AB88),IF(Header!$D$34="","?",$AB88*Header!$D$34),"")</f>
      </c>
      <c r="AT88" s="42">
        <f>IF(AND(ISNUMBER($AB88),$M88&gt;0),$AB88/$M88*100,"")</f>
      </c>
      <c r="AU88" s="42">
        <f>IF(AND(ISNUMBER($AD88),$M88&gt;0),$AD88/$M88*100,"")</f>
      </c>
      <c r="AV88" s="40">
        <f>IF(AND(ISNUMBER($AB88),ISNUMBER($AD88),ABS($AB88)&gt;0),$AD88/$AB88,"")</f>
      </c>
      <c r="AW88" s="39">
        <f>IF(ISNUMBER($AD88),MAX(0,(1-0.55-Header!$O$3)*Header!$Q$3*$AQ88),"")</f>
      </c>
      <c r="AX88" s="43">
        <f>IF($A88="","",IF(TRIM(IF($A88="","Missing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",""))="","PASS","FAIL: "&amp;TRIM(IF($A88="","Missing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f>
      </c>
      <c r="AY88" s="44">
        <f>IF($M88="","",IF(ISNUMBER($M88),IF($M88&gt;=Header!$C$18,"YES — refer","No"),""))</f>
      </c>
      <c r="AZ88" s="44">
        <f>IF($AD88="","",IF(ISNUMBER($AD88),IF($AD88&lt;Header!$C$20,"BELOW MIN PREMIUM","OK"),""))</f>
      </c>
      <c r="BA88" s="48" t="inlineStr">
        <is>
          <t xml:space="preserve">Yes</t>
        </is>
      </c>
      <c r="BB88" s="48" t="inlineStr">
        <is>
          <t xml:space="preserve">Yes</t>
        </is>
      </c>
      <c r="BC88" s="46" t="inlineStr">
        <is>
          <t xml:space="preserve">Synthetic demo data</t>
        </is>
      </c>
      <c r="BE88" s="45">
        <f>IF(OR($A88="",$L88="",$H88=""),"",IF(AND(LEFT($L88,2)="06",$H88&gt;1945),"FAIL - pre-war class, year "&amp;$H88,IF(AND(LEFT($L88,2)="07",OR($H88&lt;1946,$H88&gt;1972)),"FAIL - 1946-72 class, year "&amp;$H88,IF(AND(LEFT($L88,2)="08",OR($H88&lt;1973,$H88&gt;1999)),"FAIL - 1973-99 class, year "&amp;$H88,IF(AND(LEFT($L88,2)="09",OR($H88&lt;2000,$H88&gt;2010)),"FAIL - 2000-10 class, year "&amp;$H88,"OK")))))</f>
      </c>
      <c r="BF88" s="45">
        <f>IF($AD88="","",IF(ROUND($AO88+$AP88+$AQ88-$AD88,2)=0,"OK","FAIL - out by "&amp;TEXT($AO88+$AP88+$AQ88-$AD88,"$0.00")))</f>
      </c>
    </row>
    <row r="89" spans="1:58" ht="18.75" customHeight="1" x14ac:dyDescent="0.25">
      <c r="A89" s="30" t="inlineStr">
        <is>
          <t xml:space="preserve">CANON-202508-000118</t>
        </is>
      </c>
      <c r="B89" s="30" t="inlineStr">
        <is>
          <t xml:space="preserve">Saoirse Underwood</t>
        </is>
      </c>
      <c r="C89" s="31">
        <v>45879</v>
      </c>
      <c r="D89" s="32" t="inlineStr">
        <is>
          <t xml:space="preserve">Bound - within authority</t>
        </is>
      </c>
      <c r="E89" s="32" t="inlineStr">
        <is>
          <t xml:space="preserve">New business</t>
        </is>
      </c>
      <c r="F89" s="30" t="inlineStr">
        <is>
          <t xml:space="preserve">B1234EXOTIC26</t>
        </is>
      </c>
      <c r="G89" s="33">
        <f>IF($A89="","",IF($C89="","",YEAR($C89)))</f>
      </c>
      <c r="H89" s="34">
        <v>1988</v>
      </c>
      <c r="I89" s="30" t="inlineStr">
        <is>
          <t xml:space="preserve">Mercedes-Benz</t>
        </is>
      </c>
      <c r="J89" s="30" t="inlineStr">
        <is>
          <t xml:space="preserve">AMG GT</t>
        </is>
      </c>
      <c r="K89" s="30" t="inlineStr">
        <is>
          <t xml:space="preserve">9LRH9W8C16UJXZ683</t>
        </is>
      </c>
      <c r="L89" s="32" t="inlineStr">
        <is>
          <t xml:space="preserve">02 - Sports / GT</t>
        </is>
      </c>
      <c r="M89" s="35">
        <v>205000</v>
      </c>
      <c r="N89" s="32" t="inlineStr">
        <is>
          <t xml:space="preserve">Personal</t>
        </is>
      </c>
      <c r="O89" s="30" t="inlineStr">
        <is>
          <t xml:space="preserve">Personal - regular use</t>
        </is>
      </c>
      <c r="P89" s="30" t="inlineStr">
        <is>
          <t xml:space="preserve">2,500 - 5,000</t>
        </is>
      </c>
      <c r="Q89" s="30" t="inlineStr">
        <is>
          <t xml:space="preserve">New Jersey</t>
        </is>
      </c>
      <c r="R89" s="30" t="inlineStr">
        <is>
          <t xml:space="preserve">07102</t>
        </is>
      </c>
      <c r="S89" s="32" t="inlineStr">
        <is>
          <t xml:space="preserve">Tier 3 - Coastal wind (25-100 miles)</t>
        </is>
      </c>
      <c r="T89" s="36">
        <f>IF($A89="","",IF($S89="","",IFERROR(INDEX('[1]natural catastrophe'!$D$6:$D$17,MATCH($S89,'[1]natural catastrophe'!$B$6:$B$17,0)),"?")))</f>
      </c>
      <c r="U89" s="30" t="inlineStr">
        <is>
          <t xml:space="preserve">2% of agreed value, minimum $10,000</t>
        </is>
      </c>
      <c r="V89" s="32" t="inlineStr">
        <is>
          <t xml:space="preserve">Agreed Value</t>
        </is>
      </c>
      <c r="W89" s="30" t="inlineStr">
        <is>
          <t xml:space="preserve">$1,000</t>
        </is>
      </c>
      <c r="X89" s="32" t="inlineStr">
        <is>
          <t xml:space="preserve">$1,000,000 CSL</t>
        </is>
      </c>
      <c r="Y89" s="30"/>
      <c r="Z89" s="30"/>
      <c r="AA89" s="32" t="inlineStr">
        <is>
          <t xml:space="preserve">Surplus Lines</t>
        </is>
      </c>
      <c r="AB89" s="35">
        <v>3238.23</v>
      </c>
      <c r="AC89" s="37">
        <v>0</v>
      </c>
      <c r="AD89" s="38">
        <f>IF(ISNUMBER($AB89),$AB89*(1+N($AC89)),"")</f>
      </c>
      <c r="AE89" s="35">
        <v>350</v>
      </c>
      <c r="AF89" s="35">
        <v>0</v>
      </c>
      <c r="AG89" s="37"/>
      <c r="AH89" s="39">
        <f>IF(ISNUMBER($AD89),($AD89+$AE89+$AF89)*$AG89,"")</f>
      </c>
      <c r="AI89" s="35"/>
      <c r="AJ89" s="38">
        <f>IF(ISNUMBER($AD89),SUM($AD89:$AH89),"")</f>
      </c>
      <c r="AK89" s="40">
        <f>IF(AND(ISNUMBER($AB89),ISNUMBER($AD89)),IF($AB89&gt;0,$AD89/$AB89,""),"")</f>
      </c>
      <c r="AL89" s="32" t="inlineStr">
        <is>
          <t xml:space="preserve">At technical</t>
        </is>
      </c>
      <c r="AM89" s="41">
        <f>IF(ISNUMBER($AD89),Header!$I$3,"")</f>
      </c>
      <c r="AN89" s="39">
        <f>IF(ISNUMBER($AD89),$AO89+$AP89,"")</f>
      </c>
      <c r="AO89" s="39">
        <f>IF(ISNUMBER($AD89),ROUND($AD89*Header!$K$3,2),"")</f>
      </c>
      <c r="AP89" s="39">
        <f>IF(ISNUMBER($AD89),ROUND($AD89*Header!$M$3,2),"")</f>
      </c>
      <c r="AQ89" s="38">
        <f>IF(ISNUMBER($AD89),ROUND($AD89,2)-$AO89-$AP89,"")</f>
      </c>
      <c r="AR89" s="39">
        <f>IF(ISNUMBER($AD89),IF(Header!$D$34="","?",$AD89*Header!$D$34),"")</f>
      </c>
      <c r="AS89" s="39">
        <f>IF(ISNUMBER($AB89),IF(Header!$D$34="","?",$AB89*Header!$D$34),"")</f>
      </c>
      <c r="AT89" s="42">
        <f>IF(AND(ISNUMBER($AB89),$M89&gt;0),$AB89/$M89*100,"")</f>
      </c>
      <c r="AU89" s="42">
        <f>IF(AND(ISNUMBER($AD89),$M89&gt;0),$AD89/$M89*100,"")</f>
      </c>
      <c r="AV89" s="40">
        <f>IF(AND(ISNUMBER($AB89),ISNUMBER($AD89),ABS($AB89)&gt;0),$AD89/$AB89,"")</f>
      </c>
      <c r="AW89" s="39">
        <f>IF(ISNUMBER($AD89),MAX(0,(1-0.55-Header!$O$3)*Header!$Q$3*$AQ89),"")</f>
      </c>
      <c r="AX89" s="43">
        <f>IF($A89="","",IF(TRIM(IF($A89="","Missing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",""))="","PASS","FAIL: "&amp;TRIM(IF($A89="","Missing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f>
      </c>
      <c r="AY89" s="44">
        <f>IF($M89="","",IF(ISNUMBER($M89),IF($M89&gt;=Header!$C$18,"YES — refer","No"),""))</f>
      </c>
      <c r="AZ89" s="44">
        <f>IF($AD89="","",IF(ISNUMBER($AD89),IF($AD89&lt;Header!$C$20,"BELOW MIN PREMIUM","OK"),""))</f>
      </c>
      <c r="BA89" s="32" t="inlineStr">
        <is>
          <t xml:space="preserve">Yes</t>
        </is>
      </c>
      <c r="BB89" s="32" t="inlineStr">
        <is>
          <t xml:space="preserve">Yes</t>
        </is>
      </c>
      <c r="BC89" s="30" t="inlineStr">
        <is>
          <t xml:space="preserve">Synthetic demo data</t>
        </is>
      </c>
      <c r="BE89" s="45">
        <f>IF(OR($A89="",$L89="",$H89=""),"",IF(AND(LEFT($L89,2)="06",$H89&gt;1945),"FAIL - pre-war class, year "&amp;$H89,IF(AND(LEFT($L89,2)="07",OR($H89&lt;1946,$H89&gt;1972)),"FAIL - 1946-72 class, year "&amp;$H89,IF(AND(LEFT($L89,2)="08",OR($H89&lt;1973,$H89&gt;1999)),"FAIL - 1973-99 class, year "&amp;$H89,IF(AND(LEFT($L89,2)="09",OR($H89&lt;2000,$H89&gt;2010)),"FAIL - 2000-10 class, year "&amp;$H89,"OK")))))</f>
      </c>
      <c r="BF89" s="45">
        <f>IF($AD89="","",IF(ROUND($AO89+$AP89+$AQ89-$AD89,2)=0,"OK","FAIL - out by "&amp;TEXT($AO89+$AP89+$AQ89-$AD89,"$0.00")))</f>
      </c>
    </row>
    <row r="90" spans="1:58" ht="18.75" customHeight="1" x14ac:dyDescent="0.25">
      <c r="A90" s="46" t="inlineStr">
        <is>
          <t xml:space="preserve">CANON-202508-000120</t>
        </is>
      </c>
      <c r="B90" s="46" t="inlineStr">
        <is>
          <t xml:space="preserve">Ramona Whitlock</t>
        </is>
      </c>
      <c r="C90" s="47">
        <v>45875</v>
      </c>
      <c r="D90" s="48" t="inlineStr">
        <is>
          <t xml:space="preserve">Bound - within authority</t>
        </is>
      </c>
      <c r="E90" s="48" t="inlineStr">
        <is>
          <t xml:space="preserve">New business</t>
        </is>
      </c>
      <c r="F90" s="46" t="inlineStr">
        <is>
          <t xml:space="preserve">B1234EXOTIC26</t>
        </is>
      </c>
      <c r="G90" s="33">
        <f>IF($A90="","",IF($C90="","",YEAR($C90)))</f>
      </c>
      <c r="H90" s="49">
        <v>1972</v>
      </c>
      <c r="I90" s="46" t="inlineStr">
        <is>
          <t xml:space="preserve">Porsche</t>
        </is>
      </c>
      <c r="J90" s="46" t="inlineStr">
        <is>
          <t xml:space="preserve">911 Turbo S</t>
        </is>
      </c>
      <c r="K90" s="46" t="inlineStr">
        <is>
          <t xml:space="preserve">KFFYZCD4VCMUVEWRF</t>
        </is>
      </c>
      <c r="L90" s="48" t="inlineStr">
        <is>
          <t xml:space="preserve">02 - Sports / GT</t>
        </is>
      </c>
      <c r="M90" s="50">
        <v>220000</v>
      </c>
      <c r="N90" s="48" t="inlineStr">
        <is>
          <t xml:space="preserve">Personal</t>
        </is>
      </c>
      <c r="O90" s="46" t="inlineStr">
        <is>
          <t xml:space="preserve">Personal - regular use</t>
        </is>
      </c>
      <c r="P90" s="46" t="inlineStr">
        <is>
          <t xml:space="preserve">2,500 - 5,000</t>
        </is>
      </c>
      <c r="Q90" s="46" t="inlineStr">
        <is>
          <t xml:space="preserve">Alaska</t>
        </is>
      </c>
      <c r="R90" s="46" t="inlineStr">
        <is>
          <t xml:space="preserve">99501</t>
        </is>
      </c>
      <c r="S90" s="48" t="inlineStr">
        <is>
          <t xml:space="preserve">Earthquake - high (CA, Cascadia, New Madrid)</t>
        </is>
      </c>
      <c r="T90" s="36">
        <f>IF($A90="","",IF($S90="","",IFERROR(INDEX('[1]natural catastrophe'!$D$6:$D$17,MATCH($S90,'[1]natural catastrophe'!$B$6:$B$17,0)),"?")))</f>
      </c>
      <c r="U90" s="46" t="inlineStr">
        <is>
          <t xml:space="preserve">$5,000</t>
        </is>
      </c>
      <c r="V90" s="48" t="inlineStr">
        <is>
          <t xml:space="preserve">Agreed Value</t>
        </is>
      </c>
      <c r="W90" s="46" t="inlineStr">
        <is>
          <t xml:space="preserve">$1,000</t>
        </is>
      </c>
      <c r="X90" s="48" t="inlineStr">
        <is>
          <t xml:space="preserve">$1,000,000 CSL</t>
        </is>
      </c>
      <c r="Y90" s="46"/>
      <c r="Z90" s="46"/>
      <c r="AA90" s="48" t="inlineStr">
        <is>
          <t xml:space="preserve">Surplus Lines</t>
        </is>
      </c>
      <c r="AB90" s="50">
        <v>4353.51</v>
      </c>
      <c r="AC90" s="51">
        <v>0</v>
      </c>
      <c r="AD90" s="38">
        <f>IF(ISNUMBER($AB90),$AB90*(1+N($AC90)),"")</f>
      </c>
      <c r="AE90" s="50">
        <v>350</v>
      </c>
      <c r="AF90" s="50">
        <v>0</v>
      </c>
      <c r="AG90" s="51"/>
      <c r="AH90" s="39">
        <f>IF(ISNUMBER($AD90),($AD90+$AE90+$AF90)*$AG90,"")</f>
      </c>
      <c r="AI90" s="50"/>
      <c r="AJ90" s="38">
        <f>IF(ISNUMBER($AD90),SUM($AD90:$AH90),"")</f>
      </c>
      <c r="AK90" s="40">
        <f>IF(AND(ISNUMBER($AB90),ISNUMBER($AD90)),IF($AB90&gt;0,$AD90/$AB90,""),"")</f>
      </c>
      <c r="AL90" s="48" t="inlineStr">
        <is>
          <t xml:space="preserve">At technical</t>
        </is>
      </c>
      <c r="AM90" s="41">
        <f>IF(ISNUMBER($AD90),Header!$I$3,"")</f>
      </c>
      <c r="AN90" s="39">
        <f>IF(ISNUMBER($AD90),$AO90+$AP90,"")</f>
      </c>
      <c r="AO90" s="39">
        <f>IF(ISNUMBER($AD90),ROUND($AD90*Header!$K$3,2),"")</f>
      </c>
      <c r="AP90" s="39">
        <f>IF(ISNUMBER($AD90),ROUND($AD90*Header!$M$3,2),"")</f>
      </c>
      <c r="AQ90" s="38">
        <f>IF(ISNUMBER($AD90),ROUND($AD90,2)-$AO90-$AP90,"")</f>
      </c>
      <c r="AR90" s="39">
        <f>IF(ISNUMBER($AD90),IF(Header!$D$34="","?",$AD90*Header!$D$34),"")</f>
      </c>
      <c r="AS90" s="39">
        <f>IF(ISNUMBER($AB90),IF(Header!$D$34="","?",$AB90*Header!$D$34),"")</f>
      </c>
      <c r="AT90" s="42">
        <f>IF(AND(ISNUMBER($AB90),$M90&gt;0),$AB90/$M90*100,"")</f>
      </c>
      <c r="AU90" s="42">
        <f>IF(AND(ISNUMBER($AD90),$M90&gt;0),$AD90/$M90*100,"")</f>
      </c>
      <c r="AV90" s="40">
        <f>IF(AND(ISNUMBER($AB90),ISNUMBER($AD90),ABS($AB90)&gt;0),$AD90/$AB90,"")</f>
      </c>
      <c r="AW90" s="39">
        <f>IF(ISNUMBER($AD90),MAX(0,(1-0.55-Header!$O$3)*Header!$Q$3*$AQ90),"")</f>
      </c>
      <c r="AX90" s="43">
        <f>IF($A90="","",IF(TRIM(IF($A90="","Missing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",""))="","PASS","FAIL: "&amp;TRIM(IF($A90="","Missing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f>
      </c>
      <c r="AY90" s="44">
        <f>IF($M90="","",IF(ISNUMBER($M90),IF($M90&gt;=Header!$C$18,"YES — refer","No"),""))</f>
      </c>
      <c r="AZ90" s="44">
        <f>IF($AD90="","",IF(ISNUMBER($AD90),IF($AD90&lt;Header!$C$20,"BELOW MIN PREMIUM","OK"),""))</f>
      </c>
      <c r="BA90" s="48" t="inlineStr">
        <is>
          <t xml:space="preserve">Yes</t>
        </is>
      </c>
      <c r="BB90" s="48" t="inlineStr">
        <is>
          <t xml:space="preserve">Yes</t>
        </is>
      </c>
      <c r="BC90" s="46" t="inlineStr">
        <is>
          <t xml:space="preserve">Synthetic demo data</t>
        </is>
      </c>
      <c r="BE90" s="45">
        <f>IF(OR($A90="",$L90="",$H90=""),"",IF(AND(LEFT($L90,2)="06",$H90&gt;1945),"FAIL - pre-war class, year "&amp;$H90,IF(AND(LEFT($L90,2)="07",OR($H90&lt;1946,$H90&gt;1972)),"FAIL - 1946-72 class, year "&amp;$H90,IF(AND(LEFT($L90,2)="08",OR($H90&lt;1973,$H90&gt;1999)),"FAIL - 1973-99 class, year "&amp;$H90,IF(AND(LEFT($L90,2)="09",OR($H90&lt;2000,$H90&gt;2010)),"FAIL - 2000-10 class, year "&amp;$H90,"OK")))))</f>
      </c>
      <c r="BF90" s="45">
        <f>IF($AD90="","",IF(ROUND($AO90+$AP90+$AQ90-$AD90,2)=0,"OK","FAIL - out by "&amp;TEXT($AO90+$AP90+$AQ90-$AD90,"$0.00")))</f>
      </c>
    </row>
    <row r="91" spans="1:58" ht="18.75" customHeight="1" x14ac:dyDescent="0.25">
      <c r="A91" s="30" t="inlineStr">
        <is>
          <t xml:space="preserve">CANON-202508-000121</t>
        </is>
      </c>
      <c r="B91" s="30" t="inlineStr">
        <is>
          <t xml:space="preserve">Anouk Bellandi</t>
        </is>
      </c>
      <c r="C91" s="31">
        <v>45885</v>
      </c>
      <c r="D91" s="32" t="inlineStr">
        <is>
          <t xml:space="preserve">Bound - within authority</t>
        </is>
      </c>
      <c r="E91" s="32" t="inlineStr">
        <is>
          <t xml:space="preserve">New business</t>
        </is>
      </c>
      <c r="F91" s="30" t="inlineStr">
        <is>
          <t xml:space="preserve">B1234EXOTIC26</t>
        </is>
      </c>
      <c r="G91" s="33">
        <f>IF($A91="","",IF($C91="","",YEAR($C91)))</f>
      </c>
      <c r="H91" s="34">
        <v>2002</v>
      </c>
      <c r="I91" s="30" t="inlineStr">
        <is>
          <t xml:space="preserve">Porsche</t>
        </is>
      </c>
      <c r="J91" s="30" t="inlineStr">
        <is>
          <t xml:space="preserve">911 Turbo S</t>
        </is>
      </c>
      <c r="K91" s="30" t="inlineStr">
        <is>
          <t xml:space="preserve">LY5T9GGG5654FAA0Z</t>
        </is>
      </c>
      <c r="L91" s="32" t="inlineStr">
        <is>
          <t xml:space="preserve">02 - Sports / GT</t>
        </is>
      </c>
      <c r="M91" s="35">
        <v>495000</v>
      </c>
      <c r="N91" s="32" t="inlineStr">
        <is>
          <t xml:space="preserve">Personal</t>
        </is>
      </c>
      <c r="O91" s="30" t="inlineStr">
        <is>
          <t xml:space="preserve">Personal - regular use</t>
        </is>
      </c>
      <c r="P91" s="30" t="inlineStr">
        <is>
          <t xml:space="preserve">1,000 - 2,500</t>
        </is>
      </c>
      <c r="Q91" s="30" t="inlineStr">
        <is>
          <t xml:space="preserve">Oklahoma</t>
        </is>
      </c>
      <c r="R91" s="30" t="inlineStr">
        <is>
          <t xml:space="preserve">73102</t>
        </is>
      </c>
      <c r="S91" s="32" t="inlineStr">
        <is>
          <t xml:space="preserve">Severe convective - hail alley (high)</t>
        </is>
      </c>
      <c r="T91" s="36">
        <f>IF($A91="","",IF($S91="","",IFERROR(INDEX('[1]natural catastrophe'!$D$6:$D$17,MATCH($S91,'[1]natural catastrophe'!$B$6:$B$17,0)),"?")))</f>
      </c>
      <c r="U91" s="30" t="inlineStr">
        <is>
          <t xml:space="preserve">$5,000</t>
        </is>
      </c>
      <c r="V91" s="32" t="inlineStr">
        <is>
          <t xml:space="preserve">Agreed Value</t>
        </is>
      </c>
      <c r="W91" s="30" t="inlineStr">
        <is>
          <t xml:space="preserve">$1,000</t>
        </is>
      </c>
      <c r="X91" s="32" t="inlineStr">
        <is>
          <t xml:space="preserve">$1,000,000 CSL</t>
        </is>
      </c>
      <c r="Y91" s="30"/>
      <c r="Z91" s="30"/>
      <c r="AA91" s="32" t="inlineStr">
        <is>
          <t xml:space="preserve">Surplus Lines</t>
        </is>
      </c>
      <c r="AB91" s="35">
        <v>8825.94</v>
      </c>
      <c r="AC91" s="37">
        <v>0</v>
      </c>
      <c r="AD91" s="38">
        <f>IF(ISNUMBER($AB91),$AB91*(1+N($AC91)),"")</f>
      </c>
      <c r="AE91" s="35">
        <v>350</v>
      </c>
      <c r="AF91" s="35">
        <v>0</v>
      </c>
      <c r="AG91" s="37"/>
      <c r="AH91" s="39">
        <f>IF(ISNUMBER($AD91),($AD91+$AE91+$AF91)*$AG91,"")</f>
      </c>
      <c r="AI91" s="35"/>
      <c r="AJ91" s="38">
        <f>IF(ISNUMBER($AD91),SUM($AD91:$AH91),"")</f>
      </c>
      <c r="AK91" s="40">
        <f>IF(AND(ISNUMBER($AB91),ISNUMBER($AD91)),IF($AB91&gt;0,$AD91/$AB91,""),"")</f>
      </c>
      <c r="AL91" s="32" t="inlineStr">
        <is>
          <t xml:space="preserve">At technical</t>
        </is>
      </c>
      <c r="AM91" s="41">
        <f>IF(ISNUMBER($AD91),Header!$I$3,"")</f>
      </c>
      <c r="AN91" s="39">
        <f>IF(ISNUMBER($AD91),$AO91+$AP91,"")</f>
      </c>
      <c r="AO91" s="39">
        <f>IF(ISNUMBER($AD91),ROUND($AD91*Header!$K$3,2),"")</f>
      </c>
      <c r="AP91" s="39">
        <f>IF(ISNUMBER($AD91),ROUND($AD91*Header!$M$3,2),"")</f>
      </c>
      <c r="AQ91" s="38">
        <f>IF(ISNUMBER($AD91),ROUND($AD91,2)-$AO91-$AP91,"")</f>
      </c>
      <c r="AR91" s="39">
        <f>IF(ISNUMBER($AD91),IF(Header!$D$34="","?",$AD91*Header!$D$34),"")</f>
      </c>
      <c r="AS91" s="39">
        <f>IF(ISNUMBER($AB91),IF(Header!$D$34="","?",$AB91*Header!$D$34),"")</f>
      </c>
      <c r="AT91" s="42">
        <f>IF(AND(ISNUMBER($AB91),$M91&gt;0),$AB91/$M91*100,"")</f>
      </c>
      <c r="AU91" s="42">
        <f>IF(AND(ISNUMBER($AD91),$M91&gt;0),$AD91/$M91*100,"")</f>
      </c>
      <c r="AV91" s="40">
        <f>IF(AND(ISNUMBER($AB91),ISNUMBER($AD91),ABS($AB91)&gt;0),$AD91/$AB91,"")</f>
      </c>
      <c r="AW91" s="39">
        <f>IF(ISNUMBER($AD91),MAX(0,(1-0.55-Header!$O$3)*Header!$Q$3*$AQ91),"")</f>
      </c>
      <c r="AX91" s="43">
        <f>IF($A91="","",IF(TRIM(IF($A91="","Missing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",""))="","PASS","FAIL: "&amp;TRIM(IF($A91="","Missing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f>
      </c>
      <c r="AY91" s="44">
        <f>IF($M91="","",IF(ISNUMBER($M91),IF($M91&gt;=Header!$C$18,"YES — refer","No"),""))</f>
      </c>
      <c r="AZ91" s="44">
        <f>IF($AD91="","",IF(ISNUMBER($AD91),IF($AD91&lt;Header!$C$20,"BELOW MIN PREMIUM","OK"),""))</f>
      </c>
      <c r="BA91" s="32" t="inlineStr">
        <is>
          <t xml:space="preserve">Yes</t>
        </is>
      </c>
      <c r="BB91" s="32" t="inlineStr">
        <is>
          <t xml:space="preserve">Yes</t>
        </is>
      </c>
      <c r="BC91" s="30" t="inlineStr">
        <is>
          <t xml:space="preserve">Synthetic demo data</t>
        </is>
      </c>
      <c r="BE91" s="45">
        <f>IF(OR($A91="",$L91="",$H91=""),"",IF(AND(LEFT($L91,2)="06",$H91&gt;1945),"FAIL - pre-war class, year "&amp;$H91,IF(AND(LEFT($L91,2)="07",OR($H91&lt;1946,$H91&gt;1972)),"FAIL - 1946-72 class, year "&amp;$H91,IF(AND(LEFT($L91,2)="08",OR($H91&lt;1973,$H91&gt;1999)),"FAIL - 1973-99 class, year "&amp;$H91,IF(AND(LEFT($L91,2)="09",OR($H91&lt;2000,$H91&gt;2010)),"FAIL - 2000-10 class, year "&amp;$H91,"OK")))))</f>
      </c>
      <c r="BF91" s="45">
        <f>IF($AD91="","",IF(ROUND($AO91+$AP91+$AQ91-$AD91,2)=0,"OK","FAIL - out by "&amp;TEXT($AO91+$AP91+$AQ91-$AD91,"$0.00")))</f>
      </c>
    </row>
    <row r="92" spans="1:58" ht="18.75" customHeight="1" x14ac:dyDescent="0.25">
      <c r="A92" s="46" t="inlineStr">
        <is>
          <t xml:space="preserve">CANON-202508-000122</t>
        </is>
      </c>
      <c r="B92" s="46" t="inlineStr">
        <is>
          <t xml:space="preserve">Fitzgerald Chattopadhyay</t>
        </is>
      </c>
      <c r="C92" s="47">
        <v>45880</v>
      </c>
      <c r="D92" s="48" t="inlineStr">
        <is>
          <t xml:space="preserve">Bound - within authority</t>
        </is>
      </c>
      <c r="E92" s="48" t="inlineStr">
        <is>
          <t xml:space="preserve">New business</t>
        </is>
      </c>
      <c r="F92" s="46" t="inlineStr">
        <is>
          <t xml:space="preserve">B1234EXOTIC26</t>
        </is>
      </c>
      <c r="G92" s="33">
        <f>IF($A92="","",IF($C92="","",YEAR($C92)))</f>
      </c>
      <c r="H92" s="49">
        <v>2008</v>
      </c>
      <c r="I92" s="46" t="inlineStr">
        <is>
          <t xml:space="preserve">Mercedes-Benz</t>
        </is>
      </c>
      <c r="J92" s="46" t="inlineStr">
        <is>
          <t xml:space="preserve">280SL Pagoda</t>
        </is>
      </c>
      <c r="K92" s="46" t="inlineStr">
        <is>
          <t xml:space="preserve">RXX3SFL3E124NU8EK</t>
        </is>
      </c>
      <c r="L92" s="48" t="inlineStr">
        <is>
          <t xml:space="preserve">09 - Youngtimer / Collectible (2000-2010)</t>
        </is>
      </c>
      <c r="M92" s="50">
        <v>1145000</v>
      </c>
      <c r="N92" s="48" t="inlineStr">
        <is>
          <t xml:space="preserve">Personal</t>
        </is>
      </c>
      <c r="O92" s="46" t="inlineStr">
        <is>
          <t xml:space="preserve">Personal - regular use</t>
        </is>
      </c>
      <c r="P92" s="46" t="inlineStr">
        <is>
          <t xml:space="preserve">2,500 - 5,000</t>
        </is>
      </c>
      <c r="Q92" s="46" t="inlineStr">
        <is>
          <t xml:space="preserve">Washington</t>
        </is>
      </c>
      <c r="R92" s="46" t="inlineStr">
        <is>
          <t xml:space="preserve">98101</t>
        </is>
      </c>
      <c r="S92" s="48" t="inlineStr">
        <is>
          <t xml:space="preserve">Earthquake - high (CA, Cascadia, New Madrid)</t>
        </is>
      </c>
      <c r="T92" s="36">
        <f>IF($A92="","",IF($S92="","",IFERROR(INDEX('[1]natural catastrophe'!$D$6:$D$17,MATCH($S92,'[1]natural catastrophe'!$B$6:$B$17,0)),"?")))</f>
      </c>
      <c r="U92" s="46" t="inlineStr">
        <is>
          <t xml:space="preserve">$5,000</t>
        </is>
      </c>
      <c r="V92" s="48" t="inlineStr">
        <is>
          <t xml:space="preserve">Agreed Value</t>
        </is>
      </c>
      <c r="W92" s="46" t="inlineStr">
        <is>
          <t xml:space="preserve">$1,000</t>
        </is>
      </c>
      <c r="X92" s="48" t="inlineStr">
        <is>
          <t xml:space="preserve">$1,000,000 CSL</t>
        </is>
      </c>
      <c r="Y92" s="46"/>
      <c r="Z92" s="46"/>
      <c r="AA92" s="48" t="inlineStr">
        <is>
          <t xml:space="preserve">Surplus Lines</t>
        </is>
      </c>
      <c r="AB92" s="50">
        <v>7881.06</v>
      </c>
      <c r="AC92" s="51">
        <v>0</v>
      </c>
      <c r="AD92" s="38">
        <f>IF(ISNUMBER($AB92),$AB92*(1+N($AC92)),"")</f>
      </c>
      <c r="AE92" s="50">
        <v>350</v>
      </c>
      <c r="AF92" s="50">
        <v>250</v>
      </c>
      <c r="AG92" s="51"/>
      <c r="AH92" s="39">
        <f>IF(ISNUMBER($AD92),($AD92+$AE92+$AF92)*$AG92,"")</f>
      </c>
      <c r="AI92" s="50"/>
      <c r="AJ92" s="38">
        <f>IF(ISNUMBER($AD92),SUM($AD92:$AH92),"")</f>
      </c>
      <c r="AK92" s="40">
        <f>IF(AND(ISNUMBER($AB92),ISNUMBER($AD92)),IF($AB92&gt;0,$AD92/$AB92,""),"")</f>
      </c>
      <c r="AL92" s="48" t="inlineStr">
        <is>
          <t xml:space="preserve">At technical</t>
        </is>
      </c>
      <c r="AM92" s="41">
        <f>IF(ISNUMBER($AD92),Header!$I$3,"")</f>
      </c>
      <c r="AN92" s="39">
        <f>IF(ISNUMBER($AD92),$AO92+$AP92,"")</f>
      </c>
      <c r="AO92" s="39">
        <f>IF(ISNUMBER($AD92),ROUND($AD92*Header!$K$3,2),"")</f>
      </c>
      <c r="AP92" s="39">
        <f>IF(ISNUMBER($AD92),ROUND($AD92*Header!$M$3,2),"")</f>
      </c>
      <c r="AQ92" s="38">
        <f>IF(ISNUMBER($AD92),ROUND($AD92,2)-$AO92-$AP92,"")</f>
      </c>
      <c r="AR92" s="39">
        <f>IF(ISNUMBER($AD92),IF(Header!$D$34="","?",$AD92*Header!$D$34),"")</f>
      </c>
      <c r="AS92" s="39">
        <f>IF(ISNUMBER($AB92),IF(Header!$D$34="","?",$AB92*Header!$D$34),"")</f>
      </c>
      <c r="AT92" s="42">
        <f>IF(AND(ISNUMBER($AB92),$M92&gt;0),$AB92/$M92*100,"")</f>
      </c>
      <c r="AU92" s="42">
        <f>IF(AND(ISNUMBER($AD92),$M92&gt;0),$AD92/$M92*100,"")</f>
      </c>
      <c r="AV92" s="40">
        <f>IF(AND(ISNUMBER($AB92),ISNUMBER($AD92),ABS($AB92)&gt;0),$AD92/$AB92,"")</f>
      </c>
      <c r="AW92" s="39">
        <f>IF(ISNUMBER($AD92),MAX(0,(1-0.55-Header!$O$3)*Header!$Q$3*$AQ92),"")</f>
      </c>
      <c r="AX92" s="43">
        <f>IF($A92="","",IF(TRIM(IF($A92="","Missing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",""))="","PASS","FAIL: "&amp;TRIM(IF($A92="","Missing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f>
      </c>
      <c r="AY92" s="44">
        <f>IF($M92="","",IF(ISNUMBER($M92),IF($M92&gt;=Header!$C$18,"YES — refer","No"),""))</f>
      </c>
      <c r="AZ92" s="44">
        <f>IF($AD92="","",IF(ISNUMBER($AD92),IF($AD92&lt;Header!$C$20,"BELOW MIN PREMIUM","OK"),""))</f>
      </c>
      <c r="BA92" s="48" t="inlineStr">
        <is>
          <t xml:space="preserve">Yes</t>
        </is>
      </c>
      <c r="BB92" s="48" t="inlineStr">
        <is>
          <t xml:space="preserve">Yes</t>
        </is>
      </c>
      <c r="BC92" s="46" t="inlineStr">
        <is>
          <t xml:space="preserve">Synthetic demo data</t>
        </is>
      </c>
      <c r="BE92" s="45">
        <f>IF(OR($A92="",$L92="",$H92=""),"",IF(AND(LEFT($L92,2)="06",$H92&gt;1945),"FAIL - pre-war class, year "&amp;$H92,IF(AND(LEFT($L92,2)="07",OR($H92&lt;1946,$H92&gt;1972)),"FAIL - 1946-72 class, year "&amp;$H92,IF(AND(LEFT($L92,2)="08",OR($H92&lt;1973,$H92&gt;1999)),"FAIL - 1973-99 class, year "&amp;$H92,IF(AND(LEFT($L92,2)="09",OR($H92&lt;2000,$H92&gt;2010)),"FAIL - 2000-10 class, year "&amp;$H92,"OK")))))</f>
      </c>
      <c r="BF92" s="45">
        <f>IF($AD92="","",IF(ROUND($AO92+$AP92+$AQ92-$AD92,2)=0,"OK","FAIL - out by "&amp;TEXT($AO92+$AP92+$AQ92-$AD92,"$0.00")))</f>
      </c>
    </row>
    <row r="93" spans="1:58" ht="18.75" customHeight="1" x14ac:dyDescent="0.25">
      <c r="A93" s="30" t="inlineStr">
        <is>
          <t xml:space="preserve">CANON-202508-000123</t>
        </is>
      </c>
      <c r="B93" s="30" t="inlineStr">
        <is>
          <t xml:space="preserve">Sunniva Thistlewood</t>
        </is>
      </c>
      <c r="C93" s="31">
        <v>45893</v>
      </c>
      <c r="D93" s="32" t="inlineStr">
        <is>
          <t xml:space="preserve">Bound - within authority</t>
        </is>
      </c>
      <c r="E93" s="32" t="inlineStr">
        <is>
          <t xml:space="preserve">New business</t>
        </is>
      </c>
      <c r="F93" s="30" t="inlineStr">
        <is>
          <t xml:space="preserve">B1234EXOTIC26</t>
        </is>
      </c>
      <c r="G93" s="33">
        <f>IF($A93="","",IF($C93="","",YEAR($C93)))</f>
      </c>
      <c r="H93" s="34">
        <v>2008</v>
      </c>
      <c r="I93" s="30" t="inlineStr">
        <is>
          <t xml:space="preserve">McLaren</t>
        </is>
      </c>
      <c r="J93" s="30" t="inlineStr">
        <is>
          <t xml:space="preserve">750S</t>
        </is>
      </c>
      <c r="K93" s="30" t="inlineStr">
        <is>
          <t xml:space="preserve">HEMSYHP5XWR94XGLH</t>
        </is>
      </c>
      <c r="L93" s="32" t="inlineStr">
        <is>
          <t xml:space="preserve">03 - Supercar</t>
        </is>
      </c>
      <c r="M93" s="35">
        <v>1195000</v>
      </c>
      <c r="N93" s="32" t="inlineStr">
        <is>
          <t xml:space="preserve">Personal</t>
        </is>
      </c>
      <c r="O93" s="30" t="inlineStr">
        <is>
          <t xml:space="preserve">Personal - regular use</t>
        </is>
      </c>
      <c r="P93" s="30" t="inlineStr">
        <is>
          <t xml:space="preserve">1,000 - 2,500</t>
        </is>
      </c>
      <c r="Q93" s="30" t="inlineStr">
        <is>
          <t xml:space="preserve">California</t>
        </is>
      </c>
      <c r="R93" s="30" t="inlineStr">
        <is>
          <t xml:space="preserve">90012</t>
        </is>
      </c>
      <c r="S93" s="32" t="inlineStr">
        <is>
          <t xml:space="preserve">Earthquake - high (CA, Cascadia, New Madrid)</t>
        </is>
      </c>
      <c r="T93" s="36">
        <f>IF($A93="","",IF($S93="","",IFERROR(INDEX('[1]natural catastrophe'!$D$6:$D$17,MATCH($S93,'[1]natural catastrophe'!$B$6:$B$17,0)),"?")))</f>
      </c>
      <c r="U93" s="30" t="inlineStr">
        <is>
          <t xml:space="preserve">$5,000</t>
        </is>
      </c>
      <c r="V93" s="32" t="inlineStr">
        <is>
          <t xml:space="preserve">Agreed Value</t>
        </is>
      </c>
      <c r="W93" s="30" t="inlineStr">
        <is>
          <t xml:space="preserve">$1,000</t>
        </is>
      </c>
      <c r="X93" s="32" t="inlineStr">
        <is>
          <t xml:space="preserve">$1,000,000 CSL</t>
        </is>
      </c>
      <c r="Y93" s="30"/>
      <c r="Z93" s="30"/>
      <c r="AA93" s="32" t="inlineStr">
        <is>
          <t xml:space="preserve">Surplus Lines</t>
        </is>
      </c>
      <c r="AB93" s="35">
        <v>24350.94</v>
      </c>
      <c r="AC93" s="37">
        <v>0</v>
      </c>
      <c r="AD93" s="38">
        <f>IF(ISNUMBER($AB93),$AB93*(1+N($AC93)),"")</f>
      </c>
      <c r="AE93" s="35">
        <v>350</v>
      </c>
      <c r="AF93" s="35">
        <v>250</v>
      </c>
      <c r="AG93" s="37"/>
      <c r="AH93" s="39">
        <f>IF(ISNUMBER($AD93),($AD93+$AE93+$AF93)*$AG93,"")</f>
      </c>
      <c r="AI93" s="35"/>
      <c r="AJ93" s="38">
        <f>IF(ISNUMBER($AD93),SUM($AD93:$AH93),"")</f>
      </c>
      <c r="AK93" s="40">
        <f>IF(AND(ISNUMBER($AB93),ISNUMBER($AD93)),IF($AB93&gt;0,$AD93/$AB93,""),"")</f>
      </c>
      <c r="AL93" s="32" t="inlineStr">
        <is>
          <t xml:space="preserve">At technical</t>
        </is>
      </c>
      <c r="AM93" s="41">
        <f>IF(ISNUMBER($AD93),Header!$I$3,"")</f>
      </c>
      <c r="AN93" s="39">
        <f>IF(ISNUMBER($AD93),$AO93+$AP93,"")</f>
      </c>
      <c r="AO93" s="39">
        <f>IF(ISNUMBER($AD93),ROUND($AD93*Header!$K$3,2),"")</f>
      </c>
      <c r="AP93" s="39">
        <f>IF(ISNUMBER($AD93),ROUND($AD93*Header!$M$3,2),"")</f>
      </c>
      <c r="AQ93" s="38">
        <f>IF(ISNUMBER($AD93),ROUND($AD93,2)-$AO93-$AP93,"")</f>
      </c>
      <c r="AR93" s="39">
        <f>IF(ISNUMBER($AD93),IF(Header!$D$34="","?",$AD93*Header!$D$34),"")</f>
      </c>
      <c r="AS93" s="39">
        <f>IF(ISNUMBER($AB93),IF(Header!$D$34="","?",$AB93*Header!$D$34),"")</f>
      </c>
      <c r="AT93" s="42">
        <f>IF(AND(ISNUMBER($AB93),$M93&gt;0),$AB93/$M93*100,"")</f>
      </c>
      <c r="AU93" s="42">
        <f>IF(AND(ISNUMBER($AD93),$M93&gt;0),$AD93/$M93*100,"")</f>
      </c>
      <c r="AV93" s="40">
        <f>IF(AND(ISNUMBER($AB93),ISNUMBER($AD93),ABS($AB93)&gt;0),$AD93/$AB93,"")</f>
      </c>
      <c r="AW93" s="39">
        <f>IF(ISNUMBER($AD93),MAX(0,(1-0.55-Header!$O$3)*Header!$Q$3*$AQ93),"")</f>
      </c>
      <c r="AX93" s="43">
        <f>IF($A93="","",IF(TRIM(IF($A93="","Missing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",""))="","PASS","FAIL: "&amp;TRIM(IF($A93="","Missing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f>
      </c>
      <c r="AY93" s="44">
        <f>IF($M93="","",IF(ISNUMBER($M93),IF($M93&gt;=Header!$C$18,"YES — refer","No"),""))</f>
      </c>
      <c r="AZ93" s="44">
        <f>IF($AD93="","",IF(ISNUMBER($AD93),IF($AD93&lt;Header!$C$20,"BELOW MIN PREMIUM","OK"),""))</f>
      </c>
      <c r="BA93" s="32" t="inlineStr">
        <is>
          <t xml:space="preserve">Yes</t>
        </is>
      </c>
      <c r="BB93" s="32" t="inlineStr">
        <is>
          <t xml:space="preserve">Yes</t>
        </is>
      </c>
      <c r="BC93" s="30" t="inlineStr">
        <is>
          <t xml:space="preserve">Synthetic demo data</t>
        </is>
      </c>
      <c r="BE93" s="45">
        <f>IF(OR($A93="",$L93="",$H93=""),"",IF(AND(LEFT($L93,2)="06",$H93&gt;1945),"FAIL - pre-war class, year "&amp;$H93,IF(AND(LEFT($L93,2)="07",OR($H93&lt;1946,$H93&gt;1972)),"FAIL - 1946-72 class, year "&amp;$H93,IF(AND(LEFT($L93,2)="08",OR($H93&lt;1973,$H93&gt;1999)),"FAIL - 1973-99 class, year "&amp;$H93,IF(AND(LEFT($L93,2)="09",OR($H93&lt;2000,$H93&gt;2010)),"FAIL - 2000-10 class, year "&amp;$H93,"OK")))))</f>
      </c>
      <c r="BF93" s="45">
        <f>IF($AD93="","",IF(ROUND($AO93+$AP93+$AQ93-$AD93,2)=0,"OK","FAIL - out by "&amp;TEXT($AO93+$AP93+$AQ93-$AD93,"$0.00")))</f>
      </c>
    </row>
    <row r="94" spans="1:58" ht="18.75" customHeight="1" x14ac:dyDescent="0.25">
      <c r="A94" s="46" t="inlineStr">
        <is>
          <t xml:space="preserve">CANON-202508-000126</t>
        </is>
      </c>
      <c r="B94" s="46" t="inlineStr">
        <is>
          <t xml:space="preserve">Wilhelmina Whitlock</t>
        </is>
      </c>
      <c r="C94" s="47">
        <v>45892</v>
      </c>
      <c r="D94" s="48" t="inlineStr">
        <is>
          <t xml:space="preserve">Bound - within authority</t>
        </is>
      </c>
      <c r="E94" s="48" t="inlineStr">
        <is>
          <t xml:space="preserve">New business</t>
        </is>
      </c>
      <c r="F94" s="46" t="inlineStr">
        <is>
          <t xml:space="preserve">B1234EXOTIC26</t>
        </is>
      </c>
      <c r="G94" s="33">
        <f>IF($A94="","",IF($C94="","",YEAR($C94)))</f>
      </c>
      <c r="H94" s="49">
        <v>1956</v>
      </c>
      <c r="I94" s="46" t="inlineStr">
        <is>
          <t xml:space="preserve">Ferrari</t>
        </is>
      </c>
      <c r="J94" s="46" t="inlineStr">
        <is>
          <t xml:space="preserve">275 GTB/4</t>
        </is>
      </c>
      <c r="K94" s="46" t="inlineStr">
        <is>
          <t xml:space="preserve">6U84A2TB2ZXFE7UL7</t>
        </is>
      </c>
      <c r="L94" s="48" t="inlineStr">
        <is>
          <t xml:space="preserve">07 - Post-War Classic (1946-1972)</t>
        </is>
      </c>
      <c r="M94" s="50">
        <v>685000</v>
      </c>
      <c r="N94" s="48" t="inlineStr">
        <is>
          <t xml:space="preserve">Personal</t>
        </is>
      </c>
      <c r="O94" s="46" t="inlineStr">
        <is>
          <t xml:space="preserve">Personal - regular use</t>
        </is>
      </c>
      <c r="P94" s="46" t="inlineStr">
        <is>
          <t xml:space="preserve">1,000 - 2,500</t>
        </is>
      </c>
      <c r="Q94" s="46" t="inlineStr">
        <is>
          <t xml:space="preserve">North Carolina</t>
        </is>
      </c>
      <c r="R94" s="46" t="inlineStr">
        <is>
          <t xml:space="preserve">28202</t>
        </is>
      </c>
      <c r="S94" s="48" t="inlineStr">
        <is>
          <t xml:space="preserve">Tier 2 - Coastal wind (1-25 miles)</t>
        </is>
      </c>
      <c r="T94" s="36">
        <f>IF($A94="","",IF($S94="","",IFERROR(INDEX('[1]natural catastrophe'!$D$6:$D$17,MATCH($S94,'[1]natural catastrophe'!$B$6:$B$17,0)),"?")))</f>
      </c>
      <c r="U94" s="46" t="inlineStr">
        <is>
          <t xml:space="preserve">2% of agreed value, minimum $10,000</t>
        </is>
      </c>
      <c r="V94" s="48" t="inlineStr">
        <is>
          <t xml:space="preserve">Agreed Value</t>
        </is>
      </c>
      <c r="W94" s="46" t="inlineStr">
        <is>
          <t xml:space="preserve">$1,000</t>
        </is>
      </c>
      <c r="X94" s="48" t="inlineStr">
        <is>
          <t xml:space="preserve">$1,000,000 CSL</t>
        </is>
      </c>
      <c r="Y94" s="46"/>
      <c r="Z94" s="46"/>
      <c r="AA94" s="48" t="inlineStr">
        <is>
          <t xml:space="preserve">Surplus Lines</t>
        </is>
      </c>
      <c r="AB94" s="50">
        <v>6391.18</v>
      </c>
      <c r="AC94" s="51">
        <v>0</v>
      </c>
      <c r="AD94" s="38">
        <f>IF(ISNUMBER($AB94),$AB94*(1+N($AC94)),"")</f>
      </c>
      <c r="AE94" s="50">
        <v>350</v>
      </c>
      <c r="AF94" s="50">
        <v>0</v>
      </c>
      <c r="AG94" s="51"/>
      <c r="AH94" s="39">
        <f>IF(ISNUMBER($AD94),($AD94+$AE94+$AF94)*$AG94,"")</f>
      </c>
      <c r="AI94" s="50"/>
      <c r="AJ94" s="38">
        <f>IF(ISNUMBER($AD94),SUM($AD94:$AH94),"")</f>
      </c>
      <c r="AK94" s="40">
        <f>IF(AND(ISNUMBER($AB94),ISNUMBER($AD94)),IF($AB94&gt;0,$AD94/$AB94,""),"")</f>
      </c>
      <c r="AL94" s="48" t="inlineStr">
        <is>
          <t xml:space="preserve">At technical</t>
        </is>
      </c>
      <c r="AM94" s="41">
        <f>IF(ISNUMBER($AD94),Header!$I$3,"")</f>
      </c>
      <c r="AN94" s="39">
        <f>IF(ISNUMBER($AD94),$AO94+$AP94,"")</f>
      </c>
      <c r="AO94" s="39">
        <f>IF(ISNUMBER($AD94),ROUND($AD94*Header!$K$3,2),"")</f>
      </c>
      <c r="AP94" s="39">
        <f>IF(ISNUMBER($AD94),ROUND($AD94*Header!$M$3,2),"")</f>
      </c>
      <c r="AQ94" s="38">
        <f>IF(ISNUMBER($AD94),ROUND($AD94,2)-$AO94-$AP94,"")</f>
      </c>
      <c r="AR94" s="39">
        <f>IF(ISNUMBER($AD94),IF(Header!$D$34="","?",$AD94*Header!$D$34),"")</f>
      </c>
      <c r="AS94" s="39">
        <f>IF(ISNUMBER($AB94),IF(Header!$D$34="","?",$AB94*Header!$D$34),"")</f>
      </c>
      <c r="AT94" s="42">
        <f>IF(AND(ISNUMBER($AB94),$M94&gt;0),$AB94/$M94*100,"")</f>
      </c>
      <c r="AU94" s="42">
        <f>IF(AND(ISNUMBER($AD94),$M94&gt;0),$AD94/$M94*100,"")</f>
      </c>
      <c r="AV94" s="40">
        <f>IF(AND(ISNUMBER($AB94),ISNUMBER($AD94),ABS($AB94)&gt;0),$AD94/$AB94,"")</f>
      </c>
      <c r="AW94" s="39">
        <f>IF(ISNUMBER($AD94),MAX(0,(1-0.55-Header!$O$3)*Header!$Q$3*$AQ94),"")</f>
      </c>
      <c r="AX94" s="43">
        <f>IF($A94="","",IF(TRIM(IF($A94="","Missing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",""))="","PASS","FAIL: "&amp;TRIM(IF($A94="","Missing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f>
      </c>
      <c r="AY94" s="44">
        <f>IF($M94="","",IF(ISNUMBER($M94),IF($M94&gt;=Header!$C$18,"YES — refer","No"),""))</f>
      </c>
      <c r="AZ94" s="44">
        <f>IF($AD94="","",IF(ISNUMBER($AD94),IF($AD94&lt;Header!$C$20,"BELOW MIN PREMIUM","OK"),""))</f>
      </c>
      <c r="BA94" s="48" t="inlineStr">
        <is>
          <t xml:space="preserve">Yes</t>
        </is>
      </c>
      <c r="BB94" s="48" t="inlineStr">
        <is>
          <t xml:space="preserve">Yes</t>
        </is>
      </c>
      <c r="BC94" s="46" t="inlineStr">
        <is>
          <t xml:space="preserve">Synthetic demo data</t>
        </is>
      </c>
      <c r="BE94" s="45">
        <f>IF(OR($A94="",$L94="",$H94=""),"",IF(AND(LEFT($L94,2)="06",$H94&gt;1945),"FAIL - pre-war class, year "&amp;$H94,IF(AND(LEFT($L94,2)="07",OR($H94&lt;1946,$H94&gt;1972)),"FAIL - 1946-72 class, year "&amp;$H94,IF(AND(LEFT($L94,2)="08",OR($H94&lt;1973,$H94&gt;1999)),"FAIL - 1973-99 class, year "&amp;$H94,IF(AND(LEFT($L94,2)="09",OR($H94&lt;2000,$H94&gt;2010)),"FAIL - 2000-10 class, year "&amp;$H94,"OK")))))</f>
      </c>
      <c r="BF94" s="45">
        <f>IF($AD94="","",IF(ROUND($AO94+$AP94+$AQ94-$AD94,2)=0,"OK","FAIL - out by "&amp;TEXT($AO94+$AP94+$AQ94-$AD94,"$0.00")))</f>
      </c>
    </row>
    <row r="95" spans="1:58" ht="18.75" customHeight="1" x14ac:dyDescent="0.25">
      <c r="A95" s="30" t="inlineStr">
        <is>
          <t xml:space="preserve">CANON-202508-000127</t>
        </is>
      </c>
      <c r="B95" s="30" t="inlineStr">
        <is>
          <t xml:space="preserve">Marisol Ashcombe</t>
        </is>
      </c>
      <c r="C95" s="31">
        <v>45898</v>
      </c>
      <c r="D95" s="32" t="inlineStr">
        <is>
          <t xml:space="preserve">Bound - within authority</t>
        </is>
      </c>
      <c r="E95" s="32" t="inlineStr">
        <is>
          <t xml:space="preserve">New business</t>
        </is>
      </c>
      <c r="F95" s="30" t="inlineStr">
        <is>
          <t xml:space="preserve">B1234EXOTIC26</t>
        </is>
      </c>
      <c r="G95" s="33">
        <f>IF($A95="","",IF($C95="","",YEAR($C95)))</f>
      </c>
      <c r="H95" s="34">
        <v>2007</v>
      </c>
      <c r="I95" s="30" t="inlineStr">
        <is>
          <t xml:space="preserve">Bentley</t>
        </is>
      </c>
      <c r="J95" s="30" t="inlineStr">
        <is>
          <t xml:space="preserve">Continental GT</t>
        </is>
      </c>
      <c r="K95" s="30" t="inlineStr">
        <is>
          <t xml:space="preserve">PP1E7V40WGXWV34VU</t>
        </is>
      </c>
      <c r="L95" s="32" t="inlineStr">
        <is>
          <t xml:space="preserve">02 - Sports / GT</t>
        </is>
      </c>
      <c r="M95" s="35">
        <v>325000</v>
      </c>
      <c r="N95" s="32" t="inlineStr">
        <is>
          <t xml:space="preserve">Personal</t>
        </is>
      </c>
      <c r="O95" s="30" t="inlineStr">
        <is>
          <t xml:space="preserve">Personal - regular use</t>
        </is>
      </c>
      <c r="P95" s="30" t="inlineStr">
        <is>
          <t xml:space="preserve">Under 1,000</t>
        </is>
      </c>
      <c r="Q95" s="30" t="inlineStr">
        <is>
          <t xml:space="preserve">Washington</t>
        </is>
      </c>
      <c r="R95" s="30" t="inlineStr">
        <is>
          <t xml:space="preserve">98101</t>
        </is>
      </c>
      <c r="S95" s="32" t="inlineStr">
        <is>
          <t xml:space="preserve">Earthquake - high (CA, Cascadia, New Madrid)</t>
        </is>
      </c>
      <c r="T95" s="36">
        <f>IF($A95="","",IF($S95="","",IFERROR(INDEX('[1]natural catastrophe'!$D$6:$D$17,MATCH($S95,'[1]natural catastrophe'!$B$6:$B$17,0)),"?")))</f>
      </c>
      <c r="U95" s="30" t="inlineStr">
        <is>
          <t xml:space="preserve">$5,000</t>
        </is>
      </c>
      <c r="V95" s="32" t="inlineStr">
        <is>
          <t xml:space="preserve">Agreed Value</t>
        </is>
      </c>
      <c r="W95" s="30" t="inlineStr">
        <is>
          <t xml:space="preserve">$1,000</t>
        </is>
      </c>
      <c r="X95" s="32" t="inlineStr">
        <is>
          <t xml:space="preserve">$1,000,000 CSL</t>
        </is>
      </c>
      <c r="Y95" s="30"/>
      <c r="Z95" s="30"/>
      <c r="AA95" s="32" t="inlineStr">
        <is>
          <t xml:space="preserve">Surplus Lines</t>
        </is>
      </c>
      <c r="AB95" s="35">
        <v>4415.09</v>
      </c>
      <c r="AC95" s="37">
        <v>0</v>
      </c>
      <c r="AD95" s="38">
        <f>IF(ISNUMBER($AB95),$AB95*(1+N($AC95)),"")</f>
      </c>
      <c r="AE95" s="35">
        <v>350</v>
      </c>
      <c r="AF95" s="35">
        <v>0</v>
      </c>
      <c r="AG95" s="37"/>
      <c r="AH95" s="39">
        <f>IF(ISNUMBER($AD95),($AD95+$AE95+$AF95)*$AG95,"")</f>
      </c>
      <c r="AI95" s="35"/>
      <c r="AJ95" s="38">
        <f>IF(ISNUMBER($AD95),SUM($AD95:$AH95),"")</f>
      </c>
      <c r="AK95" s="40">
        <f>IF(AND(ISNUMBER($AB95),ISNUMBER($AD95)),IF($AB95&gt;0,$AD95/$AB95,""),"")</f>
      </c>
      <c r="AL95" s="32" t="inlineStr">
        <is>
          <t xml:space="preserve">At technical</t>
        </is>
      </c>
      <c r="AM95" s="41">
        <f>IF(ISNUMBER($AD95),Header!$I$3,"")</f>
      </c>
      <c r="AN95" s="39">
        <f>IF(ISNUMBER($AD95),$AO95+$AP95,"")</f>
      </c>
      <c r="AO95" s="39">
        <f>IF(ISNUMBER($AD95),ROUND($AD95*Header!$K$3,2),"")</f>
      </c>
      <c r="AP95" s="39">
        <f>IF(ISNUMBER($AD95),ROUND($AD95*Header!$M$3,2),"")</f>
      </c>
      <c r="AQ95" s="38">
        <f>IF(ISNUMBER($AD95),ROUND($AD95,2)-$AO95-$AP95,"")</f>
      </c>
      <c r="AR95" s="39">
        <f>IF(ISNUMBER($AD95),IF(Header!$D$34="","?",$AD95*Header!$D$34),"")</f>
      </c>
      <c r="AS95" s="39">
        <f>IF(ISNUMBER($AB95),IF(Header!$D$34="","?",$AB95*Header!$D$34),"")</f>
      </c>
      <c r="AT95" s="42">
        <f>IF(AND(ISNUMBER($AB95),$M95&gt;0),$AB95/$M95*100,"")</f>
      </c>
      <c r="AU95" s="42">
        <f>IF(AND(ISNUMBER($AD95),$M95&gt;0),$AD95/$M95*100,"")</f>
      </c>
      <c r="AV95" s="40">
        <f>IF(AND(ISNUMBER($AB95),ISNUMBER($AD95),ABS($AB95)&gt;0),$AD95/$AB95,"")</f>
      </c>
      <c r="AW95" s="39">
        <f>IF(ISNUMBER($AD95),MAX(0,(1-0.55-Header!$O$3)*Header!$Q$3*$AQ95),"")</f>
      </c>
      <c r="AX95" s="43">
        <f>IF($A95="","",IF(TRIM(IF($A95="","Missing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",""))="","PASS","FAIL: "&amp;TRIM(IF($A95="","Missing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f>
      </c>
      <c r="AY95" s="44">
        <f>IF($M95="","",IF(ISNUMBER($M95),IF($M95&gt;=Header!$C$18,"YES — refer","No"),""))</f>
      </c>
      <c r="AZ95" s="44">
        <f>IF($AD95="","",IF(ISNUMBER($AD95),IF($AD95&lt;Header!$C$20,"BELOW MIN PREMIUM","OK"),""))</f>
      </c>
      <c r="BA95" s="32" t="inlineStr">
        <is>
          <t xml:space="preserve">Yes</t>
        </is>
      </c>
      <c r="BB95" s="32" t="inlineStr">
        <is>
          <t xml:space="preserve">Yes</t>
        </is>
      </c>
      <c r="BC95" s="30" t="inlineStr">
        <is>
          <t xml:space="preserve">Synthetic demo data</t>
        </is>
      </c>
      <c r="BE95" s="45">
        <f>IF(OR($A95="",$L95="",$H95=""),"",IF(AND(LEFT($L95,2)="06",$H95&gt;1945),"FAIL - pre-war class, year "&amp;$H95,IF(AND(LEFT($L95,2)="07",OR($H95&lt;1946,$H95&gt;1972)),"FAIL - 1946-72 class, year "&amp;$H95,IF(AND(LEFT($L95,2)="08",OR($H95&lt;1973,$H95&gt;1999)),"FAIL - 1973-99 class, year "&amp;$H95,IF(AND(LEFT($L95,2)="09",OR($H95&lt;2000,$H95&gt;2010)),"FAIL - 2000-10 class, year "&amp;$H95,"OK")))))</f>
      </c>
      <c r="BF95" s="45">
        <f>IF($AD95="","",IF(ROUND($AO95+$AP95+$AQ95-$AD95,2)=0,"OK","FAIL - out by "&amp;TEXT($AO95+$AP95+$AQ95-$AD95,"$0.00")))</f>
      </c>
    </row>
    <row r="96" spans="1:58" ht="18.75" customHeight="1" x14ac:dyDescent="0.25">
      <c r="A96" s="46" t="inlineStr">
        <is>
          <t xml:space="preserve">CANON-202508-000128</t>
        </is>
      </c>
      <c r="B96" s="46" t="inlineStr">
        <is>
          <t xml:space="preserve">Desmond Vasquez</t>
        </is>
      </c>
      <c r="C96" s="47">
        <v>45881</v>
      </c>
      <c r="D96" s="48" t="inlineStr">
        <is>
          <t xml:space="preserve">Bound - within authority</t>
        </is>
      </c>
      <c r="E96" s="48" t="inlineStr">
        <is>
          <t xml:space="preserve">New business</t>
        </is>
      </c>
      <c r="F96" s="46" t="inlineStr">
        <is>
          <t xml:space="preserve">B1234EXOTIC26</t>
        </is>
      </c>
      <c r="G96" s="33">
        <f>IF($A96="","",IF($C96="","",YEAR($C96)))</f>
      </c>
      <c r="H96" s="49">
        <v>1991</v>
      </c>
      <c r="I96" s="46" t="inlineStr">
        <is>
          <t xml:space="preserve">Mercedes-Benz</t>
        </is>
      </c>
      <c r="J96" s="46" t="inlineStr">
        <is>
          <t xml:space="preserve">AMG GT</t>
        </is>
      </c>
      <c r="K96" s="46" t="inlineStr">
        <is>
          <t xml:space="preserve">7YU5XCC077ZV74CMF</t>
        </is>
      </c>
      <c r="L96" s="48" t="inlineStr">
        <is>
          <t xml:space="preserve">02 - Sports / GT</t>
        </is>
      </c>
      <c r="M96" s="50">
        <v>410000</v>
      </c>
      <c r="N96" s="48" t="inlineStr">
        <is>
          <t xml:space="preserve">Personal</t>
        </is>
      </c>
      <c r="O96" s="46" t="inlineStr">
        <is>
          <t xml:space="preserve">Personal - regular use</t>
        </is>
      </c>
      <c r="P96" s="46" t="inlineStr">
        <is>
          <t xml:space="preserve">Under 1,000</t>
        </is>
      </c>
      <c r="Q96" s="46" t="inlineStr">
        <is>
          <t xml:space="preserve">Delaware</t>
        </is>
      </c>
      <c r="R96" s="46" t="inlineStr">
        <is>
          <t xml:space="preserve">19801</t>
        </is>
      </c>
      <c r="S96" s="48" t="inlineStr">
        <is>
          <t xml:space="preserve">Tier 3 - Coastal wind (25-100 miles)</t>
        </is>
      </c>
      <c r="T96" s="36">
        <f>IF($A96="","",IF($S96="","",IFERROR(INDEX('[1]natural catastrophe'!$D$6:$D$17,MATCH($S96,'[1]natural catastrophe'!$B$6:$B$17,0)),"?")))</f>
      </c>
      <c r="U96" s="46" t="inlineStr">
        <is>
          <t xml:space="preserve">2% of agreed value, minimum $10,000</t>
        </is>
      </c>
      <c r="V96" s="48" t="inlineStr">
        <is>
          <t xml:space="preserve">Agreed Value</t>
        </is>
      </c>
      <c r="W96" s="46" t="inlineStr">
        <is>
          <t xml:space="preserve">$1,000</t>
        </is>
      </c>
      <c r="X96" s="48" t="inlineStr">
        <is>
          <t xml:space="preserve">$1,000,000 CSL</t>
        </is>
      </c>
      <c r="Y96" s="46"/>
      <c r="Z96" s="46"/>
      <c r="AA96" s="48" t="inlineStr">
        <is>
          <t xml:space="preserve">Surplus Lines</t>
        </is>
      </c>
      <c r="AB96" s="50">
        <v>7252.36</v>
      </c>
      <c r="AC96" s="51">
        <v>0</v>
      </c>
      <c r="AD96" s="38">
        <f>IF(ISNUMBER($AB96),$AB96*(1+N($AC96)),"")</f>
      </c>
      <c r="AE96" s="50">
        <v>350</v>
      </c>
      <c r="AF96" s="50">
        <v>0</v>
      </c>
      <c r="AG96" s="51"/>
      <c r="AH96" s="39">
        <f>IF(ISNUMBER($AD96),($AD96+$AE96+$AF96)*$AG96,"")</f>
      </c>
      <c r="AI96" s="50"/>
      <c r="AJ96" s="38">
        <f>IF(ISNUMBER($AD96),SUM($AD96:$AH96),"")</f>
      </c>
      <c r="AK96" s="40">
        <f>IF(AND(ISNUMBER($AB96),ISNUMBER($AD96)),IF($AB96&gt;0,$AD96/$AB96,""),"")</f>
      </c>
      <c r="AL96" s="48" t="inlineStr">
        <is>
          <t xml:space="preserve">At technical</t>
        </is>
      </c>
      <c r="AM96" s="41">
        <f>IF(ISNUMBER($AD96),Header!$I$3,"")</f>
      </c>
      <c r="AN96" s="39">
        <f>IF(ISNUMBER($AD96),$AO96+$AP96,"")</f>
      </c>
      <c r="AO96" s="39">
        <f>IF(ISNUMBER($AD96),ROUND($AD96*Header!$K$3,2),"")</f>
      </c>
      <c r="AP96" s="39">
        <f>IF(ISNUMBER($AD96),ROUND($AD96*Header!$M$3,2),"")</f>
      </c>
      <c r="AQ96" s="38">
        <f>IF(ISNUMBER($AD96),ROUND($AD96,2)-$AO96-$AP96,"")</f>
      </c>
      <c r="AR96" s="39">
        <f>IF(ISNUMBER($AD96),IF(Header!$D$34="","?",$AD96*Header!$D$34),"")</f>
      </c>
      <c r="AS96" s="39">
        <f>IF(ISNUMBER($AB96),IF(Header!$D$34="","?",$AB96*Header!$D$34),"")</f>
      </c>
      <c r="AT96" s="42">
        <f>IF(AND(ISNUMBER($AB96),$M96&gt;0),$AB96/$M96*100,"")</f>
      </c>
      <c r="AU96" s="42">
        <f>IF(AND(ISNUMBER($AD96),$M96&gt;0),$AD96/$M96*100,"")</f>
      </c>
      <c r="AV96" s="40">
        <f>IF(AND(ISNUMBER($AB96),ISNUMBER($AD96),ABS($AB96)&gt;0),$AD96/$AB96,"")</f>
      </c>
      <c r="AW96" s="39">
        <f>IF(ISNUMBER($AD96),MAX(0,(1-0.55-Header!$O$3)*Header!$Q$3*$AQ96),"")</f>
      </c>
      <c r="AX96" s="43">
        <f>IF($A96="","",IF(TRIM(IF($A96="","Missing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",""))="","PASS","FAIL: "&amp;TRIM(IF($A96="","Missing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f>
      </c>
      <c r="AY96" s="44">
        <f>IF($M96="","",IF(ISNUMBER($M96),IF($M96&gt;=Header!$C$18,"YES — refer","No"),""))</f>
      </c>
      <c r="AZ96" s="44">
        <f>IF($AD96="","",IF(ISNUMBER($AD96),IF($AD96&lt;Header!$C$20,"BELOW MIN PREMIUM","OK"),""))</f>
      </c>
      <c r="BA96" s="48" t="inlineStr">
        <is>
          <t xml:space="preserve">Yes</t>
        </is>
      </c>
      <c r="BB96" s="48" t="inlineStr">
        <is>
          <t xml:space="preserve">Yes</t>
        </is>
      </c>
      <c r="BC96" s="46" t="inlineStr">
        <is>
          <t xml:space="preserve">Synthetic demo data</t>
        </is>
      </c>
      <c r="BE96" s="45">
        <f>IF(OR($A96="",$L96="",$H96=""),"",IF(AND(LEFT($L96,2)="06",$H96&gt;1945),"FAIL - pre-war class, year "&amp;$H96,IF(AND(LEFT($L96,2)="07",OR($H96&lt;1946,$H96&gt;1972)),"FAIL - 1946-72 class, year "&amp;$H96,IF(AND(LEFT($L96,2)="08",OR($H96&lt;1973,$H96&gt;1999)),"FAIL - 1973-99 class, year "&amp;$H96,IF(AND(LEFT($L96,2)="09",OR($H96&lt;2000,$H96&gt;2010)),"FAIL - 2000-10 class, year "&amp;$H96,"OK")))))</f>
      </c>
      <c r="BF96" s="45">
        <f>IF($AD96="","",IF(ROUND($AO96+$AP96+$AQ96-$AD96,2)=0,"OK","FAIL - out by "&amp;TEXT($AO96+$AP96+$AQ96-$AD96,"$0.00")))</f>
      </c>
    </row>
    <row r="97" spans="1:58" ht="18.75" customHeight="1" x14ac:dyDescent="0.25">
      <c r="A97" s="30" t="inlineStr">
        <is>
          <t xml:space="preserve">CANON-202508-000129</t>
        </is>
      </c>
      <c r="B97" s="30" t="inlineStr">
        <is>
          <t xml:space="preserve">Lorenzo Ashcombe</t>
        </is>
      </c>
      <c r="C97" s="31">
        <v>45900</v>
      </c>
      <c r="D97" s="32" t="inlineStr">
        <is>
          <t xml:space="preserve">Bound - within authority</t>
        </is>
      </c>
      <c r="E97" s="32" t="inlineStr">
        <is>
          <t xml:space="preserve">New business</t>
        </is>
      </c>
      <c r="F97" s="30" t="inlineStr">
        <is>
          <t xml:space="preserve">B1234EXOTIC26</t>
        </is>
      </c>
      <c r="G97" s="33">
        <f>IF($A97="","",IF($C97="","",YEAR($C97)))</f>
      </c>
      <c r="H97" s="34">
        <v>1962</v>
      </c>
      <c r="I97" s="30" t="inlineStr">
        <is>
          <t xml:space="preserve">Ferrari</t>
        </is>
      </c>
      <c r="J97" s="30" t="inlineStr">
        <is>
          <t xml:space="preserve">275 GTB/4</t>
        </is>
      </c>
      <c r="K97" s="30" t="inlineStr">
        <is>
          <t xml:space="preserve">94Z57P97UBJ1TZDES</t>
        </is>
      </c>
      <c r="L97" s="32" t="inlineStr">
        <is>
          <t xml:space="preserve">07 - Post-War Classic (1946-1972)</t>
        </is>
      </c>
      <c r="M97" s="35">
        <v>530000</v>
      </c>
      <c r="N97" s="32" t="inlineStr">
        <is>
          <t xml:space="preserve">Personal</t>
        </is>
      </c>
      <c r="O97" s="30" t="inlineStr">
        <is>
          <t xml:space="preserve">Personal - regular use</t>
        </is>
      </c>
      <c r="P97" s="30" t="inlineStr">
        <is>
          <t xml:space="preserve">2,500 - 5,000</t>
        </is>
      </c>
      <c r="Q97" s="30" t="inlineStr">
        <is>
          <t xml:space="preserve">Alaska</t>
        </is>
      </c>
      <c r="R97" s="30" t="inlineStr">
        <is>
          <t xml:space="preserve">99501</t>
        </is>
      </c>
      <c r="S97" s="32" t="inlineStr">
        <is>
          <t xml:space="preserve">Earthquake - high (CA, Cascadia, New Madrid)</t>
        </is>
      </c>
      <c r="T97" s="36">
        <f>IF($A97="","",IF($S97="","",IFERROR(INDEX('[1]natural catastrophe'!$D$6:$D$17,MATCH($S97,'[1]natural catastrophe'!$B$6:$B$17,0)),"?")))</f>
      </c>
      <c r="U97" s="30" t="inlineStr">
        <is>
          <t xml:space="preserve">$5,000</t>
        </is>
      </c>
      <c r="V97" s="32" t="inlineStr">
        <is>
          <t xml:space="preserve">Agreed Value</t>
        </is>
      </c>
      <c r="W97" s="30" t="inlineStr">
        <is>
          <t xml:space="preserve">$1,000</t>
        </is>
      </c>
      <c r="X97" s="32" t="inlineStr">
        <is>
          <t xml:space="preserve">$1,000,000 CSL</t>
        </is>
      </c>
      <c r="Y97" s="30"/>
      <c r="Z97" s="30"/>
      <c r="AA97" s="32" t="inlineStr">
        <is>
          <t xml:space="preserve">Surplus Lines</t>
        </is>
      </c>
      <c r="AB97" s="35">
        <v>4902</v>
      </c>
      <c r="AC97" s="37">
        <v>0</v>
      </c>
      <c r="AD97" s="38">
        <f>IF(ISNUMBER($AB97),$AB97*(1+N($AC97)),"")</f>
      </c>
      <c r="AE97" s="35">
        <v>350</v>
      </c>
      <c r="AF97" s="35">
        <v>0</v>
      </c>
      <c r="AG97" s="37"/>
      <c r="AH97" s="39">
        <f>IF(ISNUMBER($AD97),($AD97+$AE97+$AF97)*$AG97,"")</f>
      </c>
      <c r="AI97" s="35"/>
      <c r="AJ97" s="38">
        <f>IF(ISNUMBER($AD97),SUM($AD97:$AH97),"")</f>
      </c>
      <c r="AK97" s="40">
        <f>IF(AND(ISNUMBER($AB97),ISNUMBER($AD97)),IF($AB97&gt;0,$AD97/$AB97,""),"")</f>
      </c>
      <c r="AL97" s="32" t="inlineStr">
        <is>
          <t xml:space="preserve">At technical</t>
        </is>
      </c>
      <c r="AM97" s="41">
        <f>IF(ISNUMBER($AD97),Header!$I$3,"")</f>
      </c>
      <c r="AN97" s="39">
        <f>IF(ISNUMBER($AD97),$AO97+$AP97,"")</f>
      </c>
      <c r="AO97" s="39">
        <f>IF(ISNUMBER($AD97),ROUND($AD97*Header!$K$3,2),"")</f>
      </c>
      <c r="AP97" s="39">
        <f>IF(ISNUMBER($AD97),ROUND($AD97*Header!$M$3,2),"")</f>
      </c>
      <c r="AQ97" s="38">
        <f>IF(ISNUMBER($AD97),ROUND($AD97,2)-$AO97-$AP97,"")</f>
      </c>
      <c r="AR97" s="39">
        <f>IF(ISNUMBER($AD97),IF(Header!$D$34="","?",$AD97*Header!$D$34),"")</f>
      </c>
      <c r="AS97" s="39">
        <f>IF(ISNUMBER($AB97),IF(Header!$D$34="","?",$AB97*Header!$D$34),"")</f>
      </c>
      <c r="AT97" s="42">
        <f>IF(AND(ISNUMBER($AB97),$M97&gt;0),$AB97/$M97*100,"")</f>
      </c>
      <c r="AU97" s="42">
        <f>IF(AND(ISNUMBER($AD97),$M97&gt;0),$AD97/$M97*100,"")</f>
      </c>
      <c r="AV97" s="40">
        <f>IF(AND(ISNUMBER($AB97),ISNUMBER($AD97),ABS($AB97)&gt;0),$AD97/$AB97,"")</f>
      </c>
      <c r="AW97" s="39">
        <f>IF(ISNUMBER($AD97),MAX(0,(1-0.55-Header!$O$3)*Header!$Q$3*$AQ97),"")</f>
      </c>
      <c r="AX97" s="43">
        <f>IF($A97="","",IF(TRIM(IF($A97="","Missing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",""))="","PASS","FAIL: "&amp;TRIM(IF($A97="","Missing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f>
      </c>
      <c r="AY97" s="44">
        <f>IF($M97="","",IF(ISNUMBER($M97),IF($M97&gt;=Header!$C$18,"YES — refer","No"),""))</f>
      </c>
      <c r="AZ97" s="44">
        <f>IF($AD97="","",IF(ISNUMBER($AD97),IF($AD97&lt;Header!$C$20,"BELOW MIN PREMIUM","OK"),""))</f>
      </c>
      <c r="BA97" s="32" t="inlineStr">
        <is>
          <t xml:space="preserve">Yes</t>
        </is>
      </c>
      <c r="BB97" s="32" t="inlineStr">
        <is>
          <t xml:space="preserve">Yes</t>
        </is>
      </c>
      <c r="BC97" s="30" t="inlineStr">
        <is>
          <t xml:space="preserve">Synthetic demo data</t>
        </is>
      </c>
      <c r="BE97" s="45">
        <f>IF(OR($A97="",$L97="",$H97=""),"",IF(AND(LEFT($L97,2)="06",$H97&gt;1945),"FAIL - pre-war class, year "&amp;$H97,IF(AND(LEFT($L97,2)="07",OR($H97&lt;1946,$H97&gt;1972)),"FAIL - 1946-72 class, year "&amp;$H97,IF(AND(LEFT($L97,2)="08",OR($H97&lt;1973,$H97&gt;1999)),"FAIL - 1973-99 class, year "&amp;$H97,IF(AND(LEFT($L97,2)="09",OR($H97&lt;2000,$H97&gt;2010)),"FAIL - 2000-10 class, year "&amp;$H97,"OK")))))</f>
      </c>
      <c r="BF97" s="45">
        <f>IF($AD97="","",IF(ROUND($AO97+$AP97+$AQ97-$AD97,2)=0,"OK","FAIL - out by "&amp;TEXT($AO97+$AP97+$AQ97-$AD97,"$0.00")))</f>
      </c>
    </row>
    <row r="98" spans="1:58" ht="18.75" customHeight="1" x14ac:dyDescent="0.25">
      <c r="A98" s="46" t="inlineStr">
        <is>
          <t xml:space="preserve">CANON-202508-000130</t>
        </is>
      </c>
      <c r="B98" s="46" t="inlineStr">
        <is>
          <t xml:space="preserve">Leopold Merriweather</t>
        </is>
      </c>
      <c r="C98" s="47">
        <v>45878</v>
      </c>
      <c r="D98" s="48" t="inlineStr">
        <is>
          <t xml:space="preserve">Bound - within authority</t>
        </is>
      </c>
      <c r="E98" s="48" t="inlineStr">
        <is>
          <t xml:space="preserve">New business</t>
        </is>
      </c>
      <c r="F98" s="46" t="inlineStr">
        <is>
          <t xml:space="preserve">B1234EXOTIC26</t>
        </is>
      </c>
      <c r="G98" s="33">
        <f>IF($A98="","",IF($C98="","",YEAR($C98)))</f>
      </c>
      <c r="H98" s="49">
        <v>1966</v>
      </c>
      <c r="I98" s="46" t="inlineStr">
        <is>
          <t xml:space="preserve">McLaren</t>
        </is>
      </c>
      <c r="J98" s="46" t="inlineStr">
        <is>
          <t xml:space="preserve">750S</t>
        </is>
      </c>
      <c r="K98" s="46" t="inlineStr">
        <is>
          <t xml:space="preserve">XHHWYMLX49V7U117D</t>
        </is>
      </c>
      <c r="L98" s="48" t="inlineStr">
        <is>
          <t xml:space="preserve">03 - Supercar</t>
        </is>
      </c>
      <c r="M98" s="50">
        <v>1495000</v>
      </c>
      <c r="N98" s="48" t="inlineStr">
        <is>
          <t xml:space="preserve">Personal</t>
        </is>
      </c>
      <c r="O98" s="46" t="inlineStr">
        <is>
          <t xml:space="preserve">Personal - regular use</t>
        </is>
      </c>
      <c r="P98" s="46" t="inlineStr">
        <is>
          <t xml:space="preserve">Under 1,000</t>
        </is>
      </c>
      <c r="Q98" s="46" t="inlineStr">
        <is>
          <t xml:space="preserve">Nevada</t>
        </is>
      </c>
      <c r="R98" s="46" t="inlineStr">
        <is>
          <t xml:space="preserve">89101</t>
        </is>
      </c>
      <c r="S98" s="48" t="inlineStr">
        <is>
          <t xml:space="preserve">Wildfire - WUI high hazard</t>
        </is>
      </c>
      <c r="T98" s="36">
        <f>IF($A98="","",IF($S98="","",IFERROR(INDEX('[1]natural catastrophe'!$D$6:$D$17,MATCH($S98,'[1]natural catastrophe'!$B$6:$B$17,0)),"?")))</f>
      </c>
      <c r="U98" s="46" t="inlineStr">
        <is>
          <t xml:space="preserve">$5,000</t>
        </is>
      </c>
      <c r="V98" s="48" t="inlineStr">
        <is>
          <t xml:space="preserve">Agreed Value</t>
        </is>
      </c>
      <c r="W98" s="46" t="inlineStr">
        <is>
          <t xml:space="preserve">$1,000</t>
        </is>
      </c>
      <c r="X98" s="48" t="inlineStr">
        <is>
          <t xml:space="preserve">$1,000,000 CSL</t>
        </is>
      </c>
      <c r="Y98" s="46"/>
      <c r="Z98" s="46"/>
      <c r="AA98" s="48" t="inlineStr">
        <is>
          <t xml:space="preserve">Surplus Lines</t>
        </is>
      </c>
      <c r="AB98" s="50">
        <v>26402.26</v>
      </c>
      <c r="AC98" s="51">
        <v>0</v>
      </c>
      <c r="AD98" s="38">
        <f>IF(ISNUMBER($AB98),$AB98*(1+N($AC98)),"")</f>
      </c>
      <c r="AE98" s="50">
        <v>350</v>
      </c>
      <c r="AF98" s="50">
        <v>250</v>
      </c>
      <c r="AG98" s="51"/>
      <c r="AH98" s="39">
        <f>IF(ISNUMBER($AD98),($AD98+$AE98+$AF98)*$AG98,"")</f>
      </c>
      <c r="AI98" s="50"/>
      <c r="AJ98" s="38">
        <f>IF(ISNUMBER($AD98),SUM($AD98:$AH98),"")</f>
      </c>
      <c r="AK98" s="40">
        <f>IF(AND(ISNUMBER($AB98),ISNUMBER($AD98)),IF($AB98&gt;0,$AD98/$AB98,""),"")</f>
      </c>
      <c r="AL98" s="48" t="inlineStr">
        <is>
          <t xml:space="preserve">At technical</t>
        </is>
      </c>
      <c r="AM98" s="41">
        <f>IF(ISNUMBER($AD98),Header!$I$3,"")</f>
      </c>
      <c r="AN98" s="39">
        <f>IF(ISNUMBER($AD98),$AO98+$AP98,"")</f>
      </c>
      <c r="AO98" s="39">
        <f>IF(ISNUMBER($AD98),ROUND($AD98*Header!$K$3,2),"")</f>
      </c>
      <c r="AP98" s="39">
        <f>IF(ISNUMBER($AD98),ROUND($AD98*Header!$M$3,2),"")</f>
      </c>
      <c r="AQ98" s="38">
        <f>IF(ISNUMBER($AD98),ROUND($AD98,2)-$AO98-$AP98,"")</f>
      </c>
      <c r="AR98" s="39">
        <f>IF(ISNUMBER($AD98),IF(Header!$D$34="","?",$AD98*Header!$D$34),"")</f>
      </c>
      <c r="AS98" s="39">
        <f>IF(ISNUMBER($AB98),IF(Header!$D$34="","?",$AB98*Header!$D$34),"")</f>
      </c>
      <c r="AT98" s="42">
        <f>IF(AND(ISNUMBER($AB98),$M98&gt;0),$AB98/$M98*100,"")</f>
      </c>
      <c r="AU98" s="42">
        <f>IF(AND(ISNUMBER($AD98),$M98&gt;0),$AD98/$M98*100,"")</f>
      </c>
      <c r="AV98" s="40">
        <f>IF(AND(ISNUMBER($AB98),ISNUMBER($AD98),ABS($AB98)&gt;0),$AD98/$AB98,"")</f>
      </c>
      <c r="AW98" s="39">
        <f>IF(ISNUMBER($AD98),MAX(0,(1-0.55-Header!$O$3)*Header!$Q$3*$AQ98),"")</f>
      </c>
      <c r="AX98" s="43">
        <f>IF($A98="","",IF(TRIM(IF($A98="","Missing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",""))="","PASS","FAIL: "&amp;TRIM(IF($A98="","Missing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f>
      </c>
      <c r="AY98" s="44">
        <f>IF($M98="","",IF(ISNUMBER($M98),IF($M98&gt;=Header!$C$18,"YES — refer","No"),""))</f>
      </c>
      <c r="AZ98" s="44">
        <f>IF($AD98="","",IF(ISNUMBER($AD98),IF($AD98&lt;Header!$C$20,"BELOW MIN PREMIUM","OK"),""))</f>
      </c>
      <c r="BA98" s="48" t="inlineStr">
        <is>
          <t xml:space="preserve">Yes</t>
        </is>
      </c>
      <c r="BB98" s="48" t="inlineStr">
        <is>
          <t xml:space="preserve">Yes</t>
        </is>
      </c>
      <c r="BC98" s="46" t="inlineStr">
        <is>
          <t xml:space="preserve">Synthetic demo data</t>
        </is>
      </c>
      <c r="BE98" s="45">
        <f>IF(OR($A98="",$L98="",$H98=""),"",IF(AND(LEFT($L98,2)="06",$H98&gt;1945),"FAIL - pre-war class, year "&amp;$H98,IF(AND(LEFT($L98,2)="07",OR($H98&lt;1946,$H98&gt;1972)),"FAIL - 1946-72 class, year "&amp;$H98,IF(AND(LEFT($L98,2)="08",OR($H98&lt;1973,$H98&gt;1999)),"FAIL - 1973-99 class, year "&amp;$H98,IF(AND(LEFT($L98,2)="09",OR($H98&lt;2000,$H98&gt;2010)),"FAIL - 2000-10 class, year "&amp;$H98,"OK")))))</f>
      </c>
      <c r="BF98" s="45">
        <f>IF($AD98="","",IF(ROUND($AO98+$AP98+$AQ98-$AD98,2)=0,"OK","FAIL - out by "&amp;TEXT($AO98+$AP98+$AQ98-$AD98,"$0.00")))</f>
      </c>
    </row>
    <row r="99" spans="1:58" ht="18.75" customHeight="1" x14ac:dyDescent="0.25">
      <c r="A99" s="30" t="inlineStr">
        <is>
          <t xml:space="preserve">CANON-202508-000131</t>
        </is>
      </c>
      <c r="B99" s="30" t="inlineStr">
        <is>
          <t xml:space="preserve">Mireille Kingsford</t>
        </is>
      </c>
      <c r="C99" s="31">
        <v>45899</v>
      </c>
      <c r="D99" s="32" t="inlineStr">
        <is>
          <t xml:space="preserve">Bound - within authority</t>
        </is>
      </c>
      <c r="E99" s="32" t="inlineStr">
        <is>
          <t xml:space="preserve">New business</t>
        </is>
      </c>
      <c r="F99" s="30" t="inlineStr">
        <is>
          <t xml:space="preserve">B1234EXOTIC26</t>
        </is>
      </c>
      <c r="G99" s="33">
        <f>IF($A99="","",IF($C99="","",YEAR($C99)))</f>
      </c>
      <c r="H99" s="34">
        <v>1993</v>
      </c>
      <c r="I99" s="30" t="inlineStr">
        <is>
          <t xml:space="preserve">Maserati</t>
        </is>
      </c>
      <c r="J99" s="30" t="inlineStr">
        <is>
          <t xml:space="preserve">GranTurismo</t>
        </is>
      </c>
      <c r="K99" s="30" t="inlineStr">
        <is>
          <t xml:space="preserve">ZVKZGKG2T3L6C7S0E</t>
        </is>
      </c>
      <c r="L99" s="32" t="inlineStr">
        <is>
          <t xml:space="preserve">02 - Sports / GT</t>
        </is>
      </c>
      <c r="M99" s="35">
        <v>335000</v>
      </c>
      <c r="N99" s="32" t="inlineStr">
        <is>
          <t xml:space="preserve">Personal</t>
        </is>
      </c>
      <c r="O99" s="30" t="inlineStr">
        <is>
          <t xml:space="preserve">Personal - regular use</t>
        </is>
      </c>
      <c r="P99" s="30" t="inlineStr">
        <is>
          <t xml:space="preserve">Under 1,000</t>
        </is>
      </c>
      <c r="Q99" s="30" t="inlineStr">
        <is>
          <t xml:space="preserve">South Dakota</t>
        </is>
      </c>
      <c r="R99" s="30" t="inlineStr">
        <is>
          <t xml:space="preserve">57501</t>
        </is>
      </c>
      <c r="S99" s="32" t="inlineStr">
        <is>
          <t xml:space="preserve">Severe convective - hail alley (high)</t>
        </is>
      </c>
      <c r="T99" s="36">
        <f>IF($A99="","",IF($S99="","",IFERROR(INDEX('[1]natural catastrophe'!$D$6:$D$17,MATCH($S99,'[1]natural catastrophe'!$B$6:$B$17,0)),"?")))</f>
      </c>
      <c r="U99" s="30" t="inlineStr">
        <is>
          <t xml:space="preserve">$5,000</t>
        </is>
      </c>
      <c r="V99" s="32" t="inlineStr">
        <is>
          <t xml:space="preserve">Agreed Value</t>
        </is>
      </c>
      <c r="W99" s="30" t="inlineStr">
        <is>
          <t xml:space="preserve">$1,000</t>
        </is>
      </c>
      <c r="X99" s="32" t="inlineStr">
        <is>
          <t xml:space="preserve">$1,000,000 CSL</t>
        </is>
      </c>
      <c r="Y99" s="30"/>
      <c r="Z99" s="30"/>
      <c r="AA99" s="32" t="inlineStr">
        <is>
          <t xml:space="preserve">Surplus Lines</t>
        </is>
      </c>
      <c r="AB99" s="35">
        <v>5262.03</v>
      </c>
      <c r="AC99" s="37">
        <v>0</v>
      </c>
      <c r="AD99" s="38">
        <f>IF(ISNUMBER($AB99),$AB99*(1+N($AC99)),"")</f>
      </c>
      <c r="AE99" s="35">
        <v>350</v>
      </c>
      <c r="AF99" s="35">
        <v>0</v>
      </c>
      <c r="AG99" s="37"/>
      <c r="AH99" s="39">
        <f>IF(ISNUMBER($AD99),($AD99+$AE99+$AF99)*$AG99,"")</f>
      </c>
      <c r="AI99" s="35"/>
      <c r="AJ99" s="38">
        <f>IF(ISNUMBER($AD99),SUM($AD99:$AH99),"")</f>
      </c>
      <c r="AK99" s="40">
        <f>IF(AND(ISNUMBER($AB99),ISNUMBER($AD99)),IF($AB99&gt;0,$AD99/$AB99,""),"")</f>
      </c>
      <c r="AL99" s="32" t="inlineStr">
        <is>
          <t xml:space="preserve">At technical</t>
        </is>
      </c>
      <c r="AM99" s="41">
        <f>IF(ISNUMBER($AD99),Header!$I$3,"")</f>
      </c>
      <c r="AN99" s="39">
        <f>IF(ISNUMBER($AD99),$AO99+$AP99,"")</f>
      </c>
      <c r="AO99" s="39">
        <f>IF(ISNUMBER($AD99),ROUND($AD99*Header!$K$3,2),"")</f>
      </c>
      <c r="AP99" s="39">
        <f>IF(ISNUMBER($AD99),ROUND($AD99*Header!$M$3,2),"")</f>
      </c>
      <c r="AQ99" s="38">
        <f>IF(ISNUMBER($AD99),ROUND($AD99,2)-$AO99-$AP99,"")</f>
      </c>
      <c r="AR99" s="39">
        <f>IF(ISNUMBER($AD99),IF(Header!$D$34="","?",$AD99*Header!$D$34),"")</f>
      </c>
      <c r="AS99" s="39">
        <f>IF(ISNUMBER($AB99),IF(Header!$D$34="","?",$AB99*Header!$D$34),"")</f>
      </c>
      <c r="AT99" s="42">
        <f>IF(AND(ISNUMBER($AB99),$M99&gt;0),$AB99/$M99*100,"")</f>
      </c>
      <c r="AU99" s="42">
        <f>IF(AND(ISNUMBER($AD99),$M99&gt;0),$AD99/$M99*100,"")</f>
      </c>
      <c r="AV99" s="40">
        <f>IF(AND(ISNUMBER($AB99),ISNUMBER($AD99),ABS($AB99)&gt;0),$AD99/$AB99,"")</f>
      </c>
      <c r="AW99" s="39">
        <f>IF(ISNUMBER($AD99),MAX(0,(1-0.55-Header!$O$3)*Header!$Q$3*$AQ99),"")</f>
      </c>
      <c r="AX99" s="43">
        <f>IF($A99="","",IF(TRIM(IF($A99="","Missing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",""))="","PASS","FAIL: "&amp;TRIM(IF($A99="","Missing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f>
      </c>
      <c r="AY99" s="44">
        <f>IF($M99="","",IF(ISNUMBER($M99),IF($M99&gt;=Header!$C$18,"YES — refer","No"),""))</f>
      </c>
      <c r="AZ99" s="44">
        <f>IF($AD99="","",IF(ISNUMBER($AD99),IF($AD99&lt;Header!$C$20,"BELOW MIN PREMIUM","OK"),""))</f>
      </c>
      <c r="BA99" s="32" t="inlineStr">
        <is>
          <t xml:space="preserve">Yes</t>
        </is>
      </c>
      <c r="BB99" s="32" t="inlineStr">
        <is>
          <t xml:space="preserve">Yes</t>
        </is>
      </c>
      <c r="BC99" s="30" t="inlineStr">
        <is>
          <t xml:space="preserve">Synthetic demo data</t>
        </is>
      </c>
      <c r="BE99" s="45">
        <f>IF(OR($A99="",$L99="",$H99=""),"",IF(AND(LEFT($L99,2)="06",$H99&gt;1945),"FAIL - pre-war class, year "&amp;$H99,IF(AND(LEFT($L99,2)="07",OR($H99&lt;1946,$H99&gt;1972)),"FAIL - 1946-72 class, year "&amp;$H99,IF(AND(LEFT($L99,2)="08",OR($H99&lt;1973,$H99&gt;1999)),"FAIL - 1973-99 class, year "&amp;$H99,IF(AND(LEFT($L99,2)="09",OR($H99&lt;2000,$H99&gt;2010)),"FAIL - 2000-10 class, year "&amp;$H99,"OK")))))</f>
      </c>
      <c r="BF99" s="45">
        <f>IF($AD99="","",IF(ROUND($AO99+$AP99+$AQ99-$AD99,2)=0,"OK","FAIL - out by "&amp;TEXT($AO99+$AP99+$AQ99-$AD99,"$0.00")))</f>
      </c>
    </row>
    <row r="100" spans="1:58" ht="18.75" customHeight="1" x14ac:dyDescent="0.25">
      <c r="A100" s="46" t="inlineStr">
        <is>
          <t xml:space="preserve">CANON-202508-000132</t>
        </is>
      </c>
      <c r="B100" s="46" t="inlineStr">
        <is>
          <t xml:space="preserve">Wilhelmina Farkas</t>
        </is>
      </c>
      <c r="C100" s="47">
        <v>45896</v>
      </c>
      <c r="D100" s="48" t="inlineStr">
        <is>
          <t xml:space="preserve">Bound - within authority</t>
        </is>
      </c>
      <c r="E100" s="48" t="inlineStr">
        <is>
          <t xml:space="preserve">New business</t>
        </is>
      </c>
      <c r="F100" s="46" t="inlineStr">
        <is>
          <t xml:space="preserve">B1234EXOTIC26</t>
        </is>
      </c>
      <c r="G100" s="33">
        <f>IF($A100="","",IF($C100="","",YEAR($C100)))</f>
      </c>
      <c r="H100" s="49">
        <v>1995</v>
      </c>
      <c r="I100" s="46" t="inlineStr">
        <is>
          <t xml:space="preserve">Lamborghini</t>
        </is>
      </c>
      <c r="J100" s="46" t="inlineStr">
        <is>
          <t xml:space="preserve">Huracan EVO</t>
        </is>
      </c>
      <c r="K100" s="46" t="inlineStr">
        <is>
          <t xml:space="preserve">A336MFM37VH2GTJ6U</t>
        </is>
      </c>
      <c r="L100" s="48" t="inlineStr">
        <is>
          <t xml:space="preserve">03 - Supercar</t>
        </is>
      </c>
      <c r="M100" s="50">
        <v>1950000</v>
      </c>
      <c r="N100" s="48" t="inlineStr">
        <is>
          <t xml:space="preserve">Personal</t>
        </is>
      </c>
      <c r="O100" s="46" t="inlineStr">
        <is>
          <t xml:space="preserve">Personal - regular use</t>
        </is>
      </c>
      <c r="P100" s="46" t="inlineStr">
        <is>
          <t xml:space="preserve">2,500 - 5,000</t>
        </is>
      </c>
      <c r="Q100" s="46" t="inlineStr">
        <is>
          <t xml:space="preserve">South Dakota</t>
        </is>
      </c>
      <c r="R100" s="46" t="inlineStr">
        <is>
          <t xml:space="preserve">57501</t>
        </is>
      </c>
      <c r="S100" s="48" t="inlineStr">
        <is>
          <t xml:space="preserve">Severe convective - hail alley (high)</t>
        </is>
      </c>
      <c r="T100" s="36">
        <f>IF($A100="","",IF($S100="","",IFERROR(INDEX('[1]natural catastrophe'!$D$6:$D$17,MATCH($S100,'[1]natural catastrophe'!$B$6:$B$17,0)),"?")))</f>
      </c>
      <c r="U100" s="46" t="inlineStr">
        <is>
          <t xml:space="preserve">$5,000</t>
        </is>
      </c>
      <c r="V100" s="48" t="inlineStr">
        <is>
          <t xml:space="preserve">Agreed Value</t>
        </is>
      </c>
      <c r="W100" s="46" t="inlineStr">
        <is>
          <t xml:space="preserve">$1,000</t>
        </is>
      </c>
      <c r="X100" s="48" t="inlineStr">
        <is>
          <t xml:space="preserve">$1,000,000 CSL</t>
        </is>
      </c>
      <c r="Y100" s="46"/>
      <c r="Z100" s="46"/>
      <c r="AA100" s="48" t="inlineStr">
        <is>
          <t xml:space="preserve">Surplus Lines</t>
        </is>
      </c>
      <c r="AB100" s="50">
        <v>32671.7</v>
      </c>
      <c r="AC100" s="51">
        <v>0</v>
      </c>
      <c r="AD100" s="38">
        <f>IF(ISNUMBER($AB100),$AB100*(1+N($AC100)),"")</f>
      </c>
      <c r="AE100" s="50">
        <v>350</v>
      </c>
      <c r="AF100" s="50">
        <v>250</v>
      </c>
      <c r="AG100" s="51"/>
      <c r="AH100" s="39">
        <f>IF(ISNUMBER($AD100),($AD100+$AE100+$AF100)*$AG100,"")</f>
      </c>
      <c r="AI100" s="50"/>
      <c r="AJ100" s="38">
        <f>IF(ISNUMBER($AD100),SUM($AD100:$AH100),"")</f>
      </c>
      <c r="AK100" s="40">
        <f>IF(AND(ISNUMBER($AB100),ISNUMBER($AD100)),IF($AB100&gt;0,$AD100/$AB100,""),"")</f>
      </c>
      <c r="AL100" s="48" t="inlineStr">
        <is>
          <t xml:space="preserve">At technical</t>
        </is>
      </c>
      <c r="AM100" s="41">
        <f>IF(ISNUMBER($AD100),Header!$I$3,"")</f>
      </c>
      <c r="AN100" s="39">
        <f>IF(ISNUMBER($AD100),$AO100+$AP100,"")</f>
      </c>
      <c r="AO100" s="39">
        <f>IF(ISNUMBER($AD100),ROUND($AD100*Header!$K$3,2),"")</f>
      </c>
      <c r="AP100" s="39">
        <f>IF(ISNUMBER($AD100),ROUND($AD100*Header!$M$3,2),"")</f>
      </c>
      <c r="AQ100" s="38">
        <f>IF(ISNUMBER($AD100),ROUND($AD100,2)-$AO100-$AP100,"")</f>
      </c>
      <c r="AR100" s="39">
        <f>IF(ISNUMBER($AD100),IF(Header!$D$34="","?",$AD100*Header!$D$34),"")</f>
      </c>
      <c r="AS100" s="39">
        <f>IF(ISNUMBER($AB100),IF(Header!$D$34="","?",$AB100*Header!$D$34),"")</f>
      </c>
      <c r="AT100" s="42">
        <f>IF(AND(ISNUMBER($AB100),$M100&gt;0),$AB100/$M100*100,"")</f>
      </c>
      <c r="AU100" s="42">
        <f>IF(AND(ISNUMBER($AD100),$M100&gt;0),$AD100/$M100*100,"")</f>
      </c>
      <c r="AV100" s="40">
        <f>IF(AND(ISNUMBER($AB100),ISNUMBER($AD100),ABS($AB100)&gt;0),$AD100/$AB100,"")</f>
      </c>
      <c r="AW100" s="39">
        <f>IF(ISNUMBER($AD100),MAX(0,(1-0.55-Header!$O$3)*Header!$Q$3*$AQ100),"")</f>
      </c>
      <c r="AX100" s="43">
        <f>IF($A100="","",IF(TRIM(IF($A100="","Missing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",""))="","PASS","FAIL: "&amp;TRIM(IF($A100="","Missing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f>
      </c>
      <c r="AY100" s="44">
        <f>IF($M100="","",IF(ISNUMBER($M100),IF($M100&gt;=Header!$C$18,"YES — refer","No"),""))</f>
      </c>
      <c r="AZ100" s="44">
        <f>IF($AD100="","",IF(ISNUMBER($AD100),IF($AD100&lt;Header!$C$20,"BELOW MIN PREMIUM","OK"),""))</f>
      </c>
      <c r="BA100" s="48" t="inlineStr">
        <is>
          <t xml:space="preserve">Yes</t>
        </is>
      </c>
      <c r="BB100" s="48" t="inlineStr">
        <is>
          <t xml:space="preserve">Yes</t>
        </is>
      </c>
      <c r="BC100" s="46" t="inlineStr">
        <is>
          <t xml:space="preserve">Synthetic demo data</t>
        </is>
      </c>
      <c r="BE100" s="45">
        <f>IF(OR($A100="",$L100="",$H100=""),"",IF(AND(LEFT($L100,2)="06",$H100&gt;1945),"FAIL - pre-war class, year "&amp;$H100,IF(AND(LEFT($L100,2)="07",OR($H100&lt;1946,$H100&gt;1972)),"FAIL - 1946-72 class, year "&amp;$H100,IF(AND(LEFT($L100,2)="08",OR($H100&lt;1973,$H100&gt;1999)),"FAIL - 1973-99 class, year "&amp;$H100,IF(AND(LEFT($L100,2)="09",OR($H100&lt;2000,$H100&gt;2010)),"FAIL - 2000-10 class, year "&amp;$H100,"OK")))))</f>
      </c>
      <c r="BF100" s="45">
        <f>IF($AD100="","",IF(ROUND($AO100+$AP100+$AQ100-$AD100,2)=0,"OK","FAIL - out by "&amp;TEXT($AO100+$AP100+$AQ100-$AD100,"$0.00")))</f>
      </c>
    </row>
    <row r="101" spans="1:58" ht="18.75" customHeight="1" x14ac:dyDescent="0.25">
      <c r="A101" s="30" t="inlineStr">
        <is>
          <t xml:space="preserve">CANON-202508-000133</t>
        </is>
      </c>
      <c r="B101" s="30" t="inlineStr">
        <is>
          <t xml:space="preserve">Desmond Okonkwo</t>
        </is>
      </c>
      <c r="C101" s="31">
        <v>45874</v>
      </c>
      <c r="D101" s="32" t="inlineStr">
        <is>
          <t xml:space="preserve">Bound - within authority</t>
        </is>
      </c>
      <c r="E101" s="32" t="inlineStr">
        <is>
          <t xml:space="preserve">New business</t>
        </is>
      </c>
      <c r="F101" s="30" t="inlineStr">
        <is>
          <t xml:space="preserve">B1234EXOTIC26</t>
        </is>
      </c>
      <c r="G101" s="33">
        <f>IF($A101="","",IF($C101="","",YEAR($C101)))</f>
      </c>
      <c r="H101" s="34">
        <v>2006</v>
      </c>
      <c r="I101" s="30" t="inlineStr">
        <is>
          <t xml:space="preserve">Lamborghini</t>
        </is>
      </c>
      <c r="J101" s="30" t="inlineStr">
        <is>
          <t xml:space="preserve">Huracan EVO</t>
        </is>
      </c>
      <c r="K101" s="30" t="inlineStr">
        <is>
          <t xml:space="preserve">DNTNW1FPSHAXGHKNV</t>
        </is>
      </c>
      <c r="L101" s="32" t="inlineStr">
        <is>
          <t xml:space="preserve">03 - Supercar</t>
        </is>
      </c>
      <c r="M101" s="35">
        <v>1950000</v>
      </c>
      <c r="N101" s="32" t="inlineStr">
        <is>
          <t xml:space="preserve">Personal</t>
        </is>
      </c>
      <c r="O101" s="30" t="inlineStr">
        <is>
          <t xml:space="preserve">Personal - regular use</t>
        </is>
      </c>
      <c r="P101" s="30" t="inlineStr">
        <is>
          <t xml:space="preserve">1,000 - 2,500</t>
        </is>
      </c>
      <c r="Q101" s="30" t="inlineStr">
        <is>
          <t xml:space="preserve">Wyoming</t>
        </is>
      </c>
      <c r="R101" s="30" t="inlineStr">
        <is>
          <t xml:space="preserve">82001</t>
        </is>
      </c>
      <c r="S101" s="32" t="inlineStr">
        <is>
          <t xml:space="preserve">Severe convective - hail alley (high)</t>
        </is>
      </c>
      <c r="T101" s="36">
        <f>IF($A101="","",IF($S101="","",IFERROR(INDEX('[1]natural catastrophe'!$D$6:$D$17,MATCH($S101,'[1]natural catastrophe'!$B$6:$B$17,0)),"?")))</f>
      </c>
      <c r="U101" s="30" t="inlineStr">
        <is>
          <t xml:space="preserve">$5,000</t>
        </is>
      </c>
      <c r="V101" s="32" t="inlineStr">
        <is>
          <t xml:space="preserve">Agreed Value</t>
        </is>
      </c>
      <c r="W101" s="30" t="inlineStr">
        <is>
          <t xml:space="preserve">$1,000</t>
        </is>
      </c>
      <c r="X101" s="32" t="inlineStr">
        <is>
          <t xml:space="preserve">$1,000,000 CSL</t>
        </is>
      </c>
      <c r="Y101" s="30"/>
      <c r="Z101" s="30"/>
      <c r="AA101" s="32" t="inlineStr">
        <is>
          <t xml:space="preserve">Surplus Lines</t>
        </is>
      </c>
      <c r="AB101" s="35">
        <v>31494.34</v>
      </c>
      <c r="AC101" s="37">
        <v>0</v>
      </c>
      <c r="AD101" s="38">
        <f>IF(ISNUMBER($AB101),$AB101*(1+N($AC101)),"")</f>
      </c>
      <c r="AE101" s="35">
        <v>350</v>
      </c>
      <c r="AF101" s="35">
        <v>250</v>
      </c>
      <c r="AG101" s="37"/>
      <c r="AH101" s="39">
        <f>IF(ISNUMBER($AD101),($AD101+$AE101+$AF101)*$AG101,"")</f>
      </c>
      <c r="AI101" s="35"/>
      <c r="AJ101" s="38">
        <f>IF(ISNUMBER($AD101),SUM($AD101:$AH101),"")</f>
      </c>
      <c r="AK101" s="40">
        <f>IF(AND(ISNUMBER($AB101),ISNUMBER($AD101)),IF($AB101&gt;0,$AD101/$AB101,""),"")</f>
      </c>
      <c r="AL101" s="32" t="inlineStr">
        <is>
          <t xml:space="preserve">At technical</t>
        </is>
      </c>
      <c r="AM101" s="41">
        <f>IF(ISNUMBER($AD101),Header!$I$3,"")</f>
      </c>
      <c r="AN101" s="39">
        <f>IF(ISNUMBER($AD101),$AO101+$AP101,"")</f>
      </c>
      <c r="AO101" s="39">
        <f>IF(ISNUMBER($AD101),ROUND($AD101*Header!$K$3,2),"")</f>
      </c>
      <c r="AP101" s="39">
        <f>IF(ISNUMBER($AD101),ROUND($AD101*Header!$M$3,2),"")</f>
      </c>
      <c r="AQ101" s="38">
        <f>IF(ISNUMBER($AD101),ROUND($AD101,2)-$AO101-$AP101,"")</f>
      </c>
      <c r="AR101" s="39">
        <f>IF(ISNUMBER($AD101),IF(Header!$D$34="","?",$AD101*Header!$D$34),"")</f>
      </c>
      <c r="AS101" s="39">
        <f>IF(ISNUMBER($AB101),IF(Header!$D$34="","?",$AB101*Header!$D$34),"")</f>
      </c>
      <c r="AT101" s="42">
        <f>IF(AND(ISNUMBER($AB101),$M101&gt;0),$AB101/$M101*100,"")</f>
      </c>
      <c r="AU101" s="42">
        <f>IF(AND(ISNUMBER($AD101),$M101&gt;0),$AD101/$M101*100,"")</f>
      </c>
      <c r="AV101" s="40">
        <f>IF(AND(ISNUMBER($AB101),ISNUMBER($AD101),ABS($AB101)&gt;0),$AD101/$AB101,"")</f>
      </c>
      <c r="AW101" s="39">
        <f>IF(ISNUMBER($AD101),MAX(0,(1-0.55-Header!$O$3)*Header!$Q$3*$AQ101),"")</f>
      </c>
      <c r="AX101" s="43">
        <f>IF($A101="","",IF(TRIM(IF($A101="","Missing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",""))="","PASS","FAIL: "&amp;TRIM(IF($A101="","Missing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f>
      </c>
      <c r="AY101" s="44">
        <f>IF($M101="","",IF(ISNUMBER($M101),IF($M101&gt;=Header!$C$18,"YES — refer","No"),""))</f>
      </c>
      <c r="AZ101" s="44">
        <f>IF($AD101="","",IF(ISNUMBER($AD101),IF($AD101&lt;Header!$C$20,"BELOW MIN PREMIUM","OK"),""))</f>
      </c>
      <c r="BA101" s="32" t="inlineStr">
        <is>
          <t xml:space="preserve">Yes</t>
        </is>
      </c>
      <c r="BB101" s="32" t="inlineStr">
        <is>
          <t xml:space="preserve">Yes</t>
        </is>
      </c>
      <c r="BC101" s="30" t="inlineStr">
        <is>
          <t xml:space="preserve">Synthetic demo data</t>
        </is>
      </c>
      <c r="BE101" s="45">
        <f>IF(OR($A101="",$L101="",$H101=""),"",IF(AND(LEFT($L101,2)="06",$H101&gt;1945),"FAIL - pre-war class, year "&amp;$H101,IF(AND(LEFT($L101,2)="07",OR($H101&lt;1946,$H101&gt;1972)),"FAIL - 1946-72 class, year "&amp;$H101,IF(AND(LEFT($L101,2)="08",OR($H101&lt;1973,$H101&gt;1999)),"FAIL - 1973-99 class, year "&amp;$H101,IF(AND(LEFT($L101,2)="09",OR($H101&lt;2000,$H101&gt;2010)),"FAIL - 2000-10 class, year "&amp;$H101,"OK")))))</f>
      </c>
      <c r="BF101" s="45">
        <f>IF($AD101="","",IF(ROUND($AO101+$AP101+$AQ101-$AD101,2)=0,"OK","FAIL - out by "&amp;TEXT($AO101+$AP101+$AQ101-$AD101,"$0.00")))</f>
      </c>
    </row>
    <row r="102" spans="1:58" ht="18.75" customHeight="1" x14ac:dyDescent="0.25">
      <c r="A102" s="46" t="inlineStr">
        <is>
          <t xml:space="preserve">CANON-202508-000134</t>
        </is>
      </c>
      <c r="B102" s="46" t="inlineStr">
        <is>
          <t xml:space="preserve">Emiliano Pennington</t>
        </is>
      </c>
      <c r="C102" s="47">
        <v>45874</v>
      </c>
      <c r="D102" s="48" t="inlineStr">
        <is>
          <t xml:space="preserve">Bound - within authority</t>
        </is>
      </c>
      <c r="E102" s="48" t="inlineStr">
        <is>
          <t xml:space="preserve">New business</t>
        </is>
      </c>
      <c r="F102" s="46" t="inlineStr">
        <is>
          <t xml:space="preserve">B1234EXOTIC26</t>
        </is>
      </c>
      <c r="G102" s="33">
        <f>IF($A102="","",IF($C102="","",YEAR($C102)))</f>
      </c>
      <c r="H102" s="49">
        <v>1975</v>
      </c>
      <c r="I102" s="46" t="inlineStr">
        <is>
          <t xml:space="preserve">Jaguar</t>
        </is>
      </c>
      <c r="J102" s="46" t="inlineStr">
        <is>
          <t xml:space="preserve">E-Type Series 1</t>
        </is>
      </c>
      <c r="K102" s="46" t="inlineStr">
        <is>
          <t xml:space="preserve">5EZ6V80XYBJS75VF3</t>
        </is>
      </c>
      <c r="L102" s="48" t="inlineStr">
        <is>
          <t xml:space="preserve">08 - Modern Classic (1973-1999)</t>
        </is>
      </c>
      <c r="M102" s="50">
        <v>525000</v>
      </c>
      <c r="N102" s="48" t="inlineStr">
        <is>
          <t xml:space="preserve">Personal</t>
        </is>
      </c>
      <c r="O102" s="46" t="inlineStr">
        <is>
          <t xml:space="preserve">Personal - regular use</t>
        </is>
      </c>
      <c r="P102" s="46" t="inlineStr">
        <is>
          <t xml:space="preserve">2,500 - 5,000</t>
        </is>
      </c>
      <c r="Q102" s="46" t="inlineStr">
        <is>
          <t xml:space="preserve">New Jersey</t>
        </is>
      </c>
      <c r="R102" s="46" t="inlineStr">
        <is>
          <t xml:space="preserve">07102</t>
        </is>
      </c>
      <c r="S102" s="48" t="inlineStr">
        <is>
          <t xml:space="preserve">Tier 3 - Coastal wind (25-100 miles)</t>
        </is>
      </c>
      <c r="T102" s="36">
        <f>IF($A102="","",IF($S102="","",IFERROR(INDEX('[1]natural catastrophe'!$D$6:$D$17,MATCH($S102,'[1]natural catastrophe'!$B$6:$B$17,0)),"?")))</f>
      </c>
      <c r="U102" s="46" t="inlineStr">
        <is>
          <t xml:space="preserve">2% of agreed value, minimum $10,000</t>
        </is>
      </c>
      <c r="V102" s="48" t="inlineStr">
        <is>
          <t xml:space="preserve">Agreed Value</t>
        </is>
      </c>
      <c r="W102" s="46" t="inlineStr">
        <is>
          <t xml:space="preserve">$1,000</t>
        </is>
      </c>
      <c r="X102" s="48" t="inlineStr">
        <is>
          <t xml:space="preserve">$1,000,000 CSL</t>
        </is>
      </c>
      <c r="Y102" s="46"/>
      <c r="Z102" s="46"/>
      <c r="AA102" s="48" t="inlineStr">
        <is>
          <t xml:space="preserve">Surplus Lines</t>
        </is>
      </c>
      <c r="AB102" s="50">
        <v>3876.08</v>
      </c>
      <c r="AC102" s="51">
        <v>0</v>
      </c>
      <c r="AD102" s="38">
        <f>IF(ISNUMBER($AB102),$AB102*(1+N($AC102)),"")</f>
      </c>
      <c r="AE102" s="50">
        <v>350</v>
      </c>
      <c r="AF102" s="50">
        <v>0</v>
      </c>
      <c r="AG102" s="51"/>
      <c r="AH102" s="39">
        <f>IF(ISNUMBER($AD102),($AD102+$AE102+$AF102)*$AG102,"")</f>
      </c>
      <c r="AI102" s="50"/>
      <c r="AJ102" s="38">
        <f>IF(ISNUMBER($AD102),SUM($AD102:$AH102),"")</f>
      </c>
      <c r="AK102" s="40">
        <f>IF(AND(ISNUMBER($AB102),ISNUMBER($AD102)),IF($AB102&gt;0,$AD102/$AB102,""),"")</f>
      </c>
      <c r="AL102" s="48" t="inlineStr">
        <is>
          <t xml:space="preserve">At technical</t>
        </is>
      </c>
      <c r="AM102" s="41">
        <f>IF(ISNUMBER($AD102),Header!$I$3,"")</f>
      </c>
      <c r="AN102" s="39">
        <f>IF(ISNUMBER($AD102),$AO102+$AP102,"")</f>
      </c>
      <c r="AO102" s="39">
        <f>IF(ISNUMBER($AD102),ROUND($AD102*Header!$K$3,2),"")</f>
      </c>
      <c r="AP102" s="39">
        <f>IF(ISNUMBER($AD102),ROUND($AD102*Header!$M$3,2),"")</f>
      </c>
      <c r="AQ102" s="38">
        <f>IF(ISNUMBER($AD102),ROUND($AD102,2)-$AO102-$AP102,"")</f>
      </c>
      <c r="AR102" s="39">
        <f>IF(ISNUMBER($AD102),IF(Header!$D$34="","?",$AD102*Header!$D$34),"")</f>
      </c>
      <c r="AS102" s="39">
        <f>IF(ISNUMBER($AB102),IF(Header!$D$34="","?",$AB102*Header!$D$34),"")</f>
      </c>
      <c r="AT102" s="42">
        <f>IF(AND(ISNUMBER($AB102),$M102&gt;0),$AB102/$M102*100,"")</f>
      </c>
      <c r="AU102" s="42">
        <f>IF(AND(ISNUMBER($AD102),$M102&gt;0),$AD102/$M102*100,"")</f>
      </c>
      <c r="AV102" s="40">
        <f>IF(AND(ISNUMBER($AB102),ISNUMBER($AD102),ABS($AB102)&gt;0),$AD102/$AB102,"")</f>
      </c>
      <c r="AW102" s="39">
        <f>IF(ISNUMBER($AD102),MAX(0,(1-0.55-Header!$O$3)*Header!$Q$3*$AQ102),"")</f>
      </c>
      <c r="AX102" s="43">
        <f>IF($A102="","",IF(TRIM(IF($A102="","Missing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",""))="","PASS","FAIL: "&amp;TRIM(IF($A102="","Missing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f>
      </c>
      <c r="AY102" s="44">
        <f>IF($M102="","",IF(ISNUMBER($M102),IF($M102&gt;=Header!$C$18,"YES — refer","No"),""))</f>
      </c>
      <c r="AZ102" s="44">
        <f>IF($AD102="","",IF(ISNUMBER($AD102),IF($AD102&lt;Header!$C$20,"BELOW MIN PREMIUM","OK"),""))</f>
      </c>
      <c r="BA102" s="48" t="inlineStr">
        <is>
          <t xml:space="preserve">Yes</t>
        </is>
      </c>
      <c r="BB102" s="48" t="inlineStr">
        <is>
          <t xml:space="preserve">Yes</t>
        </is>
      </c>
      <c r="BC102" s="46" t="inlineStr">
        <is>
          <t xml:space="preserve">Synthetic demo data</t>
        </is>
      </c>
      <c r="BE102" s="45">
        <f>IF(OR($A102="",$L102="",$H102=""),"",IF(AND(LEFT($L102,2)="06",$H102&gt;1945),"FAIL - pre-war class, year "&amp;$H102,IF(AND(LEFT($L102,2)="07",OR($H102&lt;1946,$H102&gt;1972)),"FAIL - 1946-72 class, year "&amp;$H102,IF(AND(LEFT($L102,2)="08",OR($H102&lt;1973,$H102&gt;1999)),"FAIL - 1973-99 class, year "&amp;$H102,IF(AND(LEFT($L102,2)="09",OR($H102&lt;2000,$H102&gt;2010)),"FAIL - 2000-10 class, year "&amp;$H102,"OK")))))</f>
      </c>
      <c r="BF102" s="45">
        <f>IF($AD102="","",IF(ROUND($AO102+$AP102+$AQ102-$AD102,2)=0,"OK","FAIL - out by "&amp;TEXT($AO102+$AP102+$AQ102-$AD102,"$0.00")))</f>
      </c>
    </row>
    <row r="103" spans="1:58" ht="18.75" customHeight="1" x14ac:dyDescent="0.25">
      <c r="A103" s="30" t="inlineStr">
        <is>
          <t xml:space="preserve">CANON-202508-000139</t>
        </is>
      </c>
      <c r="B103" s="30" t="inlineStr">
        <is>
          <t xml:space="preserve">Sunniva Thistlewood</t>
        </is>
      </c>
      <c r="C103" s="31">
        <v>45896</v>
      </c>
      <c r="D103" s="32" t="inlineStr">
        <is>
          <t xml:space="preserve">Bound - within authority</t>
        </is>
      </c>
      <c r="E103" s="32" t="inlineStr">
        <is>
          <t xml:space="preserve">New business</t>
        </is>
      </c>
      <c r="F103" s="30" t="inlineStr">
        <is>
          <t xml:space="preserve">B1234EXOTIC26</t>
        </is>
      </c>
      <c r="G103" s="33">
        <f>IF($A103="","",IF($C103="","",YEAR($C103)))</f>
      </c>
      <c r="H103" s="34">
        <v>1982</v>
      </c>
      <c r="I103" s="30" t="inlineStr">
        <is>
          <t xml:space="preserve">BMW</t>
        </is>
      </c>
      <c r="J103" s="30" t="inlineStr">
        <is>
          <t xml:space="preserve">M8 Competition</t>
        </is>
      </c>
      <c r="K103" s="30" t="inlineStr">
        <is>
          <t xml:space="preserve">1JW12J238CHL9FJZX</t>
        </is>
      </c>
      <c r="L103" s="32" t="inlineStr">
        <is>
          <t xml:space="preserve">02 - Sports / GT</t>
        </is>
      </c>
      <c r="M103" s="35">
        <v>540000</v>
      </c>
      <c r="N103" s="32" t="inlineStr">
        <is>
          <t xml:space="preserve">Personal</t>
        </is>
      </c>
      <c r="O103" s="30" t="inlineStr">
        <is>
          <t xml:space="preserve">Personal - regular use</t>
        </is>
      </c>
      <c r="P103" s="30" t="inlineStr">
        <is>
          <t xml:space="preserve">2,500 - 5,000</t>
        </is>
      </c>
      <c r="Q103" s="30" t="inlineStr">
        <is>
          <t xml:space="preserve">Alabama</t>
        </is>
      </c>
      <c r="R103" s="30" t="inlineStr">
        <is>
          <t xml:space="preserve">35203</t>
        </is>
      </c>
      <c r="S103" s="32" t="inlineStr">
        <is>
          <t xml:space="preserve">Tier 2 - Coastal wind (1-25 miles)</t>
        </is>
      </c>
      <c r="T103" s="36">
        <f>IF($A103="","",IF($S103="","",IFERROR(INDEX('[1]natural catastrophe'!$D$6:$D$17,MATCH($S103,'[1]natural catastrophe'!$B$6:$B$17,0)),"?")))</f>
      </c>
      <c r="U103" s="30" t="inlineStr">
        <is>
          <t xml:space="preserve">2% of agreed value, minimum $10,000</t>
        </is>
      </c>
      <c r="V103" s="32" t="inlineStr">
        <is>
          <t xml:space="preserve">Agreed Value</t>
        </is>
      </c>
      <c r="W103" s="30" t="inlineStr">
        <is>
          <t xml:space="preserve">$1,000</t>
        </is>
      </c>
      <c r="X103" s="32" t="inlineStr">
        <is>
          <t xml:space="preserve">$1,000,000 CSL</t>
        </is>
      </c>
      <c r="Y103" s="30"/>
      <c r="Z103" s="30"/>
      <c r="AA103" s="32" t="inlineStr">
        <is>
          <t xml:space="preserve">Surplus Lines</t>
        </is>
      </c>
      <c r="AB103" s="35">
        <v>8410.75</v>
      </c>
      <c r="AC103" s="37">
        <v>0</v>
      </c>
      <c r="AD103" s="38">
        <f>IF(ISNUMBER($AB103),$AB103*(1+N($AC103)),"")</f>
      </c>
      <c r="AE103" s="35">
        <v>350</v>
      </c>
      <c r="AF103" s="35">
        <v>0</v>
      </c>
      <c r="AG103" s="37"/>
      <c r="AH103" s="39">
        <f>IF(ISNUMBER($AD103),($AD103+$AE103+$AF103)*$AG103,"")</f>
      </c>
      <c r="AI103" s="35"/>
      <c r="AJ103" s="38">
        <f>IF(ISNUMBER($AD103),SUM($AD103:$AH103),"")</f>
      </c>
      <c r="AK103" s="40">
        <f>IF(AND(ISNUMBER($AB103),ISNUMBER($AD103)),IF($AB103&gt;0,$AD103/$AB103,""),"")</f>
      </c>
      <c r="AL103" s="32" t="inlineStr">
        <is>
          <t xml:space="preserve">At technical</t>
        </is>
      </c>
      <c r="AM103" s="41">
        <f>IF(ISNUMBER($AD103),Header!$I$3,"")</f>
      </c>
      <c r="AN103" s="39">
        <f>IF(ISNUMBER($AD103),$AO103+$AP103,"")</f>
      </c>
      <c r="AO103" s="39">
        <f>IF(ISNUMBER($AD103),ROUND($AD103*Header!$K$3,2),"")</f>
      </c>
      <c r="AP103" s="39">
        <f>IF(ISNUMBER($AD103),ROUND($AD103*Header!$M$3,2),"")</f>
      </c>
      <c r="AQ103" s="38">
        <f>IF(ISNUMBER($AD103),ROUND($AD103,2)-$AO103-$AP103,"")</f>
      </c>
      <c r="AR103" s="39">
        <f>IF(ISNUMBER($AD103),IF(Header!$D$34="","?",$AD103*Header!$D$34),"")</f>
      </c>
      <c r="AS103" s="39">
        <f>IF(ISNUMBER($AB103),IF(Header!$D$34="","?",$AB103*Header!$D$34),"")</f>
      </c>
      <c r="AT103" s="42">
        <f>IF(AND(ISNUMBER($AB103),$M103&gt;0),$AB103/$M103*100,"")</f>
      </c>
      <c r="AU103" s="42">
        <f>IF(AND(ISNUMBER($AD103),$M103&gt;0),$AD103/$M103*100,"")</f>
      </c>
      <c r="AV103" s="40">
        <f>IF(AND(ISNUMBER($AB103),ISNUMBER($AD103),ABS($AB103)&gt;0),$AD103/$AB103,"")</f>
      </c>
      <c r="AW103" s="39">
        <f>IF(ISNUMBER($AD103),MAX(0,(1-0.55-Header!$O$3)*Header!$Q$3*$AQ103),"")</f>
      </c>
      <c r="AX103" s="43">
        <f>IF($A103="","",IF(TRIM(IF($A103="","Missing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",""))="","PASS","FAIL: "&amp;TRIM(IF($A103="","Missing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f>
      </c>
      <c r="AY103" s="44">
        <f>IF($M103="","",IF(ISNUMBER($M103),IF($M103&gt;=Header!$C$18,"YES — refer","No"),""))</f>
      </c>
      <c r="AZ103" s="44">
        <f>IF($AD103="","",IF(ISNUMBER($AD103),IF($AD103&lt;Header!$C$20,"BELOW MIN PREMIUM","OK"),""))</f>
      </c>
      <c r="BA103" s="32" t="inlineStr">
        <is>
          <t xml:space="preserve">Yes</t>
        </is>
      </c>
      <c r="BB103" s="32" t="inlineStr">
        <is>
          <t xml:space="preserve">Yes</t>
        </is>
      </c>
      <c r="BC103" s="30" t="inlineStr">
        <is>
          <t xml:space="preserve">Synthetic demo data</t>
        </is>
      </c>
      <c r="BE103" s="45">
        <f>IF(OR($A103="",$L103="",$H103=""),"",IF(AND(LEFT($L103,2)="06",$H103&gt;1945),"FAIL - pre-war class, year "&amp;$H103,IF(AND(LEFT($L103,2)="07",OR($H103&lt;1946,$H103&gt;1972)),"FAIL - 1946-72 class, year "&amp;$H103,IF(AND(LEFT($L103,2)="08",OR($H103&lt;1973,$H103&gt;1999)),"FAIL - 1973-99 class, year "&amp;$H103,IF(AND(LEFT($L103,2)="09",OR($H103&lt;2000,$H103&gt;2010)),"FAIL - 2000-10 class, year "&amp;$H103,"OK")))))</f>
      </c>
      <c r="BF103" s="45">
        <f>IF($AD103="","",IF(ROUND($AO103+$AP103+$AQ103-$AD103,2)=0,"OK","FAIL - out by "&amp;TEXT($AO103+$AP103+$AQ103-$AD103,"$0.00")))</f>
      </c>
    </row>
    <row r="104" spans="1:58" ht="18.75" customHeight="1" x14ac:dyDescent="0.25">
      <c r="A104" s="46" t="inlineStr">
        <is>
          <t xml:space="preserve">CANON-202508-000140</t>
        </is>
      </c>
      <c r="B104" s="46" t="inlineStr">
        <is>
          <t xml:space="preserve">Leopold Nakashima</t>
        </is>
      </c>
      <c r="C104" s="47">
        <v>45889</v>
      </c>
      <c r="D104" s="48" t="inlineStr">
        <is>
          <t xml:space="preserve">Bound - within authority</t>
        </is>
      </c>
      <c r="E104" s="48" t="inlineStr">
        <is>
          <t xml:space="preserve">New business</t>
        </is>
      </c>
      <c r="F104" s="46" t="inlineStr">
        <is>
          <t xml:space="preserve">B1234EXOTIC26</t>
        </is>
      </c>
      <c r="G104" s="33">
        <f>IF($A104="","",IF($C104="","",YEAR($C104)))</f>
      </c>
      <c r="H104" s="49">
        <v>1993</v>
      </c>
      <c r="I104" s="46" t="inlineStr">
        <is>
          <t xml:space="preserve">Porsche</t>
        </is>
      </c>
      <c r="J104" s="46" t="inlineStr">
        <is>
          <t xml:space="preserve">911 Turbo S</t>
        </is>
      </c>
      <c r="K104" s="46" t="inlineStr">
        <is>
          <t xml:space="preserve">XSVJMRYS877C2F1RD</t>
        </is>
      </c>
      <c r="L104" s="48" t="inlineStr">
        <is>
          <t xml:space="preserve">02 - Sports / GT</t>
        </is>
      </c>
      <c r="M104" s="50">
        <v>590000</v>
      </c>
      <c r="N104" s="48" t="inlineStr">
        <is>
          <t xml:space="preserve">Personal</t>
        </is>
      </c>
      <c r="O104" s="46" t="inlineStr">
        <is>
          <t xml:space="preserve">Personal - regular use</t>
        </is>
      </c>
      <c r="P104" s="46" t="inlineStr">
        <is>
          <t xml:space="preserve">2,500 - 5,000</t>
        </is>
      </c>
      <c r="Q104" s="46" t="inlineStr">
        <is>
          <t xml:space="preserve">Connecticut</t>
        </is>
      </c>
      <c r="R104" s="46" t="inlineStr">
        <is>
          <t xml:space="preserve">06103</t>
        </is>
      </c>
      <c r="S104" s="48" t="inlineStr">
        <is>
          <t xml:space="preserve">Tier 3 - Coastal wind (25-100 miles)</t>
        </is>
      </c>
      <c r="T104" s="36">
        <f>IF($A104="","",IF($S104="","",IFERROR(INDEX('[1]natural catastrophe'!$D$6:$D$17,MATCH($S104,'[1]natural catastrophe'!$B$6:$B$17,0)),"?")))</f>
      </c>
      <c r="U104" s="46" t="inlineStr">
        <is>
          <t xml:space="preserve">2% of agreed value, minimum $10,000</t>
        </is>
      </c>
      <c r="V104" s="48" t="inlineStr">
        <is>
          <t xml:space="preserve">Agreed Value</t>
        </is>
      </c>
      <c r="W104" s="46" t="inlineStr">
        <is>
          <t xml:space="preserve">$1,000</t>
        </is>
      </c>
      <c r="X104" s="48" t="inlineStr">
        <is>
          <t xml:space="preserve">$1,000,000 CSL</t>
        </is>
      </c>
      <c r="Y104" s="46"/>
      <c r="Z104" s="46"/>
      <c r="AA104" s="48" t="inlineStr">
        <is>
          <t xml:space="preserve">Surplus Lines</t>
        </is>
      </c>
      <c r="AB104" s="50">
        <v>8104.15</v>
      </c>
      <c r="AC104" s="51">
        <v>0</v>
      </c>
      <c r="AD104" s="38">
        <f>IF(ISNUMBER($AB104),$AB104*(1+N($AC104)),"")</f>
      </c>
      <c r="AE104" s="50">
        <v>350</v>
      </c>
      <c r="AF104" s="50">
        <v>0</v>
      </c>
      <c r="AG104" s="51"/>
      <c r="AH104" s="39">
        <f>IF(ISNUMBER($AD104),($AD104+$AE104+$AF104)*$AG104,"")</f>
      </c>
      <c r="AI104" s="50"/>
      <c r="AJ104" s="38">
        <f>IF(ISNUMBER($AD104),SUM($AD104:$AH104),"")</f>
      </c>
      <c r="AK104" s="40">
        <f>IF(AND(ISNUMBER($AB104),ISNUMBER($AD104)),IF($AB104&gt;0,$AD104/$AB104,""),"")</f>
      </c>
      <c r="AL104" s="48" t="inlineStr">
        <is>
          <t xml:space="preserve">At technical</t>
        </is>
      </c>
      <c r="AM104" s="41">
        <f>IF(ISNUMBER($AD104),Header!$I$3,"")</f>
      </c>
      <c r="AN104" s="39">
        <f>IF(ISNUMBER($AD104),$AO104+$AP104,"")</f>
      </c>
      <c r="AO104" s="39">
        <f>IF(ISNUMBER($AD104),ROUND($AD104*Header!$K$3,2),"")</f>
      </c>
      <c r="AP104" s="39">
        <f>IF(ISNUMBER($AD104),ROUND($AD104*Header!$M$3,2),"")</f>
      </c>
      <c r="AQ104" s="38">
        <f>IF(ISNUMBER($AD104),ROUND($AD104,2)-$AO104-$AP104,"")</f>
      </c>
      <c r="AR104" s="39">
        <f>IF(ISNUMBER($AD104),IF(Header!$D$34="","?",$AD104*Header!$D$34),"")</f>
      </c>
      <c r="AS104" s="39">
        <f>IF(ISNUMBER($AB104),IF(Header!$D$34="","?",$AB104*Header!$D$34),"")</f>
      </c>
      <c r="AT104" s="42">
        <f>IF(AND(ISNUMBER($AB104),$M104&gt;0),$AB104/$M104*100,"")</f>
      </c>
      <c r="AU104" s="42">
        <f>IF(AND(ISNUMBER($AD104),$M104&gt;0),$AD104/$M104*100,"")</f>
      </c>
      <c r="AV104" s="40">
        <f>IF(AND(ISNUMBER($AB104),ISNUMBER($AD104),ABS($AB104)&gt;0),$AD104/$AB104,"")</f>
      </c>
      <c r="AW104" s="39">
        <f>IF(ISNUMBER($AD104),MAX(0,(1-0.55-Header!$O$3)*Header!$Q$3*$AQ104),"")</f>
      </c>
      <c r="AX104" s="43">
        <f>IF($A104="","",IF(TRIM(IF($A104="","Missing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",""))="","PASS","FAIL: "&amp;TRIM(IF($A104="","Missing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f>
      </c>
      <c r="AY104" s="44">
        <f>IF($M104="","",IF(ISNUMBER($M104),IF($M104&gt;=Header!$C$18,"YES — refer","No"),""))</f>
      </c>
      <c r="AZ104" s="44">
        <f>IF($AD104="","",IF(ISNUMBER($AD104),IF($AD104&lt;Header!$C$20,"BELOW MIN PREMIUM","OK"),""))</f>
      </c>
      <c r="BA104" s="48" t="inlineStr">
        <is>
          <t xml:space="preserve">Yes</t>
        </is>
      </c>
      <c r="BB104" s="48" t="inlineStr">
        <is>
          <t xml:space="preserve">Yes</t>
        </is>
      </c>
      <c r="BC104" s="46" t="inlineStr">
        <is>
          <t xml:space="preserve">Synthetic demo data</t>
        </is>
      </c>
      <c r="BE104" s="45">
        <f>IF(OR($A104="",$L104="",$H104=""),"",IF(AND(LEFT($L104,2)="06",$H104&gt;1945),"FAIL - pre-war class, year "&amp;$H104,IF(AND(LEFT($L104,2)="07",OR($H104&lt;1946,$H104&gt;1972)),"FAIL - 1946-72 class, year "&amp;$H104,IF(AND(LEFT($L104,2)="08",OR($H104&lt;1973,$H104&gt;1999)),"FAIL - 1973-99 class, year "&amp;$H104,IF(AND(LEFT($L104,2)="09",OR($H104&lt;2000,$H104&gt;2010)),"FAIL - 2000-10 class, year "&amp;$H104,"OK")))))</f>
      </c>
      <c r="BF104" s="45">
        <f>IF($AD104="","",IF(ROUND($AO104+$AP104+$AQ104-$AD104,2)=0,"OK","FAIL - out by "&amp;TEXT($AO104+$AP104+$AQ104-$AD104,"$0.00")))</f>
      </c>
    </row>
    <row r="105" spans="1:58" ht="18.75" customHeight="1" x14ac:dyDescent="0.25">
      <c r="A105" s="30" t="inlineStr">
        <is>
          <t xml:space="preserve">CANON-202508-000141</t>
        </is>
      </c>
      <c r="B105" s="30" t="inlineStr">
        <is>
          <t xml:space="preserve">Lorenzo Pennington</t>
        </is>
      </c>
      <c r="C105" s="31">
        <v>45899</v>
      </c>
      <c r="D105" s="32" t="inlineStr">
        <is>
          <t xml:space="preserve">Bound - within authority</t>
        </is>
      </c>
      <c r="E105" s="32" t="inlineStr">
        <is>
          <t xml:space="preserve">New business</t>
        </is>
      </c>
      <c r="F105" s="30" t="inlineStr">
        <is>
          <t xml:space="preserve">B1234EXOTIC26</t>
        </is>
      </c>
      <c r="G105" s="33">
        <f>IF($A105="","",IF($C105="","",YEAR($C105)))</f>
      </c>
      <c r="H105" s="34">
        <v>1956</v>
      </c>
      <c r="I105" s="30" t="inlineStr">
        <is>
          <t xml:space="preserve">Ferrari</t>
        </is>
      </c>
      <c r="J105" s="30" t="inlineStr">
        <is>
          <t xml:space="preserve">296 GTB</t>
        </is>
      </c>
      <c r="K105" s="30" t="inlineStr">
        <is>
          <t xml:space="preserve">ZTACFKZSDF4KSLVYT</t>
        </is>
      </c>
      <c r="L105" s="32" t="inlineStr">
        <is>
          <t xml:space="preserve">03 - Supercar</t>
        </is>
      </c>
      <c r="M105" s="35">
        <v>400000</v>
      </c>
      <c r="N105" s="32" t="inlineStr">
        <is>
          <t xml:space="preserve">Personal</t>
        </is>
      </c>
      <c r="O105" s="30" t="inlineStr">
        <is>
          <t xml:space="preserve">Personal - regular use</t>
        </is>
      </c>
      <c r="P105" s="30" t="inlineStr">
        <is>
          <t xml:space="preserve">1,000 - 2,500</t>
        </is>
      </c>
      <c r="Q105" s="30" t="inlineStr">
        <is>
          <t xml:space="preserve">Texas</t>
        </is>
      </c>
      <c r="R105" s="30" t="inlineStr">
        <is>
          <t xml:space="preserve">75201</t>
        </is>
      </c>
      <c r="S105" s="32" t="inlineStr">
        <is>
          <t xml:space="preserve">Tier 2 - Coastal wind (1-25 miles)</t>
        </is>
      </c>
      <c r="T105" s="36">
        <f>IF($A105="","",IF($S105="","",IFERROR(INDEX('[1]natural catastrophe'!$D$6:$D$17,MATCH($S105,'[1]natural catastrophe'!$B$6:$B$17,0)),"?")))</f>
      </c>
      <c r="U105" s="30" t="inlineStr">
        <is>
          <t xml:space="preserve">2% of agreed value, minimum $10,000</t>
        </is>
      </c>
      <c r="V105" s="32" t="inlineStr">
        <is>
          <t xml:space="preserve">Agreed Value</t>
        </is>
      </c>
      <c r="W105" s="30" t="inlineStr">
        <is>
          <t xml:space="preserve">$1,000</t>
        </is>
      </c>
      <c r="X105" s="32" t="inlineStr">
        <is>
          <t xml:space="preserve">$1,000,000 CSL</t>
        </is>
      </c>
      <c r="Y105" s="30"/>
      <c r="Z105" s="30"/>
      <c r="AA105" s="32" t="inlineStr">
        <is>
          <t xml:space="preserve">Surplus Lines</t>
        </is>
      </c>
      <c r="AB105" s="35">
        <v>9981.13</v>
      </c>
      <c r="AC105" s="37">
        <v>0</v>
      </c>
      <c r="AD105" s="38">
        <f>IF(ISNUMBER($AB105),$AB105*(1+N($AC105)),"")</f>
      </c>
      <c r="AE105" s="35">
        <v>350</v>
      </c>
      <c r="AF105" s="35">
        <v>0</v>
      </c>
      <c r="AG105" s="37"/>
      <c r="AH105" s="39">
        <f>IF(ISNUMBER($AD105),($AD105+$AE105+$AF105)*$AG105,"")</f>
      </c>
      <c r="AI105" s="35"/>
      <c r="AJ105" s="38">
        <f>IF(ISNUMBER($AD105),SUM($AD105:$AH105),"")</f>
      </c>
      <c r="AK105" s="40">
        <f>IF(AND(ISNUMBER($AB105),ISNUMBER($AD105)),IF($AB105&gt;0,$AD105/$AB105,""),"")</f>
      </c>
      <c r="AL105" s="32" t="inlineStr">
        <is>
          <t xml:space="preserve">At technical</t>
        </is>
      </c>
      <c r="AM105" s="41">
        <f>IF(ISNUMBER($AD105),Header!$I$3,"")</f>
      </c>
      <c r="AN105" s="39">
        <f>IF(ISNUMBER($AD105),$AO105+$AP105,"")</f>
      </c>
      <c r="AO105" s="39">
        <f>IF(ISNUMBER($AD105),ROUND($AD105*Header!$K$3,2),"")</f>
      </c>
      <c r="AP105" s="39">
        <f>IF(ISNUMBER($AD105),ROUND($AD105*Header!$M$3,2),"")</f>
      </c>
      <c r="AQ105" s="38">
        <f>IF(ISNUMBER($AD105),ROUND($AD105,2)-$AO105-$AP105,"")</f>
      </c>
      <c r="AR105" s="39">
        <f>IF(ISNUMBER($AD105),IF(Header!$D$34="","?",$AD105*Header!$D$34),"")</f>
      </c>
      <c r="AS105" s="39">
        <f>IF(ISNUMBER($AB105),IF(Header!$D$34="","?",$AB105*Header!$D$34),"")</f>
      </c>
      <c r="AT105" s="42">
        <f>IF(AND(ISNUMBER($AB105),$M105&gt;0),$AB105/$M105*100,"")</f>
      </c>
      <c r="AU105" s="42">
        <f>IF(AND(ISNUMBER($AD105),$M105&gt;0),$AD105/$M105*100,"")</f>
      </c>
      <c r="AV105" s="40">
        <f>IF(AND(ISNUMBER($AB105),ISNUMBER($AD105),ABS($AB105)&gt;0),$AD105/$AB105,"")</f>
      </c>
      <c r="AW105" s="39">
        <f>IF(ISNUMBER($AD105),MAX(0,(1-0.55-Header!$O$3)*Header!$Q$3*$AQ105),"")</f>
      </c>
      <c r="AX105" s="43">
        <f>IF($A105="","",IF(TRIM(IF($A105="","Missing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",""))="","PASS","FAIL: "&amp;TRIM(IF($A105="","Missing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f>
      </c>
      <c r="AY105" s="44">
        <f>IF($M105="","",IF(ISNUMBER($M105),IF($M105&gt;=Header!$C$18,"YES — refer","No"),""))</f>
      </c>
      <c r="AZ105" s="44">
        <f>IF($AD105="","",IF(ISNUMBER($AD105),IF($AD105&lt;Header!$C$20,"BELOW MIN PREMIUM","OK"),""))</f>
      </c>
      <c r="BA105" s="32" t="inlineStr">
        <is>
          <t xml:space="preserve">Yes</t>
        </is>
      </c>
      <c r="BB105" s="32" t="inlineStr">
        <is>
          <t xml:space="preserve">Yes</t>
        </is>
      </c>
      <c r="BC105" s="30" t="inlineStr">
        <is>
          <t xml:space="preserve">Synthetic demo data</t>
        </is>
      </c>
      <c r="BE105" s="45">
        <f>IF(OR($A105="",$L105="",$H105=""),"",IF(AND(LEFT($L105,2)="06",$H105&gt;1945),"FAIL - pre-war class, year "&amp;$H105,IF(AND(LEFT($L105,2)="07",OR($H105&lt;1946,$H105&gt;1972)),"FAIL - 1946-72 class, year "&amp;$H105,IF(AND(LEFT($L105,2)="08",OR($H105&lt;1973,$H105&gt;1999)),"FAIL - 1973-99 class, year "&amp;$H105,IF(AND(LEFT($L105,2)="09",OR($H105&lt;2000,$H105&gt;2010)),"FAIL - 2000-10 class, year "&amp;$H105,"OK")))))</f>
      </c>
      <c r="BF105" s="45">
        <f>IF($AD105="","",IF(ROUND($AO105+$AP105+$AQ105-$AD105,2)=0,"OK","FAIL - out by "&amp;TEXT($AO105+$AP105+$AQ105-$AD105,"$0.00")))</f>
      </c>
    </row>
    <row r="106" spans="1:58" ht="18.75" customHeight="1" x14ac:dyDescent="0.25">
      <c r="A106" s="46" t="inlineStr">
        <is>
          <t xml:space="preserve">CANON-202508-000142</t>
        </is>
      </c>
      <c r="B106" s="46" t="inlineStr">
        <is>
          <t xml:space="preserve">Lorenzo Castellanos</t>
        </is>
      </c>
      <c r="C106" s="47">
        <v>45897</v>
      </c>
      <c r="D106" s="48" t="inlineStr">
        <is>
          <t xml:space="preserve">Bound - within authority</t>
        </is>
      </c>
      <c r="E106" s="48" t="inlineStr">
        <is>
          <t xml:space="preserve">New business</t>
        </is>
      </c>
      <c r="F106" s="46" t="inlineStr">
        <is>
          <t xml:space="preserve">B1234EXOTIC26</t>
        </is>
      </c>
      <c r="G106" s="33">
        <f>IF($A106="","",IF($C106="","",YEAR($C106)))</f>
      </c>
      <c r="H106" s="49">
        <v>1996</v>
      </c>
      <c r="I106" s="46" t="inlineStr">
        <is>
          <t xml:space="preserve">Maserati</t>
        </is>
      </c>
      <c r="J106" s="46" t="inlineStr">
        <is>
          <t xml:space="preserve">GranTurismo</t>
        </is>
      </c>
      <c r="K106" s="46" t="inlineStr">
        <is>
          <t xml:space="preserve">DWJHMC5CVGNR19GW2</t>
        </is>
      </c>
      <c r="L106" s="48" t="inlineStr">
        <is>
          <t xml:space="preserve">02 - Sports / GT</t>
        </is>
      </c>
      <c r="M106" s="50">
        <v>380000</v>
      </c>
      <c r="N106" s="48" t="inlineStr">
        <is>
          <t xml:space="preserve">Personal</t>
        </is>
      </c>
      <c r="O106" s="46" t="inlineStr">
        <is>
          <t xml:space="preserve">Personal - regular use</t>
        </is>
      </c>
      <c r="P106" s="46" t="inlineStr">
        <is>
          <t xml:space="preserve">2,500 - 5,000</t>
        </is>
      </c>
      <c r="Q106" s="46" t="inlineStr">
        <is>
          <t xml:space="preserve">Arkansas</t>
        </is>
      </c>
      <c r="R106" s="46" t="inlineStr">
        <is>
          <t xml:space="preserve">72201</t>
        </is>
      </c>
      <c r="S106" s="48" t="inlineStr">
        <is>
          <t xml:space="preserve">Severe convective - hail / tornado (moderate)</t>
        </is>
      </c>
      <c r="T106" s="36">
        <f>IF($A106="","",IF($S106="","",IFERROR(INDEX('[1]natural catastrophe'!$D$6:$D$17,MATCH($S106,'[1]natural catastrophe'!$B$6:$B$17,0)),"?")))</f>
      </c>
      <c r="U106" s="46" t="inlineStr">
        <is>
          <t xml:space="preserve">$5,000</t>
        </is>
      </c>
      <c r="V106" s="48" t="inlineStr">
        <is>
          <t xml:space="preserve">Agreed Value</t>
        </is>
      </c>
      <c r="W106" s="46" t="inlineStr">
        <is>
          <t xml:space="preserve">$1,000</t>
        </is>
      </c>
      <c r="X106" s="48" t="inlineStr">
        <is>
          <t xml:space="preserve">$1,000,000 CSL</t>
        </is>
      </c>
      <c r="Y106" s="46"/>
      <c r="Z106" s="46"/>
      <c r="AA106" s="48" t="inlineStr">
        <is>
          <t xml:space="preserve">Surplus Lines</t>
        </is>
      </c>
      <c r="AB106" s="50">
        <v>7420.75</v>
      </c>
      <c r="AC106" s="51">
        <v>0</v>
      </c>
      <c r="AD106" s="38">
        <f>IF(ISNUMBER($AB106),$AB106*(1+N($AC106)),"")</f>
      </c>
      <c r="AE106" s="50">
        <v>350</v>
      </c>
      <c r="AF106" s="50">
        <v>0</v>
      </c>
      <c r="AG106" s="51"/>
      <c r="AH106" s="39">
        <f>IF(ISNUMBER($AD106),($AD106+$AE106+$AF106)*$AG106,"")</f>
      </c>
      <c r="AI106" s="50"/>
      <c r="AJ106" s="38">
        <f>IF(ISNUMBER($AD106),SUM($AD106:$AH106),"")</f>
      </c>
      <c r="AK106" s="40">
        <f>IF(AND(ISNUMBER($AB106),ISNUMBER($AD106)),IF($AB106&gt;0,$AD106/$AB106,""),"")</f>
      </c>
      <c r="AL106" s="48" t="inlineStr">
        <is>
          <t xml:space="preserve">At technical</t>
        </is>
      </c>
      <c r="AM106" s="41">
        <f>IF(ISNUMBER($AD106),Header!$I$3,"")</f>
      </c>
      <c r="AN106" s="39">
        <f>IF(ISNUMBER($AD106),$AO106+$AP106,"")</f>
      </c>
      <c r="AO106" s="39">
        <f>IF(ISNUMBER($AD106),ROUND($AD106*Header!$K$3,2),"")</f>
      </c>
      <c r="AP106" s="39">
        <f>IF(ISNUMBER($AD106),ROUND($AD106*Header!$M$3,2),"")</f>
      </c>
      <c r="AQ106" s="38">
        <f>IF(ISNUMBER($AD106),ROUND($AD106,2)-$AO106-$AP106,"")</f>
      </c>
      <c r="AR106" s="39">
        <f>IF(ISNUMBER($AD106),IF(Header!$D$34="","?",$AD106*Header!$D$34),"")</f>
      </c>
      <c r="AS106" s="39">
        <f>IF(ISNUMBER($AB106),IF(Header!$D$34="","?",$AB106*Header!$D$34),"")</f>
      </c>
      <c r="AT106" s="42">
        <f>IF(AND(ISNUMBER($AB106),$M106&gt;0),$AB106/$M106*100,"")</f>
      </c>
      <c r="AU106" s="42">
        <f>IF(AND(ISNUMBER($AD106),$M106&gt;0),$AD106/$M106*100,"")</f>
      </c>
      <c r="AV106" s="40">
        <f>IF(AND(ISNUMBER($AB106),ISNUMBER($AD106),ABS($AB106)&gt;0),$AD106/$AB106,"")</f>
      </c>
      <c r="AW106" s="39">
        <f>IF(ISNUMBER($AD106),MAX(0,(1-0.55-Header!$O$3)*Header!$Q$3*$AQ106),"")</f>
      </c>
      <c r="AX106" s="43">
        <f>IF($A106="","",IF(TRIM(IF($A106="","Missing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",""))="","PASS","FAIL: "&amp;TRIM(IF($A106="","Missing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f>
      </c>
      <c r="AY106" s="44">
        <f>IF($M106="","",IF(ISNUMBER($M106),IF($M106&gt;=Header!$C$18,"YES — refer","No"),""))</f>
      </c>
      <c r="AZ106" s="44">
        <f>IF($AD106="","",IF(ISNUMBER($AD106),IF($AD106&lt;Header!$C$20,"BELOW MIN PREMIUM","OK"),""))</f>
      </c>
      <c r="BA106" s="48" t="inlineStr">
        <is>
          <t xml:space="preserve">Yes</t>
        </is>
      </c>
      <c r="BB106" s="48" t="inlineStr">
        <is>
          <t xml:space="preserve">Yes</t>
        </is>
      </c>
      <c r="BC106" s="46" t="inlineStr">
        <is>
          <t xml:space="preserve">Synthetic demo data</t>
        </is>
      </c>
      <c r="BE106" s="45">
        <f>IF(OR($A106="",$L106="",$H106=""),"",IF(AND(LEFT($L106,2)="06",$H106&gt;1945),"FAIL - pre-war class, year "&amp;$H106,IF(AND(LEFT($L106,2)="07",OR($H106&lt;1946,$H106&gt;1972)),"FAIL - 1946-72 class, year "&amp;$H106,IF(AND(LEFT($L106,2)="08",OR($H106&lt;1973,$H106&gt;1999)),"FAIL - 1973-99 class, year "&amp;$H106,IF(AND(LEFT($L106,2)="09",OR($H106&lt;2000,$H106&gt;2010)),"FAIL - 2000-10 class, year "&amp;$H106,"OK")))))</f>
      </c>
      <c r="BF106" s="45">
        <f>IF($AD106="","",IF(ROUND($AO106+$AP106+$AQ106-$AD106,2)=0,"OK","FAIL - out by "&amp;TEXT($AO106+$AP106+$AQ106-$AD106,"$0.00")))</f>
      </c>
    </row>
    <row r="107" spans="1:58" ht="18.75" customHeight="1" x14ac:dyDescent="0.25">
      <c r="A107" s="30" t="inlineStr">
        <is>
          <t xml:space="preserve">CANON-202508-000144</t>
        </is>
      </c>
      <c r="B107" s="30" t="inlineStr">
        <is>
          <t xml:space="preserve">Desmond Pennington</t>
        </is>
      </c>
      <c r="C107" s="31">
        <v>45895</v>
      </c>
      <c r="D107" s="32" t="inlineStr">
        <is>
          <t xml:space="preserve">Bound - within authority</t>
        </is>
      </c>
      <c r="E107" s="32" t="inlineStr">
        <is>
          <t xml:space="preserve">New business</t>
        </is>
      </c>
      <c r="F107" s="30" t="inlineStr">
        <is>
          <t xml:space="preserve">B1234EXOTIC26</t>
        </is>
      </c>
      <c r="G107" s="33">
        <f>IF($A107="","",IF($C107="","",YEAR($C107)))</f>
      </c>
      <c r="H107" s="34">
        <v>1972</v>
      </c>
      <c r="I107" s="30" t="inlineStr">
        <is>
          <t xml:space="preserve">Porsche</t>
        </is>
      </c>
      <c r="J107" s="30" t="inlineStr">
        <is>
          <t xml:space="preserve">911 Turbo S</t>
        </is>
      </c>
      <c r="K107" s="30" t="inlineStr">
        <is>
          <t xml:space="preserve">0SL90K28ZSAC2NUNK</t>
        </is>
      </c>
      <c r="L107" s="32" t="inlineStr">
        <is>
          <t xml:space="preserve">02 - Sports / GT</t>
        </is>
      </c>
      <c r="M107" s="35">
        <v>435000</v>
      </c>
      <c r="N107" s="32" t="inlineStr">
        <is>
          <t xml:space="preserve">Personal</t>
        </is>
      </c>
      <c r="O107" s="30" t="inlineStr">
        <is>
          <t xml:space="preserve">Personal - regular use</t>
        </is>
      </c>
      <c r="P107" s="30" t="inlineStr">
        <is>
          <t xml:space="preserve">Under 1,000</t>
        </is>
      </c>
      <c r="Q107" s="30" t="inlineStr">
        <is>
          <t xml:space="preserve">Hawaii</t>
        </is>
      </c>
      <c r="R107" s="30" t="inlineStr">
        <is>
          <t xml:space="preserve">96813</t>
        </is>
      </c>
      <c r="S107" s="32" t="inlineStr">
        <is>
          <t xml:space="preserve">Earthquake - high (CA, Cascadia, New Madrid)</t>
        </is>
      </c>
      <c r="T107" s="36">
        <f>IF($A107="","",IF($S107="","",IFERROR(INDEX('[1]natural catastrophe'!$D$6:$D$17,MATCH($S107,'[1]natural catastrophe'!$B$6:$B$17,0)),"?")))</f>
      </c>
      <c r="U107" s="30" t="inlineStr">
        <is>
          <t xml:space="preserve">$5,000</t>
        </is>
      </c>
      <c r="V107" s="32" t="inlineStr">
        <is>
          <t xml:space="preserve">Agreed Value</t>
        </is>
      </c>
      <c r="W107" s="30" t="inlineStr">
        <is>
          <t xml:space="preserve">$1,000</t>
        </is>
      </c>
      <c r="X107" s="32" t="inlineStr">
        <is>
          <t xml:space="preserve">$1,000,000 CSL</t>
        </is>
      </c>
      <c r="Y107" s="30"/>
      <c r="Z107" s="30"/>
      <c r="AA107" s="32" t="inlineStr">
        <is>
          <t xml:space="preserve">Surplus Lines</t>
        </is>
      </c>
      <c r="AB107" s="35">
        <v>8002.36</v>
      </c>
      <c r="AC107" s="37">
        <v>0</v>
      </c>
      <c r="AD107" s="38">
        <f>IF(ISNUMBER($AB107),$AB107*(1+N($AC107)),"")</f>
      </c>
      <c r="AE107" s="35">
        <v>350</v>
      </c>
      <c r="AF107" s="35">
        <v>0</v>
      </c>
      <c r="AG107" s="37"/>
      <c r="AH107" s="39">
        <f>IF(ISNUMBER($AD107),($AD107+$AE107+$AF107)*$AG107,"")</f>
      </c>
      <c r="AI107" s="35"/>
      <c r="AJ107" s="38">
        <f>IF(ISNUMBER($AD107),SUM($AD107:$AH107),"")</f>
      </c>
      <c r="AK107" s="40">
        <f>IF(AND(ISNUMBER($AB107),ISNUMBER($AD107)),IF($AB107&gt;0,$AD107/$AB107,""),"")</f>
      </c>
      <c r="AL107" s="32" t="inlineStr">
        <is>
          <t xml:space="preserve">At technical</t>
        </is>
      </c>
      <c r="AM107" s="41">
        <f>IF(ISNUMBER($AD107),Header!$I$3,"")</f>
      </c>
      <c r="AN107" s="39">
        <f>IF(ISNUMBER($AD107),$AO107+$AP107,"")</f>
      </c>
      <c r="AO107" s="39">
        <f>IF(ISNUMBER($AD107),ROUND($AD107*Header!$K$3,2),"")</f>
      </c>
      <c r="AP107" s="39">
        <f>IF(ISNUMBER($AD107),ROUND($AD107*Header!$M$3,2),"")</f>
      </c>
      <c r="AQ107" s="38">
        <f>IF(ISNUMBER($AD107),ROUND($AD107,2)-$AO107-$AP107,"")</f>
      </c>
      <c r="AR107" s="39">
        <f>IF(ISNUMBER($AD107),IF(Header!$D$34="","?",$AD107*Header!$D$34),"")</f>
      </c>
      <c r="AS107" s="39">
        <f>IF(ISNUMBER($AB107),IF(Header!$D$34="","?",$AB107*Header!$D$34),"")</f>
      </c>
      <c r="AT107" s="42">
        <f>IF(AND(ISNUMBER($AB107),$M107&gt;0),$AB107/$M107*100,"")</f>
      </c>
      <c r="AU107" s="42">
        <f>IF(AND(ISNUMBER($AD107),$M107&gt;0),$AD107/$M107*100,"")</f>
      </c>
      <c r="AV107" s="40">
        <f>IF(AND(ISNUMBER($AB107),ISNUMBER($AD107),ABS($AB107)&gt;0),$AD107/$AB107,"")</f>
      </c>
      <c r="AW107" s="39">
        <f>IF(ISNUMBER($AD107),MAX(0,(1-0.55-Header!$O$3)*Header!$Q$3*$AQ107),"")</f>
      </c>
      <c r="AX107" s="43">
        <f>IF($A107="","",IF(TRIM(IF($A107="","Missing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",""))="","PASS","FAIL: "&amp;TRIM(IF($A107="","Missing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f>
      </c>
      <c r="AY107" s="44">
        <f>IF($M107="","",IF(ISNUMBER($M107),IF($M107&gt;=Header!$C$18,"YES — refer","No"),""))</f>
      </c>
      <c r="AZ107" s="44">
        <f>IF($AD107="","",IF(ISNUMBER($AD107),IF($AD107&lt;Header!$C$20,"BELOW MIN PREMIUM","OK"),""))</f>
      </c>
      <c r="BA107" s="32" t="inlineStr">
        <is>
          <t xml:space="preserve">Yes</t>
        </is>
      </c>
      <c r="BB107" s="32" t="inlineStr">
        <is>
          <t xml:space="preserve">Yes</t>
        </is>
      </c>
      <c r="BC107" s="30" t="inlineStr">
        <is>
          <t xml:space="preserve">Synthetic demo data</t>
        </is>
      </c>
      <c r="BE107" s="45">
        <f>IF(OR($A107="",$L107="",$H107=""),"",IF(AND(LEFT($L107,2)="06",$H107&gt;1945),"FAIL - pre-war class, year "&amp;$H107,IF(AND(LEFT($L107,2)="07",OR($H107&lt;1946,$H107&gt;1972)),"FAIL - 1946-72 class, year "&amp;$H107,IF(AND(LEFT($L107,2)="08",OR($H107&lt;1973,$H107&gt;1999)),"FAIL - 1973-99 class, year "&amp;$H107,IF(AND(LEFT($L107,2)="09",OR($H107&lt;2000,$H107&gt;2010)),"FAIL - 2000-10 class, year "&amp;$H107,"OK")))))</f>
      </c>
      <c r="BF107" s="45">
        <f>IF($AD107="","",IF(ROUND($AO107+$AP107+$AQ107-$AD107,2)=0,"OK","FAIL - out by "&amp;TEXT($AO107+$AP107+$AQ107-$AD107,"$0.00")))</f>
      </c>
    </row>
    <row r="108" spans="1:58" ht="18.75" customHeight="1" x14ac:dyDescent="0.25">
      <c r="A108" s="46" t="inlineStr">
        <is>
          <t xml:space="preserve">CANON-202508-000145</t>
        </is>
      </c>
      <c r="B108" s="46" t="inlineStr">
        <is>
          <t xml:space="preserve">Lorenzo Kingsford</t>
        </is>
      </c>
      <c r="C108" s="47">
        <v>45897</v>
      </c>
      <c r="D108" s="48" t="inlineStr">
        <is>
          <t xml:space="preserve">Bound - within authority</t>
        </is>
      </c>
      <c r="E108" s="48" t="inlineStr">
        <is>
          <t xml:space="preserve">New business</t>
        </is>
      </c>
      <c r="F108" s="46" t="inlineStr">
        <is>
          <t xml:space="preserve">B1234EXOTIC26</t>
        </is>
      </c>
      <c r="G108" s="33">
        <f>IF($A108="","",IF($C108="","",YEAR($C108)))</f>
      </c>
      <c r="H108" s="49">
        <v>1995</v>
      </c>
      <c r="I108" s="46" t="inlineStr">
        <is>
          <t xml:space="preserve">Lamborghini</t>
        </is>
      </c>
      <c r="J108" s="46" t="inlineStr">
        <is>
          <t xml:space="preserve">Huracan EVO</t>
        </is>
      </c>
      <c r="K108" s="46" t="inlineStr">
        <is>
          <t xml:space="preserve">1XSVD2L69KF4VCSX0</t>
        </is>
      </c>
      <c r="L108" s="48" t="inlineStr">
        <is>
          <t xml:space="preserve">03 - Supercar</t>
        </is>
      </c>
      <c r="M108" s="50">
        <v>295000</v>
      </c>
      <c r="N108" s="48" t="inlineStr">
        <is>
          <t xml:space="preserve">Personal</t>
        </is>
      </c>
      <c r="O108" s="46" t="inlineStr">
        <is>
          <t xml:space="preserve">Personal - regular use</t>
        </is>
      </c>
      <c r="P108" s="46" t="inlineStr">
        <is>
          <t xml:space="preserve">2,500 - 5,000</t>
        </is>
      </c>
      <c r="Q108" s="46" t="inlineStr">
        <is>
          <t xml:space="preserve">California</t>
        </is>
      </c>
      <c r="R108" s="46" t="inlineStr">
        <is>
          <t xml:space="preserve">90012</t>
        </is>
      </c>
      <c r="S108" s="48" t="inlineStr">
        <is>
          <t xml:space="preserve">Earthquake - high (CA, Cascadia, New Madrid)</t>
        </is>
      </c>
      <c r="T108" s="36">
        <f>IF($A108="","",IF($S108="","",IFERROR(INDEX('[1]natural catastrophe'!$D$6:$D$17,MATCH($S108,'[1]natural catastrophe'!$B$6:$B$17,0)),"?")))</f>
      </c>
      <c r="U108" s="46" t="inlineStr">
        <is>
          <t xml:space="preserve">$5,000</t>
        </is>
      </c>
      <c r="V108" s="48" t="inlineStr">
        <is>
          <t xml:space="preserve">Agreed Value</t>
        </is>
      </c>
      <c r="W108" s="46" t="inlineStr">
        <is>
          <t xml:space="preserve">$1,000</t>
        </is>
      </c>
      <c r="X108" s="48" t="inlineStr">
        <is>
          <t xml:space="preserve">$1,000,000 CSL</t>
        </is>
      </c>
      <c r="Y108" s="46"/>
      <c r="Z108" s="46"/>
      <c r="AA108" s="48" t="inlineStr">
        <is>
          <t xml:space="preserve">Surplus Lines</t>
        </is>
      </c>
      <c r="AB108" s="50">
        <v>8641.27</v>
      </c>
      <c r="AC108" s="51">
        <v>0</v>
      </c>
      <c r="AD108" s="38">
        <f>IF(ISNUMBER($AB108),$AB108*(1+N($AC108)),"")</f>
      </c>
      <c r="AE108" s="50">
        <v>350</v>
      </c>
      <c r="AF108" s="50">
        <v>0</v>
      </c>
      <c r="AG108" s="51"/>
      <c r="AH108" s="39">
        <f>IF(ISNUMBER($AD108),($AD108+$AE108+$AF108)*$AG108,"")</f>
      </c>
      <c r="AI108" s="50"/>
      <c r="AJ108" s="38">
        <f>IF(ISNUMBER($AD108),SUM($AD108:$AH108),"")</f>
      </c>
      <c r="AK108" s="40">
        <f>IF(AND(ISNUMBER($AB108),ISNUMBER($AD108)),IF($AB108&gt;0,$AD108/$AB108,""),"")</f>
      </c>
      <c r="AL108" s="48" t="inlineStr">
        <is>
          <t xml:space="preserve">At technical</t>
        </is>
      </c>
      <c r="AM108" s="41">
        <f>IF(ISNUMBER($AD108),Header!$I$3,"")</f>
      </c>
      <c r="AN108" s="39">
        <f>IF(ISNUMBER($AD108),$AO108+$AP108,"")</f>
      </c>
      <c r="AO108" s="39">
        <f>IF(ISNUMBER($AD108),ROUND($AD108*Header!$K$3,2),"")</f>
      </c>
      <c r="AP108" s="39">
        <f>IF(ISNUMBER($AD108),ROUND($AD108*Header!$M$3,2),"")</f>
      </c>
      <c r="AQ108" s="38">
        <f>IF(ISNUMBER($AD108),ROUND($AD108,2)-$AO108-$AP108,"")</f>
      </c>
      <c r="AR108" s="39">
        <f>IF(ISNUMBER($AD108),IF(Header!$D$34="","?",$AD108*Header!$D$34),"")</f>
      </c>
      <c r="AS108" s="39">
        <f>IF(ISNUMBER($AB108),IF(Header!$D$34="","?",$AB108*Header!$D$34),"")</f>
      </c>
      <c r="AT108" s="42">
        <f>IF(AND(ISNUMBER($AB108),$M108&gt;0),$AB108/$M108*100,"")</f>
      </c>
      <c r="AU108" s="42">
        <f>IF(AND(ISNUMBER($AD108),$M108&gt;0),$AD108/$M108*100,"")</f>
      </c>
      <c r="AV108" s="40">
        <f>IF(AND(ISNUMBER($AB108),ISNUMBER($AD108),ABS($AB108)&gt;0),$AD108/$AB108,"")</f>
      </c>
      <c r="AW108" s="39">
        <f>IF(ISNUMBER($AD108),MAX(0,(1-0.55-Header!$O$3)*Header!$Q$3*$AQ108),"")</f>
      </c>
      <c r="AX108" s="43">
        <f>IF($A108="","",IF(TRIM(IF($A108="","Missing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",""))="","PASS","FAIL: "&amp;TRIM(IF($A108="","Missing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f>
      </c>
      <c r="AY108" s="44">
        <f>IF($M108="","",IF(ISNUMBER($M108),IF($M108&gt;=Header!$C$18,"YES — refer","No"),""))</f>
      </c>
      <c r="AZ108" s="44">
        <f>IF($AD108="","",IF(ISNUMBER($AD108),IF($AD108&lt;Header!$C$20,"BELOW MIN PREMIUM","OK"),""))</f>
      </c>
      <c r="BA108" s="48" t="inlineStr">
        <is>
          <t xml:space="preserve">Yes</t>
        </is>
      </c>
      <c r="BB108" s="48" t="inlineStr">
        <is>
          <t xml:space="preserve">Yes</t>
        </is>
      </c>
      <c r="BC108" s="46" t="inlineStr">
        <is>
          <t xml:space="preserve">Synthetic demo data</t>
        </is>
      </c>
      <c r="BE108" s="45">
        <f>IF(OR($A108="",$L108="",$H108=""),"",IF(AND(LEFT($L108,2)="06",$H108&gt;1945),"FAIL - pre-war class, year "&amp;$H108,IF(AND(LEFT($L108,2)="07",OR($H108&lt;1946,$H108&gt;1972)),"FAIL - 1946-72 class, year "&amp;$H108,IF(AND(LEFT($L108,2)="08",OR($H108&lt;1973,$H108&gt;1999)),"FAIL - 1973-99 class, year "&amp;$H108,IF(AND(LEFT($L108,2)="09",OR($H108&lt;2000,$H108&gt;2010)),"FAIL - 2000-10 class, year "&amp;$H108,"OK")))))</f>
      </c>
      <c r="BF108" s="45">
        <f>IF($AD108="","",IF(ROUND($AO108+$AP108+$AQ108-$AD108,2)=0,"OK","FAIL - out by "&amp;TEXT($AO108+$AP108+$AQ108-$AD108,"$0.00")))</f>
      </c>
    </row>
    <row r="109" spans="1:58" ht="18.75" customHeight="1" x14ac:dyDescent="0.25">
      <c r="A109" s="30" t="inlineStr">
        <is>
          <t xml:space="preserve">CANON-202508-000146</t>
        </is>
      </c>
      <c r="B109" s="30" t="inlineStr">
        <is>
          <t xml:space="preserve">Fenwick Chattopadhyay</t>
        </is>
      </c>
      <c r="C109" s="31">
        <v>45873</v>
      </c>
      <c r="D109" s="32" t="inlineStr">
        <is>
          <t xml:space="preserve">Bound - within authority</t>
        </is>
      </c>
      <c r="E109" s="32" t="inlineStr">
        <is>
          <t xml:space="preserve">New business</t>
        </is>
      </c>
      <c r="F109" s="30" t="inlineStr">
        <is>
          <t xml:space="preserve">B1234EXOTIC26</t>
        </is>
      </c>
      <c r="G109" s="33">
        <f>IF($A109="","",IF($C109="","",YEAR($C109)))</f>
      </c>
      <c r="H109" s="34">
        <v>2018</v>
      </c>
      <c r="I109" s="30" t="inlineStr">
        <is>
          <t xml:space="preserve">Aston Martin</t>
        </is>
      </c>
      <c r="J109" s="30" t="inlineStr">
        <is>
          <t xml:space="preserve">DB5</t>
        </is>
      </c>
      <c r="K109" s="30" t="inlineStr">
        <is>
          <t xml:space="preserve">LFBJ9EEWJRXJ80G0M</t>
        </is>
      </c>
      <c r="L109" s="32" t="inlineStr">
        <is>
          <t xml:space="preserve">02 - Sports / GT</t>
        </is>
      </c>
      <c r="M109" s="35">
        <v>405000</v>
      </c>
      <c r="N109" s="32" t="inlineStr">
        <is>
          <t xml:space="preserve">Personal</t>
        </is>
      </c>
      <c r="O109" s="30" t="inlineStr">
        <is>
          <t xml:space="preserve">Personal - regular use</t>
        </is>
      </c>
      <c r="P109" s="30" t="inlineStr">
        <is>
          <t xml:space="preserve">2,500 - 5,000</t>
        </is>
      </c>
      <c r="Q109" s="30" t="inlineStr">
        <is>
          <t xml:space="preserve">Michigan</t>
        </is>
      </c>
      <c r="R109" s="30" t="inlineStr">
        <is>
          <t xml:space="preserve">48226</t>
        </is>
      </c>
      <c r="S109" s="32" t="inlineStr">
        <is>
          <t xml:space="preserve">Severe convective - hail / tornado (moderate)</t>
        </is>
      </c>
      <c r="T109" s="36">
        <f>IF($A109="","",IF($S109="","",IFERROR(INDEX('[1]natural catastrophe'!$D$6:$D$17,MATCH($S109,'[1]natural catastrophe'!$B$6:$B$17,0)),"?")))</f>
      </c>
      <c r="U109" s="30" t="inlineStr">
        <is>
          <t xml:space="preserve">$5,000</t>
        </is>
      </c>
      <c r="V109" s="32" t="inlineStr">
        <is>
          <t xml:space="preserve">Agreed Value</t>
        </is>
      </c>
      <c r="W109" s="30" t="inlineStr">
        <is>
          <t xml:space="preserve">$1,000</t>
        </is>
      </c>
      <c r="X109" s="32" t="inlineStr">
        <is>
          <t xml:space="preserve">$1,000,000 CSL</t>
        </is>
      </c>
      <c r="Y109" s="30"/>
      <c r="Z109" s="30"/>
      <c r="AA109" s="32" t="inlineStr">
        <is>
          <t xml:space="preserve">Surplus Lines</t>
        </is>
      </c>
      <c r="AB109" s="35">
        <v>5685.28</v>
      </c>
      <c r="AC109" s="37">
        <v>0</v>
      </c>
      <c r="AD109" s="38">
        <f>IF(ISNUMBER($AB109),$AB109*(1+N($AC109)),"")</f>
      </c>
      <c r="AE109" s="35">
        <v>350</v>
      </c>
      <c r="AF109" s="35">
        <v>0</v>
      </c>
      <c r="AG109" s="37"/>
      <c r="AH109" s="39">
        <f>IF(ISNUMBER($AD109),($AD109+$AE109+$AF109)*$AG109,"")</f>
      </c>
      <c r="AI109" s="35"/>
      <c r="AJ109" s="38">
        <f>IF(ISNUMBER($AD109),SUM($AD109:$AH109),"")</f>
      </c>
      <c r="AK109" s="40">
        <f>IF(AND(ISNUMBER($AB109),ISNUMBER($AD109)),IF($AB109&gt;0,$AD109/$AB109,""),"")</f>
      </c>
      <c r="AL109" s="32" t="inlineStr">
        <is>
          <t xml:space="preserve">At technical</t>
        </is>
      </c>
      <c r="AM109" s="41">
        <f>IF(ISNUMBER($AD109),Header!$I$3,"")</f>
      </c>
      <c r="AN109" s="39">
        <f>IF(ISNUMBER($AD109),$AO109+$AP109,"")</f>
      </c>
      <c r="AO109" s="39">
        <f>IF(ISNUMBER($AD109),ROUND($AD109*Header!$K$3,2),"")</f>
      </c>
      <c r="AP109" s="39">
        <f>IF(ISNUMBER($AD109),ROUND($AD109*Header!$M$3,2),"")</f>
      </c>
      <c r="AQ109" s="38">
        <f>IF(ISNUMBER($AD109),ROUND($AD109,2)-$AO109-$AP109,"")</f>
      </c>
      <c r="AR109" s="39">
        <f>IF(ISNUMBER($AD109),IF(Header!$D$34="","?",$AD109*Header!$D$34),"")</f>
      </c>
      <c r="AS109" s="39">
        <f>IF(ISNUMBER($AB109),IF(Header!$D$34="","?",$AB109*Header!$D$34),"")</f>
      </c>
      <c r="AT109" s="42">
        <f>IF(AND(ISNUMBER($AB109),$M109&gt;0),$AB109/$M109*100,"")</f>
      </c>
      <c r="AU109" s="42">
        <f>IF(AND(ISNUMBER($AD109),$M109&gt;0),$AD109/$M109*100,"")</f>
      </c>
      <c r="AV109" s="40">
        <f>IF(AND(ISNUMBER($AB109),ISNUMBER($AD109),ABS($AB109)&gt;0),$AD109/$AB109,"")</f>
      </c>
      <c r="AW109" s="39">
        <f>IF(ISNUMBER($AD109),MAX(0,(1-0.55-Header!$O$3)*Header!$Q$3*$AQ109),"")</f>
      </c>
      <c r="AX109" s="43">
        <f>IF($A109="","",IF(TRIM(IF($A109="","Missing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",""))="","PASS","FAIL: "&amp;TRIM(IF($A109="","Missing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f>
      </c>
      <c r="AY109" s="44">
        <f>IF($M109="","",IF(ISNUMBER($M109),IF($M109&gt;=Header!$C$18,"YES — refer","No"),""))</f>
      </c>
      <c r="AZ109" s="44">
        <f>IF($AD109="","",IF(ISNUMBER($AD109),IF($AD109&lt;Header!$C$20,"BELOW MIN PREMIUM","OK"),""))</f>
      </c>
      <c r="BA109" s="32" t="inlineStr">
        <is>
          <t xml:space="preserve">Yes</t>
        </is>
      </c>
      <c r="BB109" s="32" t="inlineStr">
        <is>
          <t xml:space="preserve">Yes</t>
        </is>
      </c>
      <c r="BC109" s="30" t="inlineStr">
        <is>
          <t xml:space="preserve">Synthetic demo data</t>
        </is>
      </c>
      <c r="BE109" s="45">
        <f>IF(OR($A109="",$L109="",$H109=""),"",IF(AND(LEFT($L109,2)="06",$H109&gt;1945),"FAIL - pre-war class, year "&amp;$H109,IF(AND(LEFT($L109,2)="07",OR($H109&lt;1946,$H109&gt;1972)),"FAIL - 1946-72 class, year "&amp;$H109,IF(AND(LEFT($L109,2)="08",OR($H109&lt;1973,$H109&gt;1999)),"FAIL - 1973-99 class, year "&amp;$H109,IF(AND(LEFT($L109,2)="09",OR($H109&lt;2000,$H109&gt;2010)),"FAIL - 2000-10 class, year "&amp;$H109,"OK")))))</f>
      </c>
      <c r="BF109" s="45">
        <f>IF($AD109="","",IF(ROUND($AO109+$AP109+$AQ109-$AD109,2)=0,"OK","FAIL - out by "&amp;TEXT($AO109+$AP109+$AQ109-$AD109,"$0.00")))</f>
      </c>
    </row>
    <row r="110" spans="1:58" ht="18.75" customHeight="1" x14ac:dyDescent="0.25">
      <c r="A110" s="46" t="inlineStr">
        <is>
          <t xml:space="preserve">CANON-202508-000147</t>
        </is>
      </c>
      <c r="B110" s="46" t="inlineStr">
        <is>
          <t xml:space="preserve">Delphine Delacroix</t>
        </is>
      </c>
      <c r="C110" s="47">
        <v>45896</v>
      </c>
      <c r="D110" s="48" t="inlineStr">
        <is>
          <t xml:space="preserve">Bound - within authority</t>
        </is>
      </c>
      <c r="E110" s="48" t="inlineStr">
        <is>
          <t xml:space="preserve">New business</t>
        </is>
      </c>
      <c r="F110" s="46" t="inlineStr">
        <is>
          <t xml:space="preserve">B1234EXOTIC26</t>
        </is>
      </c>
      <c r="G110" s="33">
        <f>IF($A110="","",IF($C110="","",YEAR($C110)))</f>
      </c>
      <c r="H110" s="49">
        <v>1993</v>
      </c>
      <c r="I110" s="46" t="inlineStr">
        <is>
          <t xml:space="preserve">BMW</t>
        </is>
      </c>
      <c r="J110" s="46" t="inlineStr">
        <is>
          <t xml:space="preserve">M8 Competition</t>
        </is>
      </c>
      <c r="K110" s="46" t="inlineStr">
        <is>
          <t xml:space="preserve">Y7ZRSA4F833EL8GW3</t>
        </is>
      </c>
      <c r="L110" s="48" t="inlineStr">
        <is>
          <t xml:space="preserve">02 - Sports / GT</t>
        </is>
      </c>
      <c r="M110" s="50">
        <v>290000</v>
      </c>
      <c r="N110" s="48" t="inlineStr">
        <is>
          <t xml:space="preserve">Personal</t>
        </is>
      </c>
      <c r="O110" s="46" t="inlineStr">
        <is>
          <t xml:space="preserve">Personal - regular use</t>
        </is>
      </c>
      <c r="P110" s="46" t="inlineStr">
        <is>
          <t xml:space="preserve">2,500 - 5,000</t>
        </is>
      </c>
      <c r="Q110" s="46" t="inlineStr">
        <is>
          <t xml:space="preserve">Indiana</t>
        </is>
      </c>
      <c r="R110" s="46" t="inlineStr">
        <is>
          <t xml:space="preserve">46204</t>
        </is>
      </c>
      <c r="S110" s="48" t="inlineStr">
        <is>
          <t xml:space="preserve">Severe convective - hail / tornado (moderate)</t>
        </is>
      </c>
      <c r="T110" s="36">
        <f>IF($A110="","",IF($S110="","",IFERROR(INDEX('[1]natural catastrophe'!$D$6:$D$17,MATCH($S110,'[1]natural catastrophe'!$B$6:$B$17,0)),"?")))</f>
      </c>
      <c r="U110" s="46" t="inlineStr">
        <is>
          <t xml:space="preserve">$5,000</t>
        </is>
      </c>
      <c r="V110" s="48" t="inlineStr">
        <is>
          <t xml:space="preserve">Agreed Value</t>
        </is>
      </c>
      <c r="W110" s="46" t="inlineStr">
        <is>
          <t xml:space="preserve">$1,000</t>
        </is>
      </c>
      <c r="X110" s="48" t="inlineStr">
        <is>
          <t xml:space="preserve">$1,000,000 CSL</t>
        </is>
      </c>
      <c r="Y110" s="46"/>
      <c r="Z110" s="46"/>
      <c r="AA110" s="48" t="inlineStr">
        <is>
          <t xml:space="preserve">Surplus Lines</t>
        </is>
      </c>
      <c r="AB110" s="50">
        <v>5047.64</v>
      </c>
      <c r="AC110" s="51">
        <v>0</v>
      </c>
      <c r="AD110" s="38">
        <f>IF(ISNUMBER($AB110),$AB110*(1+N($AC110)),"")</f>
      </c>
      <c r="AE110" s="50">
        <v>350</v>
      </c>
      <c r="AF110" s="50">
        <v>0</v>
      </c>
      <c r="AG110" s="51"/>
      <c r="AH110" s="39">
        <f>IF(ISNUMBER($AD110),($AD110+$AE110+$AF110)*$AG110,"")</f>
      </c>
      <c r="AI110" s="50"/>
      <c r="AJ110" s="38">
        <f>IF(ISNUMBER($AD110),SUM($AD110:$AH110),"")</f>
      </c>
      <c r="AK110" s="40">
        <f>IF(AND(ISNUMBER($AB110),ISNUMBER($AD110)),IF($AB110&gt;0,$AD110/$AB110,""),"")</f>
      </c>
      <c r="AL110" s="48" t="inlineStr">
        <is>
          <t xml:space="preserve">At technical</t>
        </is>
      </c>
      <c r="AM110" s="41">
        <f>IF(ISNUMBER($AD110),Header!$I$3,"")</f>
      </c>
      <c r="AN110" s="39">
        <f>IF(ISNUMBER($AD110),$AO110+$AP110,"")</f>
      </c>
      <c r="AO110" s="39">
        <f>IF(ISNUMBER($AD110),ROUND($AD110*Header!$K$3,2),"")</f>
      </c>
      <c r="AP110" s="39">
        <f>IF(ISNUMBER($AD110),ROUND($AD110*Header!$M$3,2),"")</f>
      </c>
      <c r="AQ110" s="38">
        <f>IF(ISNUMBER($AD110),ROUND($AD110,2)-$AO110-$AP110,"")</f>
      </c>
      <c r="AR110" s="39">
        <f>IF(ISNUMBER($AD110),IF(Header!$D$34="","?",$AD110*Header!$D$34),"")</f>
      </c>
      <c r="AS110" s="39">
        <f>IF(ISNUMBER($AB110),IF(Header!$D$34="","?",$AB110*Header!$D$34),"")</f>
      </c>
      <c r="AT110" s="42">
        <f>IF(AND(ISNUMBER($AB110),$M110&gt;0),$AB110/$M110*100,"")</f>
      </c>
      <c r="AU110" s="42">
        <f>IF(AND(ISNUMBER($AD110),$M110&gt;0),$AD110/$M110*100,"")</f>
      </c>
      <c r="AV110" s="40">
        <f>IF(AND(ISNUMBER($AB110),ISNUMBER($AD110),ABS($AB110)&gt;0),$AD110/$AB110,"")</f>
      </c>
      <c r="AW110" s="39">
        <f>IF(ISNUMBER($AD110),MAX(0,(1-0.55-Header!$O$3)*Header!$Q$3*$AQ110),"")</f>
      </c>
      <c r="AX110" s="43">
        <f>IF($A110="","",IF(TRIM(IF($A110="","Missing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",""))="","PASS","FAIL: "&amp;TRIM(IF($A110="","Missing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f>
      </c>
      <c r="AY110" s="44">
        <f>IF($M110="","",IF(ISNUMBER($M110),IF($M110&gt;=Header!$C$18,"YES — refer","No"),""))</f>
      </c>
      <c r="AZ110" s="44">
        <f>IF($AD110="","",IF(ISNUMBER($AD110),IF($AD110&lt;Header!$C$20,"BELOW MIN PREMIUM","OK"),""))</f>
      </c>
      <c r="BA110" s="48" t="inlineStr">
        <is>
          <t xml:space="preserve">Yes</t>
        </is>
      </c>
      <c r="BB110" s="48" t="inlineStr">
        <is>
          <t xml:space="preserve">Yes</t>
        </is>
      </c>
      <c r="BC110" s="46" t="inlineStr">
        <is>
          <t xml:space="preserve">Synthetic demo data</t>
        </is>
      </c>
      <c r="BE110" s="45">
        <f>IF(OR($A110="",$L110="",$H110=""),"",IF(AND(LEFT($L110,2)="06",$H110&gt;1945),"FAIL - pre-war class, year "&amp;$H110,IF(AND(LEFT($L110,2)="07",OR($H110&lt;1946,$H110&gt;1972)),"FAIL - 1946-72 class, year "&amp;$H110,IF(AND(LEFT($L110,2)="08",OR($H110&lt;1973,$H110&gt;1999)),"FAIL - 1973-99 class, year "&amp;$H110,IF(AND(LEFT($L110,2)="09",OR($H110&lt;2000,$H110&gt;2010)),"FAIL - 2000-10 class, year "&amp;$H110,"OK")))))</f>
      </c>
      <c r="BF110" s="45">
        <f>IF($AD110="","",IF(ROUND($AO110+$AP110+$AQ110-$AD110,2)=0,"OK","FAIL - out by "&amp;TEXT($AO110+$AP110+$AQ110-$AD110,"$0.00")))</f>
      </c>
    </row>
    <row r="111" spans="1:58" ht="18.75" customHeight="1" x14ac:dyDescent="0.25">
      <c r="A111" s="30" t="inlineStr">
        <is>
          <t xml:space="preserve">CANON-202508-000148</t>
        </is>
      </c>
      <c r="B111" s="30" t="inlineStr">
        <is>
          <t xml:space="preserve">Desmond Rourke</t>
        </is>
      </c>
      <c r="C111" s="31">
        <v>45898</v>
      </c>
      <c r="D111" s="32" t="inlineStr">
        <is>
          <t xml:space="preserve">Bound - within authority</t>
        </is>
      </c>
      <c r="E111" s="32" t="inlineStr">
        <is>
          <t xml:space="preserve">New business</t>
        </is>
      </c>
      <c r="F111" s="30" t="inlineStr">
        <is>
          <t xml:space="preserve">B1234EXOTIC26</t>
        </is>
      </c>
      <c r="G111" s="33">
        <f>IF($A111="","",IF($C111="","",YEAR($C111)))</f>
      </c>
      <c r="H111" s="34">
        <v>2024</v>
      </c>
      <c r="I111" s="30" t="inlineStr">
        <is>
          <t xml:space="preserve">Maserati</t>
        </is>
      </c>
      <c r="J111" s="30" t="inlineStr">
        <is>
          <t xml:space="preserve">GranTurismo</t>
        </is>
      </c>
      <c r="K111" s="30" t="inlineStr">
        <is>
          <t xml:space="preserve">FV56B82VAAW9K92XU</t>
        </is>
      </c>
      <c r="L111" s="32" t="inlineStr">
        <is>
          <t xml:space="preserve">02 - Sports / GT</t>
        </is>
      </c>
      <c r="M111" s="35">
        <v>460000</v>
      </c>
      <c r="N111" s="32" t="inlineStr">
        <is>
          <t xml:space="preserve">Personal</t>
        </is>
      </c>
      <c r="O111" s="30" t="inlineStr">
        <is>
          <t xml:space="preserve">Personal - regular use</t>
        </is>
      </c>
      <c r="P111" s="30" t="inlineStr">
        <is>
          <t xml:space="preserve">1,000 - 2,500</t>
        </is>
      </c>
      <c r="Q111" s="30" t="inlineStr">
        <is>
          <t xml:space="preserve">West Virginia</t>
        </is>
      </c>
      <c r="R111" s="30" t="inlineStr">
        <is>
          <t xml:space="preserve">25301</t>
        </is>
      </c>
      <c r="S111" s="32" t="inlineStr">
        <is>
          <t xml:space="preserve">Low hazard - inland benign</t>
        </is>
      </c>
      <c r="T111" s="36">
        <f>IF($A111="","",IF($S111="","",IFERROR(INDEX('[1]natural catastrophe'!$D$6:$D$17,MATCH($S111,'[1]natural catastrophe'!$B$6:$B$17,0)),"?")))</f>
      </c>
      <c r="U111" s="30" t="inlineStr">
        <is>
          <t xml:space="preserve">$5,000</t>
        </is>
      </c>
      <c r="V111" s="32" t="inlineStr">
        <is>
          <t xml:space="preserve">Agreed Value</t>
        </is>
      </c>
      <c r="W111" s="30" t="inlineStr">
        <is>
          <t xml:space="preserve">$1,000</t>
        </is>
      </c>
      <c r="X111" s="32" t="inlineStr">
        <is>
          <t xml:space="preserve">$1,000,000 CSL</t>
        </is>
      </c>
      <c r="Y111" s="30"/>
      <c r="Z111" s="30"/>
      <c r="AA111" s="32" t="inlineStr">
        <is>
          <t xml:space="preserve">Surplus Lines</t>
        </is>
      </c>
      <c r="AB111" s="35">
        <v>8657.55</v>
      </c>
      <c r="AC111" s="37">
        <v>0</v>
      </c>
      <c r="AD111" s="38">
        <f>IF(ISNUMBER($AB111),$AB111*(1+N($AC111)),"")</f>
      </c>
      <c r="AE111" s="35">
        <v>350</v>
      </c>
      <c r="AF111" s="35">
        <v>0</v>
      </c>
      <c r="AG111" s="37"/>
      <c r="AH111" s="39">
        <f>IF(ISNUMBER($AD111),($AD111+$AE111+$AF111)*$AG111,"")</f>
      </c>
      <c r="AI111" s="35"/>
      <c r="AJ111" s="38">
        <f>IF(ISNUMBER($AD111),SUM($AD111:$AH111),"")</f>
      </c>
      <c r="AK111" s="40">
        <f>IF(AND(ISNUMBER($AB111),ISNUMBER($AD111)),IF($AB111&gt;0,$AD111/$AB111,""),"")</f>
      </c>
      <c r="AL111" s="32" t="inlineStr">
        <is>
          <t xml:space="preserve">At technical</t>
        </is>
      </c>
      <c r="AM111" s="41">
        <f>IF(ISNUMBER($AD111),Header!$I$3,"")</f>
      </c>
      <c r="AN111" s="39">
        <f>IF(ISNUMBER($AD111),$AO111+$AP111,"")</f>
      </c>
      <c r="AO111" s="39">
        <f>IF(ISNUMBER($AD111),ROUND($AD111*Header!$K$3,2),"")</f>
      </c>
      <c r="AP111" s="39">
        <f>IF(ISNUMBER($AD111),ROUND($AD111*Header!$M$3,2),"")</f>
      </c>
      <c r="AQ111" s="38">
        <f>IF(ISNUMBER($AD111),ROUND($AD111,2)-$AO111-$AP111,"")</f>
      </c>
      <c r="AR111" s="39">
        <f>IF(ISNUMBER($AD111),IF(Header!$D$34="","?",$AD111*Header!$D$34),"")</f>
      </c>
      <c r="AS111" s="39">
        <f>IF(ISNUMBER($AB111),IF(Header!$D$34="","?",$AB111*Header!$D$34),"")</f>
      </c>
      <c r="AT111" s="42">
        <f>IF(AND(ISNUMBER($AB111),$M111&gt;0),$AB111/$M111*100,"")</f>
      </c>
      <c r="AU111" s="42">
        <f>IF(AND(ISNUMBER($AD111),$M111&gt;0),$AD111/$M111*100,"")</f>
      </c>
      <c r="AV111" s="40">
        <f>IF(AND(ISNUMBER($AB111),ISNUMBER($AD111),ABS($AB111)&gt;0),$AD111/$AB111,"")</f>
      </c>
      <c r="AW111" s="39">
        <f>IF(ISNUMBER($AD111),MAX(0,(1-0.55-Header!$O$3)*Header!$Q$3*$AQ111),"")</f>
      </c>
      <c r="AX111" s="43">
        <f>IF($A111="","",IF(TRIM(IF($A111="","Missing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",""))="","PASS","FAIL: "&amp;TRIM(IF($A111="","Missing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f>
      </c>
      <c r="AY111" s="44">
        <f>IF($M111="","",IF(ISNUMBER($M111),IF($M111&gt;=Header!$C$18,"YES — refer","No"),""))</f>
      </c>
      <c r="AZ111" s="44">
        <f>IF($AD111="","",IF(ISNUMBER($AD111),IF($AD111&lt;Header!$C$20,"BELOW MIN PREMIUM","OK"),""))</f>
      </c>
      <c r="BA111" s="32" t="inlineStr">
        <is>
          <t xml:space="preserve">Yes</t>
        </is>
      </c>
      <c r="BB111" s="32" t="inlineStr">
        <is>
          <t xml:space="preserve">Yes</t>
        </is>
      </c>
      <c r="BC111" s="30" t="inlineStr">
        <is>
          <t xml:space="preserve">Synthetic demo data</t>
        </is>
      </c>
      <c r="BE111" s="45">
        <f>IF(OR($A111="",$L111="",$H111=""),"",IF(AND(LEFT($L111,2)="06",$H111&gt;1945),"FAIL - pre-war class, year "&amp;$H111,IF(AND(LEFT($L111,2)="07",OR($H111&lt;1946,$H111&gt;1972)),"FAIL - 1946-72 class, year "&amp;$H111,IF(AND(LEFT($L111,2)="08",OR($H111&lt;1973,$H111&gt;1999)),"FAIL - 1973-99 class, year "&amp;$H111,IF(AND(LEFT($L111,2)="09",OR($H111&lt;2000,$H111&gt;2010)),"FAIL - 2000-10 class, year "&amp;$H111,"OK")))))</f>
      </c>
      <c r="BF111" s="45">
        <f>IF($AD111="","",IF(ROUND($AO111+$AP111+$AQ111-$AD111,2)=0,"OK","FAIL - out by "&amp;TEXT($AO111+$AP111+$AQ111-$AD111,"$0.00")))</f>
      </c>
    </row>
    <row r="112" spans="1:58" ht="18.75" customHeight="1" x14ac:dyDescent="0.25">
      <c r="A112" s="46" t="inlineStr">
        <is>
          <t xml:space="preserve">CANON-202508-000149</t>
        </is>
      </c>
      <c r="B112" s="46" t="inlineStr">
        <is>
          <t xml:space="preserve">Wilhelmina Merriweather</t>
        </is>
      </c>
      <c r="C112" s="47">
        <v>45888</v>
      </c>
      <c r="D112" s="48" t="inlineStr">
        <is>
          <t xml:space="preserve">Bound - within authority</t>
        </is>
      </c>
      <c r="E112" s="48" t="inlineStr">
        <is>
          <t xml:space="preserve">New business</t>
        </is>
      </c>
      <c r="F112" s="46" t="inlineStr">
        <is>
          <t xml:space="preserve">B1234EXOTIC26</t>
        </is>
      </c>
      <c r="G112" s="33">
        <f>IF($A112="","",IF($C112="","",YEAR($C112)))</f>
      </c>
      <c r="H112" s="49">
        <v>1957</v>
      </c>
      <c r="I112" s="46" t="inlineStr">
        <is>
          <t xml:space="preserve">BMW</t>
        </is>
      </c>
      <c r="J112" s="46" t="inlineStr">
        <is>
          <t xml:space="preserve">M8 Competition</t>
        </is>
      </c>
      <c r="K112" s="46" t="inlineStr">
        <is>
          <t xml:space="preserve">JSGP6BWJ8EZKHSUB1</t>
        </is>
      </c>
      <c r="L112" s="48" t="inlineStr">
        <is>
          <t xml:space="preserve">02 - Sports / GT</t>
        </is>
      </c>
      <c r="M112" s="50">
        <v>780000</v>
      </c>
      <c r="N112" s="48" t="inlineStr">
        <is>
          <t xml:space="preserve">Personal</t>
        </is>
      </c>
      <c r="O112" s="46" t="inlineStr">
        <is>
          <t xml:space="preserve">Personal - regular use</t>
        </is>
      </c>
      <c r="P112" s="46" t="inlineStr">
        <is>
          <t xml:space="preserve">2,500 - 5,000</t>
        </is>
      </c>
      <c r="Q112" s="46" t="inlineStr">
        <is>
          <t xml:space="preserve">South Carolina</t>
        </is>
      </c>
      <c r="R112" s="46" t="inlineStr">
        <is>
          <t xml:space="preserve">29401</t>
        </is>
      </c>
      <c r="S112" s="48" t="inlineStr">
        <is>
          <t xml:space="preserve">Tier 2 - Coastal wind (1-25 miles)</t>
        </is>
      </c>
      <c r="T112" s="36">
        <f>IF($A112="","",IF($S112="","",IFERROR(INDEX('[1]natural catastrophe'!$D$6:$D$17,MATCH($S112,'[1]natural catastrophe'!$B$6:$B$17,0)),"?")))</f>
      </c>
      <c r="U112" s="46" t="inlineStr">
        <is>
          <t xml:space="preserve">2% of agreed value, minimum $10,000</t>
        </is>
      </c>
      <c r="V112" s="48" t="inlineStr">
        <is>
          <t xml:space="preserve">Agreed Value</t>
        </is>
      </c>
      <c r="W112" s="46" t="inlineStr">
        <is>
          <t xml:space="preserve">$1,000</t>
        </is>
      </c>
      <c r="X112" s="48" t="inlineStr">
        <is>
          <t xml:space="preserve">$1,000,000 CSL</t>
        </is>
      </c>
      <c r="Y112" s="46"/>
      <c r="Z112" s="46"/>
      <c r="AA112" s="48" t="inlineStr">
        <is>
          <t xml:space="preserve">Surplus Lines</t>
        </is>
      </c>
      <c r="AB112" s="50">
        <v>11861.89</v>
      </c>
      <c r="AC112" s="51">
        <v>0</v>
      </c>
      <c r="AD112" s="38">
        <f>IF(ISNUMBER($AB112),$AB112*(1+N($AC112)),"")</f>
      </c>
      <c r="AE112" s="50">
        <v>350</v>
      </c>
      <c r="AF112" s="50">
        <v>0</v>
      </c>
      <c r="AG112" s="51"/>
      <c r="AH112" s="39">
        <f>IF(ISNUMBER($AD112),($AD112+$AE112+$AF112)*$AG112,"")</f>
      </c>
      <c r="AI112" s="50"/>
      <c r="AJ112" s="38">
        <f>IF(ISNUMBER($AD112),SUM($AD112:$AH112),"")</f>
      </c>
      <c r="AK112" s="40">
        <f>IF(AND(ISNUMBER($AB112),ISNUMBER($AD112)),IF($AB112&gt;0,$AD112/$AB112,""),"")</f>
      </c>
      <c r="AL112" s="48" t="inlineStr">
        <is>
          <t xml:space="preserve">At technical</t>
        </is>
      </c>
      <c r="AM112" s="41">
        <f>IF(ISNUMBER($AD112),Header!$I$3,"")</f>
      </c>
      <c r="AN112" s="39">
        <f>IF(ISNUMBER($AD112),$AO112+$AP112,"")</f>
      </c>
      <c r="AO112" s="39">
        <f>IF(ISNUMBER($AD112),ROUND($AD112*Header!$K$3,2),"")</f>
      </c>
      <c r="AP112" s="39">
        <f>IF(ISNUMBER($AD112),ROUND($AD112*Header!$M$3,2),"")</f>
      </c>
      <c r="AQ112" s="38">
        <f>IF(ISNUMBER($AD112),ROUND($AD112,2)-$AO112-$AP112,"")</f>
      </c>
      <c r="AR112" s="39">
        <f>IF(ISNUMBER($AD112),IF(Header!$D$34="","?",$AD112*Header!$D$34),"")</f>
      </c>
      <c r="AS112" s="39">
        <f>IF(ISNUMBER($AB112),IF(Header!$D$34="","?",$AB112*Header!$D$34),"")</f>
      </c>
      <c r="AT112" s="42">
        <f>IF(AND(ISNUMBER($AB112),$M112&gt;0),$AB112/$M112*100,"")</f>
      </c>
      <c r="AU112" s="42">
        <f>IF(AND(ISNUMBER($AD112),$M112&gt;0),$AD112/$M112*100,"")</f>
      </c>
      <c r="AV112" s="40">
        <f>IF(AND(ISNUMBER($AB112),ISNUMBER($AD112),ABS($AB112)&gt;0),$AD112/$AB112,"")</f>
      </c>
      <c r="AW112" s="39">
        <f>IF(ISNUMBER($AD112),MAX(0,(1-0.55-Header!$O$3)*Header!$Q$3*$AQ112),"")</f>
      </c>
      <c r="AX112" s="43">
        <f>IF($A112="","",IF(TRIM(IF($A112="","Missing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",""))="","PASS","FAIL: "&amp;TRIM(IF($A112="","Missing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f>
      </c>
      <c r="AY112" s="44">
        <f>IF($M112="","",IF(ISNUMBER($M112),IF($M112&gt;=Header!$C$18,"YES — refer","No"),""))</f>
      </c>
      <c r="AZ112" s="44">
        <f>IF($AD112="","",IF(ISNUMBER($AD112),IF($AD112&lt;Header!$C$20,"BELOW MIN PREMIUM","OK"),""))</f>
      </c>
      <c r="BA112" s="48" t="inlineStr">
        <is>
          <t xml:space="preserve">Yes</t>
        </is>
      </c>
      <c r="BB112" s="48" t="inlineStr">
        <is>
          <t xml:space="preserve">Yes</t>
        </is>
      </c>
      <c r="BC112" s="46" t="inlineStr">
        <is>
          <t xml:space="preserve">Synthetic demo data</t>
        </is>
      </c>
      <c r="BE112" s="45">
        <f>IF(OR($A112="",$L112="",$H112=""),"",IF(AND(LEFT($L112,2)="06",$H112&gt;1945),"FAIL - pre-war class, year "&amp;$H112,IF(AND(LEFT($L112,2)="07",OR($H112&lt;1946,$H112&gt;1972)),"FAIL - 1946-72 class, year "&amp;$H112,IF(AND(LEFT($L112,2)="08",OR($H112&lt;1973,$H112&gt;1999)),"FAIL - 1973-99 class, year "&amp;$H112,IF(AND(LEFT($L112,2)="09",OR($H112&lt;2000,$H112&gt;2010)),"FAIL - 2000-10 class, year "&amp;$H112,"OK")))))</f>
      </c>
      <c r="BF112" s="45">
        <f>IF($AD112="","",IF(ROUND($AO112+$AP112+$AQ112-$AD112,2)=0,"OK","FAIL - out by "&amp;TEXT($AO112+$AP112+$AQ112-$AD112,"$0.00")))</f>
      </c>
    </row>
    <row r="113" spans="1:58" ht="18.75" customHeight="1" x14ac:dyDescent="0.25">
      <c r="A113" s="30" t="inlineStr">
        <is>
          <t xml:space="preserve">CANON-202508-000150</t>
        </is>
      </c>
      <c r="B113" s="30" t="inlineStr">
        <is>
          <t xml:space="preserve">Thaddeus Merriweather</t>
        </is>
      </c>
      <c r="C113" s="31">
        <v>45896</v>
      </c>
      <c r="D113" s="32" t="inlineStr">
        <is>
          <t xml:space="preserve">Bound - within authority</t>
        </is>
      </c>
      <c r="E113" s="32" t="inlineStr">
        <is>
          <t xml:space="preserve">New business</t>
        </is>
      </c>
      <c r="F113" s="30" t="inlineStr">
        <is>
          <t xml:space="preserve">B1234EXOTIC26</t>
        </is>
      </c>
      <c r="G113" s="33">
        <f>IF($A113="","",IF($C113="","",YEAR($C113)))</f>
      </c>
      <c r="H113" s="34">
        <v>1997</v>
      </c>
      <c r="I113" s="30" t="inlineStr">
        <is>
          <t xml:space="preserve">Aston Martin</t>
        </is>
      </c>
      <c r="J113" s="30" t="inlineStr">
        <is>
          <t xml:space="preserve">DB12</t>
        </is>
      </c>
      <c r="K113" s="30" t="inlineStr">
        <is>
          <t xml:space="preserve">81DPEC885YX4SMKMG</t>
        </is>
      </c>
      <c r="L113" s="32" t="inlineStr">
        <is>
          <t xml:space="preserve">02 - Sports / GT</t>
        </is>
      </c>
      <c r="M113" s="35">
        <v>1355000</v>
      </c>
      <c r="N113" s="32" t="inlineStr">
        <is>
          <t xml:space="preserve">Personal</t>
        </is>
      </c>
      <c r="O113" s="30" t="inlineStr">
        <is>
          <t xml:space="preserve">Personal - regular use</t>
        </is>
      </c>
      <c r="P113" s="30" t="inlineStr">
        <is>
          <t xml:space="preserve">2,500 - 5,000</t>
        </is>
      </c>
      <c r="Q113" s="30" t="inlineStr">
        <is>
          <t xml:space="preserve">Oklahoma</t>
        </is>
      </c>
      <c r="R113" s="30" t="inlineStr">
        <is>
          <t xml:space="preserve">73102</t>
        </is>
      </c>
      <c r="S113" s="32" t="inlineStr">
        <is>
          <t xml:space="preserve">Severe convective - hail alley (high)</t>
        </is>
      </c>
      <c r="T113" s="36">
        <f>IF($A113="","",IF($S113="","",IFERROR(INDEX('[1]natural catastrophe'!$D$6:$D$17,MATCH($S113,'[1]natural catastrophe'!$B$6:$B$17,0)),"?")))</f>
      </c>
      <c r="U113" s="30" t="inlineStr">
        <is>
          <t xml:space="preserve">$5,000</t>
        </is>
      </c>
      <c r="V113" s="32" t="inlineStr">
        <is>
          <t xml:space="preserve">Agreed Value</t>
        </is>
      </c>
      <c r="W113" s="30" t="inlineStr">
        <is>
          <t xml:space="preserve">$1,000</t>
        </is>
      </c>
      <c r="X113" s="32" t="inlineStr">
        <is>
          <t xml:space="preserve">$1,000,000 CSL</t>
        </is>
      </c>
      <c r="Y113" s="30"/>
      <c r="Z113" s="30"/>
      <c r="AA113" s="32" t="inlineStr">
        <is>
          <t xml:space="preserve">Surplus Lines</t>
        </is>
      </c>
      <c r="AB113" s="35">
        <v>17717.26</v>
      </c>
      <c r="AC113" s="37">
        <v>0</v>
      </c>
      <c r="AD113" s="38">
        <f>IF(ISNUMBER($AB113),$AB113*(1+N($AC113)),"")</f>
      </c>
      <c r="AE113" s="35">
        <v>350</v>
      </c>
      <c r="AF113" s="35">
        <v>250</v>
      </c>
      <c r="AG113" s="37"/>
      <c r="AH113" s="39">
        <f>IF(ISNUMBER($AD113),($AD113+$AE113+$AF113)*$AG113,"")</f>
      </c>
      <c r="AI113" s="35"/>
      <c r="AJ113" s="38">
        <f>IF(ISNUMBER($AD113),SUM($AD113:$AH113),"")</f>
      </c>
      <c r="AK113" s="40">
        <f>IF(AND(ISNUMBER($AB113),ISNUMBER($AD113)),IF($AB113&gt;0,$AD113/$AB113,""),"")</f>
      </c>
      <c r="AL113" s="32" t="inlineStr">
        <is>
          <t xml:space="preserve">At technical</t>
        </is>
      </c>
      <c r="AM113" s="41">
        <f>IF(ISNUMBER($AD113),Header!$I$3,"")</f>
      </c>
      <c r="AN113" s="39">
        <f>IF(ISNUMBER($AD113),$AO113+$AP113,"")</f>
      </c>
      <c r="AO113" s="39">
        <f>IF(ISNUMBER($AD113),ROUND($AD113*Header!$K$3,2),"")</f>
      </c>
      <c r="AP113" s="39">
        <f>IF(ISNUMBER($AD113),ROUND($AD113*Header!$M$3,2),"")</f>
      </c>
      <c r="AQ113" s="38">
        <f>IF(ISNUMBER($AD113),ROUND($AD113,2)-$AO113-$AP113,"")</f>
      </c>
      <c r="AR113" s="39">
        <f>IF(ISNUMBER($AD113),IF(Header!$D$34="","?",$AD113*Header!$D$34),"")</f>
      </c>
      <c r="AS113" s="39">
        <f>IF(ISNUMBER($AB113),IF(Header!$D$34="","?",$AB113*Header!$D$34),"")</f>
      </c>
      <c r="AT113" s="42">
        <f>IF(AND(ISNUMBER($AB113),$M113&gt;0),$AB113/$M113*100,"")</f>
      </c>
      <c r="AU113" s="42">
        <f>IF(AND(ISNUMBER($AD113),$M113&gt;0),$AD113/$M113*100,"")</f>
      </c>
      <c r="AV113" s="40">
        <f>IF(AND(ISNUMBER($AB113),ISNUMBER($AD113),ABS($AB113)&gt;0),$AD113/$AB113,"")</f>
      </c>
      <c r="AW113" s="39">
        <f>IF(ISNUMBER($AD113),MAX(0,(1-0.55-Header!$O$3)*Header!$Q$3*$AQ113),"")</f>
      </c>
      <c r="AX113" s="43">
        <f>IF($A113="","",IF(TRIM(IF($A113="","Missing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",""))="","PASS","FAIL: "&amp;TRIM(IF($A113="","Missing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f>
      </c>
      <c r="AY113" s="44">
        <f>IF($M113="","",IF(ISNUMBER($M113),IF($M113&gt;=Header!$C$18,"YES — refer","No"),""))</f>
      </c>
      <c r="AZ113" s="44">
        <f>IF($AD113="","",IF(ISNUMBER($AD113),IF($AD113&lt;Header!$C$20,"BELOW MIN PREMIUM","OK"),""))</f>
      </c>
      <c r="BA113" s="32" t="inlineStr">
        <is>
          <t xml:space="preserve">Yes</t>
        </is>
      </c>
      <c r="BB113" s="32" t="inlineStr">
        <is>
          <t xml:space="preserve">Yes</t>
        </is>
      </c>
      <c r="BC113" s="30" t="inlineStr">
        <is>
          <t xml:space="preserve">Synthetic demo data</t>
        </is>
      </c>
      <c r="BE113" s="45">
        <f>IF(OR($A113="",$L113="",$H113=""),"",IF(AND(LEFT($L113,2)="06",$H113&gt;1945),"FAIL - pre-war class, year "&amp;$H113,IF(AND(LEFT($L113,2)="07",OR($H113&lt;1946,$H113&gt;1972)),"FAIL - 1946-72 class, year "&amp;$H113,IF(AND(LEFT($L113,2)="08",OR($H113&lt;1973,$H113&gt;1999)),"FAIL - 1973-99 class, year "&amp;$H113,IF(AND(LEFT($L113,2)="09",OR($H113&lt;2000,$H113&gt;2010)),"FAIL - 2000-10 class, year "&amp;$H113,"OK")))))</f>
      </c>
      <c r="BF113" s="45">
        <f>IF($AD113="","",IF(ROUND($AO113+$AP113+$AQ113-$AD113,2)=0,"OK","FAIL - out by "&amp;TEXT($AO113+$AP113+$AQ113-$AD113,"$0.00")))</f>
      </c>
    </row>
    <row r="114" spans="1:58" ht="18.75" customHeight="1" x14ac:dyDescent="0.25">
      <c r="A114" s="46" t="inlineStr">
        <is>
          <t xml:space="preserve">CANON-202508-000151</t>
        </is>
      </c>
      <c r="B114" s="46" t="inlineStr">
        <is>
          <t xml:space="preserve">Lorenzo Vasquez</t>
        </is>
      </c>
      <c r="C114" s="47">
        <v>45882</v>
      </c>
      <c r="D114" s="48" t="inlineStr">
        <is>
          <t xml:space="preserve">Bound - within authority</t>
        </is>
      </c>
      <c r="E114" s="48" t="inlineStr">
        <is>
          <t xml:space="preserve">New business</t>
        </is>
      </c>
      <c r="F114" s="46" t="inlineStr">
        <is>
          <t xml:space="preserve">B1234EXOTIC26</t>
        </is>
      </c>
      <c r="G114" s="33">
        <f>IF($A114="","",IF($C114="","",YEAR($C114)))</f>
      </c>
      <c r="H114" s="49">
        <v>1999</v>
      </c>
      <c r="I114" s="46" t="inlineStr">
        <is>
          <t xml:space="preserve">Maserati</t>
        </is>
      </c>
      <c r="J114" s="46" t="inlineStr">
        <is>
          <t xml:space="preserve">GranTurismo</t>
        </is>
      </c>
      <c r="K114" s="46" t="inlineStr">
        <is>
          <t xml:space="preserve">ULWX27P19JA39DE39</t>
        </is>
      </c>
      <c r="L114" s="48" t="inlineStr">
        <is>
          <t xml:space="preserve">02 - Sports / GT</t>
        </is>
      </c>
      <c r="M114" s="50">
        <v>395000</v>
      </c>
      <c r="N114" s="48" t="inlineStr">
        <is>
          <t xml:space="preserve">Personal</t>
        </is>
      </c>
      <c r="O114" s="46" t="inlineStr">
        <is>
          <t xml:space="preserve">Personal - regular use</t>
        </is>
      </c>
      <c r="P114" s="46" t="inlineStr">
        <is>
          <t xml:space="preserve">1,000 - 2,500</t>
        </is>
      </c>
      <c r="Q114" s="46" t="inlineStr">
        <is>
          <t xml:space="preserve">New York</t>
        </is>
      </c>
      <c r="R114" s="46" t="inlineStr">
        <is>
          <t xml:space="preserve">10022</t>
        </is>
      </c>
      <c r="S114" s="48" t="inlineStr">
        <is>
          <t xml:space="preserve">Tier 3 - Coastal wind (25-100 miles)</t>
        </is>
      </c>
      <c r="T114" s="36">
        <f>IF($A114="","",IF($S114="","",IFERROR(INDEX('[1]natural catastrophe'!$D$6:$D$17,MATCH($S114,'[1]natural catastrophe'!$B$6:$B$17,0)),"?")))</f>
      </c>
      <c r="U114" s="46" t="inlineStr">
        <is>
          <t xml:space="preserve">2% of agreed value, minimum $10,000</t>
        </is>
      </c>
      <c r="V114" s="48" t="inlineStr">
        <is>
          <t xml:space="preserve">Agreed Value</t>
        </is>
      </c>
      <c r="W114" s="46" t="inlineStr">
        <is>
          <t xml:space="preserve">$1,000</t>
        </is>
      </c>
      <c r="X114" s="48" t="inlineStr">
        <is>
          <t xml:space="preserve">$1,000,000 CSL</t>
        </is>
      </c>
      <c r="Y114" s="46"/>
      <c r="Z114" s="46"/>
      <c r="AA114" s="48" t="inlineStr">
        <is>
          <t xml:space="preserve">Surplus Lines</t>
        </is>
      </c>
      <c r="AB114" s="50">
        <v>7154.72</v>
      </c>
      <c r="AC114" s="51">
        <v>0</v>
      </c>
      <c r="AD114" s="38">
        <f>IF(ISNUMBER($AB114),$AB114*(1+N($AC114)),"")</f>
      </c>
      <c r="AE114" s="50">
        <v>350</v>
      </c>
      <c r="AF114" s="50">
        <v>0</v>
      </c>
      <c r="AG114" s="51"/>
      <c r="AH114" s="39">
        <f>IF(ISNUMBER($AD114),($AD114+$AE114+$AF114)*$AG114,"")</f>
      </c>
      <c r="AI114" s="50"/>
      <c r="AJ114" s="38">
        <f>IF(ISNUMBER($AD114),SUM($AD114:$AH114),"")</f>
      </c>
      <c r="AK114" s="40">
        <f>IF(AND(ISNUMBER($AB114),ISNUMBER($AD114)),IF($AB114&gt;0,$AD114/$AB114,""),"")</f>
      </c>
      <c r="AL114" s="48" t="inlineStr">
        <is>
          <t xml:space="preserve">At technical</t>
        </is>
      </c>
      <c r="AM114" s="41">
        <f>IF(ISNUMBER($AD114),Header!$I$3,"")</f>
      </c>
      <c r="AN114" s="39">
        <f>IF(ISNUMBER($AD114),$AO114+$AP114,"")</f>
      </c>
      <c r="AO114" s="39">
        <f>IF(ISNUMBER($AD114),ROUND($AD114*Header!$K$3,2),"")</f>
      </c>
      <c r="AP114" s="39">
        <f>IF(ISNUMBER($AD114),ROUND($AD114*Header!$M$3,2),"")</f>
      </c>
      <c r="AQ114" s="38">
        <f>IF(ISNUMBER($AD114),ROUND($AD114,2)-$AO114-$AP114,"")</f>
      </c>
      <c r="AR114" s="39">
        <f>IF(ISNUMBER($AD114),IF(Header!$D$34="","?",$AD114*Header!$D$34),"")</f>
      </c>
      <c r="AS114" s="39">
        <f>IF(ISNUMBER($AB114),IF(Header!$D$34="","?",$AB114*Header!$D$34),"")</f>
      </c>
      <c r="AT114" s="42">
        <f>IF(AND(ISNUMBER($AB114),$M114&gt;0),$AB114/$M114*100,"")</f>
      </c>
      <c r="AU114" s="42">
        <f>IF(AND(ISNUMBER($AD114),$M114&gt;0),$AD114/$M114*100,"")</f>
      </c>
      <c r="AV114" s="40">
        <f>IF(AND(ISNUMBER($AB114),ISNUMBER($AD114),ABS($AB114)&gt;0),$AD114/$AB114,"")</f>
      </c>
      <c r="AW114" s="39">
        <f>IF(ISNUMBER($AD114),MAX(0,(1-0.55-Header!$O$3)*Header!$Q$3*$AQ114),"")</f>
      </c>
      <c r="AX114" s="43">
        <f>IF($A114="","",IF(TRIM(IF($A114="","Missing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",""))="","PASS","FAIL: "&amp;TRIM(IF($A114="","Missing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f>
      </c>
      <c r="AY114" s="44">
        <f>IF($M114="","",IF(ISNUMBER($M114),IF($M114&gt;=Header!$C$18,"YES — refer","No"),""))</f>
      </c>
      <c r="AZ114" s="44">
        <f>IF($AD114="","",IF(ISNUMBER($AD114),IF($AD114&lt;Header!$C$20,"BELOW MIN PREMIUM","OK"),""))</f>
      </c>
      <c r="BA114" s="48" t="inlineStr">
        <is>
          <t xml:space="preserve">Yes</t>
        </is>
      </c>
      <c r="BB114" s="48" t="inlineStr">
        <is>
          <t xml:space="preserve">Yes</t>
        </is>
      </c>
      <c r="BC114" s="46" t="inlineStr">
        <is>
          <t xml:space="preserve">Synthetic demo data</t>
        </is>
      </c>
      <c r="BE114" s="45">
        <f>IF(OR($A114="",$L114="",$H114=""),"",IF(AND(LEFT($L114,2)="06",$H114&gt;1945),"FAIL - pre-war class, year "&amp;$H114,IF(AND(LEFT($L114,2)="07",OR($H114&lt;1946,$H114&gt;1972)),"FAIL - 1946-72 class, year "&amp;$H114,IF(AND(LEFT($L114,2)="08",OR($H114&lt;1973,$H114&gt;1999)),"FAIL - 1973-99 class, year "&amp;$H114,IF(AND(LEFT($L114,2)="09",OR($H114&lt;2000,$H114&gt;2010)),"FAIL - 2000-10 class, year "&amp;$H114,"OK")))))</f>
      </c>
      <c r="BF114" s="45">
        <f>IF($AD114="","",IF(ROUND($AO114+$AP114+$AQ114-$AD114,2)=0,"OK","FAIL - out by "&amp;TEXT($AO114+$AP114+$AQ114-$AD114,"$0.00")))</f>
      </c>
    </row>
    <row r="115" spans="1:58" ht="18.75" customHeight="1" x14ac:dyDescent="0.25">
      <c r="A115" s="30" t="inlineStr">
        <is>
          <t xml:space="preserve">CANON-202508-000153</t>
        </is>
      </c>
      <c r="B115" s="30" t="inlineStr">
        <is>
          <t xml:space="preserve">Mireille Okonkwo</t>
        </is>
      </c>
      <c r="C115" s="31">
        <v>45882</v>
      </c>
      <c r="D115" s="32" t="inlineStr">
        <is>
          <t xml:space="preserve">Bound - within authority</t>
        </is>
      </c>
      <c r="E115" s="32" t="inlineStr">
        <is>
          <t xml:space="preserve">New business</t>
        </is>
      </c>
      <c r="F115" s="30" t="inlineStr">
        <is>
          <t xml:space="preserve">B1234EXOTIC26</t>
        </is>
      </c>
      <c r="G115" s="33">
        <f>IF($A115="","",IF($C115="","",YEAR($C115)))</f>
      </c>
      <c r="H115" s="34">
        <v>2009</v>
      </c>
      <c r="I115" s="30" t="inlineStr">
        <is>
          <t xml:space="preserve">Jaguar</t>
        </is>
      </c>
      <c r="J115" s="30" t="inlineStr">
        <is>
          <t xml:space="preserve">E-Type Series 1</t>
        </is>
      </c>
      <c r="K115" s="30" t="inlineStr">
        <is>
          <t xml:space="preserve">MFA9K1T3HH04G7UMH</t>
        </is>
      </c>
      <c r="L115" s="32" t="inlineStr">
        <is>
          <t xml:space="preserve">09 - Youngtimer / Collectible (2000-2010)</t>
        </is>
      </c>
      <c r="M115" s="35">
        <v>380000</v>
      </c>
      <c r="N115" s="32" t="inlineStr">
        <is>
          <t xml:space="preserve">Personal</t>
        </is>
      </c>
      <c r="O115" s="30" t="inlineStr">
        <is>
          <t xml:space="preserve">Personal - regular use</t>
        </is>
      </c>
      <c r="P115" s="30" t="inlineStr">
        <is>
          <t xml:space="preserve">Under 1,000</t>
        </is>
      </c>
      <c r="Q115" s="30" t="inlineStr">
        <is>
          <t xml:space="preserve">New York</t>
        </is>
      </c>
      <c r="R115" s="30" t="inlineStr">
        <is>
          <t xml:space="preserve">10022</t>
        </is>
      </c>
      <c r="S115" s="32" t="inlineStr">
        <is>
          <t xml:space="preserve">Tier 3 - Coastal wind (25-100 miles)</t>
        </is>
      </c>
      <c r="T115" s="36">
        <f>IF($A115="","",IF($S115="","",IFERROR(INDEX('[1]natural catastrophe'!$D$6:$D$17,MATCH($S115,'[1]natural catastrophe'!$B$6:$B$17,0)),"?")))</f>
      </c>
      <c r="U115" s="30" t="inlineStr">
        <is>
          <t xml:space="preserve">2% of agreed value, minimum $10,000</t>
        </is>
      </c>
      <c r="V115" s="32" t="inlineStr">
        <is>
          <t xml:space="preserve">Agreed Value</t>
        </is>
      </c>
      <c r="W115" s="30" t="inlineStr">
        <is>
          <t xml:space="preserve">$1,000</t>
        </is>
      </c>
      <c r="X115" s="32" t="inlineStr">
        <is>
          <t xml:space="preserve">$1,000,000 CSL</t>
        </is>
      </c>
      <c r="Y115" s="30"/>
      <c r="Z115" s="30"/>
      <c r="AA115" s="32" t="inlineStr">
        <is>
          <t xml:space="preserve">Surplus Lines</t>
        </is>
      </c>
      <c r="AB115" s="35">
        <v>4405.13</v>
      </c>
      <c r="AC115" s="37">
        <v>0</v>
      </c>
      <c r="AD115" s="38">
        <f>IF(ISNUMBER($AB115),$AB115*(1+N($AC115)),"")</f>
      </c>
      <c r="AE115" s="35">
        <v>350</v>
      </c>
      <c r="AF115" s="35">
        <v>0</v>
      </c>
      <c r="AG115" s="37"/>
      <c r="AH115" s="39">
        <f>IF(ISNUMBER($AD115),($AD115+$AE115+$AF115)*$AG115,"")</f>
      </c>
      <c r="AI115" s="35"/>
      <c r="AJ115" s="38">
        <f>IF(ISNUMBER($AD115),SUM($AD115:$AH115),"")</f>
      </c>
      <c r="AK115" s="40">
        <f>IF(AND(ISNUMBER($AB115),ISNUMBER($AD115)),IF($AB115&gt;0,$AD115/$AB115,""),"")</f>
      </c>
      <c r="AL115" s="32" t="inlineStr">
        <is>
          <t xml:space="preserve">At technical</t>
        </is>
      </c>
      <c r="AM115" s="41">
        <f>IF(ISNUMBER($AD115),Header!$I$3,"")</f>
      </c>
      <c r="AN115" s="39">
        <f>IF(ISNUMBER($AD115),$AO115+$AP115,"")</f>
      </c>
      <c r="AO115" s="39">
        <f>IF(ISNUMBER($AD115),ROUND($AD115*Header!$K$3,2),"")</f>
      </c>
      <c r="AP115" s="39">
        <f>IF(ISNUMBER($AD115),ROUND($AD115*Header!$M$3,2),"")</f>
      </c>
      <c r="AQ115" s="38">
        <f>IF(ISNUMBER($AD115),ROUND($AD115,2)-$AO115-$AP115,"")</f>
      </c>
      <c r="AR115" s="39">
        <f>IF(ISNUMBER($AD115),IF(Header!$D$34="","?",$AD115*Header!$D$34),"")</f>
      </c>
      <c r="AS115" s="39">
        <f>IF(ISNUMBER($AB115),IF(Header!$D$34="","?",$AB115*Header!$D$34),"")</f>
      </c>
      <c r="AT115" s="42">
        <f>IF(AND(ISNUMBER($AB115),$M115&gt;0),$AB115/$M115*100,"")</f>
      </c>
      <c r="AU115" s="42">
        <f>IF(AND(ISNUMBER($AD115),$M115&gt;0),$AD115/$M115*100,"")</f>
      </c>
      <c r="AV115" s="40">
        <f>IF(AND(ISNUMBER($AB115),ISNUMBER($AD115),ABS($AB115)&gt;0),$AD115/$AB115,"")</f>
      </c>
      <c r="AW115" s="39">
        <f>IF(ISNUMBER($AD115),MAX(0,(1-0.55-Header!$O$3)*Header!$Q$3*$AQ115),"")</f>
      </c>
      <c r="AX115" s="43">
        <f>IF($A115="","",IF(TRIM(IF($A115="","Missing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",""))="","PASS","FAIL: "&amp;TRIM(IF($A115="","Missing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f>
      </c>
      <c r="AY115" s="44">
        <f>IF($M115="","",IF(ISNUMBER($M115),IF($M115&gt;=Header!$C$18,"YES — refer","No"),""))</f>
      </c>
      <c r="AZ115" s="44">
        <f>IF($AD115="","",IF(ISNUMBER($AD115),IF($AD115&lt;Header!$C$20,"BELOW MIN PREMIUM","OK"),""))</f>
      </c>
      <c r="BA115" s="32" t="inlineStr">
        <is>
          <t xml:space="preserve">Yes</t>
        </is>
      </c>
      <c r="BB115" s="32" t="inlineStr">
        <is>
          <t xml:space="preserve">Yes</t>
        </is>
      </c>
      <c r="BC115" s="30" t="inlineStr">
        <is>
          <t xml:space="preserve">Synthetic demo data</t>
        </is>
      </c>
      <c r="BE115" s="45">
        <f>IF(OR($A115="",$L115="",$H115=""),"",IF(AND(LEFT($L115,2)="06",$H115&gt;1945),"FAIL - pre-war class, year "&amp;$H115,IF(AND(LEFT($L115,2)="07",OR($H115&lt;1946,$H115&gt;1972)),"FAIL - 1946-72 class, year "&amp;$H115,IF(AND(LEFT($L115,2)="08",OR($H115&lt;1973,$H115&gt;1999)),"FAIL - 1973-99 class, year "&amp;$H115,IF(AND(LEFT($L115,2)="09",OR($H115&lt;2000,$H115&gt;2010)),"FAIL - 2000-10 class, year "&amp;$H115,"OK")))))</f>
      </c>
      <c r="BF115" s="45">
        <f>IF($AD115="","",IF(ROUND($AO115+$AP115+$AQ115-$AD115,2)=0,"OK","FAIL - out by "&amp;TEXT($AO115+$AP115+$AQ115-$AD115,"$0.00")))</f>
      </c>
    </row>
    <row r="116" spans="1:58" ht="18.75" customHeight="1" x14ac:dyDescent="0.25">
      <c r="A116" s="46" t="inlineStr">
        <is>
          <t xml:space="preserve">CANON-202508-000155</t>
        </is>
      </c>
      <c r="B116" s="46" t="inlineStr">
        <is>
          <t xml:space="preserve">Wilhelmina Fairweather</t>
        </is>
      </c>
      <c r="C116" s="47">
        <v>45891</v>
      </c>
      <c r="D116" s="48" t="inlineStr">
        <is>
          <t xml:space="preserve">Bound - within authority</t>
        </is>
      </c>
      <c r="E116" s="48" t="inlineStr">
        <is>
          <t xml:space="preserve">New business</t>
        </is>
      </c>
      <c r="F116" s="46" t="inlineStr">
        <is>
          <t xml:space="preserve">B1234EXOTIC26</t>
        </is>
      </c>
      <c r="G116" s="33">
        <f>IF($A116="","",IF($C116="","",YEAR($C116)))</f>
      </c>
      <c r="H116" s="49">
        <v>2006</v>
      </c>
      <c r="I116" s="46" t="inlineStr">
        <is>
          <t xml:space="preserve">Maserati</t>
        </is>
      </c>
      <c r="J116" s="46" t="inlineStr">
        <is>
          <t xml:space="preserve">GranTurismo</t>
        </is>
      </c>
      <c r="K116" s="46" t="inlineStr">
        <is>
          <t xml:space="preserve">8NDR12DA37W79M9NK</t>
        </is>
      </c>
      <c r="L116" s="48" t="inlineStr">
        <is>
          <t xml:space="preserve">02 - Sports / GT</t>
        </is>
      </c>
      <c r="M116" s="50">
        <v>590000</v>
      </c>
      <c r="N116" s="48" t="inlineStr">
        <is>
          <t xml:space="preserve">Personal</t>
        </is>
      </c>
      <c r="O116" s="46" t="inlineStr">
        <is>
          <t xml:space="preserve">Personal - regular use</t>
        </is>
      </c>
      <c r="P116" s="46" t="inlineStr">
        <is>
          <t xml:space="preserve">2,500 - 5,000</t>
        </is>
      </c>
      <c r="Q116" s="46" t="inlineStr">
        <is>
          <t xml:space="preserve">New York</t>
        </is>
      </c>
      <c r="R116" s="46" t="inlineStr">
        <is>
          <t xml:space="preserve">10022</t>
        </is>
      </c>
      <c r="S116" s="48" t="inlineStr">
        <is>
          <t xml:space="preserve">Tier 3 - Coastal wind (25-100 miles)</t>
        </is>
      </c>
      <c r="T116" s="36">
        <f>IF($A116="","",IF($S116="","",IFERROR(INDEX('[1]natural catastrophe'!$D$6:$D$17,MATCH($S116,'[1]natural catastrophe'!$B$6:$B$17,0)),"?")))</f>
      </c>
      <c r="U116" s="46" t="inlineStr">
        <is>
          <t xml:space="preserve">2% of agreed value, minimum $10,000</t>
        </is>
      </c>
      <c r="V116" s="48" t="inlineStr">
        <is>
          <t xml:space="preserve">Agreed Value</t>
        </is>
      </c>
      <c r="W116" s="46" t="inlineStr">
        <is>
          <t xml:space="preserve">$1,000</t>
        </is>
      </c>
      <c r="X116" s="48" t="inlineStr">
        <is>
          <t xml:space="preserve">$1,000,000 CSL</t>
        </is>
      </c>
      <c r="Y116" s="46"/>
      <c r="Z116" s="46"/>
      <c r="AA116" s="48" t="inlineStr">
        <is>
          <t xml:space="preserve">Surplus Lines</t>
        </is>
      </c>
      <c r="AB116" s="50">
        <v>9261.89</v>
      </c>
      <c r="AC116" s="51">
        <v>0</v>
      </c>
      <c r="AD116" s="38">
        <f>IF(ISNUMBER($AB116),$AB116*(1+N($AC116)),"")</f>
      </c>
      <c r="AE116" s="50">
        <v>350</v>
      </c>
      <c r="AF116" s="50">
        <v>0</v>
      </c>
      <c r="AG116" s="51"/>
      <c r="AH116" s="39">
        <f>IF(ISNUMBER($AD116),($AD116+$AE116+$AF116)*$AG116,"")</f>
      </c>
      <c r="AI116" s="50"/>
      <c r="AJ116" s="38">
        <f>IF(ISNUMBER($AD116),SUM($AD116:$AH116),"")</f>
      </c>
      <c r="AK116" s="40">
        <f>IF(AND(ISNUMBER($AB116),ISNUMBER($AD116)),IF($AB116&gt;0,$AD116/$AB116,""),"")</f>
      </c>
      <c r="AL116" s="48" t="inlineStr">
        <is>
          <t xml:space="preserve">At technical</t>
        </is>
      </c>
      <c r="AM116" s="41">
        <f>IF(ISNUMBER($AD116),Header!$I$3,"")</f>
      </c>
      <c r="AN116" s="39">
        <f>IF(ISNUMBER($AD116),$AO116+$AP116,"")</f>
      </c>
      <c r="AO116" s="39">
        <f>IF(ISNUMBER($AD116),ROUND($AD116*Header!$K$3,2),"")</f>
      </c>
      <c r="AP116" s="39">
        <f>IF(ISNUMBER($AD116),ROUND($AD116*Header!$M$3,2),"")</f>
      </c>
      <c r="AQ116" s="38">
        <f>IF(ISNUMBER($AD116),ROUND($AD116,2)-$AO116-$AP116,"")</f>
      </c>
      <c r="AR116" s="39">
        <f>IF(ISNUMBER($AD116),IF(Header!$D$34="","?",$AD116*Header!$D$34),"")</f>
      </c>
      <c r="AS116" s="39">
        <f>IF(ISNUMBER($AB116),IF(Header!$D$34="","?",$AB116*Header!$D$34),"")</f>
      </c>
      <c r="AT116" s="42">
        <f>IF(AND(ISNUMBER($AB116),$M116&gt;0),$AB116/$M116*100,"")</f>
      </c>
      <c r="AU116" s="42">
        <f>IF(AND(ISNUMBER($AD116),$M116&gt;0),$AD116/$M116*100,"")</f>
      </c>
      <c r="AV116" s="40">
        <f>IF(AND(ISNUMBER($AB116),ISNUMBER($AD116),ABS($AB116)&gt;0),$AD116/$AB116,"")</f>
      </c>
      <c r="AW116" s="39">
        <f>IF(ISNUMBER($AD116),MAX(0,(1-0.55-Header!$O$3)*Header!$Q$3*$AQ116),"")</f>
      </c>
      <c r="AX116" s="43">
        <f>IF($A116="","",IF(TRIM(IF($A116="","Missing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",""))="","PASS","FAIL: "&amp;TRIM(IF($A116="","Missing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f>
      </c>
      <c r="AY116" s="44">
        <f>IF($M116="","",IF(ISNUMBER($M116),IF($M116&gt;=Header!$C$18,"YES — refer","No"),""))</f>
      </c>
      <c r="AZ116" s="44">
        <f>IF($AD116="","",IF(ISNUMBER($AD116),IF($AD116&lt;Header!$C$20,"BELOW MIN PREMIUM","OK"),""))</f>
      </c>
      <c r="BA116" s="48" t="inlineStr">
        <is>
          <t xml:space="preserve">Yes</t>
        </is>
      </c>
      <c r="BB116" s="48" t="inlineStr">
        <is>
          <t xml:space="preserve">Yes</t>
        </is>
      </c>
      <c r="BC116" s="46" t="inlineStr">
        <is>
          <t xml:space="preserve">Synthetic demo data</t>
        </is>
      </c>
      <c r="BE116" s="45">
        <f>IF(OR($A116="",$L116="",$H116=""),"",IF(AND(LEFT($L116,2)="06",$H116&gt;1945),"FAIL - pre-war class, year "&amp;$H116,IF(AND(LEFT($L116,2)="07",OR($H116&lt;1946,$H116&gt;1972)),"FAIL - 1946-72 class, year "&amp;$H116,IF(AND(LEFT($L116,2)="08",OR($H116&lt;1973,$H116&gt;1999)),"FAIL - 1973-99 class, year "&amp;$H116,IF(AND(LEFT($L116,2)="09",OR($H116&lt;2000,$H116&gt;2010)),"FAIL - 2000-10 class, year "&amp;$H116,"OK")))))</f>
      </c>
      <c r="BF116" s="45">
        <f>IF($AD116="","",IF(ROUND($AO116+$AP116+$AQ116-$AD116,2)=0,"OK","FAIL - out by "&amp;TEXT($AO116+$AP116+$AQ116-$AD116,"$0.00")))</f>
      </c>
    </row>
    <row r="117" spans="1:58" ht="18.75" customHeight="1" x14ac:dyDescent="0.25">
      <c r="A117" s="30" t="inlineStr">
        <is>
          <t xml:space="preserve">CANON-202508-000156</t>
        </is>
      </c>
      <c r="B117" s="30" t="inlineStr">
        <is>
          <t xml:space="preserve">Marisol Okonkwo</t>
        </is>
      </c>
      <c r="C117" s="31">
        <v>45895</v>
      </c>
      <c r="D117" s="32" t="inlineStr">
        <is>
          <t xml:space="preserve">Bound - within authority</t>
        </is>
      </c>
      <c r="E117" s="32" t="inlineStr">
        <is>
          <t xml:space="preserve">New business</t>
        </is>
      </c>
      <c r="F117" s="30" t="inlineStr">
        <is>
          <t xml:space="preserve">B1234EXOTIC26</t>
        </is>
      </c>
      <c r="G117" s="33">
        <f>IF($A117="","",IF($C117="","",YEAR($C117)))</f>
      </c>
      <c r="H117" s="34">
        <v>1973</v>
      </c>
      <c r="I117" s="30" t="inlineStr">
        <is>
          <t xml:space="preserve">Mercedes-Benz</t>
        </is>
      </c>
      <c r="J117" s="30" t="inlineStr">
        <is>
          <t xml:space="preserve">AMG GT</t>
        </is>
      </c>
      <c r="K117" s="30" t="inlineStr">
        <is>
          <t xml:space="preserve">17ZULBHXKW7CXMJD5</t>
        </is>
      </c>
      <c r="L117" s="32" t="inlineStr">
        <is>
          <t xml:space="preserve">02 - Sports / GT</t>
        </is>
      </c>
      <c r="M117" s="35">
        <v>590000</v>
      </c>
      <c r="N117" s="32" t="inlineStr">
        <is>
          <t xml:space="preserve">Personal</t>
        </is>
      </c>
      <c r="O117" s="30" t="inlineStr">
        <is>
          <t xml:space="preserve">Personal - regular use</t>
        </is>
      </c>
      <c r="P117" s="30" t="inlineStr">
        <is>
          <t xml:space="preserve">Under 1,000</t>
        </is>
      </c>
      <c r="Q117" s="30" t="inlineStr">
        <is>
          <t xml:space="preserve">Texas</t>
        </is>
      </c>
      <c r="R117" s="30" t="inlineStr">
        <is>
          <t xml:space="preserve">75201</t>
        </is>
      </c>
      <c r="S117" s="32" t="inlineStr">
        <is>
          <t xml:space="preserve">Tier 2 - Coastal wind (1-25 miles)</t>
        </is>
      </c>
      <c r="T117" s="36">
        <f>IF($A117="","",IF($S117="","",IFERROR(INDEX('[1]natural catastrophe'!$D$6:$D$17,MATCH($S117,'[1]natural catastrophe'!$B$6:$B$17,0)),"?")))</f>
      </c>
      <c r="U117" s="30" t="inlineStr">
        <is>
          <t xml:space="preserve">2% of agreed value, minimum $10,000</t>
        </is>
      </c>
      <c r="V117" s="32" t="inlineStr">
        <is>
          <t xml:space="preserve">Agreed Value</t>
        </is>
      </c>
      <c r="W117" s="30" t="inlineStr">
        <is>
          <t xml:space="preserve">$1,000</t>
        </is>
      </c>
      <c r="X117" s="32" t="inlineStr">
        <is>
          <t xml:space="preserve">$1,000,000 CSL</t>
        </is>
      </c>
      <c r="Y117" s="30"/>
      <c r="Z117" s="30"/>
      <c r="AA117" s="32" t="inlineStr">
        <is>
          <t xml:space="preserve">Surplus Lines</t>
        </is>
      </c>
      <c r="AB117" s="35">
        <v>8321.23</v>
      </c>
      <c r="AC117" s="37">
        <v>0</v>
      </c>
      <c r="AD117" s="38">
        <f>IF(ISNUMBER($AB117),$AB117*(1+N($AC117)),"")</f>
      </c>
      <c r="AE117" s="35">
        <v>350</v>
      </c>
      <c r="AF117" s="35">
        <v>0</v>
      </c>
      <c r="AG117" s="37"/>
      <c r="AH117" s="39">
        <f>IF(ISNUMBER($AD117),($AD117+$AE117+$AF117)*$AG117,"")</f>
      </c>
      <c r="AI117" s="35"/>
      <c r="AJ117" s="38">
        <f>IF(ISNUMBER($AD117),SUM($AD117:$AH117),"")</f>
      </c>
      <c r="AK117" s="40">
        <f>IF(AND(ISNUMBER($AB117),ISNUMBER($AD117)),IF($AB117&gt;0,$AD117/$AB117,""),"")</f>
      </c>
      <c r="AL117" s="32" t="inlineStr">
        <is>
          <t xml:space="preserve">At technical</t>
        </is>
      </c>
      <c r="AM117" s="41">
        <f>IF(ISNUMBER($AD117),Header!$I$3,"")</f>
      </c>
      <c r="AN117" s="39">
        <f>IF(ISNUMBER($AD117),$AO117+$AP117,"")</f>
      </c>
      <c r="AO117" s="39">
        <f>IF(ISNUMBER($AD117),ROUND($AD117*Header!$K$3,2),"")</f>
      </c>
      <c r="AP117" s="39">
        <f>IF(ISNUMBER($AD117),ROUND($AD117*Header!$M$3,2),"")</f>
      </c>
      <c r="AQ117" s="38">
        <f>IF(ISNUMBER($AD117),ROUND($AD117,2)-$AO117-$AP117,"")</f>
      </c>
      <c r="AR117" s="39">
        <f>IF(ISNUMBER($AD117),IF(Header!$D$34="","?",$AD117*Header!$D$34),"")</f>
      </c>
      <c r="AS117" s="39">
        <f>IF(ISNUMBER($AB117),IF(Header!$D$34="","?",$AB117*Header!$D$34),"")</f>
      </c>
      <c r="AT117" s="42">
        <f>IF(AND(ISNUMBER($AB117),$M117&gt;0),$AB117/$M117*100,"")</f>
      </c>
      <c r="AU117" s="42">
        <f>IF(AND(ISNUMBER($AD117),$M117&gt;0),$AD117/$M117*100,"")</f>
      </c>
      <c r="AV117" s="40">
        <f>IF(AND(ISNUMBER($AB117),ISNUMBER($AD117),ABS($AB117)&gt;0),$AD117/$AB117,"")</f>
      </c>
      <c r="AW117" s="39">
        <f>IF(ISNUMBER($AD117),MAX(0,(1-0.55-Header!$O$3)*Header!$Q$3*$AQ117),"")</f>
      </c>
      <c r="AX117" s="43">
        <f>IF($A117="","",IF(TRIM(IF($A117="","Missing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",""))="","PASS","FAIL: "&amp;TRIM(IF($A117="","Missing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f>
      </c>
      <c r="AY117" s="44">
        <f>IF($M117="","",IF(ISNUMBER($M117),IF($M117&gt;=Header!$C$18,"YES — refer","No"),""))</f>
      </c>
      <c r="AZ117" s="44">
        <f>IF($AD117="","",IF(ISNUMBER($AD117),IF($AD117&lt;Header!$C$20,"BELOW MIN PREMIUM","OK"),""))</f>
      </c>
      <c r="BA117" s="32" t="inlineStr">
        <is>
          <t xml:space="preserve">Yes</t>
        </is>
      </c>
      <c r="BB117" s="32" t="inlineStr">
        <is>
          <t xml:space="preserve">Yes</t>
        </is>
      </c>
      <c r="BC117" s="30" t="inlineStr">
        <is>
          <t xml:space="preserve">Synthetic demo data</t>
        </is>
      </c>
      <c r="BE117" s="45">
        <f>IF(OR($A117="",$L117="",$H117=""),"",IF(AND(LEFT($L117,2)="06",$H117&gt;1945),"FAIL - pre-war class, year "&amp;$H117,IF(AND(LEFT($L117,2)="07",OR($H117&lt;1946,$H117&gt;1972)),"FAIL - 1946-72 class, year "&amp;$H117,IF(AND(LEFT($L117,2)="08",OR($H117&lt;1973,$H117&gt;1999)),"FAIL - 1973-99 class, year "&amp;$H117,IF(AND(LEFT($L117,2)="09",OR($H117&lt;2000,$H117&gt;2010)),"FAIL - 2000-10 class, year "&amp;$H117,"OK")))))</f>
      </c>
      <c r="BF117" s="45">
        <f>IF($AD117="","",IF(ROUND($AO117+$AP117+$AQ117-$AD117,2)=0,"OK","FAIL - out by "&amp;TEXT($AO117+$AP117+$AQ117-$AD117,"$0.00")))</f>
      </c>
    </row>
    <row r="118" spans="1:58" ht="18.75" customHeight="1" x14ac:dyDescent="0.25">
      <c r="A118" s="46" t="inlineStr">
        <is>
          <t xml:space="preserve">CANON-202508-000157</t>
        </is>
      </c>
      <c r="B118" s="46" t="inlineStr">
        <is>
          <t xml:space="preserve">Sunniva Larsson</t>
        </is>
      </c>
      <c r="C118" s="47">
        <v>45878</v>
      </c>
      <c r="D118" s="48" t="inlineStr">
        <is>
          <t xml:space="preserve">Bound - within authority</t>
        </is>
      </c>
      <c r="E118" s="48" t="inlineStr">
        <is>
          <t xml:space="preserve">New business</t>
        </is>
      </c>
      <c r="F118" s="46" t="inlineStr">
        <is>
          <t xml:space="preserve">B1234EXOTIC26</t>
        </is>
      </c>
      <c r="G118" s="33">
        <f>IF($A118="","",IF($C118="","",YEAR($C118)))</f>
      </c>
      <c r="H118" s="49">
        <v>2005</v>
      </c>
      <c r="I118" s="46" t="inlineStr">
        <is>
          <t xml:space="preserve">Maserati</t>
        </is>
      </c>
      <c r="J118" s="46" t="inlineStr">
        <is>
          <t xml:space="preserve">GranTurismo</t>
        </is>
      </c>
      <c r="K118" s="46" t="inlineStr">
        <is>
          <t xml:space="preserve">ZHEJ7P84HF1A571G9</t>
        </is>
      </c>
      <c r="L118" s="48" t="inlineStr">
        <is>
          <t xml:space="preserve">02 - Sports / GT</t>
        </is>
      </c>
      <c r="M118" s="50">
        <v>285000</v>
      </c>
      <c r="N118" s="48" t="inlineStr">
        <is>
          <t xml:space="preserve">Personal</t>
        </is>
      </c>
      <c r="O118" s="46" t="inlineStr">
        <is>
          <t xml:space="preserve">Personal - regular use</t>
        </is>
      </c>
      <c r="P118" s="46" t="inlineStr">
        <is>
          <t xml:space="preserve">2,500 - 5,000</t>
        </is>
      </c>
      <c r="Q118" s="46" t="inlineStr">
        <is>
          <t xml:space="preserve">Oklahoma</t>
        </is>
      </c>
      <c r="R118" s="46" t="inlineStr">
        <is>
          <t xml:space="preserve">73102</t>
        </is>
      </c>
      <c r="S118" s="48" t="inlineStr">
        <is>
          <t xml:space="preserve">Severe convective - hail alley (high)</t>
        </is>
      </c>
      <c r="T118" s="36">
        <f>IF($A118="","",IF($S118="","",IFERROR(INDEX('[1]natural catastrophe'!$D$6:$D$17,MATCH($S118,'[1]natural catastrophe'!$B$6:$B$17,0)),"?")))</f>
      </c>
      <c r="U118" s="46" t="inlineStr">
        <is>
          <t xml:space="preserve">$5,000</t>
        </is>
      </c>
      <c r="V118" s="48" t="inlineStr">
        <is>
          <t xml:space="preserve">Agreed Value</t>
        </is>
      </c>
      <c r="W118" s="46" t="inlineStr">
        <is>
          <t xml:space="preserve">$1,000</t>
        </is>
      </c>
      <c r="X118" s="48" t="inlineStr">
        <is>
          <t xml:space="preserve">$1,000,000 CSL</t>
        </is>
      </c>
      <c r="Y118" s="46"/>
      <c r="Z118" s="46"/>
      <c r="AA118" s="48" t="inlineStr">
        <is>
          <t xml:space="preserve">Surplus Lines</t>
        </is>
      </c>
      <c r="AB118" s="50">
        <v>5081.6</v>
      </c>
      <c r="AC118" s="51">
        <v>0</v>
      </c>
      <c r="AD118" s="38">
        <f>IF(ISNUMBER($AB118),$AB118*(1+N($AC118)),"")</f>
      </c>
      <c r="AE118" s="50">
        <v>350</v>
      </c>
      <c r="AF118" s="50">
        <v>0</v>
      </c>
      <c r="AG118" s="51"/>
      <c r="AH118" s="39">
        <f>IF(ISNUMBER($AD118),($AD118+$AE118+$AF118)*$AG118,"")</f>
      </c>
      <c r="AI118" s="50"/>
      <c r="AJ118" s="38">
        <f>IF(ISNUMBER($AD118),SUM($AD118:$AH118),"")</f>
      </c>
      <c r="AK118" s="40">
        <f>IF(AND(ISNUMBER($AB118),ISNUMBER($AD118)),IF($AB118&gt;0,$AD118/$AB118,""),"")</f>
      </c>
      <c r="AL118" s="48" t="inlineStr">
        <is>
          <t xml:space="preserve">At technical</t>
        </is>
      </c>
      <c r="AM118" s="41">
        <f>IF(ISNUMBER($AD118),Header!$I$3,"")</f>
      </c>
      <c r="AN118" s="39">
        <f>IF(ISNUMBER($AD118),$AO118+$AP118,"")</f>
      </c>
      <c r="AO118" s="39">
        <f>IF(ISNUMBER($AD118),ROUND($AD118*Header!$K$3,2),"")</f>
      </c>
      <c r="AP118" s="39">
        <f>IF(ISNUMBER($AD118),ROUND($AD118*Header!$M$3,2),"")</f>
      </c>
      <c r="AQ118" s="38">
        <f>IF(ISNUMBER($AD118),ROUND($AD118,2)-$AO118-$AP118,"")</f>
      </c>
      <c r="AR118" s="39">
        <f>IF(ISNUMBER($AD118),IF(Header!$D$34="","?",$AD118*Header!$D$34),"")</f>
      </c>
      <c r="AS118" s="39">
        <f>IF(ISNUMBER($AB118),IF(Header!$D$34="","?",$AB118*Header!$D$34),"")</f>
      </c>
      <c r="AT118" s="42">
        <f>IF(AND(ISNUMBER($AB118),$M118&gt;0),$AB118/$M118*100,"")</f>
      </c>
      <c r="AU118" s="42">
        <f>IF(AND(ISNUMBER($AD118),$M118&gt;0),$AD118/$M118*100,"")</f>
      </c>
      <c r="AV118" s="40">
        <f>IF(AND(ISNUMBER($AB118),ISNUMBER($AD118),ABS($AB118)&gt;0),$AD118/$AB118,"")</f>
      </c>
      <c r="AW118" s="39">
        <f>IF(ISNUMBER($AD118),MAX(0,(1-0.55-Header!$O$3)*Header!$Q$3*$AQ118),"")</f>
      </c>
      <c r="AX118" s="43">
        <f>IF($A118="","",IF(TRIM(IF($A118="","Missing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",""))="","PASS","FAIL: "&amp;TRIM(IF($A118="","Missing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f>
      </c>
      <c r="AY118" s="44">
        <f>IF($M118="","",IF(ISNUMBER($M118),IF($M118&gt;=Header!$C$18,"YES — refer","No"),""))</f>
      </c>
      <c r="AZ118" s="44">
        <f>IF($AD118="","",IF(ISNUMBER($AD118),IF($AD118&lt;Header!$C$20,"BELOW MIN PREMIUM","OK"),""))</f>
      </c>
      <c r="BA118" s="48" t="inlineStr">
        <is>
          <t xml:space="preserve">Yes</t>
        </is>
      </c>
      <c r="BB118" s="48" t="inlineStr">
        <is>
          <t xml:space="preserve">Yes</t>
        </is>
      </c>
      <c r="BC118" s="46" t="inlineStr">
        <is>
          <t xml:space="preserve">Synthetic demo data</t>
        </is>
      </c>
      <c r="BE118" s="45">
        <f>IF(OR($A118="",$L118="",$H118=""),"",IF(AND(LEFT($L118,2)="06",$H118&gt;1945),"FAIL - pre-war class, year "&amp;$H118,IF(AND(LEFT($L118,2)="07",OR($H118&lt;1946,$H118&gt;1972)),"FAIL - 1946-72 class, year "&amp;$H118,IF(AND(LEFT($L118,2)="08",OR($H118&lt;1973,$H118&gt;1999)),"FAIL - 1973-99 class, year "&amp;$H118,IF(AND(LEFT($L118,2)="09",OR($H118&lt;2000,$H118&gt;2010)),"FAIL - 2000-10 class, year "&amp;$H118,"OK")))))</f>
      </c>
      <c r="BF118" s="45">
        <f>IF($AD118="","",IF(ROUND($AO118+$AP118+$AQ118-$AD118,2)=0,"OK","FAIL - out by "&amp;TEXT($AO118+$AP118+$AQ118-$AD118,"$0.00")))</f>
      </c>
    </row>
    <row r="119" spans="1:58" ht="18.75" customHeight="1" x14ac:dyDescent="0.25">
      <c r="A119" s="30" t="inlineStr">
        <is>
          <t xml:space="preserve">CANON-202508-000158</t>
        </is>
      </c>
      <c r="B119" s="30" t="inlineStr">
        <is>
          <t xml:space="preserve">Marisol Harrington</t>
        </is>
      </c>
      <c r="C119" s="31">
        <v>45879</v>
      </c>
      <c r="D119" s="32" t="inlineStr">
        <is>
          <t xml:space="preserve">Bound - within authority</t>
        </is>
      </c>
      <c r="E119" s="32" t="inlineStr">
        <is>
          <t xml:space="preserve">New business</t>
        </is>
      </c>
      <c r="F119" s="30" t="inlineStr">
        <is>
          <t xml:space="preserve">B1234EXOTIC26</t>
        </is>
      </c>
      <c r="G119" s="33">
        <f>IF($A119="","",IF($C119="","",YEAR($C119)))</f>
      </c>
      <c r="H119" s="34">
        <v>1958</v>
      </c>
      <c r="I119" s="30" t="inlineStr">
        <is>
          <t xml:space="preserve">Bentley</t>
        </is>
      </c>
      <c r="J119" s="30" t="inlineStr">
        <is>
          <t xml:space="preserve">4.5 Litre</t>
        </is>
      </c>
      <c r="K119" s="30" t="inlineStr">
        <is>
          <t xml:space="preserve">V2CY13KZ0721XU457</t>
        </is>
      </c>
      <c r="L119" s="32" t="inlineStr">
        <is>
          <t xml:space="preserve">07 - Post-War Classic (1946-1972)</t>
        </is>
      </c>
      <c r="M119" s="35">
        <v>515000</v>
      </c>
      <c r="N119" s="32" t="inlineStr">
        <is>
          <t xml:space="preserve">Personal</t>
        </is>
      </c>
      <c r="O119" s="30" t="inlineStr">
        <is>
          <t xml:space="preserve">Personal - regular use</t>
        </is>
      </c>
      <c r="P119" s="30" t="inlineStr">
        <is>
          <t xml:space="preserve">Under 1,000</t>
        </is>
      </c>
      <c r="Q119" s="30" t="inlineStr">
        <is>
          <t xml:space="preserve">Oregon</t>
        </is>
      </c>
      <c r="R119" s="30" t="inlineStr">
        <is>
          <t xml:space="preserve">97204</t>
        </is>
      </c>
      <c r="S119" s="32" t="inlineStr">
        <is>
          <t xml:space="preserve">Earthquake - high (CA, Cascadia, New Madrid)</t>
        </is>
      </c>
      <c r="T119" s="36">
        <f>IF($A119="","",IF($S119="","",IFERROR(INDEX('[1]natural catastrophe'!$D$6:$D$17,MATCH($S119,'[1]natural catastrophe'!$B$6:$B$17,0)),"?")))</f>
      </c>
      <c r="U119" s="30" t="inlineStr">
        <is>
          <t xml:space="preserve">$5,000</t>
        </is>
      </c>
      <c r="V119" s="32" t="inlineStr">
        <is>
          <t xml:space="preserve">Agreed Value</t>
        </is>
      </c>
      <c r="W119" s="30" t="inlineStr">
        <is>
          <t xml:space="preserve">$1,000</t>
        </is>
      </c>
      <c r="X119" s="32" t="inlineStr">
        <is>
          <t xml:space="preserve">$1,000,000 CSL</t>
        </is>
      </c>
      <c r="Y119" s="30"/>
      <c r="Z119" s="30"/>
      <c r="AA119" s="32" t="inlineStr">
        <is>
          <t xml:space="preserve">Surplus Lines</t>
        </is>
      </c>
      <c r="AB119" s="35">
        <v>4172.47</v>
      </c>
      <c r="AC119" s="37">
        <v>0</v>
      </c>
      <c r="AD119" s="38">
        <f>IF(ISNUMBER($AB119),$AB119*(1+N($AC119)),"")</f>
      </c>
      <c r="AE119" s="35">
        <v>350</v>
      </c>
      <c r="AF119" s="35">
        <v>0</v>
      </c>
      <c r="AG119" s="37"/>
      <c r="AH119" s="39">
        <f>IF(ISNUMBER($AD119),($AD119+$AE119+$AF119)*$AG119,"")</f>
      </c>
      <c r="AI119" s="35"/>
      <c r="AJ119" s="38">
        <f>IF(ISNUMBER($AD119),SUM($AD119:$AH119),"")</f>
      </c>
      <c r="AK119" s="40">
        <f>IF(AND(ISNUMBER($AB119),ISNUMBER($AD119)),IF($AB119&gt;0,$AD119/$AB119,""),"")</f>
      </c>
      <c r="AL119" s="32" t="inlineStr">
        <is>
          <t xml:space="preserve">At technical</t>
        </is>
      </c>
      <c r="AM119" s="41">
        <f>IF(ISNUMBER($AD119),Header!$I$3,"")</f>
      </c>
      <c r="AN119" s="39">
        <f>IF(ISNUMBER($AD119),$AO119+$AP119,"")</f>
      </c>
      <c r="AO119" s="39">
        <f>IF(ISNUMBER($AD119),ROUND($AD119*Header!$K$3,2),"")</f>
      </c>
      <c r="AP119" s="39">
        <f>IF(ISNUMBER($AD119),ROUND($AD119*Header!$M$3,2),"")</f>
      </c>
      <c r="AQ119" s="38">
        <f>IF(ISNUMBER($AD119),ROUND($AD119,2)-$AO119-$AP119,"")</f>
      </c>
      <c r="AR119" s="39">
        <f>IF(ISNUMBER($AD119),IF(Header!$D$34="","?",$AD119*Header!$D$34),"")</f>
      </c>
      <c r="AS119" s="39">
        <f>IF(ISNUMBER($AB119),IF(Header!$D$34="","?",$AB119*Header!$D$34),"")</f>
      </c>
      <c r="AT119" s="42">
        <f>IF(AND(ISNUMBER($AB119),$M119&gt;0),$AB119/$M119*100,"")</f>
      </c>
      <c r="AU119" s="42">
        <f>IF(AND(ISNUMBER($AD119),$M119&gt;0),$AD119/$M119*100,"")</f>
      </c>
      <c r="AV119" s="40">
        <f>IF(AND(ISNUMBER($AB119),ISNUMBER($AD119),ABS($AB119)&gt;0),$AD119/$AB119,"")</f>
      </c>
      <c r="AW119" s="39">
        <f>IF(ISNUMBER($AD119),MAX(0,(1-0.55-Header!$O$3)*Header!$Q$3*$AQ119),"")</f>
      </c>
      <c r="AX119" s="43">
        <f>IF($A119="","",IF(TRIM(IF($A119="","Missing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",""))="","PASS","FAIL: "&amp;TRIM(IF($A119="","Missing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f>
      </c>
      <c r="AY119" s="44">
        <f>IF($M119="","",IF(ISNUMBER($M119),IF($M119&gt;=Header!$C$18,"YES — refer","No"),""))</f>
      </c>
      <c r="AZ119" s="44">
        <f>IF($AD119="","",IF(ISNUMBER($AD119),IF($AD119&lt;Header!$C$20,"BELOW MIN PREMIUM","OK"),""))</f>
      </c>
      <c r="BA119" s="32" t="inlineStr">
        <is>
          <t xml:space="preserve">Yes</t>
        </is>
      </c>
      <c r="BB119" s="32" t="inlineStr">
        <is>
          <t xml:space="preserve">Yes</t>
        </is>
      </c>
      <c r="BC119" s="30" t="inlineStr">
        <is>
          <t xml:space="preserve">Synthetic demo data</t>
        </is>
      </c>
      <c r="BE119" s="45">
        <f>IF(OR($A119="",$L119="",$H119=""),"",IF(AND(LEFT($L119,2)="06",$H119&gt;1945),"FAIL - pre-war class, year "&amp;$H119,IF(AND(LEFT($L119,2)="07",OR($H119&lt;1946,$H119&gt;1972)),"FAIL - 1946-72 class, year "&amp;$H119,IF(AND(LEFT($L119,2)="08",OR($H119&lt;1973,$H119&gt;1999)),"FAIL - 1973-99 class, year "&amp;$H119,IF(AND(LEFT($L119,2)="09",OR($H119&lt;2000,$H119&gt;2010)),"FAIL - 2000-10 class, year "&amp;$H119,"OK")))))</f>
      </c>
      <c r="BF119" s="45">
        <f>IF($AD119="","",IF(ROUND($AO119+$AP119+$AQ119-$AD119,2)=0,"OK","FAIL - out by "&amp;TEXT($AO119+$AP119+$AQ119-$AD119,"$0.00")))</f>
      </c>
    </row>
    <row r="120" spans="1:58" ht="18.75" customHeight="1" x14ac:dyDescent="0.25">
      <c r="A120" s="46" t="inlineStr">
        <is>
          <t xml:space="preserve">CANON-202508-000160</t>
        </is>
      </c>
      <c r="B120" s="46" t="inlineStr">
        <is>
          <t xml:space="preserve">Emiliano Vandermeer</t>
        </is>
      </c>
      <c r="C120" s="47">
        <v>45875</v>
      </c>
      <c r="D120" s="48" t="inlineStr">
        <is>
          <t xml:space="preserve">Bound - within authority</t>
        </is>
      </c>
      <c r="E120" s="48" t="inlineStr">
        <is>
          <t xml:space="preserve">New business</t>
        </is>
      </c>
      <c r="F120" s="46" t="inlineStr">
        <is>
          <t xml:space="preserve">B1234EXOTIC26</t>
        </is>
      </c>
      <c r="G120" s="33">
        <f>IF($A120="","",IF($C120="","",YEAR($C120)))</f>
      </c>
      <c r="H120" s="49">
        <v>2013</v>
      </c>
      <c r="I120" s="46" t="inlineStr">
        <is>
          <t xml:space="preserve">Mercedes-Benz</t>
        </is>
      </c>
      <c r="J120" s="46" t="inlineStr">
        <is>
          <t xml:space="preserve">280SL Pagoda</t>
        </is>
      </c>
      <c r="K120" s="46" t="inlineStr">
        <is>
          <t xml:space="preserve">XNF94KPRLEBE8T2XM</t>
        </is>
      </c>
      <c r="L120" s="48" t="inlineStr">
        <is>
          <t xml:space="preserve">02 - Sports / GT</t>
        </is>
      </c>
      <c r="M120" s="50">
        <v>405000</v>
      </c>
      <c r="N120" s="48" t="inlineStr">
        <is>
          <t xml:space="preserve">Personal</t>
        </is>
      </c>
      <c r="O120" s="46" t="inlineStr">
        <is>
          <t xml:space="preserve">Personal - regular use</t>
        </is>
      </c>
      <c r="P120" s="46" t="inlineStr">
        <is>
          <t xml:space="preserve">2,500 - 5,000</t>
        </is>
      </c>
      <c r="Q120" s="46" t="inlineStr">
        <is>
          <t xml:space="preserve">New York</t>
        </is>
      </c>
      <c r="R120" s="46" t="inlineStr">
        <is>
          <t xml:space="preserve">10022</t>
        </is>
      </c>
      <c r="S120" s="48" t="inlineStr">
        <is>
          <t xml:space="preserve">Tier 3 - Coastal wind (25-100 miles)</t>
        </is>
      </c>
      <c r="T120" s="36">
        <f>IF($A120="","",IF($S120="","",IFERROR(INDEX('[1]natural catastrophe'!$D$6:$D$17,MATCH($S120,'[1]natural catastrophe'!$B$6:$B$17,0)),"?")))</f>
      </c>
      <c r="U120" s="46" t="inlineStr">
        <is>
          <t xml:space="preserve">2% of agreed value, minimum $10,000</t>
        </is>
      </c>
      <c r="V120" s="48" t="inlineStr">
        <is>
          <t xml:space="preserve">Agreed Value</t>
        </is>
      </c>
      <c r="W120" s="46" t="inlineStr">
        <is>
          <t xml:space="preserve">$1,000</t>
        </is>
      </c>
      <c r="X120" s="48" t="inlineStr">
        <is>
          <t xml:space="preserve">$1,000,000 CSL</t>
        </is>
      </c>
      <c r="Y120" s="46"/>
      <c r="Z120" s="46"/>
      <c r="AA120" s="48" t="inlineStr">
        <is>
          <t xml:space="preserve">Surplus Lines</t>
        </is>
      </c>
      <c r="AB120" s="50">
        <v>4694.94</v>
      </c>
      <c r="AC120" s="51">
        <v>0</v>
      </c>
      <c r="AD120" s="38">
        <f>IF(ISNUMBER($AB120),$AB120*(1+N($AC120)),"")</f>
      </c>
      <c r="AE120" s="50">
        <v>350</v>
      </c>
      <c r="AF120" s="50">
        <v>0</v>
      </c>
      <c r="AG120" s="51"/>
      <c r="AH120" s="39">
        <f>IF(ISNUMBER($AD120),($AD120+$AE120+$AF120)*$AG120,"")</f>
      </c>
      <c r="AI120" s="50"/>
      <c r="AJ120" s="38">
        <f>IF(ISNUMBER($AD120),SUM($AD120:$AH120),"")</f>
      </c>
      <c r="AK120" s="40">
        <f>IF(AND(ISNUMBER($AB120),ISNUMBER($AD120)),IF($AB120&gt;0,$AD120/$AB120,""),"")</f>
      </c>
      <c r="AL120" s="48" t="inlineStr">
        <is>
          <t xml:space="preserve">At technical</t>
        </is>
      </c>
      <c r="AM120" s="41">
        <f>IF(ISNUMBER($AD120),Header!$I$3,"")</f>
      </c>
      <c r="AN120" s="39">
        <f>IF(ISNUMBER($AD120),$AO120+$AP120,"")</f>
      </c>
      <c r="AO120" s="39">
        <f>IF(ISNUMBER($AD120),ROUND($AD120*Header!$K$3,2),"")</f>
      </c>
      <c r="AP120" s="39">
        <f>IF(ISNUMBER($AD120),ROUND($AD120*Header!$M$3,2),"")</f>
      </c>
      <c r="AQ120" s="38">
        <f>IF(ISNUMBER($AD120),ROUND($AD120,2)-$AO120-$AP120,"")</f>
      </c>
      <c r="AR120" s="39">
        <f>IF(ISNUMBER($AD120),IF(Header!$D$34="","?",$AD120*Header!$D$34),"")</f>
      </c>
      <c r="AS120" s="39">
        <f>IF(ISNUMBER($AB120),IF(Header!$D$34="","?",$AB120*Header!$D$34),"")</f>
      </c>
      <c r="AT120" s="42">
        <f>IF(AND(ISNUMBER($AB120),$M120&gt;0),$AB120/$M120*100,"")</f>
      </c>
      <c r="AU120" s="42">
        <f>IF(AND(ISNUMBER($AD120),$M120&gt;0),$AD120/$M120*100,"")</f>
      </c>
      <c r="AV120" s="40">
        <f>IF(AND(ISNUMBER($AB120),ISNUMBER($AD120),ABS($AB120)&gt;0),$AD120/$AB120,"")</f>
      </c>
      <c r="AW120" s="39">
        <f>IF(ISNUMBER($AD120),MAX(0,(1-0.55-Header!$O$3)*Header!$Q$3*$AQ120),"")</f>
      </c>
      <c r="AX120" s="43">
        <f>IF($A120="","",IF(TRIM(IF($A120="","Missing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",""))="","PASS","FAIL: "&amp;TRIM(IF($A120="","Missing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f>
      </c>
      <c r="AY120" s="44">
        <f>IF($M120="","",IF(ISNUMBER($M120),IF($M120&gt;=Header!$C$18,"YES — refer","No"),""))</f>
      </c>
      <c r="AZ120" s="44">
        <f>IF($AD120="","",IF(ISNUMBER($AD120),IF($AD120&lt;Header!$C$20,"BELOW MIN PREMIUM","OK"),""))</f>
      </c>
      <c r="BA120" s="48" t="inlineStr">
        <is>
          <t xml:space="preserve">Yes</t>
        </is>
      </c>
      <c r="BB120" s="48" t="inlineStr">
        <is>
          <t xml:space="preserve">Yes</t>
        </is>
      </c>
      <c r="BC120" s="46" t="inlineStr">
        <is>
          <t xml:space="preserve">Synthetic demo data</t>
        </is>
      </c>
      <c r="BE120" s="45">
        <f>IF(OR($A120="",$L120="",$H120=""),"",IF(AND(LEFT($L120,2)="06",$H120&gt;1945),"FAIL - pre-war class, year "&amp;$H120,IF(AND(LEFT($L120,2)="07",OR($H120&lt;1946,$H120&gt;1972)),"FAIL - 1946-72 class, year "&amp;$H120,IF(AND(LEFT($L120,2)="08",OR($H120&lt;1973,$H120&gt;1999)),"FAIL - 1973-99 class, year "&amp;$H120,IF(AND(LEFT($L120,2)="09",OR($H120&lt;2000,$H120&gt;2010)),"FAIL - 2000-10 class, year "&amp;$H120,"OK")))))</f>
      </c>
      <c r="BF120" s="45">
        <f>IF($AD120="","",IF(ROUND($AO120+$AP120+$AQ120-$AD120,2)=0,"OK","FAIL - out by "&amp;TEXT($AO120+$AP120+$AQ120-$AD120,"$0.00")))</f>
      </c>
    </row>
    <row r="121" spans="1:58" ht="18.75" customHeight="1" x14ac:dyDescent="0.25">
      <c r="A121" s="30" t="inlineStr">
        <is>
          <t xml:space="preserve">CANON-202508-000161</t>
        </is>
      </c>
      <c r="B121" s="30" t="inlineStr">
        <is>
          <t xml:space="preserve">Delphine Castellanos</t>
        </is>
      </c>
      <c r="C121" s="31">
        <v>45872</v>
      </c>
      <c r="D121" s="32" t="inlineStr">
        <is>
          <t xml:space="preserve">Bound - within authority</t>
        </is>
      </c>
      <c r="E121" s="32" t="inlineStr">
        <is>
          <t xml:space="preserve">New business</t>
        </is>
      </c>
      <c r="F121" s="30" t="inlineStr">
        <is>
          <t xml:space="preserve">B1234EXOTIC26</t>
        </is>
      </c>
      <c r="G121" s="33">
        <f>IF($A121="","",IF($C121="","",YEAR($C121)))</f>
      </c>
      <c r="H121" s="34">
        <v>1969</v>
      </c>
      <c r="I121" s="30" t="inlineStr">
        <is>
          <t xml:space="preserve">BMW</t>
        </is>
      </c>
      <c r="J121" s="30" t="inlineStr">
        <is>
          <t xml:space="preserve">M8 Competition</t>
        </is>
      </c>
      <c r="K121" s="30" t="inlineStr">
        <is>
          <t xml:space="preserve">J22GDR35VX5JDRYVW</t>
        </is>
      </c>
      <c r="L121" s="32" t="inlineStr">
        <is>
          <t xml:space="preserve">02 - Sports / GT</t>
        </is>
      </c>
      <c r="M121" s="35">
        <v>1595000</v>
      </c>
      <c r="N121" s="32" t="inlineStr">
        <is>
          <t xml:space="preserve">Personal</t>
        </is>
      </c>
      <c r="O121" s="30" t="inlineStr">
        <is>
          <t xml:space="preserve">Personal - regular use</t>
        </is>
      </c>
      <c r="P121" s="30" t="inlineStr">
        <is>
          <t xml:space="preserve">Under 1,000</t>
        </is>
      </c>
      <c r="Q121" s="30" t="inlineStr">
        <is>
          <t xml:space="preserve">Indiana</t>
        </is>
      </c>
      <c r="R121" s="30" t="inlineStr">
        <is>
          <t xml:space="preserve">46204</t>
        </is>
      </c>
      <c r="S121" s="32" t="inlineStr">
        <is>
          <t xml:space="preserve">Severe convective - hail / tornado (moderate)</t>
        </is>
      </c>
      <c r="T121" s="36">
        <f>IF($A121="","",IF($S121="","",IFERROR(INDEX('[1]natural catastrophe'!$D$6:$D$17,MATCH($S121,'[1]natural catastrophe'!$B$6:$B$17,0)),"?")))</f>
      </c>
      <c r="U121" s="30" t="inlineStr">
        <is>
          <t xml:space="preserve">$5,000</t>
        </is>
      </c>
      <c r="V121" s="32" t="inlineStr">
        <is>
          <t xml:space="preserve">Agreed Value</t>
        </is>
      </c>
      <c r="W121" s="30" t="inlineStr">
        <is>
          <t xml:space="preserve">$1,000</t>
        </is>
      </c>
      <c r="X121" s="32" t="inlineStr">
        <is>
          <t xml:space="preserve">$1,000,000 CSL</t>
        </is>
      </c>
      <c r="Y121" s="30"/>
      <c r="Z121" s="30"/>
      <c r="AA121" s="32" t="inlineStr">
        <is>
          <t xml:space="preserve">Surplus Lines</t>
        </is>
      </c>
      <c r="AB121" s="35">
        <v>20358.82</v>
      </c>
      <c r="AC121" s="37">
        <v>0</v>
      </c>
      <c r="AD121" s="38">
        <f>IF(ISNUMBER($AB121),$AB121*(1+N($AC121)),"")</f>
      </c>
      <c r="AE121" s="35">
        <v>350</v>
      </c>
      <c r="AF121" s="35">
        <v>250</v>
      </c>
      <c r="AG121" s="37"/>
      <c r="AH121" s="39">
        <f>IF(ISNUMBER($AD121),($AD121+$AE121+$AF121)*$AG121,"")</f>
      </c>
      <c r="AI121" s="35"/>
      <c r="AJ121" s="38">
        <f>IF(ISNUMBER($AD121),SUM($AD121:$AH121),"")</f>
      </c>
      <c r="AK121" s="40">
        <f>IF(AND(ISNUMBER($AB121),ISNUMBER($AD121)),IF($AB121&gt;0,$AD121/$AB121,""),"")</f>
      </c>
      <c r="AL121" s="32" t="inlineStr">
        <is>
          <t xml:space="preserve">At technical</t>
        </is>
      </c>
      <c r="AM121" s="41">
        <f>IF(ISNUMBER($AD121),Header!$I$3,"")</f>
      </c>
      <c r="AN121" s="39">
        <f>IF(ISNUMBER($AD121),$AO121+$AP121,"")</f>
      </c>
      <c r="AO121" s="39">
        <f>IF(ISNUMBER($AD121),ROUND($AD121*Header!$K$3,2),"")</f>
      </c>
      <c r="AP121" s="39">
        <f>IF(ISNUMBER($AD121),ROUND($AD121*Header!$M$3,2),"")</f>
      </c>
      <c r="AQ121" s="38">
        <f>IF(ISNUMBER($AD121),ROUND($AD121,2)-$AO121-$AP121,"")</f>
      </c>
      <c r="AR121" s="39">
        <f>IF(ISNUMBER($AD121),IF(Header!$D$34="","?",$AD121*Header!$D$34),"")</f>
      </c>
      <c r="AS121" s="39">
        <f>IF(ISNUMBER($AB121),IF(Header!$D$34="","?",$AB121*Header!$D$34),"")</f>
      </c>
      <c r="AT121" s="42">
        <f>IF(AND(ISNUMBER($AB121),$M121&gt;0),$AB121/$M121*100,"")</f>
      </c>
      <c r="AU121" s="42">
        <f>IF(AND(ISNUMBER($AD121),$M121&gt;0),$AD121/$M121*100,"")</f>
      </c>
      <c r="AV121" s="40">
        <f>IF(AND(ISNUMBER($AB121),ISNUMBER($AD121),ABS($AB121)&gt;0),$AD121/$AB121,"")</f>
      </c>
      <c r="AW121" s="39">
        <f>IF(ISNUMBER($AD121),MAX(0,(1-0.55-Header!$O$3)*Header!$Q$3*$AQ121),"")</f>
      </c>
      <c r="AX121" s="43">
        <f>IF($A121="","",IF(TRIM(IF($A121="","Missing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",""))="","PASS","FAIL: "&amp;TRIM(IF($A121="","Missing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f>
      </c>
      <c r="AY121" s="44">
        <f>IF($M121="","",IF(ISNUMBER($M121),IF($M121&gt;=Header!$C$18,"YES — refer","No"),""))</f>
      </c>
      <c r="AZ121" s="44">
        <f>IF($AD121="","",IF(ISNUMBER($AD121),IF($AD121&lt;Header!$C$20,"BELOW MIN PREMIUM","OK"),""))</f>
      </c>
      <c r="BA121" s="32" t="inlineStr">
        <is>
          <t xml:space="preserve">Yes</t>
        </is>
      </c>
      <c r="BB121" s="32" t="inlineStr">
        <is>
          <t xml:space="preserve">Yes</t>
        </is>
      </c>
      <c r="BC121" s="30" t="inlineStr">
        <is>
          <t xml:space="preserve">Synthetic demo data</t>
        </is>
      </c>
      <c r="BE121" s="45">
        <f>IF(OR($A121="",$L121="",$H121=""),"",IF(AND(LEFT($L121,2)="06",$H121&gt;1945),"FAIL - pre-war class, year "&amp;$H121,IF(AND(LEFT($L121,2)="07",OR($H121&lt;1946,$H121&gt;1972)),"FAIL - 1946-72 class, year "&amp;$H121,IF(AND(LEFT($L121,2)="08",OR($H121&lt;1973,$H121&gt;1999)),"FAIL - 1973-99 class, year "&amp;$H121,IF(AND(LEFT($L121,2)="09",OR($H121&lt;2000,$H121&gt;2010)),"FAIL - 2000-10 class, year "&amp;$H121,"OK")))))</f>
      </c>
      <c r="BF121" s="45">
        <f>IF($AD121="","",IF(ROUND($AO121+$AP121+$AQ121-$AD121,2)=0,"OK","FAIL - out by "&amp;TEXT($AO121+$AP121+$AQ121-$AD121,"$0.00")))</f>
      </c>
    </row>
    <row r="122" spans="1:58" ht="18.75" customHeight="1" x14ac:dyDescent="0.25">
      <c r="A122" s="46" t="inlineStr">
        <is>
          <t xml:space="preserve">CANON-202508-000162</t>
        </is>
      </c>
      <c r="B122" s="46" t="inlineStr">
        <is>
          <t xml:space="preserve">Desmond Blackwood</t>
        </is>
      </c>
      <c r="C122" s="47">
        <v>45876</v>
      </c>
      <c r="D122" s="48" t="inlineStr">
        <is>
          <t xml:space="preserve">Bound - within authority</t>
        </is>
      </c>
      <c r="E122" s="48" t="inlineStr">
        <is>
          <t xml:space="preserve">New business</t>
        </is>
      </c>
      <c r="F122" s="46" t="inlineStr">
        <is>
          <t xml:space="preserve">B1234EXOTIC26</t>
        </is>
      </c>
      <c r="G122" s="33">
        <f>IF($A122="","",IF($C122="","",YEAR($C122)))</f>
      </c>
      <c r="H122" s="49">
        <v>1964</v>
      </c>
      <c r="I122" s="46" t="inlineStr">
        <is>
          <t xml:space="preserve">Ferrari</t>
        </is>
      </c>
      <c r="J122" s="46" t="inlineStr">
        <is>
          <t xml:space="preserve">SF90 Stradale</t>
        </is>
      </c>
      <c r="K122" s="46" t="inlineStr">
        <is>
          <t xml:space="preserve">RJKY46ZAD9CS8U8LK</t>
        </is>
      </c>
      <c r="L122" s="48" t="inlineStr">
        <is>
          <t xml:space="preserve">03 - Supercar</t>
        </is>
      </c>
      <c r="M122" s="50">
        <v>325000</v>
      </c>
      <c r="N122" s="48" t="inlineStr">
        <is>
          <t xml:space="preserve">Personal</t>
        </is>
      </c>
      <c r="O122" s="46" t="inlineStr">
        <is>
          <t xml:space="preserve">Personal - regular use</t>
        </is>
      </c>
      <c r="P122" s="46" t="inlineStr">
        <is>
          <t xml:space="preserve">Under 1,000</t>
        </is>
      </c>
      <c r="Q122" s="46" t="inlineStr">
        <is>
          <t xml:space="preserve">Florida</t>
        </is>
      </c>
      <c r="R122" s="46" t="inlineStr">
        <is>
          <t xml:space="preserve">33139</t>
        </is>
      </c>
      <c r="S122" s="48" t="inlineStr">
        <is>
          <t xml:space="preserve">Tier 2 - Coastal wind (1-25 miles)</t>
        </is>
      </c>
      <c r="T122" s="36">
        <f>IF($A122="","",IF($S122="","",IFERROR(INDEX('[1]natural catastrophe'!$D$6:$D$17,MATCH($S122,'[1]natural catastrophe'!$B$6:$B$17,0)),"?")))</f>
      </c>
      <c r="U122" s="46" t="inlineStr">
        <is>
          <t xml:space="preserve">2% of agreed value, minimum $10,000</t>
        </is>
      </c>
      <c r="V122" s="48" t="inlineStr">
        <is>
          <t xml:space="preserve">Agreed Value</t>
        </is>
      </c>
      <c r="W122" s="46" t="inlineStr">
        <is>
          <t xml:space="preserve">$1,000</t>
        </is>
      </c>
      <c r="X122" s="48" t="inlineStr">
        <is>
          <t xml:space="preserve">$1,000,000 CSL</t>
        </is>
      </c>
      <c r="Y122" s="46"/>
      <c r="Z122" s="46"/>
      <c r="AA122" s="48" t="inlineStr">
        <is>
          <t xml:space="preserve">Surplus Lines</t>
        </is>
      </c>
      <c r="AB122" s="50">
        <v>10013.68</v>
      </c>
      <c r="AC122" s="51">
        <v>0</v>
      </c>
      <c r="AD122" s="38">
        <f>IF(ISNUMBER($AB122),$AB122*(1+N($AC122)),"")</f>
      </c>
      <c r="AE122" s="50">
        <v>350</v>
      </c>
      <c r="AF122" s="50">
        <v>0</v>
      </c>
      <c r="AG122" s="51"/>
      <c r="AH122" s="39">
        <f>IF(ISNUMBER($AD122),($AD122+$AE122+$AF122)*$AG122,"")</f>
      </c>
      <c r="AI122" s="50"/>
      <c r="AJ122" s="38">
        <f>IF(ISNUMBER($AD122),SUM($AD122:$AH122),"")</f>
      </c>
      <c r="AK122" s="40">
        <f>IF(AND(ISNUMBER($AB122),ISNUMBER($AD122)),IF($AB122&gt;0,$AD122/$AB122,""),"")</f>
      </c>
      <c r="AL122" s="48" t="inlineStr">
        <is>
          <t xml:space="preserve">At technical</t>
        </is>
      </c>
      <c r="AM122" s="41">
        <f>IF(ISNUMBER($AD122),Header!$I$3,"")</f>
      </c>
      <c r="AN122" s="39">
        <f>IF(ISNUMBER($AD122),$AO122+$AP122,"")</f>
      </c>
      <c r="AO122" s="39">
        <f>IF(ISNUMBER($AD122),ROUND($AD122*Header!$K$3,2),"")</f>
      </c>
      <c r="AP122" s="39">
        <f>IF(ISNUMBER($AD122),ROUND($AD122*Header!$M$3,2),"")</f>
      </c>
      <c r="AQ122" s="38">
        <f>IF(ISNUMBER($AD122),ROUND($AD122,2)-$AO122-$AP122,"")</f>
      </c>
      <c r="AR122" s="39">
        <f>IF(ISNUMBER($AD122),IF(Header!$D$34="","?",$AD122*Header!$D$34),"")</f>
      </c>
      <c r="AS122" s="39">
        <f>IF(ISNUMBER($AB122),IF(Header!$D$34="","?",$AB122*Header!$D$34),"")</f>
      </c>
      <c r="AT122" s="42">
        <f>IF(AND(ISNUMBER($AB122),$M122&gt;0),$AB122/$M122*100,"")</f>
      </c>
      <c r="AU122" s="42">
        <f>IF(AND(ISNUMBER($AD122),$M122&gt;0),$AD122/$M122*100,"")</f>
      </c>
      <c r="AV122" s="40">
        <f>IF(AND(ISNUMBER($AB122),ISNUMBER($AD122),ABS($AB122)&gt;0),$AD122/$AB122,"")</f>
      </c>
      <c r="AW122" s="39">
        <f>IF(ISNUMBER($AD122),MAX(0,(1-0.55-Header!$O$3)*Header!$Q$3*$AQ122),"")</f>
      </c>
      <c r="AX122" s="43">
        <f>IF($A122="","",IF(TRIM(IF($A122="","Missing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",""))="","PASS","FAIL: "&amp;TRIM(IF($A122="","Missing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f>
      </c>
      <c r="AY122" s="44">
        <f>IF($M122="","",IF(ISNUMBER($M122),IF($M122&gt;=Header!$C$18,"YES — refer","No"),""))</f>
      </c>
      <c r="AZ122" s="44">
        <f>IF($AD122="","",IF(ISNUMBER($AD122),IF($AD122&lt;Header!$C$20,"BELOW MIN PREMIUM","OK"),""))</f>
      </c>
      <c r="BA122" s="48" t="inlineStr">
        <is>
          <t xml:space="preserve">Yes</t>
        </is>
      </c>
      <c r="BB122" s="48" t="inlineStr">
        <is>
          <t xml:space="preserve">Yes</t>
        </is>
      </c>
      <c r="BC122" s="46" t="inlineStr">
        <is>
          <t xml:space="preserve">Synthetic demo data</t>
        </is>
      </c>
      <c r="BE122" s="45">
        <f>IF(OR($A122="",$L122="",$H122=""),"",IF(AND(LEFT($L122,2)="06",$H122&gt;1945),"FAIL - pre-war class, year "&amp;$H122,IF(AND(LEFT($L122,2)="07",OR($H122&lt;1946,$H122&gt;1972)),"FAIL - 1946-72 class, year "&amp;$H122,IF(AND(LEFT($L122,2)="08",OR($H122&lt;1973,$H122&gt;1999)),"FAIL - 1973-99 class, year "&amp;$H122,IF(AND(LEFT($L122,2)="09",OR($H122&lt;2000,$H122&gt;2010)),"FAIL - 2000-10 class, year "&amp;$H122,"OK")))))</f>
      </c>
      <c r="BF122" s="45">
        <f>IF($AD122="","",IF(ROUND($AO122+$AP122+$AQ122-$AD122,2)=0,"OK","FAIL - out by "&amp;TEXT($AO122+$AP122+$AQ122-$AD122,"$0.00")))</f>
      </c>
    </row>
    <row r="123" spans="1:58" ht="18.75" customHeight="1" x14ac:dyDescent="0.25">
      <c r="A123" s="30" t="inlineStr">
        <is>
          <t xml:space="preserve">CANON-202508-000163</t>
        </is>
      </c>
      <c r="B123" s="30" t="inlineStr">
        <is>
          <t xml:space="preserve">Delphine Underwood</t>
        </is>
      </c>
      <c r="C123" s="31">
        <v>45884</v>
      </c>
      <c r="D123" s="32" t="inlineStr">
        <is>
          <t xml:space="preserve">Bound - within authority</t>
        </is>
      </c>
      <c r="E123" s="32" t="inlineStr">
        <is>
          <t xml:space="preserve">New business</t>
        </is>
      </c>
      <c r="F123" s="30" t="inlineStr">
        <is>
          <t xml:space="preserve">B1234EXOTIC26</t>
        </is>
      </c>
      <c r="G123" s="33">
        <f>IF($A123="","",IF($C123="","",YEAR($C123)))</f>
      </c>
      <c r="H123" s="34">
        <v>2014</v>
      </c>
      <c r="I123" s="30" t="inlineStr">
        <is>
          <t xml:space="preserve">Mercedes-Benz</t>
        </is>
      </c>
      <c r="J123" s="30" t="inlineStr">
        <is>
          <t xml:space="preserve">AMG GT</t>
        </is>
      </c>
      <c r="K123" s="30" t="inlineStr">
        <is>
          <t xml:space="preserve">7KCNC57YJP5YDJREA</t>
        </is>
      </c>
      <c r="L123" s="32" t="inlineStr">
        <is>
          <t xml:space="preserve">02 - Sports / GT</t>
        </is>
      </c>
      <c r="M123" s="35">
        <v>1265000</v>
      </c>
      <c r="N123" s="32" t="inlineStr">
        <is>
          <t xml:space="preserve">Personal</t>
        </is>
      </c>
      <c r="O123" s="30" t="inlineStr">
        <is>
          <t xml:space="preserve">Personal - regular use</t>
        </is>
      </c>
      <c r="P123" s="30" t="inlineStr">
        <is>
          <t xml:space="preserve">1,000 - 2,500</t>
        </is>
      </c>
      <c r="Q123" s="30" t="inlineStr">
        <is>
          <t xml:space="preserve">Vermont</t>
        </is>
      </c>
      <c r="R123" s="30" t="inlineStr">
        <is>
          <t xml:space="preserve">05601</t>
        </is>
      </c>
      <c r="S123" s="32" t="inlineStr">
        <is>
          <t xml:space="preserve">Low hazard - inland benign</t>
        </is>
      </c>
      <c r="T123" s="36">
        <f>IF($A123="","",IF($S123="","",IFERROR(INDEX('[1]natural catastrophe'!$D$6:$D$17,MATCH($S123,'[1]natural catastrophe'!$B$6:$B$17,0)),"?")))</f>
      </c>
      <c r="U123" s="30" t="inlineStr">
        <is>
          <t xml:space="preserve">$5,000</t>
        </is>
      </c>
      <c r="V123" s="32" t="inlineStr">
        <is>
          <t xml:space="preserve">Agreed Value</t>
        </is>
      </c>
      <c r="W123" s="30" t="inlineStr">
        <is>
          <t xml:space="preserve">$1,000</t>
        </is>
      </c>
      <c r="X123" s="32" t="inlineStr">
        <is>
          <t xml:space="preserve">$1,000,000 CSL</t>
        </is>
      </c>
      <c r="Y123" s="30"/>
      <c r="Z123" s="30"/>
      <c r="AA123" s="32" t="inlineStr">
        <is>
          <t xml:space="preserve">Surplus Lines</t>
        </is>
      </c>
      <c r="AB123" s="35">
        <v>16015.38</v>
      </c>
      <c r="AC123" s="37">
        <v>0</v>
      </c>
      <c r="AD123" s="38">
        <f>IF(ISNUMBER($AB123),$AB123*(1+N($AC123)),"")</f>
      </c>
      <c r="AE123" s="35">
        <v>350</v>
      </c>
      <c r="AF123" s="35">
        <v>250</v>
      </c>
      <c r="AG123" s="37"/>
      <c r="AH123" s="39">
        <f>IF(ISNUMBER($AD123),($AD123+$AE123+$AF123)*$AG123,"")</f>
      </c>
      <c r="AI123" s="35"/>
      <c r="AJ123" s="38">
        <f>IF(ISNUMBER($AD123),SUM($AD123:$AH123),"")</f>
      </c>
      <c r="AK123" s="40">
        <f>IF(AND(ISNUMBER($AB123),ISNUMBER($AD123)),IF($AB123&gt;0,$AD123/$AB123,""),"")</f>
      </c>
      <c r="AL123" s="32" t="inlineStr">
        <is>
          <t xml:space="preserve">At technical</t>
        </is>
      </c>
      <c r="AM123" s="41">
        <f>IF(ISNUMBER($AD123),Header!$I$3,"")</f>
      </c>
      <c r="AN123" s="39">
        <f>IF(ISNUMBER($AD123),$AO123+$AP123,"")</f>
      </c>
      <c r="AO123" s="39">
        <f>IF(ISNUMBER($AD123),ROUND($AD123*Header!$K$3,2),"")</f>
      </c>
      <c r="AP123" s="39">
        <f>IF(ISNUMBER($AD123),ROUND($AD123*Header!$M$3,2),"")</f>
      </c>
      <c r="AQ123" s="38">
        <f>IF(ISNUMBER($AD123),ROUND($AD123,2)-$AO123-$AP123,"")</f>
      </c>
      <c r="AR123" s="39">
        <f>IF(ISNUMBER($AD123),IF(Header!$D$34="","?",$AD123*Header!$D$34),"")</f>
      </c>
      <c r="AS123" s="39">
        <f>IF(ISNUMBER($AB123),IF(Header!$D$34="","?",$AB123*Header!$D$34),"")</f>
      </c>
      <c r="AT123" s="42">
        <f>IF(AND(ISNUMBER($AB123),$M123&gt;0),$AB123/$M123*100,"")</f>
      </c>
      <c r="AU123" s="42">
        <f>IF(AND(ISNUMBER($AD123),$M123&gt;0),$AD123/$M123*100,"")</f>
      </c>
      <c r="AV123" s="40">
        <f>IF(AND(ISNUMBER($AB123),ISNUMBER($AD123),ABS($AB123)&gt;0),$AD123/$AB123,"")</f>
      </c>
      <c r="AW123" s="39">
        <f>IF(ISNUMBER($AD123),MAX(0,(1-0.55-Header!$O$3)*Header!$Q$3*$AQ123),"")</f>
      </c>
      <c r="AX123" s="43">
        <f>IF($A123="","",IF(TRIM(IF($A123="","Missing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",""))="","PASS","FAIL: "&amp;TRIM(IF($A123="","Missing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f>
      </c>
      <c r="AY123" s="44">
        <f>IF($M123="","",IF(ISNUMBER($M123),IF($M123&gt;=Header!$C$18,"YES — refer","No"),""))</f>
      </c>
      <c r="AZ123" s="44">
        <f>IF($AD123="","",IF(ISNUMBER($AD123),IF($AD123&lt;Header!$C$20,"BELOW MIN PREMIUM","OK"),""))</f>
      </c>
      <c r="BA123" s="32" t="inlineStr">
        <is>
          <t xml:space="preserve">Yes</t>
        </is>
      </c>
      <c r="BB123" s="32" t="inlineStr">
        <is>
          <t xml:space="preserve">Yes</t>
        </is>
      </c>
      <c r="BC123" s="30" t="inlineStr">
        <is>
          <t xml:space="preserve">Synthetic demo data</t>
        </is>
      </c>
      <c r="BE123" s="45">
        <f>IF(OR($A123="",$L123="",$H123=""),"",IF(AND(LEFT($L123,2)="06",$H123&gt;1945),"FAIL - pre-war class, year "&amp;$H123,IF(AND(LEFT($L123,2)="07",OR($H123&lt;1946,$H123&gt;1972)),"FAIL - 1946-72 class, year "&amp;$H123,IF(AND(LEFT($L123,2)="08",OR($H123&lt;1973,$H123&gt;1999)),"FAIL - 1973-99 class, year "&amp;$H123,IF(AND(LEFT($L123,2)="09",OR($H123&lt;2000,$H123&gt;2010)),"FAIL - 2000-10 class, year "&amp;$H123,"OK")))))</f>
      </c>
      <c r="BF123" s="45">
        <f>IF($AD123="","",IF(ROUND($AO123+$AP123+$AQ123-$AD123,2)=0,"OK","FAIL - out by "&amp;TEXT($AO123+$AP123+$AQ123-$AD123,"$0.00")))</f>
      </c>
    </row>
    <row r="124" spans="1:58" ht="18.75" customHeight="1" x14ac:dyDescent="0.25">
      <c r="A124" s="46" t="inlineStr">
        <is>
          <t xml:space="preserve">CANON-202508-000164</t>
        </is>
      </c>
      <c r="B124" s="46" t="inlineStr">
        <is>
          <t xml:space="preserve">Thaddeus Bellandi</t>
        </is>
      </c>
      <c r="C124" s="47">
        <v>45875</v>
      </c>
      <c r="D124" s="48" t="inlineStr">
        <is>
          <t xml:space="preserve">Bound - within authority</t>
        </is>
      </c>
      <c r="E124" s="48" t="inlineStr">
        <is>
          <t xml:space="preserve">New business</t>
        </is>
      </c>
      <c r="F124" s="46" t="inlineStr">
        <is>
          <t xml:space="preserve">B1234EXOTIC26</t>
        </is>
      </c>
      <c r="G124" s="33">
        <f>IF($A124="","",IF($C124="","",YEAR($C124)))</f>
      </c>
      <c r="H124" s="49">
        <v>1976</v>
      </c>
      <c r="I124" s="46" t="inlineStr">
        <is>
          <t xml:space="preserve">Maserati</t>
        </is>
      </c>
      <c r="J124" s="46" t="inlineStr">
        <is>
          <t xml:space="preserve">GranTurismo</t>
        </is>
      </c>
      <c r="K124" s="46" t="inlineStr">
        <is>
          <t xml:space="preserve">Y7YGWBZHLCCERBTKA</t>
        </is>
      </c>
      <c r="L124" s="48" t="inlineStr">
        <is>
          <t xml:space="preserve">02 - Sports / GT</t>
        </is>
      </c>
      <c r="M124" s="50">
        <v>645000</v>
      </c>
      <c r="N124" s="48" t="inlineStr">
        <is>
          <t xml:space="preserve">Personal</t>
        </is>
      </c>
      <c r="O124" s="46" t="inlineStr">
        <is>
          <t xml:space="preserve">Personal - regular use</t>
        </is>
      </c>
      <c r="P124" s="46" t="inlineStr">
        <is>
          <t xml:space="preserve">1,000 - 2,500</t>
        </is>
      </c>
      <c r="Q124" s="46" t="inlineStr">
        <is>
          <t xml:space="preserve">Massachusetts</t>
        </is>
      </c>
      <c r="R124" s="46" t="inlineStr">
        <is>
          <t xml:space="preserve">02108</t>
        </is>
      </c>
      <c r="S124" s="48" t="inlineStr">
        <is>
          <t xml:space="preserve">Tier 3 - Coastal wind (25-100 miles)</t>
        </is>
      </c>
      <c r="T124" s="36">
        <f>IF($A124="","",IF($S124="","",IFERROR(INDEX('[1]natural catastrophe'!$D$6:$D$17,MATCH($S124,'[1]natural catastrophe'!$B$6:$B$17,0)),"?")))</f>
      </c>
      <c r="U124" s="46" t="inlineStr">
        <is>
          <t xml:space="preserve">2% of agreed value, minimum $10,000</t>
        </is>
      </c>
      <c r="V124" s="48" t="inlineStr">
        <is>
          <t xml:space="preserve">Agreed Value</t>
        </is>
      </c>
      <c r="W124" s="46" t="inlineStr">
        <is>
          <t xml:space="preserve">$1,000</t>
        </is>
      </c>
      <c r="X124" s="48" t="inlineStr">
        <is>
          <t xml:space="preserve">$1,000,000 CSL</t>
        </is>
      </c>
      <c r="Y124" s="46"/>
      <c r="Z124" s="46"/>
      <c r="AA124" s="48" t="inlineStr">
        <is>
          <t xml:space="preserve">Surplus Lines</t>
        </is>
      </c>
      <c r="AB124" s="50">
        <v>9887.97</v>
      </c>
      <c r="AC124" s="51">
        <v>0</v>
      </c>
      <c r="AD124" s="38">
        <f>IF(ISNUMBER($AB124),$AB124*(1+N($AC124)),"")</f>
      </c>
      <c r="AE124" s="50">
        <v>350</v>
      </c>
      <c r="AF124" s="50">
        <v>0</v>
      </c>
      <c r="AG124" s="51"/>
      <c r="AH124" s="39">
        <f>IF(ISNUMBER($AD124),($AD124+$AE124+$AF124)*$AG124,"")</f>
      </c>
      <c r="AI124" s="50"/>
      <c r="AJ124" s="38">
        <f>IF(ISNUMBER($AD124),SUM($AD124:$AH124),"")</f>
      </c>
      <c r="AK124" s="40">
        <f>IF(AND(ISNUMBER($AB124),ISNUMBER($AD124)),IF($AB124&gt;0,$AD124/$AB124,""),"")</f>
      </c>
      <c r="AL124" s="48" t="inlineStr">
        <is>
          <t xml:space="preserve">At technical</t>
        </is>
      </c>
      <c r="AM124" s="41">
        <f>IF(ISNUMBER($AD124),Header!$I$3,"")</f>
      </c>
      <c r="AN124" s="39">
        <f>IF(ISNUMBER($AD124),$AO124+$AP124,"")</f>
      </c>
      <c r="AO124" s="39">
        <f>IF(ISNUMBER($AD124),ROUND($AD124*Header!$K$3,2),"")</f>
      </c>
      <c r="AP124" s="39">
        <f>IF(ISNUMBER($AD124),ROUND($AD124*Header!$M$3,2),"")</f>
      </c>
      <c r="AQ124" s="38">
        <f>IF(ISNUMBER($AD124),ROUND($AD124,2)-$AO124-$AP124,"")</f>
      </c>
      <c r="AR124" s="39">
        <f>IF(ISNUMBER($AD124),IF(Header!$D$34="","?",$AD124*Header!$D$34),"")</f>
      </c>
      <c r="AS124" s="39">
        <f>IF(ISNUMBER($AB124),IF(Header!$D$34="","?",$AB124*Header!$D$34),"")</f>
      </c>
      <c r="AT124" s="42">
        <f>IF(AND(ISNUMBER($AB124),$M124&gt;0),$AB124/$M124*100,"")</f>
      </c>
      <c r="AU124" s="42">
        <f>IF(AND(ISNUMBER($AD124),$M124&gt;0),$AD124/$M124*100,"")</f>
      </c>
      <c r="AV124" s="40">
        <f>IF(AND(ISNUMBER($AB124),ISNUMBER($AD124),ABS($AB124)&gt;0),$AD124/$AB124,"")</f>
      </c>
      <c r="AW124" s="39">
        <f>IF(ISNUMBER($AD124),MAX(0,(1-0.55-Header!$O$3)*Header!$Q$3*$AQ124),"")</f>
      </c>
      <c r="AX124" s="43">
        <f>IF($A124="","",IF(TRIM(IF($A124="","Missing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",""))="","PASS","FAIL: "&amp;TRIM(IF($A124="","Missing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f>
      </c>
      <c r="AY124" s="44">
        <f>IF($M124="","",IF(ISNUMBER($M124),IF($M124&gt;=Header!$C$18,"YES — refer","No"),""))</f>
      </c>
      <c r="AZ124" s="44">
        <f>IF($AD124="","",IF(ISNUMBER($AD124),IF($AD124&lt;Header!$C$20,"BELOW MIN PREMIUM","OK"),""))</f>
      </c>
      <c r="BA124" s="48" t="inlineStr">
        <is>
          <t xml:space="preserve">Yes</t>
        </is>
      </c>
      <c r="BB124" s="48" t="inlineStr">
        <is>
          <t xml:space="preserve">Yes</t>
        </is>
      </c>
      <c r="BC124" s="46" t="inlineStr">
        <is>
          <t xml:space="preserve">Synthetic demo data</t>
        </is>
      </c>
      <c r="BE124" s="45">
        <f>IF(OR($A124="",$L124="",$H124=""),"",IF(AND(LEFT($L124,2)="06",$H124&gt;1945),"FAIL - pre-war class, year "&amp;$H124,IF(AND(LEFT($L124,2)="07",OR($H124&lt;1946,$H124&gt;1972)),"FAIL - 1946-72 class, year "&amp;$H124,IF(AND(LEFT($L124,2)="08",OR($H124&lt;1973,$H124&gt;1999)),"FAIL - 1973-99 class, year "&amp;$H124,IF(AND(LEFT($L124,2)="09",OR($H124&lt;2000,$H124&gt;2010)),"FAIL - 2000-10 class, year "&amp;$H124,"OK")))))</f>
      </c>
      <c r="BF124" s="45">
        <f>IF($AD124="","",IF(ROUND($AO124+$AP124+$AQ124-$AD124,2)=0,"OK","FAIL - out by "&amp;TEXT($AO124+$AP124+$AQ124-$AD124,"$0.00")))</f>
      </c>
    </row>
    <row r="125" spans="1:58" ht="18.75" customHeight="1" x14ac:dyDescent="0.25">
      <c r="A125" s="30" t="inlineStr">
        <is>
          <t xml:space="preserve">CANON-202508-000165</t>
        </is>
      </c>
      <c r="B125" s="30" t="inlineStr">
        <is>
          <t xml:space="preserve">Saoirse Kingsford</t>
        </is>
      </c>
      <c r="C125" s="31">
        <v>45889</v>
      </c>
      <c r="D125" s="32" t="inlineStr">
        <is>
          <t xml:space="preserve">Bound - within authority</t>
        </is>
      </c>
      <c r="E125" s="32" t="inlineStr">
        <is>
          <t xml:space="preserve">New business</t>
        </is>
      </c>
      <c r="F125" s="30" t="inlineStr">
        <is>
          <t xml:space="preserve">B1234EXOTIC26</t>
        </is>
      </c>
      <c r="G125" s="33">
        <f>IF($A125="","",IF($C125="","",YEAR($C125)))</f>
      </c>
      <c r="H125" s="34">
        <v>2022</v>
      </c>
      <c r="I125" s="30" t="inlineStr">
        <is>
          <t xml:space="preserve">Lamborghini</t>
        </is>
      </c>
      <c r="J125" s="30" t="inlineStr">
        <is>
          <t xml:space="preserve">Huracan EVO</t>
        </is>
      </c>
      <c r="K125" s="30" t="inlineStr">
        <is>
          <t xml:space="preserve">AKGYBTF1P9ULCH1R4</t>
        </is>
      </c>
      <c r="L125" s="32" t="inlineStr">
        <is>
          <t xml:space="preserve">03 - Supercar</t>
        </is>
      </c>
      <c r="M125" s="35">
        <v>735000</v>
      </c>
      <c r="N125" s="32" t="inlineStr">
        <is>
          <t xml:space="preserve">Personal</t>
        </is>
      </c>
      <c r="O125" s="30" t="inlineStr">
        <is>
          <t xml:space="preserve">Personal - regular use</t>
        </is>
      </c>
      <c r="P125" s="30" t="inlineStr">
        <is>
          <t xml:space="preserve">1,000 - 2,500</t>
        </is>
      </c>
      <c r="Q125" s="30" t="inlineStr">
        <is>
          <t xml:space="preserve">Minnesota</t>
        </is>
      </c>
      <c r="R125" s="30" t="inlineStr">
        <is>
          <t xml:space="preserve">55401</t>
        </is>
      </c>
      <c r="S125" s="32" t="inlineStr">
        <is>
          <t xml:space="preserve">Severe convective - hail / tornado (moderate)</t>
        </is>
      </c>
      <c r="T125" s="36">
        <f>IF($A125="","",IF($S125="","",IFERROR(INDEX('[1]natural catastrophe'!$D$6:$D$17,MATCH($S125,'[1]natural catastrophe'!$B$6:$B$17,0)),"?")))</f>
      </c>
      <c r="U125" s="30" t="inlineStr">
        <is>
          <t xml:space="preserve">$5,000</t>
        </is>
      </c>
      <c r="V125" s="32" t="inlineStr">
        <is>
          <t xml:space="preserve">Agreed Value</t>
        </is>
      </c>
      <c r="W125" s="30" t="inlineStr">
        <is>
          <t xml:space="preserve">$1,000</t>
        </is>
      </c>
      <c r="X125" s="32" t="inlineStr">
        <is>
          <t xml:space="preserve">$1,000,000 CSL</t>
        </is>
      </c>
      <c r="Y125" s="30"/>
      <c r="Z125" s="30"/>
      <c r="AA125" s="32" t="inlineStr">
        <is>
          <t xml:space="preserve">Surplus Lines</t>
        </is>
      </c>
      <c r="AB125" s="35">
        <v>17390.38</v>
      </c>
      <c r="AC125" s="37">
        <v>0</v>
      </c>
      <c r="AD125" s="38">
        <f>IF(ISNUMBER($AB125),$AB125*(1+N($AC125)),"")</f>
      </c>
      <c r="AE125" s="35">
        <v>350</v>
      </c>
      <c r="AF125" s="35">
        <v>0</v>
      </c>
      <c r="AG125" s="37"/>
      <c r="AH125" s="39">
        <f>IF(ISNUMBER($AD125),($AD125+$AE125+$AF125)*$AG125,"")</f>
      </c>
      <c r="AI125" s="35"/>
      <c r="AJ125" s="38">
        <f>IF(ISNUMBER($AD125),SUM($AD125:$AH125),"")</f>
      </c>
      <c r="AK125" s="40">
        <f>IF(AND(ISNUMBER($AB125),ISNUMBER($AD125)),IF($AB125&gt;0,$AD125/$AB125,""),"")</f>
      </c>
      <c r="AL125" s="32" t="inlineStr">
        <is>
          <t xml:space="preserve">At technical</t>
        </is>
      </c>
      <c r="AM125" s="41">
        <f>IF(ISNUMBER($AD125),Header!$I$3,"")</f>
      </c>
      <c r="AN125" s="39">
        <f>IF(ISNUMBER($AD125),$AO125+$AP125,"")</f>
      </c>
      <c r="AO125" s="39">
        <f>IF(ISNUMBER($AD125),ROUND($AD125*Header!$K$3,2),"")</f>
      </c>
      <c r="AP125" s="39">
        <f>IF(ISNUMBER($AD125),ROUND($AD125*Header!$M$3,2),"")</f>
      </c>
      <c r="AQ125" s="38">
        <f>IF(ISNUMBER($AD125),ROUND($AD125,2)-$AO125-$AP125,"")</f>
      </c>
      <c r="AR125" s="39">
        <f>IF(ISNUMBER($AD125),IF(Header!$D$34="","?",$AD125*Header!$D$34),"")</f>
      </c>
      <c r="AS125" s="39">
        <f>IF(ISNUMBER($AB125),IF(Header!$D$34="","?",$AB125*Header!$D$34),"")</f>
      </c>
      <c r="AT125" s="42">
        <f>IF(AND(ISNUMBER($AB125),$M125&gt;0),$AB125/$M125*100,"")</f>
      </c>
      <c r="AU125" s="42">
        <f>IF(AND(ISNUMBER($AD125),$M125&gt;0),$AD125/$M125*100,"")</f>
      </c>
      <c r="AV125" s="40">
        <f>IF(AND(ISNUMBER($AB125),ISNUMBER($AD125),ABS($AB125)&gt;0),$AD125/$AB125,"")</f>
      </c>
      <c r="AW125" s="39">
        <f>IF(ISNUMBER($AD125),MAX(0,(1-0.55-Header!$O$3)*Header!$Q$3*$AQ125),"")</f>
      </c>
      <c r="AX125" s="43">
        <f>IF($A125="","",IF(TRIM(IF($A125="","Missing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",""))="","PASS","FAIL: "&amp;TRIM(IF($A125="","Missing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f>
      </c>
      <c r="AY125" s="44">
        <f>IF($M125="","",IF(ISNUMBER($M125),IF($M125&gt;=Header!$C$18,"YES — refer","No"),""))</f>
      </c>
      <c r="AZ125" s="44">
        <f>IF($AD125="","",IF(ISNUMBER($AD125),IF($AD125&lt;Header!$C$20,"BELOW MIN PREMIUM","OK"),""))</f>
      </c>
      <c r="BA125" s="32" t="inlineStr">
        <is>
          <t xml:space="preserve">Yes</t>
        </is>
      </c>
      <c r="BB125" s="32" t="inlineStr">
        <is>
          <t xml:space="preserve">Yes</t>
        </is>
      </c>
      <c r="BC125" s="30" t="inlineStr">
        <is>
          <t xml:space="preserve">Synthetic demo data</t>
        </is>
      </c>
      <c r="BE125" s="45">
        <f>IF(OR($A125="",$L125="",$H125=""),"",IF(AND(LEFT($L125,2)="06",$H125&gt;1945),"FAIL - pre-war class, year "&amp;$H125,IF(AND(LEFT($L125,2)="07",OR($H125&lt;1946,$H125&gt;1972)),"FAIL - 1946-72 class, year "&amp;$H125,IF(AND(LEFT($L125,2)="08",OR($H125&lt;1973,$H125&gt;1999)),"FAIL - 1973-99 class, year "&amp;$H125,IF(AND(LEFT($L125,2)="09",OR($H125&lt;2000,$H125&gt;2010)),"FAIL - 2000-10 class, year "&amp;$H125,"OK")))))</f>
      </c>
      <c r="BF125" s="45">
        <f>IF($AD125="","",IF(ROUND($AO125+$AP125+$AQ125-$AD125,2)=0,"OK","FAIL - out by "&amp;TEXT($AO125+$AP125+$AQ125-$AD125,"$0.00")))</f>
      </c>
    </row>
    <row r="126" spans="1:58" ht="18.75" customHeight="1" x14ac:dyDescent="0.25">
      <c r="A126" s="46" t="inlineStr">
        <is>
          <t xml:space="preserve">CANON-202508-000166</t>
        </is>
      </c>
      <c r="B126" s="46" t="inlineStr">
        <is>
          <t xml:space="preserve">Callum Chattopadhyay</t>
        </is>
      </c>
      <c r="C126" s="47">
        <v>45892</v>
      </c>
      <c r="D126" s="48" t="inlineStr">
        <is>
          <t xml:space="preserve">Bound - within authority</t>
        </is>
      </c>
      <c r="E126" s="48" t="inlineStr">
        <is>
          <t xml:space="preserve">New business</t>
        </is>
      </c>
      <c r="F126" s="46" t="inlineStr">
        <is>
          <t xml:space="preserve">B1234EXOTIC26</t>
        </is>
      </c>
      <c r="G126" s="33">
        <f>IF($A126="","",IF($C126="","",YEAR($C126)))</f>
      </c>
      <c r="H126" s="49">
        <v>1972</v>
      </c>
      <c r="I126" s="46" t="inlineStr">
        <is>
          <t xml:space="preserve">Ferrari</t>
        </is>
      </c>
      <c r="J126" s="46" t="inlineStr">
        <is>
          <t xml:space="preserve">296 GTB</t>
        </is>
      </c>
      <c r="K126" s="46" t="inlineStr">
        <is>
          <t xml:space="preserve">KES0TPNMEHXBHZ7V7</t>
        </is>
      </c>
      <c r="L126" s="48" t="inlineStr">
        <is>
          <t xml:space="preserve">03 - Supercar</t>
        </is>
      </c>
      <c r="M126" s="50">
        <v>960000</v>
      </c>
      <c r="N126" s="48" t="inlineStr">
        <is>
          <t xml:space="preserve">Personal</t>
        </is>
      </c>
      <c r="O126" s="46" t="inlineStr">
        <is>
          <t xml:space="preserve">Personal - regular use</t>
        </is>
      </c>
      <c r="P126" s="46" t="inlineStr">
        <is>
          <t xml:space="preserve">1,000 - 2,500</t>
        </is>
      </c>
      <c r="Q126" s="46" t="inlineStr">
        <is>
          <t xml:space="preserve">Nebraska</t>
        </is>
      </c>
      <c r="R126" s="46" t="inlineStr">
        <is>
          <t xml:space="preserve">68102</t>
        </is>
      </c>
      <c r="S126" s="48" t="inlineStr">
        <is>
          <t xml:space="preserve">Severe convective - hail alley (high)</t>
        </is>
      </c>
      <c r="T126" s="36">
        <f>IF($A126="","",IF($S126="","",IFERROR(INDEX('[1]natural catastrophe'!$D$6:$D$17,MATCH($S126,'[1]natural catastrophe'!$B$6:$B$17,0)),"?")))</f>
      </c>
      <c r="U126" s="46" t="inlineStr">
        <is>
          <t xml:space="preserve">$5,000</t>
        </is>
      </c>
      <c r="V126" s="48" t="inlineStr">
        <is>
          <t xml:space="preserve">Agreed Value</t>
        </is>
      </c>
      <c r="W126" s="46" t="inlineStr">
        <is>
          <t xml:space="preserve">$1,000</t>
        </is>
      </c>
      <c r="X126" s="48" t="inlineStr">
        <is>
          <t xml:space="preserve">$1,000,000 CSL</t>
        </is>
      </c>
      <c r="Y126" s="46"/>
      <c r="Z126" s="46"/>
      <c r="AA126" s="48" t="inlineStr">
        <is>
          <t xml:space="preserve">Surplus Lines</t>
        </is>
      </c>
      <c r="AB126" s="50">
        <v>22369.81</v>
      </c>
      <c r="AC126" s="51">
        <v>0</v>
      </c>
      <c r="AD126" s="38">
        <f>IF(ISNUMBER($AB126),$AB126*(1+N($AC126)),"")</f>
      </c>
      <c r="AE126" s="50">
        <v>350</v>
      </c>
      <c r="AF126" s="50">
        <v>0</v>
      </c>
      <c r="AG126" s="51"/>
      <c r="AH126" s="39">
        <f>IF(ISNUMBER($AD126),($AD126+$AE126+$AF126)*$AG126,"")</f>
      </c>
      <c r="AI126" s="50"/>
      <c r="AJ126" s="38">
        <f>IF(ISNUMBER($AD126),SUM($AD126:$AH126),"")</f>
      </c>
      <c r="AK126" s="40">
        <f>IF(AND(ISNUMBER($AB126),ISNUMBER($AD126)),IF($AB126&gt;0,$AD126/$AB126,""),"")</f>
      </c>
      <c r="AL126" s="48" t="inlineStr">
        <is>
          <t xml:space="preserve">At technical</t>
        </is>
      </c>
      <c r="AM126" s="41">
        <f>IF(ISNUMBER($AD126),Header!$I$3,"")</f>
      </c>
      <c r="AN126" s="39">
        <f>IF(ISNUMBER($AD126),$AO126+$AP126,"")</f>
      </c>
      <c r="AO126" s="39">
        <f>IF(ISNUMBER($AD126),ROUND($AD126*Header!$K$3,2),"")</f>
      </c>
      <c r="AP126" s="39">
        <f>IF(ISNUMBER($AD126),ROUND($AD126*Header!$M$3,2),"")</f>
      </c>
      <c r="AQ126" s="38">
        <f>IF(ISNUMBER($AD126),ROUND($AD126,2)-$AO126-$AP126,"")</f>
      </c>
      <c r="AR126" s="39">
        <f>IF(ISNUMBER($AD126),IF(Header!$D$34="","?",$AD126*Header!$D$34),"")</f>
      </c>
      <c r="AS126" s="39">
        <f>IF(ISNUMBER($AB126),IF(Header!$D$34="","?",$AB126*Header!$D$34),"")</f>
      </c>
      <c r="AT126" s="42">
        <f>IF(AND(ISNUMBER($AB126),$M126&gt;0),$AB126/$M126*100,"")</f>
      </c>
      <c r="AU126" s="42">
        <f>IF(AND(ISNUMBER($AD126),$M126&gt;0),$AD126/$M126*100,"")</f>
      </c>
      <c r="AV126" s="40">
        <f>IF(AND(ISNUMBER($AB126),ISNUMBER($AD126),ABS($AB126)&gt;0),$AD126/$AB126,"")</f>
      </c>
      <c r="AW126" s="39">
        <f>IF(ISNUMBER($AD126),MAX(0,(1-0.55-Header!$O$3)*Header!$Q$3*$AQ126),"")</f>
      </c>
      <c r="AX126" s="43">
        <f>IF($A126="","",IF(TRIM(IF($A126="","Missing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",""))="","PASS","FAIL: "&amp;TRIM(IF($A126="","Missing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f>
      </c>
      <c r="AY126" s="44">
        <f>IF($M126="","",IF(ISNUMBER($M126),IF($M126&gt;=Header!$C$18,"YES — refer","No"),""))</f>
      </c>
      <c r="AZ126" s="44">
        <f>IF($AD126="","",IF(ISNUMBER($AD126),IF($AD126&lt;Header!$C$20,"BELOW MIN PREMIUM","OK"),""))</f>
      </c>
      <c r="BA126" s="48" t="inlineStr">
        <is>
          <t xml:space="preserve">Yes</t>
        </is>
      </c>
      <c r="BB126" s="48" t="inlineStr">
        <is>
          <t xml:space="preserve">Yes</t>
        </is>
      </c>
      <c r="BC126" s="46" t="inlineStr">
        <is>
          <t xml:space="preserve">Synthetic demo data</t>
        </is>
      </c>
      <c r="BE126" s="45">
        <f>IF(OR($A126="",$L126="",$H126=""),"",IF(AND(LEFT($L126,2)="06",$H126&gt;1945),"FAIL - pre-war class, year "&amp;$H126,IF(AND(LEFT($L126,2)="07",OR($H126&lt;1946,$H126&gt;1972)),"FAIL - 1946-72 class, year "&amp;$H126,IF(AND(LEFT($L126,2)="08",OR($H126&lt;1973,$H126&gt;1999)),"FAIL - 1973-99 class, year "&amp;$H126,IF(AND(LEFT($L126,2)="09",OR($H126&lt;2000,$H126&gt;2010)),"FAIL - 2000-10 class, year "&amp;$H126,"OK")))))</f>
      </c>
      <c r="BF126" s="45">
        <f>IF($AD126="","",IF(ROUND($AO126+$AP126+$AQ126-$AD126,2)=0,"OK","FAIL - out by "&amp;TEXT($AO126+$AP126+$AQ126-$AD126,"$0.00")))</f>
      </c>
    </row>
    <row r="127" spans="1:58" ht="18.75" customHeight="1" x14ac:dyDescent="0.25">
      <c r="A127" s="30" t="inlineStr">
        <is>
          <t xml:space="preserve">CANON-202508-000167</t>
        </is>
      </c>
      <c r="B127" s="30" t="inlineStr">
        <is>
          <t xml:space="preserve">Leopold Kingsford</t>
        </is>
      </c>
      <c r="C127" s="31">
        <v>45884</v>
      </c>
      <c r="D127" s="32" t="inlineStr">
        <is>
          <t xml:space="preserve">Bound - within authority</t>
        </is>
      </c>
      <c r="E127" s="32" t="inlineStr">
        <is>
          <t xml:space="preserve">New business</t>
        </is>
      </c>
      <c r="F127" s="30" t="inlineStr">
        <is>
          <t xml:space="preserve">B1234EXOTIC26</t>
        </is>
      </c>
      <c r="G127" s="33">
        <f>IF($A127="","",IF($C127="","",YEAR($C127)))</f>
      </c>
      <c r="H127" s="34">
        <v>2011</v>
      </c>
      <c r="I127" s="30" t="inlineStr">
        <is>
          <t xml:space="preserve">Maserati</t>
        </is>
      </c>
      <c r="J127" s="30" t="inlineStr">
        <is>
          <t xml:space="preserve">GranTurismo</t>
        </is>
      </c>
      <c r="K127" s="30" t="inlineStr">
        <is>
          <t xml:space="preserve">CZCRSD9JCM6W1DWA3</t>
        </is>
      </c>
      <c r="L127" s="32" t="inlineStr">
        <is>
          <t xml:space="preserve">02 - Sports / GT</t>
        </is>
      </c>
      <c r="M127" s="35">
        <v>620000</v>
      </c>
      <c r="N127" s="32" t="inlineStr">
        <is>
          <t xml:space="preserve">Personal</t>
        </is>
      </c>
      <c r="O127" s="30" t="inlineStr">
        <is>
          <t xml:space="preserve">Personal - regular use</t>
        </is>
      </c>
      <c r="P127" s="30" t="inlineStr">
        <is>
          <t xml:space="preserve">2,500 - 5,000</t>
        </is>
      </c>
      <c r="Q127" s="30" t="inlineStr">
        <is>
          <t xml:space="preserve">Washington</t>
        </is>
      </c>
      <c r="R127" s="30" t="inlineStr">
        <is>
          <t xml:space="preserve">98101</t>
        </is>
      </c>
      <c r="S127" s="32" t="inlineStr">
        <is>
          <t xml:space="preserve">Earthquake - high (CA, Cascadia, New Madrid)</t>
        </is>
      </c>
      <c r="T127" s="36">
        <f>IF($A127="","",IF($S127="","",IFERROR(INDEX('[1]natural catastrophe'!$D$6:$D$17,MATCH($S127,'[1]natural catastrophe'!$B$6:$B$17,0)),"?")))</f>
      </c>
      <c r="U127" s="30" t="inlineStr">
        <is>
          <t xml:space="preserve">$5,000</t>
        </is>
      </c>
      <c r="V127" s="32" t="inlineStr">
        <is>
          <t xml:space="preserve">Agreed Value</t>
        </is>
      </c>
      <c r="W127" s="30" t="inlineStr">
        <is>
          <t xml:space="preserve">$1,000</t>
        </is>
      </c>
      <c r="X127" s="32" t="inlineStr">
        <is>
          <t xml:space="preserve">$1,000,000 CSL</t>
        </is>
      </c>
      <c r="Y127" s="30"/>
      <c r="Z127" s="30"/>
      <c r="AA127" s="32" t="inlineStr">
        <is>
          <t xml:space="preserve">Surplus Lines</t>
        </is>
      </c>
      <c r="AB127" s="35">
        <v>7299.62</v>
      </c>
      <c r="AC127" s="37">
        <v>0</v>
      </c>
      <c r="AD127" s="38">
        <f>IF(ISNUMBER($AB127),$AB127*(1+N($AC127)),"")</f>
      </c>
      <c r="AE127" s="35">
        <v>350</v>
      </c>
      <c r="AF127" s="35">
        <v>0</v>
      </c>
      <c r="AG127" s="37"/>
      <c r="AH127" s="39">
        <f>IF(ISNUMBER($AD127),($AD127+$AE127+$AF127)*$AG127,"")</f>
      </c>
      <c r="AI127" s="35"/>
      <c r="AJ127" s="38">
        <f>IF(ISNUMBER($AD127),SUM($AD127:$AH127),"")</f>
      </c>
      <c r="AK127" s="40">
        <f>IF(AND(ISNUMBER($AB127),ISNUMBER($AD127)),IF($AB127&gt;0,$AD127/$AB127,""),"")</f>
      </c>
      <c r="AL127" s="32" t="inlineStr">
        <is>
          <t xml:space="preserve">At technical</t>
        </is>
      </c>
      <c r="AM127" s="41">
        <f>IF(ISNUMBER($AD127),Header!$I$3,"")</f>
      </c>
      <c r="AN127" s="39">
        <f>IF(ISNUMBER($AD127),$AO127+$AP127,"")</f>
      </c>
      <c r="AO127" s="39">
        <f>IF(ISNUMBER($AD127),ROUND($AD127*Header!$K$3,2),"")</f>
      </c>
      <c r="AP127" s="39">
        <f>IF(ISNUMBER($AD127),ROUND($AD127*Header!$M$3,2),"")</f>
      </c>
      <c r="AQ127" s="38">
        <f>IF(ISNUMBER($AD127),ROUND($AD127,2)-$AO127-$AP127,"")</f>
      </c>
      <c r="AR127" s="39">
        <f>IF(ISNUMBER($AD127),IF(Header!$D$34="","?",$AD127*Header!$D$34),"")</f>
      </c>
      <c r="AS127" s="39">
        <f>IF(ISNUMBER($AB127),IF(Header!$D$34="","?",$AB127*Header!$D$34),"")</f>
      </c>
      <c r="AT127" s="42">
        <f>IF(AND(ISNUMBER($AB127),$M127&gt;0),$AB127/$M127*100,"")</f>
      </c>
      <c r="AU127" s="42">
        <f>IF(AND(ISNUMBER($AD127),$M127&gt;0),$AD127/$M127*100,"")</f>
      </c>
      <c r="AV127" s="40">
        <f>IF(AND(ISNUMBER($AB127),ISNUMBER($AD127),ABS($AB127)&gt;0),$AD127/$AB127,"")</f>
      </c>
      <c r="AW127" s="39">
        <f>IF(ISNUMBER($AD127),MAX(0,(1-0.55-Header!$O$3)*Header!$Q$3*$AQ127),"")</f>
      </c>
      <c r="AX127" s="43">
        <f>IF($A127="","",IF(TRIM(IF($A127="","Missing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",""))="","PASS","FAIL: "&amp;TRIM(IF($A127="","Missing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f>
      </c>
      <c r="AY127" s="44">
        <f>IF($M127="","",IF(ISNUMBER($M127),IF($M127&gt;=Header!$C$18,"YES — refer","No"),""))</f>
      </c>
      <c r="AZ127" s="44">
        <f>IF($AD127="","",IF(ISNUMBER($AD127),IF($AD127&lt;Header!$C$20,"BELOW MIN PREMIUM","OK"),""))</f>
      </c>
      <c r="BA127" s="32" t="inlineStr">
        <is>
          <t xml:space="preserve">Yes</t>
        </is>
      </c>
      <c r="BB127" s="32" t="inlineStr">
        <is>
          <t xml:space="preserve">Yes</t>
        </is>
      </c>
      <c r="BC127" s="30" t="inlineStr">
        <is>
          <t xml:space="preserve">Synthetic demo data</t>
        </is>
      </c>
      <c r="BE127" s="45">
        <f>IF(OR($A127="",$L127="",$H127=""),"",IF(AND(LEFT($L127,2)="06",$H127&gt;1945),"FAIL - pre-war class, year "&amp;$H127,IF(AND(LEFT($L127,2)="07",OR($H127&lt;1946,$H127&gt;1972)),"FAIL - 1946-72 class, year "&amp;$H127,IF(AND(LEFT($L127,2)="08",OR($H127&lt;1973,$H127&gt;1999)),"FAIL - 1973-99 class, year "&amp;$H127,IF(AND(LEFT($L127,2)="09",OR($H127&lt;2000,$H127&gt;2010)),"FAIL - 2000-10 class, year "&amp;$H127,"OK")))))</f>
      </c>
      <c r="BF127" s="45">
        <f>IF($AD127="","",IF(ROUND($AO127+$AP127+$AQ127-$AD127,2)=0,"OK","FAIL - out by "&amp;TEXT($AO127+$AP127+$AQ127-$AD127,"$0.00")))</f>
      </c>
    </row>
    <row r="128" spans="1:58" ht="18.75" customHeight="1" x14ac:dyDescent="0.25">
      <c r="A128" s="46" t="inlineStr">
        <is>
          <t xml:space="preserve">CANON-202508-000168</t>
        </is>
      </c>
      <c r="B128" s="46" t="inlineStr">
        <is>
          <t xml:space="preserve">Marisol Bellandi</t>
        </is>
      </c>
      <c r="C128" s="47">
        <v>45884</v>
      </c>
      <c r="D128" s="48" t="inlineStr">
        <is>
          <t xml:space="preserve">Bound - within authority</t>
        </is>
      </c>
      <c r="E128" s="48" t="inlineStr">
        <is>
          <t xml:space="preserve">New business</t>
        </is>
      </c>
      <c r="F128" s="46" t="inlineStr">
        <is>
          <t xml:space="preserve">B1234EXOTIC26</t>
        </is>
      </c>
      <c r="G128" s="33">
        <f>IF($A128="","",IF($C128="","",YEAR($C128)))</f>
      </c>
      <c r="H128" s="49">
        <v>2004</v>
      </c>
      <c r="I128" s="46" t="inlineStr">
        <is>
          <t xml:space="preserve">Jaguar</t>
        </is>
      </c>
      <c r="J128" s="46" t="inlineStr">
        <is>
          <t xml:space="preserve">E-Type Series 1</t>
        </is>
      </c>
      <c r="K128" s="46" t="inlineStr">
        <is>
          <t xml:space="preserve">UW89NRLM6KM5NPKG4</t>
        </is>
      </c>
      <c r="L128" s="48" t="inlineStr">
        <is>
          <t xml:space="preserve">09 - Youngtimer / Collectible (2000-2010)</t>
        </is>
      </c>
      <c r="M128" s="50">
        <v>1115000</v>
      </c>
      <c r="N128" s="48" t="inlineStr">
        <is>
          <t xml:space="preserve">Personal</t>
        </is>
      </c>
      <c r="O128" s="46" t="inlineStr">
        <is>
          <t xml:space="preserve">Personal - regular use</t>
        </is>
      </c>
      <c r="P128" s="46" t="inlineStr">
        <is>
          <t xml:space="preserve">Under 1,000</t>
        </is>
      </c>
      <c r="Q128" s="46" t="inlineStr">
        <is>
          <t xml:space="preserve">Oklahoma</t>
        </is>
      </c>
      <c r="R128" s="46" t="inlineStr">
        <is>
          <t xml:space="preserve">73102</t>
        </is>
      </c>
      <c r="S128" s="48" t="inlineStr">
        <is>
          <t xml:space="preserve">Severe convective - hail alley (high)</t>
        </is>
      </c>
      <c r="T128" s="36">
        <f>IF($A128="","",IF($S128="","",IFERROR(INDEX('[1]natural catastrophe'!$D$6:$D$17,MATCH($S128,'[1]natural catastrophe'!$B$6:$B$17,0)),"?")))</f>
      </c>
      <c r="U128" s="46" t="inlineStr">
        <is>
          <t xml:space="preserve">$5,000</t>
        </is>
      </c>
      <c r="V128" s="48" t="inlineStr">
        <is>
          <t xml:space="preserve">Agreed Value</t>
        </is>
      </c>
      <c r="W128" s="46" t="inlineStr">
        <is>
          <t xml:space="preserve">$1,000</t>
        </is>
      </c>
      <c r="X128" s="48" t="inlineStr">
        <is>
          <t xml:space="preserve">$1,000,000 CSL</t>
        </is>
      </c>
      <c r="Y128" s="46"/>
      <c r="Z128" s="46"/>
      <c r="AA128" s="48" t="inlineStr">
        <is>
          <t xml:space="preserve">Surplus Lines</t>
        </is>
      </c>
      <c r="AB128" s="50">
        <v>10072.87</v>
      </c>
      <c r="AC128" s="51">
        <v>0</v>
      </c>
      <c r="AD128" s="38">
        <f>IF(ISNUMBER($AB128),$AB128*(1+N($AC128)),"")</f>
      </c>
      <c r="AE128" s="50">
        <v>350</v>
      </c>
      <c r="AF128" s="50">
        <v>250</v>
      </c>
      <c r="AG128" s="51"/>
      <c r="AH128" s="39">
        <f>IF(ISNUMBER($AD128),($AD128+$AE128+$AF128)*$AG128,"")</f>
      </c>
      <c r="AI128" s="50"/>
      <c r="AJ128" s="38">
        <f>IF(ISNUMBER($AD128),SUM($AD128:$AH128),"")</f>
      </c>
      <c r="AK128" s="40">
        <f>IF(AND(ISNUMBER($AB128),ISNUMBER($AD128)),IF($AB128&gt;0,$AD128/$AB128,""),"")</f>
      </c>
      <c r="AL128" s="48" t="inlineStr">
        <is>
          <t xml:space="preserve">At technical</t>
        </is>
      </c>
      <c r="AM128" s="41">
        <f>IF(ISNUMBER($AD128),Header!$I$3,"")</f>
      </c>
      <c r="AN128" s="39">
        <f>IF(ISNUMBER($AD128),$AO128+$AP128,"")</f>
      </c>
      <c r="AO128" s="39">
        <f>IF(ISNUMBER($AD128),ROUND($AD128*Header!$K$3,2),"")</f>
      </c>
      <c r="AP128" s="39">
        <f>IF(ISNUMBER($AD128),ROUND($AD128*Header!$M$3,2),"")</f>
      </c>
      <c r="AQ128" s="38">
        <f>IF(ISNUMBER($AD128),ROUND($AD128,2)-$AO128-$AP128,"")</f>
      </c>
      <c r="AR128" s="39">
        <f>IF(ISNUMBER($AD128),IF(Header!$D$34="","?",$AD128*Header!$D$34),"")</f>
      </c>
      <c r="AS128" s="39">
        <f>IF(ISNUMBER($AB128),IF(Header!$D$34="","?",$AB128*Header!$D$34),"")</f>
      </c>
      <c r="AT128" s="42">
        <f>IF(AND(ISNUMBER($AB128),$M128&gt;0),$AB128/$M128*100,"")</f>
      </c>
      <c r="AU128" s="42">
        <f>IF(AND(ISNUMBER($AD128),$M128&gt;0),$AD128/$M128*100,"")</f>
      </c>
      <c r="AV128" s="40">
        <f>IF(AND(ISNUMBER($AB128),ISNUMBER($AD128),ABS($AB128)&gt;0),$AD128/$AB128,"")</f>
      </c>
      <c r="AW128" s="39">
        <f>IF(ISNUMBER($AD128),MAX(0,(1-0.55-Header!$O$3)*Header!$Q$3*$AQ128),"")</f>
      </c>
      <c r="AX128" s="43">
        <f>IF($A128="","",IF(TRIM(IF($A128="","Missing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",""))="","PASS","FAIL: "&amp;TRIM(IF($A128="","Missing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f>
      </c>
      <c r="AY128" s="44">
        <f>IF($M128="","",IF(ISNUMBER($M128),IF($M128&gt;=Header!$C$18,"YES — refer","No"),""))</f>
      </c>
      <c r="AZ128" s="44">
        <f>IF($AD128="","",IF(ISNUMBER($AD128),IF($AD128&lt;Header!$C$20,"BELOW MIN PREMIUM","OK"),""))</f>
      </c>
      <c r="BA128" s="48" t="inlineStr">
        <is>
          <t xml:space="preserve">Yes</t>
        </is>
      </c>
      <c r="BB128" s="48" t="inlineStr">
        <is>
          <t xml:space="preserve">Yes</t>
        </is>
      </c>
      <c r="BC128" s="46" t="inlineStr">
        <is>
          <t xml:space="preserve">Synthetic demo data</t>
        </is>
      </c>
      <c r="BE128" s="45">
        <f>IF(OR($A128="",$L128="",$H128=""),"",IF(AND(LEFT($L128,2)="06",$H128&gt;1945),"FAIL - pre-war class, year "&amp;$H128,IF(AND(LEFT($L128,2)="07",OR($H128&lt;1946,$H128&gt;1972)),"FAIL - 1946-72 class, year "&amp;$H128,IF(AND(LEFT($L128,2)="08",OR($H128&lt;1973,$H128&gt;1999)),"FAIL - 1973-99 class, year "&amp;$H128,IF(AND(LEFT($L128,2)="09",OR($H128&lt;2000,$H128&gt;2010)),"FAIL - 2000-10 class, year "&amp;$H128,"OK")))))</f>
      </c>
      <c r="BF128" s="45">
        <f>IF($AD128="","",IF(ROUND($AO128+$AP128+$AQ128-$AD128,2)=0,"OK","FAIL - out by "&amp;TEXT($AO128+$AP128+$AQ128-$AD128,"$0.00")))</f>
      </c>
    </row>
    <row r="129" spans="1:58" ht="18.75" customHeight="1" x14ac:dyDescent="0.25">
      <c r="A129" s="30" t="inlineStr">
        <is>
          <t xml:space="preserve">CANON-202508-000169</t>
        </is>
      </c>
      <c r="B129" s="30" t="inlineStr">
        <is>
          <t xml:space="preserve">Aurelio Fairweather</t>
        </is>
      </c>
      <c r="C129" s="31">
        <v>45882</v>
      </c>
      <c r="D129" s="32" t="inlineStr">
        <is>
          <t xml:space="preserve">Bound - within authority</t>
        </is>
      </c>
      <c r="E129" s="32" t="inlineStr">
        <is>
          <t xml:space="preserve">New business</t>
        </is>
      </c>
      <c r="F129" s="30" t="inlineStr">
        <is>
          <t xml:space="preserve">B1234EXOTIC26</t>
        </is>
      </c>
      <c r="G129" s="33">
        <f>IF($A129="","",IF($C129="","",YEAR($C129)))</f>
      </c>
      <c r="H129" s="34">
        <v>1962</v>
      </c>
      <c r="I129" s="30" t="inlineStr">
        <is>
          <t xml:space="preserve">Bentley</t>
        </is>
      </c>
      <c r="J129" s="30" t="inlineStr">
        <is>
          <t xml:space="preserve">Continental GT</t>
        </is>
      </c>
      <c r="K129" s="30" t="inlineStr">
        <is>
          <t xml:space="preserve">F05A9967VZJUM3NMU</t>
        </is>
      </c>
      <c r="L129" s="32" t="inlineStr">
        <is>
          <t xml:space="preserve">02 - Sports / GT</t>
        </is>
      </c>
      <c r="M129" s="35">
        <v>1080000</v>
      </c>
      <c r="N129" s="32" t="inlineStr">
        <is>
          <t xml:space="preserve">Personal</t>
        </is>
      </c>
      <c r="O129" s="30" t="inlineStr">
        <is>
          <t xml:space="preserve">Personal - regular use</t>
        </is>
      </c>
      <c r="P129" s="30" t="inlineStr">
        <is>
          <t xml:space="preserve">1,000 - 2,500</t>
        </is>
      </c>
      <c r="Q129" s="30" t="inlineStr">
        <is>
          <t xml:space="preserve">North Dakota</t>
        </is>
      </c>
      <c r="R129" s="30" t="inlineStr">
        <is>
          <t xml:space="preserve">58501</t>
        </is>
      </c>
      <c r="S129" s="32" t="inlineStr">
        <is>
          <t xml:space="preserve">Severe convective - hail alley (high)</t>
        </is>
      </c>
      <c r="T129" s="36">
        <f>IF($A129="","",IF($S129="","",IFERROR(INDEX('[1]natural catastrophe'!$D$6:$D$17,MATCH($S129,'[1]natural catastrophe'!$B$6:$B$17,0)),"?")))</f>
      </c>
      <c r="U129" s="30" t="inlineStr">
        <is>
          <t xml:space="preserve">$5,000</t>
        </is>
      </c>
      <c r="V129" s="32" t="inlineStr">
        <is>
          <t xml:space="preserve">Agreed Value</t>
        </is>
      </c>
      <c r="W129" s="30" t="inlineStr">
        <is>
          <t xml:space="preserve">$1,000</t>
        </is>
      </c>
      <c r="X129" s="32" t="inlineStr">
        <is>
          <t xml:space="preserve">$1,000,000 CSL</t>
        </is>
      </c>
      <c r="Y129" s="30"/>
      <c r="Z129" s="30"/>
      <c r="AA129" s="32" t="inlineStr">
        <is>
          <t xml:space="preserve">Surplus Lines</t>
        </is>
      </c>
      <c r="AB129" s="35">
        <v>11431.7</v>
      </c>
      <c r="AC129" s="37">
        <v>0</v>
      </c>
      <c r="AD129" s="38">
        <f>IF(ISNUMBER($AB129),$AB129*(1+N($AC129)),"")</f>
      </c>
      <c r="AE129" s="35">
        <v>350</v>
      </c>
      <c r="AF129" s="35">
        <v>250</v>
      </c>
      <c r="AG129" s="37"/>
      <c r="AH129" s="39">
        <f>IF(ISNUMBER($AD129),($AD129+$AE129+$AF129)*$AG129,"")</f>
      </c>
      <c r="AI129" s="35"/>
      <c r="AJ129" s="38">
        <f>IF(ISNUMBER($AD129),SUM($AD129:$AH129),"")</f>
      </c>
      <c r="AK129" s="40">
        <f>IF(AND(ISNUMBER($AB129),ISNUMBER($AD129)),IF($AB129&gt;0,$AD129/$AB129,""),"")</f>
      </c>
      <c r="AL129" s="32" t="inlineStr">
        <is>
          <t xml:space="preserve">At technical</t>
        </is>
      </c>
      <c r="AM129" s="41">
        <f>IF(ISNUMBER($AD129),Header!$I$3,"")</f>
      </c>
      <c r="AN129" s="39">
        <f>IF(ISNUMBER($AD129),$AO129+$AP129,"")</f>
      </c>
      <c r="AO129" s="39">
        <f>IF(ISNUMBER($AD129),ROUND($AD129*Header!$K$3,2),"")</f>
      </c>
      <c r="AP129" s="39">
        <f>IF(ISNUMBER($AD129),ROUND($AD129*Header!$M$3,2),"")</f>
      </c>
      <c r="AQ129" s="38">
        <f>IF(ISNUMBER($AD129),ROUND($AD129,2)-$AO129-$AP129,"")</f>
      </c>
      <c r="AR129" s="39">
        <f>IF(ISNUMBER($AD129),IF(Header!$D$34="","?",$AD129*Header!$D$34),"")</f>
      </c>
      <c r="AS129" s="39">
        <f>IF(ISNUMBER($AB129),IF(Header!$D$34="","?",$AB129*Header!$D$34),"")</f>
      </c>
      <c r="AT129" s="42">
        <f>IF(AND(ISNUMBER($AB129),$M129&gt;0),$AB129/$M129*100,"")</f>
      </c>
      <c r="AU129" s="42">
        <f>IF(AND(ISNUMBER($AD129),$M129&gt;0),$AD129/$M129*100,"")</f>
      </c>
      <c r="AV129" s="40">
        <f>IF(AND(ISNUMBER($AB129),ISNUMBER($AD129),ABS($AB129)&gt;0),$AD129/$AB129,"")</f>
      </c>
      <c r="AW129" s="39">
        <f>IF(ISNUMBER($AD129),MAX(0,(1-0.55-Header!$O$3)*Header!$Q$3*$AQ129),"")</f>
      </c>
      <c r="AX129" s="43">
        <f>IF($A129="","",IF(TRIM(IF($A129="","Missing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",""))="","PASS","FAIL: "&amp;TRIM(IF($A129="","Missing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f>
      </c>
      <c r="AY129" s="44">
        <f>IF($M129="","",IF(ISNUMBER($M129),IF($M129&gt;=Header!$C$18,"YES — refer","No"),""))</f>
      </c>
      <c r="AZ129" s="44">
        <f>IF($AD129="","",IF(ISNUMBER($AD129),IF($AD129&lt;Header!$C$20,"BELOW MIN PREMIUM","OK"),""))</f>
      </c>
      <c r="BA129" s="32" t="inlineStr">
        <is>
          <t xml:space="preserve">Yes</t>
        </is>
      </c>
      <c r="BB129" s="32" t="inlineStr">
        <is>
          <t xml:space="preserve">Yes</t>
        </is>
      </c>
      <c r="BC129" s="30" t="inlineStr">
        <is>
          <t xml:space="preserve">Synthetic demo data</t>
        </is>
      </c>
      <c r="BE129" s="45">
        <f>IF(OR($A129="",$L129="",$H129=""),"",IF(AND(LEFT($L129,2)="06",$H129&gt;1945),"FAIL - pre-war class, year "&amp;$H129,IF(AND(LEFT($L129,2)="07",OR($H129&lt;1946,$H129&gt;1972)),"FAIL - 1946-72 class, year "&amp;$H129,IF(AND(LEFT($L129,2)="08",OR($H129&lt;1973,$H129&gt;1999)),"FAIL - 1973-99 class, year "&amp;$H129,IF(AND(LEFT($L129,2)="09",OR($H129&lt;2000,$H129&gt;2010)),"FAIL - 2000-10 class, year "&amp;$H129,"OK")))))</f>
      </c>
      <c r="BF129" s="45">
        <f>IF($AD129="","",IF(ROUND($AO129+$AP129+$AQ129-$AD129,2)=0,"OK","FAIL - out by "&amp;TEXT($AO129+$AP129+$AQ129-$AD129,"$0.00")))</f>
      </c>
    </row>
    <row r="130" spans="1:58" ht="18.75" customHeight="1" x14ac:dyDescent="0.25">
      <c r="A130" s="46" t="inlineStr">
        <is>
          <t xml:space="preserve">CANON-202508-000170</t>
        </is>
      </c>
      <c r="B130" s="46" t="inlineStr">
        <is>
          <t xml:space="preserve">Marisol Blackwood</t>
        </is>
      </c>
      <c r="C130" s="47">
        <v>45882</v>
      </c>
      <c r="D130" s="48" t="inlineStr">
        <is>
          <t xml:space="preserve">Bound - within authority</t>
        </is>
      </c>
      <c r="E130" s="48" t="inlineStr">
        <is>
          <t xml:space="preserve">New business</t>
        </is>
      </c>
      <c r="F130" s="46" t="inlineStr">
        <is>
          <t xml:space="preserve">B1234EXOTIC26</t>
        </is>
      </c>
      <c r="G130" s="33">
        <f>IF($A130="","",IF($C130="","",YEAR($C130)))</f>
      </c>
      <c r="H130" s="49">
        <v>2004</v>
      </c>
      <c r="I130" s="46" t="inlineStr">
        <is>
          <t xml:space="preserve">Porsche</t>
        </is>
      </c>
      <c r="J130" s="46" t="inlineStr">
        <is>
          <t xml:space="preserve">911 Turbo S</t>
        </is>
      </c>
      <c r="K130" s="46" t="inlineStr">
        <is>
          <t xml:space="preserve">LMZMP2LAPHZ52JKTS</t>
        </is>
      </c>
      <c r="L130" s="48" t="inlineStr">
        <is>
          <t xml:space="preserve">02 - Sports / GT</t>
        </is>
      </c>
      <c r="M130" s="50">
        <v>1205000</v>
      </c>
      <c r="N130" s="48" t="inlineStr">
        <is>
          <t xml:space="preserve">Personal</t>
        </is>
      </c>
      <c r="O130" s="46" t="inlineStr">
        <is>
          <t xml:space="preserve">Personal - regular use</t>
        </is>
      </c>
      <c r="P130" s="46" t="inlineStr">
        <is>
          <t xml:space="preserve">1,000 - 2,500</t>
        </is>
      </c>
      <c r="Q130" s="46" t="inlineStr">
        <is>
          <t xml:space="preserve">South Carolina</t>
        </is>
      </c>
      <c r="R130" s="46" t="inlineStr">
        <is>
          <t xml:space="preserve">29401</t>
        </is>
      </c>
      <c r="S130" s="48" t="inlineStr">
        <is>
          <t xml:space="preserve">Tier 2 - Coastal wind (1-25 miles)</t>
        </is>
      </c>
      <c r="T130" s="36">
        <f>IF($A130="","",IF($S130="","",IFERROR(INDEX('[1]natural catastrophe'!$D$6:$D$17,MATCH($S130,'[1]natural catastrophe'!$B$6:$B$17,0)),"?")))</f>
      </c>
      <c r="U130" s="46" t="inlineStr">
        <is>
          <t xml:space="preserve">2% of agreed value, minimum $10,000</t>
        </is>
      </c>
      <c r="V130" s="48" t="inlineStr">
        <is>
          <t xml:space="preserve">Agreed Value</t>
        </is>
      </c>
      <c r="W130" s="46" t="inlineStr">
        <is>
          <t xml:space="preserve">$1,000</t>
        </is>
      </c>
      <c r="X130" s="48" t="inlineStr">
        <is>
          <t xml:space="preserve">$1,000,000 CSL</t>
        </is>
      </c>
      <c r="Y130" s="46"/>
      <c r="Z130" s="46"/>
      <c r="AA130" s="48" t="inlineStr">
        <is>
          <t xml:space="preserve">Surplus Lines</t>
        </is>
      </c>
      <c r="AB130" s="50">
        <v>15505.85</v>
      </c>
      <c r="AC130" s="51">
        <v>0</v>
      </c>
      <c r="AD130" s="38">
        <f>IF(ISNUMBER($AB130),$AB130*(1+N($AC130)),"")</f>
      </c>
      <c r="AE130" s="50">
        <v>350</v>
      </c>
      <c r="AF130" s="50">
        <v>250</v>
      </c>
      <c r="AG130" s="51"/>
      <c r="AH130" s="39">
        <f>IF(ISNUMBER($AD130),($AD130+$AE130+$AF130)*$AG130,"")</f>
      </c>
      <c r="AI130" s="50"/>
      <c r="AJ130" s="38">
        <f>IF(ISNUMBER($AD130),SUM($AD130:$AH130),"")</f>
      </c>
      <c r="AK130" s="40">
        <f>IF(AND(ISNUMBER($AB130),ISNUMBER($AD130)),IF($AB130&gt;0,$AD130/$AB130,""),"")</f>
      </c>
      <c r="AL130" s="48" t="inlineStr">
        <is>
          <t xml:space="preserve">At technical</t>
        </is>
      </c>
      <c r="AM130" s="41">
        <f>IF(ISNUMBER($AD130),Header!$I$3,"")</f>
      </c>
      <c r="AN130" s="39">
        <f>IF(ISNUMBER($AD130),$AO130+$AP130,"")</f>
      </c>
      <c r="AO130" s="39">
        <f>IF(ISNUMBER($AD130),ROUND($AD130*Header!$K$3,2),"")</f>
      </c>
      <c r="AP130" s="39">
        <f>IF(ISNUMBER($AD130),ROUND($AD130*Header!$M$3,2),"")</f>
      </c>
      <c r="AQ130" s="38">
        <f>IF(ISNUMBER($AD130),ROUND($AD130,2)-$AO130-$AP130,"")</f>
      </c>
      <c r="AR130" s="39">
        <f>IF(ISNUMBER($AD130),IF(Header!$D$34="","?",$AD130*Header!$D$34),"")</f>
      </c>
      <c r="AS130" s="39">
        <f>IF(ISNUMBER($AB130),IF(Header!$D$34="","?",$AB130*Header!$D$34),"")</f>
      </c>
      <c r="AT130" s="42">
        <f>IF(AND(ISNUMBER($AB130),$M130&gt;0),$AB130/$M130*100,"")</f>
      </c>
      <c r="AU130" s="42">
        <f>IF(AND(ISNUMBER($AD130),$M130&gt;0),$AD130/$M130*100,"")</f>
      </c>
      <c r="AV130" s="40">
        <f>IF(AND(ISNUMBER($AB130),ISNUMBER($AD130),ABS($AB130)&gt;0),$AD130/$AB130,"")</f>
      </c>
      <c r="AW130" s="39">
        <f>IF(ISNUMBER($AD130),MAX(0,(1-0.55-Header!$O$3)*Header!$Q$3*$AQ130),"")</f>
      </c>
      <c r="AX130" s="43">
        <f>IF($A130="","",IF(TRIM(IF($A130="","Missing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",""))="","PASS","FAIL: "&amp;TRIM(IF($A130="","Missing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f>
      </c>
      <c r="AY130" s="44">
        <f>IF($M130="","",IF(ISNUMBER($M130),IF($M130&gt;=Header!$C$18,"YES — refer","No"),""))</f>
      </c>
      <c r="AZ130" s="44">
        <f>IF($AD130="","",IF(ISNUMBER($AD130),IF($AD130&lt;Header!$C$20,"BELOW MIN PREMIUM","OK"),""))</f>
      </c>
      <c r="BA130" s="48" t="inlineStr">
        <is>
          <t xml:space="preserve">Yes</t>
        </is>
      </c>
      <c r="BB130" s="48" t="inlineStr">
        <is>
          <t xml:space="preserve">Yes</t>
        </is>
      </c>
      <c r="BC130" s="46" t="inlineStr">
        <is>
          <t xml:space="preserve">Synthetic demo data</t>
        </is>
      </c>
      <c r="BE130" s="45">
        <f>IF(OR($A130="",$L130="",$H130=""),"",IF(AND(LEFT($L130,2)="06",$H130&gt;1945),"FAIL - pre-war class, year "&amp;$H130,IF(AND(LEFT($L130,2)="07",OR($H130&lt;1946,$H130&gt;1972)),"FAIL - 1946-72 class, year "&amp;$H130,IF(AND(LEFT($L130,2)="08",OR($H130&lt;1973,$H130&gt;1999)),"FAIL - 1973-99 class, year "&amp;$H130,IF(AND(LEFT($L130,2)="09",OR($H130&lt;2000,$H130&gt;2010)),"FAIL - 2000-10 class, year "&amp;$H130,"OK")))))</f>
      </c>
      <c r="BF130" s="45">
        <f>IF($AD130="","",IF(ROUND($AO130+$AP130+$AQ130-$AD130,2)=0,"OK","FAIL - out by "&amp;TEXT($AO130+$AP130+$AQ130-$AD130,"$0.00")))</f>
      </c>
    </row>
    <row r="131" spans="1:58" ht="18.75" customHeight="1" x14ac:dyDescent="0.25">
      <c r="A131" s="30" t="inlineStr">
        <is>
          <t xml:space="preserve">CANON-202508-000171</t>
        </is>
      </c>
      <c r="B131" s="30" t="inlineStr">
        <is>
          <t xml:space="preserve">Cassius Farkas</t>
        </is>
      </c>
      <c r="C131" s="31">
        <v>45882</v>
      </c>
      <c r="D131" s="32" t="inlineStr">
        <is>
          <t xml:space="preserve">Bound - within authority</t>
        </is>
      </c>
      <c r="E131" s="32" t="inlineStr">
        <is>
          <t xml:space="preserve">New business</t>
        </is>
      </c>
      <c r="F131" s="30" t="inlineStr">
        <is>
          <t xml:space="preserve">B1234EXOTIC26</t>
        </is>
      </c>
      <c r="G131" s="33">
        <f>IF($A131="","",IF($C131="","",YEAR($C131)))</f>
      </c>
      <c r="H131" s="34">
        <v>2005</v>
      </c>
      <c r="I131" s="30" t="inlineStr">
        <is>
          <t xml:space="preserve">Mercedes-Benz</t>
        </is>
      </c>
      <c r="J131" s="30" t="inlineStr">
        <is>
          <t xml:space="preserve">AMG GT</t>
        </is>
      </c>
      <c r="K131" s="30" t="inlineStr">
        <is>
          <t xml:space="preserve">CN3X9R6CFA83WF1V3</t>
        </is>
      </c>
      <c r="L131" s="32" t="inlineStr">
        <is>
          <t xml:space="preserve">02 - Sports / GT</t>
        </is>
      </c>
      <c r="M131" s="35">
        <v>1205000</v>
      </c>
      <c r="N131" s="32" t="inlineStr">
        <is>
          <t xml:space="preserve">Personal</t>
        </is>
      </c>
      <c r="O131" s="30" t="inlineStr">
        <is>
          <t xml:space="preserve">Personal - regular use</t>
        </is>
      </c>
      <c r="P131" s="30" t="inlineStr">
        <is>
          <t xml:space="preserve">Under 1,000</t>
        </is>
      </c>
      <c r="Q131" s="30" t="inlineStr">
        <is>
          <t xml:space="preserve">North Dakota</t>
        </is>
      </c>
      <c r="R131" s="30" t="inlineStr">
        <is>
          <t xml:space="preserve">58501</t>
        </is>
      </c>
      <c r="S131" s="32" t="inlineStr">
        <is>
          <t xml:space="preserve">Severe convective - hail alley (high)</t>
        </is>
      </c>
      <c r="T131" s="36">
        <f>IF($A131="","",IF($S131="","",IFERROR(INDEX('[1]natural catastrophe'!$D$6:$D$17,MATCH($S131,'[1]natural catastrophe'!$B$6:$B$17,0)),"?")))</f>
      </c>
      <c r="U131" s="30" t="inlineStr">
        <is>
          <t xml:space="preserve">$5,000</t>
        </is>
      </c>
      <c r="V131" s="32" t="inlineStr">
        <is>
          <t xml:space="preserve">Agreed Value</t>
        </is>
      </c>
      <c r="W131" s="30" t="inlineStr">
        <is>
          <t xml:space="preserve">$1,000</t>
        </is>
      </c>
      <c r="X131" s="32" t="inlineStr">
        <is>
          <t xml:space="preserve">$1,000,000 CSL</t>
        </is>
      </c>
      <c r="Y131" s="30"/>
      <c r="Z131" s="30"/>
      <c r="AA131" s="32" t="inlineStr">
        <is>
          <t xml:space="preserve">Surplus Lines</t>
        </is>
      </c>
      <c r="AB131" s="35">
        <v>12754.81</v>
      </c>
      <c r="AC131" s="37">
        <v>0</v>
      </c>
      <c r="AD131" s="38">
        <f>IF(ISNUMBER($AB131),$AB131*(1+N($AC131)),"")</f>
      </c>
      <c r="AE131" s="35">
        <v>350</v>
      </c>
      <c r="AF131" s="35">
        <v>250</v>
      </c>
      <c r="AG131" s="37"/>
      <c r="AH131" s="39">
        <f>IF(ISNUMBER($AD131),($AD131+$AE131+$AF131)*$AG131,"")</f>
      </c>
      <c r="AI131" s="35"/>
      <c r="AJ131" s="38">
        <f>IF(ISNUMBER($AD131),SUM($AD131:$AH131),"")</f>
      </c>
      <c r="AK131" s="40">
        <f>IF(AND(ISNUMBER($AB131),ISNUMBER($AD131)),IF($AB131&gt;0,$AD131/$AB131,""),"")</f>
      </c>
      <c r="AL131" s="32" t="inlineStr">
        <is>
          <t xml:space="preserve">At technical</t>
        </is>
      </c>
      <c r="AM131" s="41">
        <f>IF(ISNUMBER($AD131),Header!$I$3,"")</f>
      </c>
      <c r="AN131" s="39">
        <f>IF(ISNUMBER($AD131),$AO131+$AP131,"")</f>
      </c>
      <c r="AO131" s="39">
        <f>IF(ISNUMBER($AD131),ROUND($AD131*Header!$K$3,2),"")</f>
      </c>
      <c r="AP131" s="39">
        <f>IF(ISNUMBER($AD131),ROUND($AD131*Header!$M$3,2),"")</f>
      </c>
      <c r="AQ131" s="38">
        <f>IF(ISNUMBER($AD131),ROUND($AD131,2)-$AO131-$AP131,"")</f>
      </c>
      <c r="AR131" s="39">
        <f>IF(ISNUMBER($AD131),IF(Header!$D$34="","?",$AD131*Header!$D$34),"")</f>
      </c>
      <c r="AS131" s="39">
        <f>IF(ISNUMBER($AB131),IF(Header!$D$34="","?",$AB131*Header!$D$34),"")</f>
      </c>
      <c r="AT131" s="42">
        <f>IF(AND(ISNUMBER($AB131),$M131&gt;0),$AB131/$M131*100,"")</f>
      </c>
      <c r="AU131" s="42">
        <f>IF(AND(ISNUMBER($AD131),$M131&gt;0),$AD131/$M131*100,"")</f>
      </c>
      <c r="AV131" s="40">
        <f>IF(AND(ISNUMBER($AB131),ISNUMBER($AD131),ABS($AB131)&gt;0),$AD131/$AB131,"")</f>
      </c>
      <c r="AW131" s="39">
        <f>IF(ISNUMBER($AD131),MAX(0,(1-0.55-Header!$O$3)*Header!$Q$3*$AQ131),"")</f>
      </c>
      <c r="AX131" s="43">
        <f>IF($A131="","",IF(TRIM(IF($A131="","Missing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",""))="","PASS","FAIL: "&amp;TRIM(IF($A131="","Missing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f>
      </c>
      <c r="AY131" s="44">
        <f>IF($M131="","",IF(ISNUMBER($M131),IF($M131&gt;=Header!$C$18,"YES — refer","No"),""))</f>
      </c>
      <c r="AZ131" s="44">
        <f>IF($AD131="","",IF(ISNUMBER($AD131),IF($AD131&lt;Header!$C$20,"BELOW MIN PREMIUM","OK"),""))</f>
      </c>
      <c r="BA131" s="32" t="inlineStr">
        <is>
          <t xml:space="preserve">Yes</t>
        </is>
      </c>
      <c r="BB131" s="32" t="inlineStr">
        <is>
          <t xml:space="preserve">Yes</t>
        </is>
      </c>
      <c r="BC131" s="30" t="inlineStr">
        <is>
          <t xml:space="preserve">Synthetic demo data</t>
        </is>
      </c>
      <c r="BE131" s="45">
        <f>IF(OR($A131="",$L131="",$H131=""),"",IF(AND(LEFT($L131,2)="06",$H131&gt;1945),"FAIL - pre-war class, year "&amp;$H131,IF(AND(LEFT($L131,2)="07",OR($H131&lt;1946,$H131&gt;1972)),"FAIL - 1946-72 class, year "&amp;$H131,IF(AND(LEFT($L131,2)="08",OR($H131&lt;1973,$H131&gt;1999)),"FAIL - 1973-99 class, year "&amp;$H131,IF(AND(LEFT($L131,2)="09",OR($H131&lt;2000,$H131&gt;2010)),"FAIL - 2000-10 class, year "&amp;$H131,"OK")))))</f>
      </c>
      <c r="BF131" s="45">
        <f>IF($AD131="","",IF(ROUND($AO131+$AP131+$AQ131-$AD131,2)=0,"OK","FAIL - out by "&amp;TEXT($AO131+$AP131+$AQ131-$AD131,"$0.00")))</f>
      </c>
    </row>
    <row r="132" spans="1:58" ht="18.75" customHeight="1" x14ac:dyDescent="0.25">
      <c r="A132" s="46" t="inlineStr">
        <is>
          <t xml:space="preserve">CANON-202508-000172</t>
        </is>
      </c>
      <c r="B132" s="46" t="inlineStr">
        <is>
          <t xml:space="preserve">Sunniva Whitlock</t>
        </is>
      </c>
      <c r="C132" s="47">
        <v>45889</v>
      </c>
      <c r="D132" s="48" t="inlineStr">
        <is>
          <t xml:space="preserve">Bound - within authority</t>
        </is>
      </c>
      <c r="E132" s="48" t="inlineStr">
        <is>
          <t xml:space="preserve">New business</t>
        </is>
      </c>
      <c r="F132" s="46" t="inlineStr">
        <is>
          <t xml:space="preserve">B1234EXOTIC26</t>
        </is>
      </c>
      <c r="G132" s="33">
        <f>IF($A132="","",IF($C132="","",YEAR($C132)))</f>
      </c>
      <c r="H132" s="49">
        <v>1988</v>
      </c>
      <c r="I132" s="46" t="inlineStr">
        <is>
          <t xml:space="preserve">Maserati</t>
        </is>
      </c>
      <c r="J132" s="46" t="inlineStr">
        <is>
          <t xml:space="preserve">GranTurismo</t>
        </is>
      </c>
      <c r="K132" s="46" t="inlineStr">
        <is>
          <t xml:space="preserve">NG2D3SPB5299ZRNVD</t>
        </is>
      </c>
      <c r="L132" s="48" t="inlineStr">
        <is>
          <t xml:space="preserve">02 - Sports / GT</t>
        </is>
      </c>
      <c r="M132" s="50">
        <v>310000</v>
      </c>
      <c r="N132" s="48" t="inlineStr">
        <is>
          <t xml:space="preserve">Personal</t>
        </is>
      </c>
      <c r="O132" s="46" t="inlineStr">
        <is>
          <t xml:space="preserve">Personal - regular use</t>
        </is>
      </c>
      <c r="P132" s="46" t="inlineStr">
        <is>
          <t xml:space="preserve">1,000 - 2,500</t>
        </is>
      </c>
      <c r="Q132" s="46" t="inlineStr">
        <is>
          <t xml:space="preserve">Kentucky</t>
        </is>
      </c>
      <c r="R132" s="46" t="inlineStr">
        <is>
          <t xml:space="preserve">40202</t>
        </is>
      </c>
      <c r="S132" s="48" t="inlineStr">
        <is>
          <t xml:space="preserve">Severe convective - hail / tornado (moderate)</t>
        </is>
      </c>
      <c r="T132" s="36">
        <f>IF($A132="","",IF($S132="","",IFERROR(INDEX('[1]natural catastrophe'!$D$6:$D$17,MATCH($S132,'[1]natural catastrophe'!$B$6:$B$17,0)),"?")))</f>
      </c>
      <c r="U132" s="46" t="inlineStr">
        <is>
          <t xml:space="preserve">$5,000</t>
        </is>
      </c>
      <c r="V132" s="48" t="inlineStr">
        <is>
          <t xml:space="preserve">Agreed Value</t>
        </is>
      </c>
      <c r="W132" s="46" t="inlineStr">
        <is>
          <t xml:space="preserve">$1,000</t>
        </is>
      </c>
      <c r="X132" s="48" t="inlineStr">
        <is>
          <t xml:space="preserve">$1,000,000 CSL</t>
        </is>
      </c>
      <c r="Y132" s="46"/>
      <c r="Z132" s="46"/>
      <c r="AA132" s="48" t="inlineStr">
        <is>
          <t xml:space="preserve">Surplus Lines</t>
        </is>
      </c>
      <c r="AB132" s="50">
        <v>5878.3</v>
      </c>
      <c r="AC132" s="51">
        <v>0</v>
      </c>
      <c r="AD132" s="38">
        <f>IF(ISNUMBER($AB132),$AB132*(1+N($AC132)),"")</f>
      </c>
      <c r="AE132" s="50">
        <v>350</v>
      </c>
      <c r="AF132" s="50">
        <v>0</v>
      </c>
      <c r="AG132" s="51"/>
      <c r="AH132" s="39">
        <f>IF(ISNUMBER($AD132),($AD132+$AE132+$AF132)*$AG132,"")</f>
      </c>
      <c r="AI132" s="50"/>
      <c r="AJ132" s="38">
        <f>IF(ISNUMBER($AD132),SUM($AD132:$AH132),"")</f>
      </c>
      <c r="AK132" s="40">
        <f>IF(AND(ISNUMBER($AB132),ISNUMBER($AD132)),IF($AB132&gt;0,$AD132/$AB132,""),"")</f>
      </c>
      <c r="AL132" s="48" t="inlineStr">
        <is>
          <t xml:space="preserve">At technical</t>
        </is>
      </c>
      <c r="AM132" s="41">
        <f>IF(ISNUMBER($AD132),Header!$I$3,"")</f>
      </c>
      <c r="AN132" s="39">
        <f>IF(ISNUMBER($AD132),$AO132+$AP132,"")</f>
      </c>
      <c r="AO132" s="39">
        <f>IF(ISNUMBER($AD132),ROUND($AD132*Header!$K$3,2),"")</f>
      </c>
      <c r="AP132" s="39">
        <f>IF(ISNUMBER($AD132),ROUND($AD132*Header!$M$3,2),"")</f>
      </c>
      <c r="AQ132" s="38">
        <f>IF(ISNUMBER($AD132),ROUND($AD132,2)-$AO132-$AP132,"")</f>
      </c>
      <c r="AR132" s="39">
        <f>IF(ISNUMBER($AD132),IF(Header!$D$34="","?",$AD132*Header!$D$34),"")</f>
      </c>
      <c r="AS132" s="39">
        <f>IF(ISNUMBER($AB132),IF(Header!$D$34="","?",$AB132*Header!$D$34),"")</f>
      </c>
      <c r="AT132" s="42">
        <f>IF(AND(ISNUMBER($AB132),$M132&gt;0),$AB132/$M132*100,"")</f>
      </c>
      <c r="AU132" s="42">
        <f>IF(AND(ISNUMBER($AD132),$M132&gt;0),$AD132/$M132*100,"")</f>
      </c>
      <c r="AV132" s="40">
        <f>IF(AND(ISNUMBER($AB132),ISNUMBER($AD132),ABS($AB132)&gt;0),$AD132/$AB132,"")</f>
      </c>
      <c r="AW132" s="39">
        <f>IF(ISNUMBER($AD132),MAX(0,(1-0.55-Header!$O$3)*Header!$Q$3*$AQ132),"")</f>
      </c>
      <c r="AX132" s="43">
        <f>IF($A132="","",IF(TRIM(IF($A132="","Missing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",""))="","PASS","FAIL: "&amp;TRIM(IF($A132="","Missing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f>
      </c>
      <c r="AY132" s="44">
        <f>IF($M132="","",IF(ISNUMBER($M132),IF($M132&gt;=Header!$C$18,"YES — refer","No"),""))</f>
      </c>
      <c r="AZ132" s="44">
        <f>IF($AD132="","",IF(ISNUMBER($AD132),IF($AD132&lt;Header!$C$20,"BELOW MIN PREMIUM","OK"),""))</f>
      </c>
      <c r="BA132" s="48" t="inlineStr">
        <is>
          <t xml:space="preserve">Yes</t>
        </is>
      </c>
      <c r="BB132" s="48" t="inlineStr">
        <is>
          <t xml:space="preserve">Yes</t>
        </is>
      </c>
      <c r="BC132" s="46" t="inlineStr">
        <is>
          <t xml:space="preserve">Synthetic demo data</t>
        </is>
      </c>
      <c r="BE132" s="45">
        <f>IF(OR($A132="",$L132="",$H132=""),"",IF(AND(LEFT($L132,2)="06",$H132&gt;1945),"FAIL - pre-war class, year "&amp;$H132,IF(AND(LEFT($L132,2)="07",OR($H132&lt;1946,$H132&gt;1972)),"FAIL - 1946-72 class, year "&amp;$H132,IF(AND(LEFT($L132,2)="08",OR($H132&lt;1973,$H132&gt;1999)),"FAIL - 1973-99 class, year "&amp;$H132,IF(AND(LEFT($L132,2)="09",OR($H132&lt;2000,$H132&gt;2010)),"FAIL - 2000-10 class, year "&amp;$H132,"OK")))))</f>
      </c>
      <c r="BF132" s="45">
        <f>IF($AD132="","",IF(ROUND($AO132+$AP132+$AQ132-$AD132,2)=0,"OK","FAIL - out by "&amp;TEXT($AO132+$AP132+$AQ132-$AD132,"$0.00")))</f>
      </c>
    </row>
    <row r="133" spans="1:58" ht="18.75" customHeight="1" x14ac:dyDescent="0.25">
      <c r="A133" s="30" t="inlineStr">
        <is>
          <t xml:space="preserve">CANON-202508-000173</t>
        </is>
      </c>
      <c r="B133" s="30" t="inlineStr">
        <is>
          <t xml:space="preserve">Ingrid Pennington</t>
        </is>
      </c>
      <c r="C133" s="31">
        <v>45886</v>
      </c>
      <c r="D133" s="32" t="inlineStr">
        <is>
          <t xml:space="preserve">Bound - within authority</t>
        </is>
      </c>
      <c r="E133" s="32" t="inlineStr">
        <is>
          <t xml:space="preserve">New business</t>
        </is>
      </c>
      <c r="F133" s="30" t="inlineStr">
        <is>
          <t xml:space="preserve">B1234EXOTIC26</t>
        </is>
      </c>
      <c r="G133" s="33">
        <f>IF($A133="","",IF($C133="","",YEAR($C133)))</f>
      </c>
      <c r="H133" s="34">
        <v>2007</v>
      </c>
      <c r="I133" s="30" t="inlineStr">
        <is>
          <t xml:space="preserve">McLaren</t>
        </is>
      </c>
      <c r="J133" s="30" t="inlineStr">
        <is>
          <t xml:space="preserve">750S</t>
        </is>
      </c>
      <c r="K133" s="30" t="inlineStr">
        <is>
          <t xml:space="preserve">2NNTAFGMWDBD26WHW</t>
        </is>
      </c>
      <c r="L133" s="32" t="inlineStr">
        <is>
          <t xml:space="preserve">03 - Supercar</t>
        </is>
      </c>
      <c r="M133" s="35">
        <v>790000</v>
      </c>
      <c r="N133" s="32" t="inlineStr">
        <is>
          <t xml:space="preserve">Personal</t>
        </is>
      </c>
      <c r="O133" s="30" t="inlineStr">
        <is>
          <t xml:space="preserve">Personal - regular use</t>
        </is>
      </c>
      <c r="P133" s="30" t="inlineStr">
        <is>
          <t xml:space="preserve">1,000 - 2,500</t>
        </is>
      </c>
      <c r="Q133" s="30" t="inlineStr">
        <is>
          <t xml:space="preserve">Connecticut</t>
        </is>
      </c>
      <c r="R133" s="30" t="inlineStr">
        <is>
          <t xml:space="preserve">06103</t>
        </is>
      </c>
      <c r="S133" s="32" t="inlineStr">
        <is>
          <t xml:space="preserve">Tier 3 - Coastal wind (25-100 miles)</t>
        </is>
      </c>
      <c r="T133" s="36">
        <f>IF($A133="","",IF($S133="","",IFERROR(INDEX('[1]natural catastrophe'!$D$6:$D$17,MATCH($S133,'[1]natural catastrophe'!$B$6:$B$17,0)),"?")))</f>
      </c>
      <c r="U133" s="30" t="inlineStr">
        <is>
          <t xml:space="preserve">2% of agreed value, minimum $10,000</t>
        </is>
      </c>
      <c r="V133" s="32" t="inlineStr">
        <is>
          <t xml:space="preserve">Agreed Value</t>
        </is>
      </c>
      <c r="W133" s="30" t="inlineStr">
        <is>
          <t xml:space="preserve">$1,000</t>
        </is>
      </c>
      <c r="X133" s="32" t="inlineStr">
        <is>
          <t xml:space="preserve">$1,000,000 CSL</t>
        </is>
      </c>
      <c r="Y133" s="30"/>
      <c r="Z133" s="30"/>
      <c r="AA133" s="32" t="inlineStr">
        <is>
          <t xml:space="preserve">Surplus Lines</t>
        </is>
      </c>
      <c r="AB133" s="35">
        <v>15859.62</v>
      </c>
      <c r="AC133" s="37">
        <v>0</v>
      </c>
      <c r="AD133" s="38">
        <f>IF(ISNUMBER($AB133),$AB133*(1+N($AC133)),"")</f>
      </c>
      <c r="AE133" s="35">
        <v>350</v>
      </c>
      <c r="AF133" s="35">
        <v>0</v>
      </c>
      <c r="AG133" s="37"/>
      <c r="AH133" s="39">
        <f>IF(ISNUMBER($AD133),($AD133+$AE133+$AF133)*$AG133,"")</f>
      </c>
      <c r="AI133" s="35"/>
      <c r="AJ133" s="38">
        <f>IF(ISNUMBER($AD133),SUM($AD133:$AH133),"")</f>
      </c>
      <c r="AK133" s="40">
        <f>IF(AND(ISNUMBER($AB133),ISNUMBER($AD133)),IF($AB133&gt;0,$AD133/$AB133,""),"")</f>
      </c>
      <c r="AL133" s="32" t="inlineStr">
        <is>
          <t xml:space="preserve">At technical</t>
        </is>
      </c>
      <c r="AM133" s="41">
        <f>IF(ISNUMBER($AD133),Header!$I$3,"")</f>
      </c>
      <c r="AN133" s="39">
        <f>IF(ISNUMBER($AD133),$AO133+$AP133,"")</f>
      </c>
      <c r="AO133" s="39">
        <f>IF(ISNUMBER($AD133),ROUND($AD133*Header!$K$3,2),"")</f>
      </c>
      <c r="AP133" s="39">
        <f>IF(ISNUMBER($AD133),ROUND($AD133*Header!$M$3,2),"")</f>
      </c>
      <c r="AQ133" s="38">
        <f>IF(ISNUMBER($AD133),ROUND($AD133,2)-$AO133-$AP133,"")</f>
      </c>
      <c r="AR133" s="39">
        <f>IF(ISNUMBER($AD133),IF(Header!$D$34="","?",$AD133*Header!$D$34),"")</f>
      </c>
      <c r="AS133" s="39">
        <f>IF(ISNUMBER($AB133),IF(Header!$D$34="","?",$AB133*Header!$D$34),"")</f>
      </c>
      <c r="AT133" s="42">
        <f>IF(AND(ISNUMBER($AB133),$M133&gt;0),$AB133/$M133*100,"")</f>
      </c>
      <c r="AU133" s="42">
        <f>IF(AND(ISNUMBER($AD133),$M133&gt;0),$AD133/$M133*100,"")</f>
      </c>
      <c r="AV133" s="40">
        <f>IF(AND(ISNUMBER($AB133),ISNUMBER($AD133),ABS($AB133)&gt;0),$AD133/$AB133,"")</f>
      </c>
      <c r="AW133" s="39">
        <f>IF(ISNUMBER($AD133),MAX(0,(1-0.55-Header!$O$3)*Header!$Q$3*$AQ133),"")</f>
      </c>
      <c r="AX133" s="43">
        <f>IF($A133="","",IF(TRIM(IF($A133="","Missing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",""))="","PASS","FAIL: "&amp;TRIM(IF($A133="","Missing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f>
      </c>
      <c r="AY133" s="44">
        <f>IF($M133="","",IF(ISNUMBER($M133),IF($M133&gt;=Header!$C$18,"YES — refer","No"),""))</f>
      </c>
      <c r="AZ133" s="44">
        <f>IF($AD133="","",IF(ISNUMBER($AD133),IF($AD133&lt;Header!$C$20,"BELOW MIN PREMIUM","OK"),""))</f>
      </c>
      <c r="BA133" s="32" t="inlineStr">
        <is>
          <t xml:space="preserve">Yes</t>
        </is>
      </c>
      <c r="BB133" s="32" t="inlineStr">
        <is>
          <t xml:space="preserve">Yes</t>
        </is>
      </c>
      <c r="BC133" s="30" t="inlineStr">
        <is>
          <t xml:space="preserve">Synthetic demo data</t>
        </is>
      </c>
      <c r="BE133" s="45">
        <f>IF(OR($A133="",$L133="",$H133=""),"",IF(AND(LEFT($L133,2)="06",$H133&gt;1945),"FAIL - pre-war class, year "&amp;$H133,IF(AND(LEFT($L133,2)="07",OR($H133&lt;1946,$H133&gt;1972)),"FAIL - 1946-72 class, year "&amp;$H133,IF(AND(LEFT($L133,2)="08",OR($H133&lt;1973,$H133&gt;1999)),"FAIL - 1973-99 class, year "&amp;$H133,IF(AND(LEFT($L133,2)="09",OR($H133&lt;2000,$H133&gt;2010)),"FAIL - 2000-10 class, year "&amp;$H133,"OK")))))</f>
      </c>
      <c r="BF133" s="45">
        <f>IF($AD133="","",IF(ROUND($AO133+$AP133+$AQ133-$AD133,2)=0,"OK","FAIL - out by "&amp;TEXT($AO133+$AP133+$AQ133-$AD133,"$0.00")))</f>
      </c>
    </row>
    <row r="134" spans="1:58" ht="18.75" customHeight="1" x14ac:dyDescent="0.25">
      <c r="A134" s="46" t="inlineStr">
        <is>
          <t xml:space="preserve">CANON-202508-000174</t>
        </is>
      </c>
      <c r="B134" s="46" t="inlineStr">
        <is>
          <t xml:space="preserve">Noor Vasquez</t>
        </is>
      </c>
      <c r="C134" s="47">
        <v>45897</v>
      </c>
      <c r="D134" s="48" t="inlineStr">
        <is>
          <t xml:space="preserve">Bound - within authority</t>
        </is>
      </c>
      <c r="E134" s="48" t="inlineStr">
        <is>
          <t xml:space="preserve">New business</t>
        </is>
      </c>
      <c r="F134" s="46" t="inlineStr">
        <is>
          <t xml:space="preserve">B1234EXOTIC26</t>
        </is>
      </c>
      <c r="G134" s="33">
        <f>IF($A134="","",IF($C134="","",YEAR($C134)))</f>
      </c>
      <c r="H134" s="49">
        <v>1970</v>
      </c>
      <c r="I134" s="46" t="inlineStr">
        <is>
          <t xml:space="preserve">Aston Martin</t>
        </is>
      </c>
      <c r="J134" s="46" t="inlineStr">
        <is>
          <t xml:space="preserve">DB12</t>
        </is>
      </c>
      <c r="K134" s="46" t="inlineStr">
        <is>
          <t xml:space="preserve">KWDHSCZEK9CN4FEJB</t>
        </is>
      </c>
      <c r="L134" s="48" t="inlineStr">
        <is>
          <t xml:space="preserve">02 - Sports / GT</t>
        </is>
      </c>
      <c r="M134" s="50">
        <v>310000</v>
      </c>
      <c r="N134" s="48" t="inlineStr">
        <is>
          <t xml:space="preserve">Personal</t>
        </is>
      </c>
      <c r="O134" s="46" t="inlineStr">
        <is>
          <t xml:space="preserve">Personal - regular use</t>
        </is>
      </c>
      <c r="P134" s="46" t="inlineStr">
        <is>
          <t xml:space="preserve">Under 1,000</t>
        </is>
      </c>
      <c r="Q134" s="46" t="inlineStr">
        <is>
          <t xml:space="preserve">Georgia</t>
        </is>
      </c>
      <c r="R134" s="46" t="inlineStr">
        <is>
          <t xml:space="preserve">30303</t>
        </is>
      </c>
      <c r="S134" s="48" t="inlineStr">
        <is>
          <t xml:space="preserve">Tier 2 - Coastal wind (1-25 miles)</t>
        </is>
      </c>
      <c r="T134" s="36">
        <f>IF($A134="","",IF($S134="","",IFERROR(INDEX('[1]natural catastrophe'!$D$6:$D$17,MATCH($S134,'[1]natural catastrophe'!$B$6:$B$17,0)),"?")))</f>
      </c>
      <c r="U134" s="46" t="inlineStr">
        <is>
          <t xml:space="preserve">2% of agreed value, minimum $10,000</t>
        </is>
      </c>
      <c r="V134" s="48" t="inlineStr">
        <is>
          <t xml:space="preserve">Agreed Value</t>
        </is>
      </c>
      <c r="W134" s="46" t="inlineStr">
        <is>
          <t xml:space="preserve">$1,000</t>
        </is>
      </c>
      <c r="X134" s="48" t="inlineStr">
        <is>
          <t xml:space="preserve">$1,000,000 CSL</t>
        </is>
      </c>
      <c r="Y134" s="46"/>
      <c r="Z134" s="46"/>
      <c r="AA134" s="48" t="inlineStr">
        <is>
          <t xml:space="preserve">Surplus Lines</t>
        </is>
      </c>
      <c r="AB134" s="50">
        <v>4913.21</v>
      </c>
      <c r="AC134" s="51">
        <v>0</v>
      </c>
      <c r="AD134" s="38">
        <f>IF(ISNUMBER($AB134),$AB134*(1+N($AC134)),"")</f>
      </c>
      <c r="AE134" s="50">
        <v>350</v>
      </c>
      <c r="AF134" s="50">
        <v>0</v>
      </c>
      <c r="AG134" s="51"/>
      <c r="AH134" s="39">
        <f>IF(ISNUMBER($AD134),($AD134+$AE134+$AF134)*$AG134,"")</f>
      </c>
      <c r="AI134" s="50"/>
      <c r="AJ134" s="38">
        <f>IF(ISNUMBER($AD134),SUM($AD134:$AH134),"")</f>
      </c>
      <c r="AK134" s="40">
        <f>IF(AND(ISNUMBER($AB134),ISNUMBER($AD134)),IF($AB134&gt;0,$AD134/$AB134,""),"")</f>
      </c>
      <c r="AL134" s="48" t="inlineStr">
        <is>
          <t xml:space="preserve">At technical</t>
        </is>
      </c>
      <c r="AM134" s="41">
        <f>IF(ISNUMBER($AD134),Header!$I$3,"")</f>
      </c>
      <c r="AN134" s="39">
        <f>IF(ISNUMBER($AD134),$AO134+$AP134,"")</f>
      </c>
      <c r="AO134" s="39">
        <f>IF(ISNUMBER($AD134),ROUND($AD134*Header!$K$3,2),"")</f>
      </c>
      <c r="AP134" s="39">
        <f>IF(ISNUMBER($AD134),ROUND($AD134*Header!$M$3,2),"")</f>
      </c>
      <c r="AQ134" s="38">
        <f>IF(ISNUMBER($AD134),ROUND($AD134,2)-$AO134-$AP134,"")</f>
      </c>
      <c r="AR134" s="39">
        <f>IF(ISNUMBER($AD134),IF(Header!$D$34="","?",$AD134*Header!$D$34),"")</f>
      </c>
      <c r="AS134" s="39">
        <f>IF(ISNUMBER($AB134),IF(Header!$D$34="","?",$AB134*Header!$D$34),"")</f>
      </c>
      <c r="AT134" s="42">
        <f>IF(AND(ISNUMBER($AB134),$M134&gt;0),$AB134/$M134*100,"")</f>
      </c>
      <c r="AU134" s="42">
        <f>IF(AND(ISNUMBER($AD134),$M134&gt;0),$AD134/$M134*100,"")</f>
      </c>
      <c r="AV134" s="40">
        <f>IF(AND(ISNUMBER($AB134),ISNUMBER($AD134),ABS($AB134)&gt;0),$AD134/$AB134,"")</f>
      </c>
      <c r="AW134" s="39">
        <f>IF(ISNUMBER($AD134),MAX(0,(1-0.55-Header!$O$3)*Header!$Q$3*$AQ134),"")</f>
      </c>
      <c r="AX134" s="43">
        <f>IF($A134="","",IF(TRIM(IF($A134="","Missing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",""))="","PASS","FAIL: "&amp;TRIM(IF($A134="","Missing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f>
      </c>
      <c r="AY134" s="44">
        <f>IF($M134="","",IF(ISNUMBER($M134),IF($M134&gt;=Header!$C$18,"YES — refer","No"),""))</f>
      </c>
      <c r="AZ134" s="44">
        <f>IF($AD134="","",IF(ISNUMBER($AD134),IF($AD134&lt;Header!$C$20,"BELOW MIN PREMIUM","OK"),""))</f>
      </c>
      <c r="BA134" s="48" t="inlineStr">
        <is>
          <t xml:space="preserve">Yes</t>
        </is>
      </c>
      <c r="BB134" s="48" t="inlineStr">
        <is>
          <t xml:space="preserve">Yes</t>
        </is>
      </c>
      <c r="BC134" s="46" t="inlineStr">
        <is>
          <t xml:space="preserve">Synthetic demo data</t>
        </is>
      </c>
      <c r="BE134" s="45">
        <f>IF(OR($A134="",$L134="",$H134=""),"",IF(AND(LEFT($L134,2)="06",$H134&gt;1945),"FAIL - pre-war class, year "&amp;$H134,IF(AND(LEFT($L134,2)="07",OR($H134&lt;1946,$H134&gt;1972)),"FAIL - 1946-72 class, year "&amp;$H134,IF(AND(LEFT($L134,2)="08",OR($H134&lt;1973,$H134&gt;1999)),"FAIL - 1973-99 class, year "&amp;$H134,IF(AND(LEFT($L134,2)="09",OR($H134&lt;2000,$H134&gt;2010)),"FAIL - 2000-10 class, year "&amp;$H134,"OK")))))</f>
      </c>
      <c r="BF134" s="45">
        <f>IF($AD134="","",IF(ROUND($AO134+$AP134+$AQ134-$AD134,2)=0,"OK","FAIL - out by "&amp;TEXT($AO134+$AP134+$AQ134-$AD134,"$0.00")))</f>
      </c>
    </row>
    <row r="135" spans="1:58" ht="18.75" customHeight="1" x14ac:dyDescent="0.25">
      <c r="A135" s="30" t="inlineStr">
        <is>
          <t xml:space="preserve">CANON-202508-000175</t>
        </is>
      </c>
      <c r="B135" s="30" t="inlineStr">
        <is>
          <t xml:space="preserve">Leopold Chattopadhyay</t>
        </is>
      </c>
      <c r="C135" s="31">
        <v>45887</v>
      </c>
      <c r="D135" s="32" t="inlineStr">
        <is>
          <t xml:space="preserve">Bound - within authority</t>
        </is>
      </c>
      <c r="E135" s="32" t="inlineStr">
        <is>
          <t xml:space="preserve">New business</t>
        </is>
      </c>
      <c r="F135" s="30" t="inlineStr">
        <is>
          <t xml:space="preserve">B1234EXOTIC26</t>
        </is>
      </c>
      <c r="G135" s="33">
        <f>IF($A135="","",IF($C135="","",YEAR($C135)))</f>
      </c>
      <c r="H135" s="34">
        <v>1962</v>
      </c>
      <c r="I135" s="30" t="inlineStr">
        <is>
          <t xml:space="preserve">Aston Martin</t>
        </is>
      </c>
      <c r="J135" s="30" t="inlineStr">
        <is>
          <t xml:space="preserve">DB5</t>
        </is>
      </c>
      <c r="K135" s="30" t="inlineStr">
        <is>
          <t xml:space="preserve">297P2GJ7ED9V9TNPZ</t>
        </is>
      </c>
      <c r="L135" s="32" t="inlineStr">
        <is>
          <t xml:space="preserve">07 - Post-War Classic (1946-1972)</t>
        </is>
      </c>
      <c r="M135" s="35">
        <v>485000</v>
      </c>
      <c r="N135" s="32" t="inlineStr">
        <is>
          <t xml:space="preserve">Personal</t>
        </is>
      </c>
      <c r="O135" s="30" t="inlineStr">
        <is>
          <t xml:space="preserve">Personal - regular use</t>
        </is>
      </c>
      <c r="P135" s="30" t="inlineStr">
        <is>
          <t xml:space="preserve">1,000 - 2,500</t>
        </is>
      </c>
      <c r="Q135" s="30" t="inlineStr">
        <is>
          <t xml:space="preserve">Florida</t>
        </is>
      </c>
      <c r="R135" s="30" t="inlineStr">
        <is>
          <t xml:space="preserve">33139</t>
        </is>
      </c>
      <c r="S135" s="32" t="inlineStr">
        <is>
          <t xml:space="preserve">Tier 2 - Coastal wind (1-25 miles)</t>
        </is>
      </c>
      <c r="T135" s="36">
        <f>IF($A135="","",IF($S135="","",IFERROR(INDEX('[1]natural catastrophe'!$D$6:$D$17,MATCH($S135,'[1]natural catastrophe'!$B$6:$B$17,0)),"?")))</f>
      </c>
      <c r="U135" s="30" t="inlineStr">
        <is>
          <t xml:space="preserve">2% of agreed value, minimum $10,000</t>
        </is>
      </c>
      <c r="V135" s="32" t="inlineStr">
        <is>
          <t xml:space="preserve">Agreed Value</t>
        </is>
      </c>
      <c r="W135" s="30" t="inlineStr">
        <is>
          <t xml:space="preserve">$1,000</t>
        </is>
      </c>
      <c r="X135" s="32" t="inlineStr">
        <is>
          <t xml:space="preserve">$1,000,000 CSL</t>
        </is>
      </c>
      <c r="Y135" s="30"/>
      <c r="Z135" s="30"/>
      <c r="AA135" s="32" t="inlineStr">
        <is>
          <t xml:space="preserve">Surplus Lines</t>
        </is>
      </c>
      <c r="AB135" s="35">
        <v>6237.28</v>
      </c>
      <c r="AC135" s="37">
        <v>0</v>
      </c>
      <c r="AD135" s="38">
        <f>IF(ISNUMBER($AB135),$AB135*(1+N($AC135)),"")</f>
      </c>
      <c r="AE135" s="35">
        <v>350</v>
      </c>
      <c r="AF135" s="35">
        <v>0</v>
      </c>
      <c r="AG135" s="37"/>
      <c r="AH135" s="39">
        <f>IF(ISNUMBER($AD135),($AD135+$AE135+$AF135)*$AG135,"")</f>
      </c>
      <c r="AI135" s="35"/>
      <c r="AJ135" s="38">
        <f>IF(ISNUMBER($AD135),SUM($AD135:$AH135),"")</f>
      </c>
      <c r="AK135" s="40">
        <f>IF(AND(ISNUMBER($AB135),ISNUMBER($AD135)),IF($AB135&gt;0,$AD135/$AB135,""),"")</f>
      </c>
      <c r="AL135" s="32" t="inlineStr">
        <is>
          <t xml:space="preserve">At technical</t>
        </is>
      </c>
      <c r="AM135" s="41">
        <f>IF(ISNUMBER($AD135),Header!$I$3,"")</f>
      </c>
      <c r="AN135" s="39">
        <f>IF(ISNUMBER($AD135),$AO135+$AP135,"")</f>
      </c>
      <c r="AO135" s="39">
        <f>IF(ISNUMBER($AD135),ROUND($AD135*Header!$K$3,2),"")</f>
      </c>
      <c r="AP135" s="39">
        <f>IF(ISNUMBER($AD135),ROUND($AD135*Header!$M$3,2),"")</f>
      </c>
      <c r="AQ135" s="38">
        <f>IF(ISNUMBER($AD135),ROUND($AD135,2)-$AO135-$AP135,"")</f>
      </c>
      <c r="AR135" s="39">
        <f>IF(ISNUMBER($AD135),IF(Header!$D$34="","?",$AD135*Header!$D$34),"")</f>
      </c>
      <c r="AS135" s="39">
        <f>IF(ISNUMBER($AB135),IF(Header!$D$34="","?",$AB135*Header!$D$34),"")</f>
      </c>
      <c r="AT135" s="42">
        <f>IF(AND(ISNUMBER($AB135),$M135&gt;0),$AB135/$M135*100,"")</f>
      </c>
      <c r="AU135" s="42">
        <f>IF(AND(ISNUMBER($AD135),$M135&gt;0),$AD135/$M135*100,"")</f>
      </c>
      <c r="AV135" s="40">
        <f>IF(AND(ISNUMBER($AB135),ISNUMBER($AD135),ABS($AB135)&gt;0),$AD135/$AB135,"")</f>
      </c>
      <c r="AW135" s="39">
        <f>IF(ISNUMBER($AD135),MAX(0,(1-0.55-Header!$O$3)*Header!$Q$3*$AQ135),"")</f>
      </c>
      <c r="AX135" s="43">
        <f>IF($A135="","",IF(TRIM(IF($A135="","Missing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",""))="","PASS","FAIL: "&amp;TRIM(IF($A135="","Missing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f>
      </c>
      <c r="AY135" s="44">
        <f>IF($M135="","",IF(ISNUMBER($M135),IF($M135&gt;=Header!$C$18,"YES — refer","No"),""))</f>
      </c>
      <c r="AZ135" s="44">
        <f>IF($AD135="","",IF(ISNUMBER($AD135),IF($AD135&lt;Header!$C$20,"BELOW MIN PREMIUM","OK"),""))</f>
      </c>
      <c r="BA135" s="32" t="inlineStr">
        <is>
          <t xml:space="preserve">Yes</t>
        </is>
      </c>
      <c r="BB135" s="32" t="inlineStr">
        <is>
          <t xml:space="preserve">Yes</t>
        </is>
      </c>
      <c r="BC135" s="30" t="inlineStr">
        <is>
          <t xml:space="preserve">Synthetic demo data</t>
        </is>
      </c>
      <c r="BE135" s="45">
        <f>IF(OR($A135="",$L135="",$H135=""),"",IF(AND(LEFT($L135,2)="06",$H135&gt;1945),"FAIL - pre-war class, year "&amp;$H135,IF(AND(LEFT($L135,2)="07",OR($H135&lt;1946,$H135&gt;1972)),"FAIL - 1946-72 class, year "&amp;$H135,IF(AND(LEFT($L135,2)="08",OR($H135&lt;1973,$H135&gt;1999)),"FAIL - 1973-99 class, year "&amp;$H135,IF(AND(LEFT($L135,2)="09",OR($H135&lt;2000,$H135&gt;2010)),"FAIL - 2000-10 class, year "&amp;$H135,"OK")))))</f>
      </c>
      <c r="BF135" s="45">
        <f>IF($AD135="","",IF(ROUND($AO135+$AP135+$AQ135-$AD135,2)=0,"OK","FAIL - out by "&amp;TEXT($AO135+$AP135+$AQ135-$AD135,"$0.00")))</f>
      </c>
    </row>
    <row r="136" spans="1:58" ht="18.75" customHeight="1" x14ac:dyDescent="0.25">
      <c r="A136" s="46" t="inlineStr">
        <is>
          <t xml:space="preserve">CANON-202508-000177</t>
        </is>
      </c>
      <c r="B136" s="46" t="inlineStr">
        <is>
          <t xml:space="preserve">Emiliano Vasquez</t>
        </is>
      </c>
      <c r="C136" s="47">
        <v>45886</v>
      </c>
      <c r="D136" s="48" t="inlineStr">
        <is>
          <t xml:space="preserve">Bound - within authority</t>
        </is>
      </c>
      <c r="E136" s="48" t="inlineStr">
        <is>
          <t xml:space="preserve">New business</t>
        </is>
      </c>
      <c r="F136" s="46" t="inlineStr">
        <is>
          <t xml:space="preserve">B1234EXOTIC26</t>
        </is>
      </c>
      <c r="G136" s="33">
        <f>IF($A136="","",IF($C136="","",YEAR($C136)))</f>
      </c>
      <c r="H136" s="49">
        <v>2024</v>
      </c>
      <c r="I136" s="46" t="inlineStr">
        <is>
          <t xml:space="preserve">Aston Martin</t>
        </is>
      </c>
      <c r="J136" s="46" t="inlineStr">
        <is>
          <t xml:space="preserve">DB5</t>
        </is>
      </c>
      <c r="K136" s="46" t="inlineStr">
        <is>
          <t xml:space="preserve">533R4ZK0H5FX9BGW4</t>
        </is>
      </c>
      <c r="L136" s="48" t="inlineStr">
        <is>
          <t xml:space="preserve">02 - Sports / GT</t>
        </is>
      </c>
      <c r="M136" s="50">
        <v>660000</v>
      </c>
      <c r="N136" s="48" t="inlineStr">
        <is>
          <t xml:space="preserve">Personal</t>
        </is>
      </c>
      <c r="O136" s="46" t="inlineStr">
        <is>
          <t xml:space="preserve">Personal - regular use</t>
        </is>
      </c>
      <c r="P136" s="46" t="inlineStr">
        <is>
          <t xml:space="preserve">1,000 - 2,500</t>
        </is>
      </c>
      <c r="Q136" s="46" t="inlineStr">
        <is>
          <t xml:space="preserve">Georgia</t>
        </is>
      </c>
      <c r="R136" s="46" t="inlineStr">
        <is>
          <t xml:space="preserve">30303</t>
        </is>
      </c>
      <c r="S136" s="48" t="inlineStr">
        <is>
          <t xml:space="preserve">Tier 2 - Coastal wind (1-25 miles)</t>
        </is>
      </c>
      <c r="T136" s="36">
        <f>IF($A136="","",IF($S136="","",IFERROR(INDEX('[1]natural catastrophe'!$D$6:$D$17,MATCH($S136,'[1]natural catastrophe'!$B$6:$B$17,0)),"?")))</f>
      </c>
      <c r="U136" s="46" t="inlineStr">
        <is>
          <t xml:space="preserve">2% of agreed value, minimum $10,000</t>
        </is>
      </c>
      <c r="V136" s="48" t="inlineStr">
        <is>
          <t xml:space="preserve">Agreed Value</t>
        </is>
      </c>
      <c r="W136" s="46" t="inlineStr">
        <is>
          <t xml:space="preserve">$1,000</t>
        </is>
      </c>
      <c r="X136" s="48" t="inlineStr">
        <is>
          <t xml:space="preserve">$1,000,000 CSL</t>
        </is>
      </c>
      <c r="Y136" s="46"/>
      <c r="Z136" s="46"/>
      <c r="AA136" s="48" t="inlineStr">
        <is>
          <t xml:space="preserve">Surplus Lines</t>
        </is>
      </c>
      <c r="AB136" s="50">
        <v>5997.28</v>
      </c>
      <c r="AC136" s="51">
        <v>0</v>
      </c>
      <c r="AD136" s="38">
        <f>IF(ISNUMBER($AB136),$AB136*(1+N($AC136)),"")</f>
      </c>
      <c r="AE136" s="50">
        <v>350</v>
      </c>
      <c r="AF136" s="50">
        <v>0</v>
      </c>
      <c r="AG136" s="51"/>
      <c r="AH136" s="39">
        <f>IF(ISNUMBER($AD136),($AD136+$AE136+$AF136)*$AG136,"")</f>
      </c>
      <c r="AI136" s="50"/>
      <c r="AJ136" s="38">
        <f>IF(ISNUMBER($AD136),SUM($AD136:$AH136),"")</f>
      </c>
      <c r="AK136" s="40">
        <f>IF(AND(ISNUMBER($AB136),ISNUMBER($AD136)),IF($AB136&gt;0,$AD136/$AB136,""),"")</f>
      </c>
      <c r="AL136" s="48" t="inlineStr">
        <is>
          <t xml:space="preserve">At technical</t>
        </is>
      </c>
      <c r="AM136" s="41">
        <f>IF(ISNUMBER($AD136),Header!$I$3,"")</f>
      </c>
      <c r="AN136" s="39">
        <f>IF(ISNUMBER($AD136),$AO136+$AP136,"")</f>
      </c>
      <c r="AO136" s="39">
        <f>IF(ISNUMBER($AD136),ROUND($AD136*Header!$K$3,2),"")</f>
      </c>
      <c r="AP136" s="39">
        <f>IF(ISNUMBER($AD136),ROUND($AD136*Header!$M$3,2),"")</f>
      </c>
      <c r="AQ136" s="38">
        <f>IF(ISNUMBER($AD136),ROUND($AD136,2)-$AO136-$AP136,"")</f>
      </c>
      <c r="AR136" s="39">
        <f>IF(ISNUMBER($AD136),IF(Header!$D$34="","?",$AD136*Header!$D$34),"")</f>
      </c>
      <c r="AS136" s="39">
        <f>IF(ISNUMBER($AB136),IF(Header!$D$34="","?",$AB136*Header!$D$34),"")</f>
      </c>
      <c r="AT136" s="42">
        <f>IF(AND(ISNUMBER($AB136),$M136&gt;0),$AB136/$M136*100,"")</f>
      </c>
      <c r="AU136" s="42">
        <f>IF(AND(ISNUMBER($AD136),$M136&gt;0),$AD136/$M136*100,"")</f>
      </c>
      <c r="AV136" s="40">
        <f>IF(AND(ISNUMBER($AB136),ISNUMBER($AD136),ABS($AB136)&gt;0),$AD136/$AB136,"")</f>
      </c>
      <c r="AW136" s="39">
        <f>IF(ISNUMBER($AD136),MAX(0,(1-0.55-Header!$O$3)*Header!$Q$3*$AQ136),"")</f>
      </c>
      <c r="AX136" s="43">
        <f>IF($A136="","",IF(TRIM(IF($A136="","Missing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",""))="","PASS","FAIL: "&amp;TRIM(IF($A136="","Missing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f>
      </c>
      <c r="AY136" s="44">
        <f>IF($M136="","",IF(ISNUMBER($M136),IF($M136&gt;=Header!$C$18,"YES — refer","No"),""))</f>
      </c>
      <c r="AZ136" s="44">
        <f>IF($AD136="","",IF(ISNUMBER($AD136),IF($AD136&lt;Header!$C$20,"BELOW MIN PREMIUM","OK"),""))</f>
      </c>
      <c r="BA136" s="48" t="inlineStr">
        <is>
          <t xml:space="preserve">Yes</t>
        </is>
      </c>
      <c r="BB136" s="48" t="inlineStr">
        <is>
          <t xml:space="preserve">Yes</t>
        </is>
      </c>
      <c r="BC136" s="46" t="inlineStr">
        <is>
          <t xml:space="preserve">Synthetic demo data</t>
        </is>
      </c>
      <c r="BE136" s="45">
        <f>IF(OR($A136="",$L136="",$H136=""),"",IF(AND(LEFT($L136,2)="06",$H136&gt;1945),"FAIL - pre-war class, year "&amp;$H136,IF(AND(LEFT($L136,2)="07",OR($H136&lt;1946,$H136&gt;1972)),"FAIL - 1946-72 class, year "&amp;$H136,IF(AND(LEFT($L136,2)="08",OR($H136&lt;1973,$H136&gt;1999)),"FAIL - 1973-99 class, year "&amp;$H136,IF(AND(LEFT($L136,2)="09",OR($H136&lt;2000,$H136&gt;2010)),"FAIL - 2000-10 class, year "&amp;$H136,"OK")))))</f>
      </c>
      <c r="BF136" s="45">
        <f>IF($AD136="","",IF(ROUND($AO136+$AP136+$AQ136-$AD136,2)=0,"OK","FAIL - out by "&amp;TEXT($AO136+$AP136+$AQ136-$AD136,"$0.00")))</f>
      </c>
    </row>
    <row r="137" spans="1:58" ht="18.75" customHeight="1" x14ac:dyDescent="0.25">
      <c r="A137" s="30" t="inlineStr">
        <is>
          <t xml:space="preserve">CANON-202508-000178</t>
        </is>
      </c>
      <c r="B137" s="30" t="inlineStr">
        <is>
          <t xml:space="preserve">Emiliano Larsson</t>
        </is>
      </c>
      <c r="C137" s="31">
        <v>45896</v>
      </c>
      <c r="D137" s="32" t="inlineStr">
        <is>
          <t xml:space="preserve">Bound - within authority</t>
        </is>
      </c>
      <c r="E137" s="32" t="inlineStr">
        <is>
          <t xml:space="preserve">New business</t>
        </is>
      </c>
      <c r="F137" s="30" t="inlineStr">
        <is>
          <t xml:space="preserve">B1234EXOTIC26</t>
        </is>
      </c>
      <c r="G137" s="33">
        <f>IF($A137="","",IF($C137="","",YEAR($C137)))</f>
      </c>
      <c r="H137" s="34">
        <v>1986</v>
      </c>
      <c r="I137" s="30" t="inlineStr">
        <is>
          <t xml:space="preserve">Maserati</t>
        </is>
      </c>
      <c r="J137" s="30" t="inlineStr">
        <is>
          <t xml:space="preserve">GranTurismo</t>
        </is>
      </c>
      <c r="K137" s="30" t="inlineStr">
        <is>
          <t xml:space="preserve">85SJDT5FTUB0WTN0D</t>
        </is>
      </c>
      <c r="L137" s="32" t="inlineStr">
        <is>
          <t xml:space="preserve">02 - Sports / GT</t>
        </is>
      </c>
      <c r="M137" s="35">
        <v>1900000</v>
      </c>
      <c r="N137" s="32" t="inlineStr">
        <is>
          <t xml:space="preserve">Personal</t>
        </is>
      </c>
      <c r="O137" s="30" t="inlineStr">
        <is>
          <t xml:space="preserve">Personal - regular use</t>
        </is>
      </c>
      <c r="P137" s="30" t="inlineStr">
        <is>
          <t xml:space="preserve">2,500 - 5,000</t>
        </is>
      </c>
      <c r="Q137" s="30" t="inlineStr">
        <is>
          <t xml:space="preserve">New York</t>
        </is>
      </c>
      <c r="R137" s="30" t="inlineStr">
        <is>
          <t xml:space="preserve">10022</t>
        </is>
      </c>
      <c r="S137" s="32" t="inlineStr">
        <is>
          <t xml:space="preserve">Tier 3 - Coastal wind (25-100 miles)</t>
        </is>
      </c>
      <c r="T137" s="36">
        <f>IF($A137="","",IF($S137="","",IFERROR(INDEX('[1]natural catastrophe'!$D$6:$D$17,MATCH($S137,'[1]natural catastrophe'!$B$6:$B$17,0)),"?")))</f>
      </c>
      <c r="U137" s="30" t="inlineStr">
        <is>
          <t xml:space="preserve">2% of agreed value, minimum $10,000</t>
        </is>
      </c>
      <c r="V137" s="32" t="inlineStr">
        <is>
          <t xml:space="preserve">Agreed Value</t>
        </is>
      </c>
      <c r="W137" s="30" t="inlineStr">
        <is>
          <t xml:space="preserve">$1,000</t>
        </is>
      </c>
      <c r="X137" s="32" t="inlineStr">
        <is>
          <t xml:space="preserve">$1,000,000 CSL</t>
        </is>
      </c>
      <c r="Y137" s="30"/>
      <c r="Z137" s="30"/>
      <c r="AA137" s="32" t="inlineStr">
        <is>
          <t xml:space="preserve">Surplus Lines</t>
        </is>
      </c>
      <c r="AB137" s="35">
        <v>25237.74</v>
      </c>
      <c r="AC137" s="37">
        <v>0</v>
      </c>
      <c r="AD137" s="38">
        <f>IF(ISNUMBER($AB137),$AB137*(1+N($AC137)),"")</f>
      </c>
      <c r="AE137" s="35">
        <v>350</v>
      </c>
      <c r="AF137" s="35">
        <v>250</v>
      </c>
      <c r="AG137" s="37"/>
      <c r="AH137" s="39">
        <f>IF(ISNUMBER($AD137),($AD137+$AE137+$AF137)*$AG137,"")</f>
      </c>
      <c r="AI137" s="35"/>
      <c r="AJ137" s="38">
        <f>IF(ISNUMBER($AD137),SUM($AD137:$AH137),"")</f>
      </c>
      <c r="AK137" s="40">
        <f>IF(AND(ISNUMBER($AB137),ISNUMBER($AD137)),IF($AB137&gt;0,$AD137/$AB137,""),"")</f>
      </c>
      <c r="AL137" s="32" t="inlineStr">
        <is>
          <t xml:space="preserve">At technical</t>
        </is>
      </c>
      <c r="AM137" s="41">
        <f>IF(ISNUMBER($AD137),Header!$I$3,"")</f>
      </c>
      <c r="AN137" s="39">
        <f>IF(ISNUMBER($AD137),$AO137+$AP137,"")</f>
      </c>
      <c r="AO137" s="39">
        <f>IF(ISNUMBER($AD137),ROUND($AD137*Header!$K$3,2),"")</f>
      </c>
      <c r="AP137" s="39">
        <f>IF(ISNUMBER($AD137),ROUND($AD137*Header!$M$3,2),"")</f>
      </c>
      <c r="AQ137" s="38">
        <f>IF(ISNUMBER($AD137),ROUND($AD137,2)-$AO137-$AP137,"")</f>
      </c>
      <c r="AR137" s="39">
        <f>IF(ISNUMBER($AD137),IF(Header!$D$34="","?",$AD137*Header!$D$34),"")</f>
      </c>
      <c r="AS137" s="39">
        <f>IF(ISNUMBER($AB137),IF(Header!$D$34="","?",$AB137*Header!$D$34),"")</f>
      </c>
      <c r="AT137" s="42">
        <f>IF(AND(ISNUMBER($AB137),$M137&gt;0),$AB137/$M137*100,"")</f>
      </c>
      <c r="AU137" s="42">
        <f>IF(AND(ISNUMBER($AD137),$M137&gt;0),$AD137/$M137*100,"")</f>
      </c>
      <c r="AV137" s="40">
        <f>IF(AND(ISNUMBER($AB137),ISNUMBER($AD137),ABS($AB137)&gt;0),$AD137/$AB137,"")</f>
      </c>
      <c r="AW137" s="39">
        <f>IF(ISNUMBER($AD137),MAX(0,(1-0.55-Header!$O$3)*Header!$Q$3*$AQ137),"")</f>
      </c>
      <c r="AX137" s="43">
        <f>IF($A137="","",IF(TRIM(IF($A137="","Missing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",""))="","PASS","FAIL: "&amp;TRIM(IF($A137="","Missing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f>
      </c>
      <c r="AY137" s="44">
        <f>IF($M137="","",IF(ISNUMBER($M137),IF($M137&gt;=Header!$C$18,"YES — refer","No"),""))</f>
      </c>
      <c r="AZ137" s="44">
        <f>IF($AD137="","",IF(ISNUMBER($AD137),IF($AD137&lt;Header!$C$20,"BELOW MIN PREMIUM","OK"),""))</f>
      </c>
      <c r="BA137" s="32" t="inlineStr">
        <is>
          <t xml:space="preserve">Yes</t>
        </is>
      </c>
      <c r="BB137" s="32" t="inlineStr">
        <is>
          <t xml:space="preserve">Yes</t>
        </is>
      </c>
      <c r="BC137" s="30" t="inlineStr">
        <is>
          <t xml:space="preserve">Synthetic demo data</t>
        </is>
      </c>
      <c r="BE137" s="45">
        <f>IF(OR($A137="",$L137="",$H137=""),"",IF(AND(LEFT($L137,2)="06",$H137&gt;1945),"FAIL - pre-war class, year "&amp;$H137,IF(AND(LEFT($L137,2)="07",OR($H137&lt;1946,$H137&gt;1972)),"FAIL - 1946-72 class, year "&amp;$H137,IF(AND(LEFT($L137,2)="08",OR($H137&lt;1973,$H137&gt;1999)),"FAIL - 1973-99 class, year "&amp;$H137,IF(AND(LEFT($L137,2)="09",OR($H137&lt;2000,$H137&gt;2010)),"FAIL - 2000-10 class, year "&amp;$H137,"OK")))))</f>
      </c>
      <c r="BF137" s="45">
        <f>IF($AD137="","",IF(ROUND($AO137+$AP137+$AQ137-$AD137,2)=0,"OK","FAIL - out by "&amp;TEXT($AO137+$AP137+$AQ137-$AD137,"$0.00")))</f>
      </c>
    </row>
    <row r="138" spans="1:58" ht="18.75" customHeight="1" x14ac:dyDescent="0.25">
      <c r="A138" s="46" t="inlineStr">
        <is>
          <t xml:space="preserve">CANON-202508-000179</t>
        </is>
      </c>
      <c r="B138" s="46" t="inlineStr">
        <is>
          <t xml:space="preserve">Callum Farkas</t>
        </is>
      </c>
      <c r="C138" s="47">
        <v>45878</v>
      </c>
      <c r="D138" s="48" t="inlineStr">
        <is>
          <t xml:space="preserve">Bound - within authority</t>
        </is>
      </c>
      <c r="E138" s="48" t="inlineStr">
        <is>
          <t xml:space="preserve">New business</t>
        </is>
      </c>
      <c r="F138" s="46" t="inlineStr">
        <is>
          <t xml:space="preserve">B1234EXOTIC26</t>
        </is>
      </c>
      <c r="G138" s="33">
        <f>IF($A138="","",IF($C138="","",YEAR($C138)))</f>
      </c>
      <c r="H138" s="49">
        <v>1984</v>
      </c>
      <c r="I138" s="46" t="inlineStr">
        <is>
          <t xml:space="preserve">Bentley</t>
        </is>
      </c>
      <c r="J138" s="46" t="inlineStr">
        <is>
          <t xml:space="preserve">Continental GT</t>
        </is>
      </c>
      <c r="K138" s="46" t="inlineStr">
        <is>
          <t xml:space="preserve">7V8C09Z8T41E9HMUV</t>
        </is>
      </c>
      <c r="L138" s="48" t="inlineStr">
        <is>
          <t xml:space="preserve">02 - Sports / GT</t>
        </is>
      </c>
      <c r="M138" s="50">
        <v>620000</v>
      </c>
      <c r="N138" s="48" t="inlineStr">
        <is>
          <t xml:space="preserve">Personal</t>
        </is>
      </c>
      <c r="O138" s="46" t="inlineStr">
        <is>
          <t xml:space="preserve">Personal - regular use</t>
        </is>
      </c>
      <c r="P138" s="46" t="inlineStr">
        <is>
          <t xml:space="preserve">Under 1,000</t>
        </is>
      </c>
      <c r="Q138" s="46" t="inlineStr">
        <is>
          <t xml:space="preserve">Vermont</t>
        </is>
      </c>
      <c r="R138" s="46" t="inlineStr">
        <is>
          <t xml:space="preserve">05601</t>
        </is>
      </c>
      <c r="S138" s="48" t="inlineStr">
        <is>
          <t xml:space="preserve">Low hazard - inland benign</t>
        </is>
      </c>
      <c r="T138" s="36">
        <f>IF($A138="","",IF($S138="","",IFERROR(INDEX('[1]natural catastrophe'!$D$6:$D$17,MATCH($S138,'[1]natural catastrophe'!$B$6:$B$17,0)),"?")))</f>
      </c>
      <c r="U138" s="46" t="inlineStr">
        <is>
          <t xml:space="preserve">$5,000</t>
        </is>
      </c>
      <c r="V138" s="48" t="inlineStr">
        <is>
          <t xml:space="preserve">Agreed Value</t>
        </is>
      </c>
      <c r="W138" s="46" t="inlineStr">
        <is>
          <t xml:space="preserve">$1,000</t>
        </is>
      </c>
      <c r="X138" s="48" t="inlineStr">
        <is>
          <t xml:space="preserve">$1,000,000 CSL</t>
        </is>
      </c>
      <c r="Y138" s="46"/>
      <c r="Z138" s="46"/>
      <c r="AA138" s="48" t="inlineStr">
        <is>
          <t xml:space="preserve">Surplus Lines</t>
        </is>
      </c>
      <c r="AB138" s="50">
        <v>9276.6</v>
      </c>
      <c r="AC138" s="51">
        <v>0</v>
      </c>
      <c r="AD138" s="38">
        <f>IF(ISNUMBER($AB138),$AB138*(1+N($AC138)),"")</f>
      </c>
      <c r="AE138" s="50">
        <v>350</v>
      </c>
      <c r="AF138" s="50">
        <v>0</v>
      </c>
      <c r="AG138" s="51"/>
      <c r="AH138" s="39">
        <f>IF(ISNUMBER($AD138),($AD138+$AE138+$AF138)*$AG138,"")</f>
      </c>
      <c r="AI138" s="50"/>
      <c r="AJ138" s="38">
        <f>IF(ISNUMBER($AD138),SUM($AD138:$AH138),"")</f>
      </c>
      <c r="AK138" s="40">
        <f>IF(AND(ISNUMBER($AB138),ISNUMBER($AD138)),IF($AB138&gt;0,$AD138/$AB138,""),"")</f>
      </c>
      <c r="AL138" s="48" t="inlineStr">
        <is>
          <t xml:space="preserve">At technical</t>
        </is>
      </c>
      <c r="AM138" s="41">
        <f>IF(ISNUMBER($AD138),Header!$I$3,"")</f>
      </c>
      <c r="AN138" s="39">
        <f>IF(ISNUMBER($AD138),$AO138+$AP138,"")</f>
      </c>
      <c r="AO138" s="39">
        <f>IF(ISNUMBER($AD138),ROUND($AD138*Header!$K$3,2),"")</f>
      </c>
      <c r="AP138" s="39">
        <f>IF(ISNUMBER($AD138),ROUND($AD138*Header!$M$3,2),"")</f>
      </c>
      <c r="AQ138" s="38">
        <f>IF(ISNUMBER($AD138),ROUND($AD138,2)-$AO138-$AP138,"")</f>
      </c>
      <c r="AR138" s="39">
        <f>IF(ISNUMBER($AD138),IF(Header!$D$34="","?",$AD138*Header!$D$34),"")</f>
      </c>
      <c r="AS138" s="39">
        <f>IF(ISNUMBER($AB138),IF(Header!$D$34="","?",$AB138*Header!$D$34),"")</f>
      </c>
      <c r="AT138" s="42">
        <f>IF(AND(ISNUMBER($AB138),$M138&gt;0),$AB138/$M138*100,"")</f>
      </c>
      <c r="AU138" s="42">
        <f>IF(AND(ISNUMBER($AD138),$M138&gt;0),$AD138/$M138*100,"")</f>
      </c>
      <c r="AV138" s="40">
        <f>IF(AND(ISNUMBER($AB138),ISNUMBER($AD138),ABS($AB138)&gt;0),$AD138/$AB138,"")</f>
      </c>
      <c r="AW138" s="39">
        <f>IF(ISNUMBER($AD138),MAX(0,(1-0.55-Header!$O$3)*Header!$Q$3*$AQ138),"")</f>
      </c>
      <c r="AX138" s="43">
        <f>IF($A138="","",IF(TRIM(IF($A138="","Missing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",""))="","PASS","FAIL: "&amp;TRIM(IF($A138="","Missing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f>
      </c>
      <c r="AY138" s="44">
        <f>IF($M138="","",IF(ISNUMBER($M138),IF($M138&gt;=Header!$C$18,"YES — refer","No"),""))</f>
      </c>
      <c r="AZ138" s="44">
        <f>IF($AD138="","",IF(ISNUMBER($AD138),IF($AD138&lt;Header!$C$20,"BELOW MIN PREMIUM","OK"),""))</f>
      </c>
      <c r="BA138" s="48" t="inlineStr">
        <is>
          <t xml:space="preserve">Yes</t>
        </is>
      </c>
      <c r="BB138" s="48" t="inlineStr">
        <is>
          <t xml:space="preserve">Yes</t>
        </is>
      </c>
      <c r="BC138" s="46" t="inlineStr">
        <is>
          <t xml:space="preserve">Synthetic demo data</t>
        </is>
      </c>
      <c r="BE138" s="45">
        <f>IF(OR($A138="",$L138="",$H138=""),"",IF(AND(LEFT($L138,2)="06",$H138&gt;1945),"FAIL - pre-war class, year "&amp;$H138,IF(AND(LEFT($L138,2)="07",OR($H138&lt;1946,$H138&gt;1972)),"FAIL - 1946-72 class, year "&amp;$H138,IF(AND(LEFT($L138,2)="08",OR($H138&lt;1973,$H138&gt;1999)),"FAIL - 1973-99 class, year "&amp;$H138,IF(AND(LEFT($L138,2)="09",OR($H138&lt;2000,$H138&gt;2010)),"FAIL - 2000-10 class, year "&amp;$H138,"OK")))))</f>
      </c>
      <c r="BF138" s="45">
        <f>IF($AD138="","",IF(ROUND($AO138+$AP138+$AQ138-$AD138,2)=0,"OK","FAIL - out by "&amp;TEXT($AO138+$AP138+$AQ138-$AD138,"$0.00")))</f>
      </c>
    </row>
    <row r="139" spans="1:58" ht="18.75" customHeight="1" x14ac:dyDescent="0.25">
      <c r="A139" s="30" t="inlineStr">
        <is>
          <t xml:space="preserve">CANON-202508-000180</t>
        </is>
      </c>
      <c r="B139" s="30" t="inlineStr">
        <is>
          <t xml:space="preserve">Thaddeus Harrington</t>
        </is>
      </c>
      <c r="C139" s="31">
        <v>45884</v>
      </c>
      <c r="D139" s="32" t="inlineStr">
        <is>
          <t xml:space="preserve">Bound - within authority</t>
        </is>
      </c>
      <c r="E139" s="32" t="inlineStr">
        <is>
          <t xml:space="preserve">New business</t>
        </is>
      </c>
      <c r="F139" s="30" t="inlineStr">
        <is>
          <t xml:space="preserve">B1234EXOTIC26</t>
        </is>
      </c>
      <c r="G139" s="33">
        <f>IF($A139="","",IF($C139="","",YEAR($C139)))</f>
      </c>
      <c r="H139" s="34">
        <v>2020</v>
      </c>
      <c r="I139" s="30" t="inlineStr">
        <is>
          <t xml:space="preserve">Maserati</t>
        </is>
      </c>
      <c r="J139" s="30" t="inlineStr">
        <is>
          <t xml:space="preserve">GranTurismo</t>
        </is>
      </c>
      <c r="K139" s="30" t="inlineStr">
        <is>
          <t xml:space="preserve">8YZ9L1W2F7F1RCLVV</t>
        </is>
      </c>
      <c r="L139" s="32" t="inlineStr">
        <is>
          <t xml:space="preserve">02 - Sports / GT</t>
        </is>
      </c>
      <c r="M139" s="35">
        <v>775000</v>
      </c>
      <c r="N139" s="32" t="inlineStr">
        <is>
          <t xml:space="preserve">Personal</t>
        </is>
      </c>
      <c r="O139" s="30" t="inlineStr">
        <is>
          <t xml:space="preserve">Personal - regular use</t>
        </is>
      </c>
      <c r="P139" s="30" t="inlineStr">
        <is>
          <t xml:space="preserve">Under 1,000</t>
        </is>
      </c>
      <c r="Q139" s="30" t="inlineStr">
        <is>
          <t xml:space="preserve">Pennsylvania</t>
        </is>
      </c>
      <c r="R139" s="30" t="inlineStr">
        <is>
          <t xml:space="preserve">19103</t>
        </is>
      </c>
      <c r="S139" s="32" t="inlineStr">
        <is>
          <t xml:space="preserve">Low hazard - inland benign</t>
        </is>
      </c>
      <c r="T139" s="36">
        <f>IF($A139="","",IF($S139="","",IFERROR(INDEX('[1]natural catastrophe'!$D$6:$D$17,MATCH($S139,'[1]natural catastrophe'!$B$6:$B$17,0)),"?")))</f>
      </c>
      <c r="U139" s="30" t="inlineStr">
        <is>
          <t xml:space="preserve">$5,000</t>
        </is>
      </c>
      <c r="V139" s="32" t="inlineStr">
        <is>
          <t xml:space="preserve">Agreed Value</t>
        </is>
      </c>
      <c r="W139" s="30" t="inlineStr">
        <is>
          <t xml:space="preserve">$1,000</t>
        </is>
      </c>
      <c r="X139" s="32" t="inlineStr">
        <is>
          <t xml:space="preserve">$1,000,000 CSL</t>
        </is>
      </c>
      <c r="Y139" s="30"/>
      <c r="Z139" s="30"/>
      <c r="AA139" s="32" t="inlineStr">
        <is>
          <t xml:space="preserve">Surplus Lines</t>
        </is>
      </c>
      <c r="AB139" s="35">
        <v>9504.72</v>
      </c>
      <c r="AC139" s="37">
        <v>0</v>
      </c>
      <c r="AD139" s="38">
        <f>IF(ISNUMBER($AB139),$AB139*(1+N($AC139)),"")</f>
      </c>
      <c r="AE139" s="35">
        <v>350</v>
      </c>
      <c r="AF139" s="35">
        <v>0</v>
      </c>
      <c r="AG139" s="37"/>
      <c r="AH139" s="39">
        <f>IF(ISNUMBER($AD139),($AD139+$AE139+$AF139)*$AG139,"")</f>
      </c>
      <c r="AI139" s="35"/>
      <c r="AJ139" s="38">
        <f>IF(ISNUMBER($AD139),SUM($AD139:$AH139),"")</f>
      </c>
      <c r="AK139" s="40">
        <f>IF(AND(ISNUMBER($AB139),ISNUMBER($AD139)),IF($AB139&gt;0,$AD139/$AB139,""),"")</f>
      </c>
      <c r="AL139" s="32" t="inlineStr">
        <is>
          <t xml:space="preserve">At technical</t>
        </is>
      </c>
      <c r="AM139" s="41">
        <f>IF(ISNUMBER($AD139),Header!$I$3,"")</f>
      </c>
      <c r="AN139" s="39">
        <f>IF(ISNUMBER($AD139),$AO139+$AP139,"")</f>
      </c>
      <c r="AO139" s="39">
        <f>IF(ISNUMBER($AD139),ROUND($AD139*Header!$K$3,2),"")</f>
      </c>
      <c r="AP139" s="39">
        <f>IF(ISNUMBER($AD139),ROUND($AD139*Header!$M$3,2),"")</f>
      </c>
      <c r="AQ139" s="38">
        <f>IF(ISNUMBER($AD139),ROUND($AD139,2)-$AO139-$AP139,"")</f>
      </c>
      <c r="AR139" s="39">
        <f>IF(ISNUMBER($AD139),IF(Header!$D$34="","?",$AD139*Header!$D$34),"")</f>
      </c>
      <c r="AS139" s="39">
        <f>IF(ISNUMBER($AB139),IF(Header!$D$34="","?",$AB139*Header!$D$34),"")</f>
      </c>
      <c r="AT139" s="42">
        <f>IF(AND(ISNUMBER($AB139),$M139&gt;0),$AB139/$M139*100,"")</f>
      </c>
      <c r="AU139" s="42">
        <f>IF(AND(ISNUMBER($AD139),$M139&gt;0),$AD139/$M139*100,"")</f>
      </c>
      <c r="AV139" s="40">
        <f>IF(AND(ISNUMBER($AB139),ISNUMBER($AD139),ABS($AB139)&gt;0),$AD139/$AB139,"")</f>
      </c>
      <c r="AW139" s="39">
        <f>IF(ISNUMBER($AD139),MAX(0,(1-0.55-Header!$O$3)*Header!$Q$3*$AQ139),"")</f>
      </c>
      <c r="AX139" s="43">
        <f>IF($A139="","",IF(TRIM(IF($A139="","Missing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",""))="","PASS","FAIL: "&amp;TRIM(IF($A139="","Missing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f>
      </c>
      <c r="AY139" s="44">
        <f>IF($M139="","",IF(ISNUMBER($M139),IF($M139&gt;=Header!$C$18,"YES — refer","No"),""))</f>
      </c>
      <c r="AZ139" s="44">
        <f>IF($AD139="","",IF(ISNUMBER($AD139),IF($AD139&lt;Header!$C$20,"BELOW MIN PREMIUM","OK"),""))</f>
      </c>
      <c r="BA139" s="32" t="inlineStr">
        <is>
          <t xml:space="preserve">Yes</t>
        </is>
      </c>
      <c r="BB139" s="32" t="inlineStr">
        <is>
          <t xml:space="preserve">Yes</t>
        </is>
      </c>
      <c r="BC139" s="30" t="inlineStr">
        <is>
          <t xml:space="preserve">Synthetic demo data</t>
        </is>
      </c>
      <c r="BE139" s="45">
        <f>IF(OR($A139="",$L139="",$H139=""),"",IF(AND(LEFT($L139,2)="06",$H139&gt;1945),"FAIL - pre-war class, year "&amp;$H139,IF(AND(LEFT($L139,2)="07",OR($H139&lt;1946,$H139&gt;1972)),"FAIL - 1946-72 class, year "&amp;$H139,IF(AND(LEFT($L139,2)="08",OR($H139&lt;1973,$H139&gt;1999)),"FAIL - 1973-99 class, year "&amp;$H139,IF(AND(LEFT($L139,2)="09",OR($H139&lt;2000,$H139&gt;2010)),"FAIL - 2000-10 class, year "&amp;$H139,"OK")))))</f>
      </c>
      <c r="BF139" s="45">
        <f>IF($AD139="","",IF(ROUND($AO139+$AP139+$AQ139-$AD139,2)=0,"OK","FAIL - out by "&amp;TEXT($AO139+$AP139+$AQ139-$AD139,"$0.00")))</f>
      </c>
    </row>
    <row r="140" spans="1:58" ht="18.75" customHeight="1" x14ac:dyDescent="0.25">
      <c r="A140" s="46" t="inlineStr">
        <is>
          <t xml:space="preserve">CANON-202508-000181</t>
        </is>
      </c>
      <c r="B140" s="46" t="inlineStr">
        <is>
          <t xml:space="preserve">Cassius Okonkwo</t>
        </is>
      </c>
      <c r="C140" s="47">
        <v>45876</v>
      </c>
      <c r="D140" s="48" t="inlineStr">
        <is>
          <t xml:space="preserve">Bound - within authority</t>
        </is>
      </c>
      <c r="E140" s="48" t="inlineStr">
        <is>
          <t xml:space="preserve">New business</t>
        </is>
      </c>
      <c r="F140" s="46" t="inlineStr">
        <is>
          <t xml:space="preserve">B1234EXOTIC26</t>
        </is>
      </c>
      <c r="G140" s="33">
        <f>IF($A140="","",IF($C140="","",YEAR($C140)))</f>
      </c>
      <c r="H140" s="49">
        <v>1967</v>
      </c>
      <c r="I140" s="46" t="inlineStr">
        <is>
          <t xml:space="preserve">Mercedes-Benz</t>
        </is>
      </c>
      <c r="J140" s="46" t="inlineStr">
        <is>
          <t xml:space="preserve">AMG GT</t>
        </is>
      </c>
      <c r="K140" s="46" t="inlineStr">
        <is>
          <t xml:space="preserve">7GHKNR01BKH7S9YJZ</t>
        </is>
      </c>
      <c r="L140" s="48" t="inlineStr">
        <is>
          <t xml:space="preserve">02 - Sports / GT</t>
        </is>
      </c>
      <c r="M140" s="50">
        <v>1525000</v>
      </c>
      <c r="N140" s="48" t="inlineStr">
        <is>
          <t xml:space="preserve">Personal</t>
        </is>
      </c>
      <c r="O140" s="46" t="inlineStr">
        <is>
          <t xml:space="preserve">Personal - regular use</t>
        </is>
      </c>
      <c r="P140" s="46" t="inlineStr">
        <is>
          <t xml:space="preserve">2,500 - 5,000</t>
        </is>
      </c>
      <c r="Q140" s="46" t="inlineStr">
        <is>
          <t xml:space="preserve">New Mexico</t>
        </is>
      </c>
      <c r="R140" s="46" t="inlineStr">
        <is>
          <t xml:space="preserve">87501</t>
        </is>
      </c>
      <c r="S140" s="48" t="inlineStr">
        <is>
          <t xml:space="preserve">Wildfire - WUI high hazard</t>
        </is>
      </c>
      <c r="T140" s="36">
        <f>IF($A140="","",IF($S140="","",IFERROR(INDEX('[1]natural catastrophe'!$D$6:$D$17,MATCH($S140,'[1]natural catastrophe'!$B$6:$B$17,0)),"?")))</f>
      </c>
      <c r="U140" s="46" t="inlineStr">
        <is>
          <t xml:space="preserve">$5,000</t>
        </is>
      </c>
      <c r="V140" s="48" t="inlineStr">
        <is>
          <t xml:space="preserve">Agreed Value</t>
        </is>
      </c>
      <c r="W140" s="46" t="inlineStr">
        <is>
          <t xml:space="preserve">$1,000</t>
        </is>
      </c>
      <c r="X140" s="48" t="inlineStr">
        <is>
          <t xml:space="preserve">$1,000,000 CSL</t>
        </is>
      </c>
      <c r="Y140" s="46"/>
      <c r="Z140" s="46"/>
      <c r="AA140" s="48" t="inlineStr">
        <is>
          <t xml:space="preserve">Surplus Lines</t>
        </is>
      </c>
      <c r="AB140" s="50">
        <v>20256.6</v>
      </c>
      <c r="AC140" s="51">
        <v>0</v>
      </c>
      <c r="AD140" s="38">
        <f>IF(ISNUMBER($AB140),$AB140*(1+N($AC140)),"")</f>
      </c>
      <c r="AE140" s="50">
        <v>350</v>
      </c>
      <c r="AF140" s="50">
        <v>250</v>
      </c>
      <c r="AG140" s="51"/>
      <c r="AH140" s="39">
        <f>IF(ISNUMBER($AD140),($AD140+$AE140+$AF140)*$AG140,"")</f>
      </c>
      <c r="AI140" s="50"/>
      <c r="AJ140" s="38">
        <f>IF(ISNUMBER($AD140),SUM($AD140:$AH140),"")</f>
      </c>
      <c r="AK140" s="40">
        <f>IF(AND(ISNUMBER($AB140),ISNUMBER($AD140)),IF($AB140&gt;0,$AD140/$AB140,""),"")</f>
      </c>
      <c r="AL140" s="48" t="inlineStr">
        <is>
          <t xml:space="preserve">At technical</t>
        </is>
      </c>
      <c r="AM140" s="41">
        <f>IF(ISNUMBER($AD140),Header!$I$3,"")</f>
      </c>
      <c r="AN140" s="39">
        <f>IF(ISNUMBER($AD140),$AO140+$AP140,"")</f>
      </c>
      <c r="AO140" s="39">
        <f>IF(ISNUMBER($AD140),ROUND($AD140*Header!$K$3,2),"")</f>
      </c>
      <c r="AP140" s="39">
        <f>IF(ISNUMBER($AD140),ROUND($AD140*Header!$M$3,2),"")</f>
      </c>
      <c r="AQ140" s="38">
        <f>IF(ISNUMBER($AD140),ROUND($AD140,2)-$AO140-$AP140,"")</f>
      </c>
      <c r="AR140" s="39">
        <f>IF(ISNUMBER($AD140),IF(Header!$D$34="","?",$AD140*Header!$D$34),"")</f>
      </c>
      <c r="AS140" s="39">
        <f>IF(ISNUMBER($AB140),IF(Header!$D$34="","?",$AB140*Header!$D$34),"")</f>
      </c>
      <c r="AT140" s="42">
        <f>IF(AND(ISNUMBER($AB140),$M140&gt;0),$AB140/$M140*100,"")</f>
      </c>
      <c r="AU140" s="42">
        <f>IF(AND(ISNUMBER($AD140),$M140&gt;0),$AD140/$M140*100,"")</f>
      </c>
      <c r="AV140" s="40">
        <f>IF(AND(ISNUMBER($AB140),ISNUMBER($AD140),ABS($AB140)&gt;0),$AD140/$AB140,"")</f>
      </c>
      <c r="AW140" s="39">
        <f>IF(ISNUMBER($AD140),MAX(0,(1-0.55-Header!$O$3)*Header!$Q$3*$AQ140),"")</f>
      </c>
      <c r="AX140" s="43">
        <f>IF($A140="","",IF(TRIM(IF($A140="","Missing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",""))="","PASS","FAIL: "&amp;TRIM(IF($A140="","Missing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f>
      </c>
      <c r="AY140" s="44">
        <f>IF($M140="","",IF(ISNUMBER($M140),IF($M140&gt;=Header!$C$18,"YES — refer","No"),""))</f>
      </c>
      <c r="AZ140" s="44">
        <f>IF($AD140="","",IF(ISNUMBER($AD140),IF($AD140&lt;Header!$C$20,"BELOW MIN PREMIUM","OK"),""))</f>
      </c>
      <c r="BA140" s="48" t="inlineStr">
        <is>
          <t xml:space="preserve">Yes</t>
        </is>
      </c>
      <c r="BB140" s="48" t="inlineStr">
        <is>
          <t xml:space="preserve">Yes</t>
        </is>
      </c>
      <c r="BC140" s="46" t="inlineStr">
        <is>
          <t xml:space="preserve">Synthetic demo data</t>
        </is>
      </c>
      <c r="BE140" s="45">
        <f>IF(OR($A140="",$L140="",$H140=""),"",IF(AND(LEFT($L140,2)="06",$H140&gt;1945),"FAIL - pre-war class, year "&amp;$H140,IF(AND(LEFT($L140,2)="07",OR($H140&lt;1946,$H140&gt;1972)),"FAIL - 1946-72 class, year "&amp;$H140,IF(AND(LEFT($L140,2)="08",OR($H140&lt;1973,$H140&gt;1999)),"FAIL - 1973-99 class, year "&amp;$H140,IF(AND(LEFT($L140,2)="09",OR($H140&lt;2000,$H140&gt;2010)),"FAIL - 2000-10 class, year "&amp;$H140,"OK")))))</f>
      </c>
      <c r="BF140" s="45">
        <f>IF($AD140="","",IF(ROUND($AO140+$AP140+$AQ140-$AD140,2)=0,"OK","FAIL - out by "&amp;TEXT($AO140+$AP140+$AQ140-$AD140,"$0.00")))</f>
      </c>
    </row>
    <row r="141" spans="1:58" ht="18.75" customHeight="1" x14ac:dyDescent="0.25">
      <c r="A141" s="30" t="inlineStr">
        <is>
          <t xml:space="preserve">CANON-202508-000182</t>
        </is>
      </c>
      <c r="B141" s="30" t="inlineStr">
        <is>
          <t xml:space="preserve">Callum Vandermeer</t>
        </is>
      </c>
      <c r="C141" s="31">
        <v>45877</v>
      </c>
      <c r="D141" s="32" t="inlineStr">
        <is>
          <t xml:space="preserve">Bound - within authority</t>
        </is>
      </c>
      <c r="E141" s="32" t="inlineStr">
        <is>
          <t xml:space="preserve">New business</t>
        </is>
      </c>
      <c r="F141" s="30" t="inlineStr">
        <is>
          <t xml:space="preserve">B1234EXOTIC26</t>
        </is>
      </c>
      <c r="G141" s="33">
        <f>IF($A141="","",IF($C141="","",YEAR($C141)))</f>
      </c>
      <c r="H141" s="34">
        <v>1988</v>
      </c>
      <c r="I141" s="30" t="inlineStr">
        <is>
          <t xml:space="preserve">Mercedes-Benz</t>
        </is>
      </c>
      <c r="J141" s="30" t="inlineStr">
        <is>
          <t xml:space="preserve">280SL Pagoda</t>
        </is>
      </c>
      <c r="K141" s="30" t="inlineStr">
        <is>
          <t xml:space="preserve">KHJ7MGJS2CPVSGZA1</t>
        </is>
      </c>
      <c r="L141" s="32" t="inlineStr">
        <is>
          <t xml:space="preserve">08 - Modern Classic (1973-1999)</t>
        </is>
      </c>
      <c r="M141" s="35">
        <v>1315000</v>
      </c>
      <c r="N141" s="32" t="inlineStr">
        <is>
          <t xml:space="preserve">Personal</t>
        </is>
      </c>
      <c r="O141" s="30" t="inlineStr">
        <is>
          <t xml:space="preserve">Personal - regular use</t>
        </is>
      </c>
      <c r="P141" s="30" t="inlineStr">
        <is>
          <t xml:space="preserve">Under 1,000</t>
        </is>
      </c>
      <c r="Q141" s="30" t="inlineStr">
        <is>
          <t xml:space="preserve">Iowa</t>
        </is>
      </c>
      <c r="R141" s="30" t="inlineStr">
        <is>
          <t xml:space="preserve">50309</t>
        </is>
      </c>
      <c r="S141" s="32" t="inlineStr">
        <is>
          <t xml:space="preserve">Severe convective - hail alley (high)</t>
        </is>
      </c>
      <c r="T141" s="36">
        <f>IF($A141="","",IF($S141="","",IFERROR(INDEX('[1]natural catastrophe'!$D$6:$D$17,MATCH($S141,'[1]natural catastrophe'!$B$6:$B$17,0)),"?")))</f>
      </c>
      <c r="U141" s="30" t="inlineStr">
        <is>
          <t xml:space="preserve">$5,000</t>
        </is>
      </c>
      <c r="V141" s="32" t="inlineStr">
        <is>
          <t xml:space="preserve">Agreed Value</t>
        </is>
      </c>
      <c r="W141" s="30" t="inlineStr">
        <is>
          <t xml:space="preserve">$1,000</t>
        </is>
      </c>
      <c r="X141" s="32" t="inlineStr">
        <is>
          <t xml:space="preserve">$1,000,000 CSL</t>
        </is>
      </c>
      <c r="Y141" s="30"/>
      <c r="Z141" s="30"/>
      <c r="AA141" s="32" t="inlineStr">
        <is>
          <t xml:space="preserve">Surplus Lines</t>
        </is>
      </c>
      <c r="AB141" s="35">
        <v>10371.13</v>
      </c>
      <c r="AC141" s="37">
        <v>0</v>
      </c>
      <c r="AD141" s="38">
        <f>IF(ISNUMBER($AB141),$AB141*(1+N($AC141)),"")</f>
      </c>
      <c r="AE141" s="35">
        <v>350</v>
      </c>
      <c r="AF141" s="35">
        <v>250</v>
      </c>
      <c r="AG141" s="37"/>
      <c r="AH141" s="39">
        <f>IF(ISNUMBER($AD141),($AD141+$AE141+$AF141)*$AG141,"")</f>
      </c>
      <c r="AI141" s="35"/>
      <c r="AJ141" s="38">
        <f>IF(ISNUMBER($AD141),SUM($AD141:$AH141),"")</f>
      </c>
      <c r="AK141" s="40">
        <f>IF(AND(ISNUMBER($AB141),ISNUMBER($AD141)),IF($AB141&gt;0,$AD141/$AB141,""),"")</f>
      </c>
      <c r="AL141" s="32" t="inlineStr">
        <is>
          <t xml:space="preserve">At technical</t>
        </is>
      </c>
      <c r="AM141" s="41">
        <f>IF(ISNUMBER($AD141),Header!$I$3,"")</f>
      </c>
      <c r="AN141" s="39">
        <f>IF(ISNUMBER($AD141),$AO141+$AP141,"")</f>
      </c>
      <c r="AO141" s="39">
        <f>IF(ISNUMBER($AD141),ROUND($AD141*Header!$K$3,2),"")</f>
      </c>
      <c r="AP141" s="39">
        <f>IF(ISNUMBER($AD141),ROUND($AD141*Header!$M$3,2),"")</f>
      </c>
      <c r="AQ141" s="38">
        <f>IF(ISNUMBER($AD141),ROUND($AD141,2)-$AO141-$AP141,"")</f>
      </c>
      <c r="AR141" s="39">
        <f>IF(ISNUMBER($AD141),IF(Header!$D$34="","?",$AD141*Header!$D$34),"")</f>
      </c>
      <c r="AS141" s="39">
        <f>IF(ISNUMBER($AB141),IF(Header!$D$34="","?",$AB141*Header!$D$34),"")</f>
      </c>
      <c r="AT141" s="42">
        <f>IF(AND(ISNUMBER($AB141),$M141&gt;0),$AB141/$M141*100,"")</f>
      </c>
      <c r="AU141" s="42">
        <f>IF(AND(ISNUMBER($AD141),$M141&gt;0),$AD141/$M141*100,"")</f>
      </c>
      <c r="AV141" s="40">
        <f>IF(AND(ISNUMBER($AB141),ISNUMBER($AD141),ABS($AB141)&gt;0),$AD141/$AB141,"")</f>
      </c>
      <c r="AW141" s="39">
        <f>IF(ISNUMBER($AD141),MAX(0,(1-0.55-Header!$O$3)*Header!$Q$3*$AQ141),"")</f>
      </c>
      <c r="AX141" s="43">
        <f>IF($A141="","",IF(TRIM(IF($A141="","Missing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",""))="","PASS","FAIL: "&amp;TRIM(IF($A141="","Missing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f>
      </c>
      <c r="AY141" s="44">
        <f>IF($M141="","",IF(ISNUMBER($M141),IF($M141&gt;=Header!$C$18,"YES — refer","No"),""))</f>
      </c>
      <c r="AZ141" s="44">
        <f>IF($AD141="","",IF(ISNUMBER($AD141),IF($AD141&lt;Header!$C$20,"BELOW MIN PREMIUM","OK"),""))</f>
      </c>
      <c r="BA141" s="32" t="inlineStr">
        <is>
          <t xml:space="preserve">Yes</t>
        </is>
      </c>
      <c r="BB141" s="32" t="inlineStr">
        <is>
          <t xml:space="preserve">Yes</t>
        </is>
      </c>
      <c r="BC141" s="30" t="inlineStr">
        <is>
          <t xml:space="preserve">Synthetic demo data</t>
        </is>
      </c>
      <c r="BE141" s="45">
        <f>IF(OR($A141="",$L141="",$H141=""),"",IF(AND(LEFT($L141,2)="06",$H141&gt;1945),"FAIL - pre-war class, year "&amp;$H141,IF(AND(LEFT($L141,2)="07",OR($H141&lt;1946,$H141&gt;1972)),"FAIL - 1946-72 class, year "&amp;$H141,IF(AND(LEFT($L141,2)="08",OR($H141&lt;1973,$H141&gt;1999)),"FAIL - 1973-99 class, year "&amp;$H141,IF(AND(LEFT($L141,2)="09",OR($H141&lt;2000,$H141&gt;2010)),"FAIL - 2000-10 class, year "&amp;$H141,"OK")))))</f>
      </c>
      <c r="BF141" s="45">
        <f>IF($AD141="","",IF(ROUND($AO141+$AP141+$AQ141-$AD141,2)=0,"OK","FAIL - out by "&amp;TEXT($AO141+$AP141+$AQ141-$AD141,"$0.00")))</f>
      </c>
    </row>
    <row r="142" spans="1:58" ht="18.75" customHeight="1" x14ac:dyDescent="0.25">
      <c r="A142" s="46" t="inlineStr">
        <is>
          <t xml:space="preserve">CANON-202508-000184</t>
        </is>
      </c>
      <c r="B142" s="46" t="inlineStr">
        <is>
          <t xml:space="preserve">Sunniva Nakashima</t>
        </is>
      </c>
      <c r="C142" s="47">
        <v>45896</v>
      </c>
      <c r="D142" s="48" t="inlineStr">
        <is>
          <t xml:space="preserve">Bound - within authority</t>
        </is>
      </c>
      <c r="E142" s="48" t="inlineStr">
        <is>
          <t xml:space="preserve">New business</t>
        </is>
      </c>
      <c r="F142" s="46" t="inlineStr">
        <is>
          <t xml:space="preserve">B1234EXOTIC26</t>
        </is>
      </c>
      <c r="G142" s="33">
        <f>IF($A142="","",IF($C142="","",YEAR($C142)))</f>
      </c>
      <c r="H142" s="49">
        <v>1986</v>
      </c>
      <c r="I142" s="46" t="inlineStr">
        <is>
          <t xml:space="preserve">Bugatti</t>
        </is>
      </c>
      <c r="J142" s="46" t="inlineStr">
        <is>
          <t xml:space="preserve">Type 57</t>
        </is>
      </c>
      <c r="K142" s="46" t="inlineStr">
        <is>
          <t xml:space="preserve">348E7DC0ADXF7U2L0</t>
        </is>
      </c>
      <c r="L142" s="48" t="inlineStr">
        <is>
          <t xml:space="preserve">08 - Modern Classic (1973-1999)</t>
        </is>
      </c>
      <c r="M142" s="50">
        <v>1015000</v>
      </c>
      <c r="N142" s="48" t="inlineStr">
        <is>
          <t xml:space="preserve">Personal</t>
        </is>
      </c>
      <c r="O142" s="46" t="inlineStr">
        <is>
          <t xml:space="preserve">Personal - regular use</t>
        </is>
      </c>
      <c r="P142" s="46" t="inlineStr">
        <is>
          <t xml:space="preserve">Under 1,000</t>
        </is>
      </c>
      <c r="Q142" s="46" t="inlineStr">
        <is>
          <t xml:space="preserve">Minnesota</t>
        </is>
      </c>
      <c r="R142" s="46" t="inlineStr">
        <is>
          <t xml:space="preserve">55401</t>
        </is>
      </c>
      <c r="S142" s="48" t="inlineStr">
        <is>
          <t xml:space="preserve">Severe convective - hail / tornado (moderate)</t>
        </is>
      </c>
      <c r="T142" s="36">
        <f>IF($A142="","",IF($S142="","",IFERROR(INDEX('[1]natural catastrophe'!$D$6:$D$17,MATCH($S142,'[1]natural catastrophe'!$B$6:$B$17,0)),"?")))</f>
      </c>
      <c r="U142" s="46" t="inlineStr">
        <is>
          <t xml:space="preserve">$5,000</t>
        </is>
      </c>
      <c r="V142" s="48" t="inlineStr">
        <is>
          <t xml:space="preserve">Agreed Value</t>
        </is>
      </c>
      <c r="W142" s="46" t="inlineStr">
        <is>
          <t xml:space="preserve">$1,000</t>
        </is>
      </c>
      <c r="X142" s="48" t="inlineStr">
        <is>
          <t xml:space="preserve">$1,000,000 CSL</t>
        </is>
      </c>
      <c r="Y142" s="46"/>
      <c r="Z142" s="46"/>
      <c r="AA142" s="48" t="inlineStr">
        <is>
          <t xml:space="preserve">Surplus Lines</t>
        </is>
      </c>
      <c r="AB142" s="50">
        <v>8594.94</v>
      </c>
      <c r="AC142" s="51">
        <v>0</v>
      </c>
      <c r="AD142" s="38">
        <f>IF(ISNUMBER($AB142),$AB142*(1+N($AC142)),"")</f>
      </c>
      <c r="AE142" s="50">
        <v>350</v>
      </c>
      <c r="AF142" s="50">
        <v>250</v>
      </c>
      <c r="AG142" s="51"/>
      <c r="AH142" s="39">
        <f>IF(ISNUMBER($AD142),($AD142+$AE142+$AF142)*$AG142,"")</f>
      </c>
      <c r="AI142" s="50"/>
      <c r="AJ142" s="38">
        <f>IF(ISNUMBER($AD142),SUM($AD142:$AH142),"")</f>
      </c>
      <c r="AK142" s="40">
        <f>IF(AND(ISNUMBER($AB142),ISNUMBER($AD142)),IF($AB142&gt;0,$AD142/$AB142,""),"")</f>
      </c>
      <c r="AL142" s="48" t="inlineStr">
        <is>
          <t xml:space="preserve">At technical</t>
        </is>
      </c>
      <c r="AM142" s="41">
        <f>IF(ISNUMBER($AD142),Header!$I$3,"")</f>
      </c>
      <c r="AN142" s="39">
        <f>IF(ISNUMBER($AD142),$AO142+$AP142,"")</f>
      </c>
      <c r="AO142" s="39">
        <f>IF(ISNUMBER($AD142),ROUND($AD142*Header!$K$3,2),"")</f>
      </c>
      <c r="AP142" s="39">
        <f>IF(ISNUMBER($AD142),ROUND($AD142*Header!$M$3,2),"")</f>
      </c>
      <c r="AQ142" s="38">
        <f>IF(ISNUMBER($AD142),ROUND($AD142,2)-$AO142-$AP142,"")</f>
      </c>
      <c r="AR142" s="39">
        <f>IF(ISNUMBER($AD142),IF(Header!$D$34="","?",$AD142*Header!$D$34),"")</f>
      </c>
      <c r="AS142" s="39">
        <f>IF(ISNUMBER($AB142),IF(Header!$D$34="","?",$AB142*Header!$D$34),"")</f>
      </c>
      <c r="AT142" s="42">
        <f>IF(AND(ISNUMBER($AB142),$M142&gt;0),$AB142/$M142*100,"")</f>
      </c>
      <c r="AU142" s="42">
        <f>IF(AND(ISNUMBER($AD142),$M142&gt;0),$AD142/$M142*100,"")</f>
      </c>
      <c r="AV142" s="40">
        <f>IF(AND(ISNUMBER($AB142),ISNUMBER($AD142),ABS($AB142)&gt;0),$AD142/$AB142,"")</f>
      </c>
      <c r="AW142" s="39">
        <f>IF(ISNUMBER($AD142),MAX(0,(1-0.55-Header!$O$3)*Header!$Q$3*$AQ142),"")</f>
      </c>
      <c r="AX142" s="43">
        <f>IF($A142="","",IF(TRIM(IF($A142="","Missing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",""))="","PASS","FAIL: "&amp;TRIM(IF($A142="","Missing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f>
      </c>
      <c r="AY142" s="44">
        <f>IF($M142="","",IF(ISNUMBER($M142),IF($M142&gt;=Header!$C$18,"YES — refer","No"),""))</f>
      </c>
      <c r="AZ142" s="44">
        <f>IF($AD142="","",IF(ISNUMBER($AD142),IF($AD142&lt;Header!$C$20,"BELOW MIN PREMIUM","OK"),""))</f>
      </c>
      <c r="BA142" s="48" t="inlineStr">
        <is>
          <t xml:space="preserve">Yes</t>
        </is>
      </c>
      <c r="BB142" s="48" t="inlineStr">
        <is>
          <t xml:space="preserve">Yes</t>
        </is>
      </c>
      <c r="BC142" s="46" t="inlineStr">
        <is>
          <t xml:space="preserve">Synthetic demo data</t>
        </is>
      </c>
      <c r="BE142" s="45">
        <f>IF(OR($A142="",$L142="",$H142=""),"",IF(AND(LEFT($L142,2)="06",$H142&gt;1945),"FAIL - pre-war class, year "&amp;$H142,IF(AND(LEFT($L142,2)="07",OR($H142&lt;1946,$H142&gt;1972)),"FAIL - 1946-72 class, year "&amp;$H142,IF(AND(LEFT($L142,2)="08",OR($H142&lt;1973,$H142&gt;1999)),"FAIL - 1973-99 class, year "&amp;$H142,IF(AND(LEFT($L142,2)="09",OR($H142&lt;2000,$H142&gt;2010)),"FAIL - 2000-10 class, year "&amp;$H142,"OK")))))</f>
      </c>
      <c r="BF142" s="45">
        <f>IF($AD142="","",IF(ROUND($AO142+$AP142+$AQ142-$AD142,2)=0,"OK","FAIL - out by "&amp;TEXT($AO142+$AP142+$AQ142-$AD142,"$0.00")))</f>
      </c>
    </row>
    <row r="143" spans="1:58" ht="18.75" customHeight="1" x14ac:dyDescent="0.25">
      <c r="A143" s="30" t="inlineStr">
        <is>
          <t xml:space="preserve">CANON-202508-000185</t>
        </is>
      </c>
      <c r="B143" s="30" t="inlineStr">
        <is>
          <t xml:space="preserve">Ramona Montoya</t>
        </is>
      </c>
      <c r="C143" s="31">
        <v>45900</v>
      </c>
      <c r="D143" s="32" t="inlineStr">
        <is>
          <t xml:space="preserve">Bound - within authority</t>
        </is>
      </c>
      <c r="E143" s="32" t="inlineStr">
        <is>
          <t xml:space="preserve">New business</t>
        </is>
      </c>
      <c r="F143" s="30" t="inlineStr">
        <is>
          <t xml:space="preserve">B1234EXOTIC26</t>
        </is>
      </c>
      <c r="G143" s="33">
        <f>IF($A143="","",IF($C143="","",YEAR($C143)))</f>
      </c>
      <c r="H143" s="34">
        <v>2016</v>
      </c>
      <c r="I143" s="30" t="inlineStr">
        <is>
          <t xml:space="preserve">Bentley</t>
        </is>
      </c>
      <c r="J143" s="30" t="inlineStr">
        <is>
          <t xml:space="preserve">Continental GT</t>
        </is>
      </c>
      <c r="K143" s="30" t="inlineStr">
        <is>
          <t xml:space="preserve">0E8T698AE9TD441TY</t>
        </is>
      </c>
      <c r="L143" s="32" t="inlineStr">
        <is>
          <t xml:space="preserve">02 - Sports / GT</t>
        </is>
      </c>
      <c r="M143" s="35">
        <v>485000</v>
      </c>
      <c r="N143" s="32" t="inlineStr">
        <is>
          <t xml:space="preserve">Personal</t>
        </is>
      </c>
      <c r="O143" s="30" t="inlineStr">
        <is>
          <t xml:space="preserve">Personal - regular use</t>
        </is>
      </c>
      <c r="P143" s="30" t="inlineStr">
        <is>
          <t xml:space="preserve">Under 1,000</t>
        </is>
      </c>
      <c r="Q143" s="30" t="inlineStr">
        <is>
          <t xml:space="preserve">New York</t>
        </is>
      </c>
      <c r="R143" s="30" t="inlineStr">
        <is>
          <t xml:space="preserve">10022</t>
        </is>
      </c>
      <c r="S143" s="32" t="inlineStr">
        <is>
          <t xml:space="preserve">Tier 3 - Coastal wind (25-100 miles)</t>
        </is>
      </c>
      <c r="T143" s="36">
        <f>IF($A143="","",IF($S143="","",IFERROR(INDEX('[1]natural catastrophe'!$D$6:$D$17,MATCH($S143,'[1]natural catastrophe'!$B$6:$B$17,0)),"?")))</f>
      </c>
      <c r="U143" s="30" t="inlineStr">
        <is>
          <t xml:space="preserve">2% of agreed value, minimum $10,000</t>
        </is>
      </c>
      <c r="V143" s="32" t="inlineStr">
        <is>
          <t xml:space="preserve">Agreed Value</t>
        </is>
      </c>
      <c r="W143" s="30" t="inlineStr">
        <is>
          <t xml:space="preserve">$1,000</t>
        </is>
      </c>
      <c r="X143" s="32" t="inlineStr">
        <is>
          <t xml:space="preserve">$1,000,000 CSL</t>
        </is>
      </c>
      <c r="Y143" s="30"/>
      <c r="Z143" s="30"/>
      <c r="AA143" s="32" t="inlineStr">
        <is>
          <t xml:space="preserve">Surplus Lines</t>
        </is>
      </c>
      <c r="AB143" s="35">
        <v>8784.91</v>
      </c>
      <c r="AC143" s="37">
        <v>0</v>
      </c>
      <c r="AD143" s="38">
        <f>IF(ISNUMBER($AB143),$AB143*(1+N($AC143)),"")</f>
      </c>
      <c r="AE143" s="35">
        <v>350</v>
      </c>
      <c r="AF143" s="35">
        <v>0</v>
      </c>
      <c r="AG143" s="37"/>
      <c r="AH143" s="39">
        <f>IF(ISNUMBER($AD143),($AD143+$AE143+$AF143)*$AG143,"")</f>
      </c>
      <c r="AI143" s="35"/>
      <c r="AJ143" s="38">
        <f>IF(ISNUMBER($AD143),SUM($AD143:$AH143),"")</f>
      </c>
      <c r="AK143" s="40">
        <f>IF(AND(ISNUMBER($AB143),ISNUMBER($AD143)),IF($AB143&gt;0,$AD143/$AB143,""),"")</f>
      </c>
      <c r="AL143" s="32" t="inlineStr">
        <is>
          <t xml:space="preserve">At technical</t>
        </is>
      </c>
      <c r="AM143" s="41">
        <f>IF(ISNUMBER($AD143),Header!$I$3,"")</f>
      </c>
      <c r="AN143" s="39">
        <f>IF(ISNUMBER($AD143),$AO143+$AP143,"")</f>
      </c>
      <c r="AO143" s="39">
        <f>IF(ISNUMBER($AD143),ROUND($AD143*Header!$K$3,2),"")</f>
      </c>
      <c r="AP143" s="39">
        <f>IF(ISNUMBER($AD143),ROUND($AD143*Header!$M$3,2),"")</f>
      </c>
      <c r="AQ143" s="38">
        <f>IF(ISNUMBER($AD143),ROUND($AD143,2)-$AO143-$AP143,"")</f>
      </c>
      <c r="AR143" s="39">
        <f>IF(ISNUMBER($AD143),IF(Header!$D$34="","?",$AD143*Header!$D$34),"")</f>
      </c>
      <c r="AS143" s="39">
        <f>IF(ISNUMBER($AB143),IF(Header!$D$34="","?",$AB143*Header!$D$34),"")</f>
      </c>
      <c r="AT143" s="42">
        <f>IF(AND(ISNUMBER($AB143),$M143&gt;0),$AB143/$M143*100,"")</f>
      </c>
      <c r="AU143" s="42">
        <f>IF(AND(ISNUMBER($AD143),$M143&gt;0),$AD143/$M143*100,"")</f>
      </c>
      <c r="AV143" s="40">
        <f>IF(AND(ISNUMBER($AB143),ISNUMBER($AD143),ABS($AB143)&gt;0),$AD143/$AB143,"")</f>
      </c>
      <c r="AW143" s="39">
        <f>IF(ISNUMBER($AD143),MAX(0,(1-0.55-Header!$O$3)*Header!$Q$3*$AQ143),"")</f>
      </c>
      <c r="AX143" s="43">
        <f>IF($A143="","",IF(TRIM(IF($A143="","Missing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",""))="","PASS","FAIL: "&amp;TRIM(IF($A143="","Missing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f>
      </c>
      <c r="AY143" s="44">
        <f>IF($M143="","",IF(ISNUMBER($M143),IF($M143&gt;=Header!$C$18,"YES — refer","No"),""))</f>
      </c>
      <c r="AZ143" s="44">
        <f>IF($AD143="","",IF(ISNUMBER($AD143),IF($AD143&lt;Header!$C$20,"BELOW MIN PREMIUM","OK"),""))</f>
      </c>
      <c r="BA143" s="32" t="inlineStr">
        <is>
          <t xml:space="preserve">Yes</t>
        </is>
      </c>
      <c r="BB143" s="32" t="inlineStr">
        <is>
          <t xml:space="preserve">Yes</t>
        </is>
      </c>
      <c r="BC143" s="30" t="inlineStr">
        <is>
          <t xml:space="preserve">Synthetic demo data</t>
        </is>
      </c>
      <c r="BE143" s="45">
        <f>IF(OR($A143="",$L143="",$H143=""),"",IF(AND(LEFT($L143,2)="06",$H143&gt;1945),"FAIL - pre-war class, year "&amp;$H143,IF(AND(LEFT($L143,2)="07",OR($H143&lt;1946,$H143&gt;1972)),"FAIL - 1946-72 class, year "&amp;$H143,IF(AND(LEFT($L143,2)="08",OR($H143&lt;1973,$H143&gt;1999)),"FAIL - 1973-99 class, year "&amp;$H143,IF(AND(LEFT($L143,2)="09",OR($H143&lt;2000,$H143&gt;2010)),"FAIL - 2000-10 class, year "&amp;$H143,"OK")))))</f>
      </c>
      <c r="BF143" s="45">
        <f>IF($AD143="","",IF(ROUND($AO143+$AP143+$AQ143-$AD143,2)=0,"OK","FAIL - out by "&amp;TEXT($AO143+$AP143+$AQ143-$AD143,"$0.00")))</f>
      </c>
    </row>
    <row r="144" spans="1:58" ht="18.75" customHeight="1" x14ac:dyDescent="0.25">
      <c r="A144" s="46" t="inlineStr">
        <is>
          <t xml:space="preserve">CANON-202508-000186</t>
        </is>
      </c>
      <c r="B144" s="46" t="inlineStr">
        <is>
          <t xml:space="preserve">Ramona Pennington</t>
        </is>
      </c>
      <c r="C144" s="47">
        <v>45900</v>
      </c>
      <c r="D144" s="48" t="inlineStr">
        <is>
          <t xml:space="preserve">Bound - within authority</t>
        </is>
      </c>
      <c r="E144" s="48" t="inlineStr">
        <is>
          <t xml:space="preserve">New business</t>
        </is>
      </c>
      <c r="F144" s="46" t="inlineStr">
        <is>
          <t xml:space="preserve">B1234EXOTIC26</t>
        </is>
      </c>
      <c r="G144" s="33">
        <f>IF($A144="","",IF($C144="","",YEAR($C144)))</f>
      </c>
      <c r="H144" s="49">
        <v>2010</v>
      </c>
      <c r="I144" s="46" t="inlineStr">
        <is>
          <t xml:space="preserve">Bentley</t>
        </is>
      </c>
      <c r="J144" s="46" t="inlineStr">
        <is>
          <t xml:space="preserve">Continental GT</t>
        </is>
      </c>
      <c r="K144" s="46" t="inlineStr">
        <is>
          <t xml:space="preserve">2YY49J8J4MBB7G65U</t>
        </is>
      </c>
      <c r="L144" s="48" t="inlineStr">
        <is>
          <t xml:space="preserve">02 - Sports / GT</t>
        </is>
      </c>
      <c r="M144" s="50">
        <v>315000</v>
      </c>
      <c r="N144" s="48" t="inlineStr">
        <is>
          <t xml:space="preserve">Personal</t>
        </is>
      </c>
      <c r="O144" s="46" t="inlineStr">
        <is>
          <t xml:space="preserve">Personal - regular use</t>
        </is>
      </c>
      <c r="P144" s="46" t="inlineStr">
        <is>
          <t xml:space="preserve">1,000 - 2,500</t>
        </is>
      </c>
      <c r="Q144" s="46" t="inlineStr">
        <is>
          <t xml:space="preserve">Virginia</t>
        </is>
      </c>
      <c r="R144" s="46" t="inlineStr">
        <is>
          <t xml:space="preserve">23219</t>
        </is>
      </c>
      <c r="S144" s="48" t="inlineStr">
        <is>
          <t xml:space="preserve">Tier 3 - Coastal wind (25-100 miles)</t>
        </is>
      </c>
      <c r="T144" s="36">
        <f>IF($A144="","",IF($S144="","",IFERROR(INDEX('[1]natural catastrophe'!$D$6:$D$17,MATCH($S144,'[1]natural catastrophe'!$B$6:$B$17,0)),"?")))</f>
      </c>
      <c r="U144" s="46" t="inlineStr">
        <is>
          <t xml:space="preserve">2% of agreed value, minimum $10,000</t>
        </is>
      </c>
      <c r="V144" s="48" t="inlineStr">
        <is>
          <t xml:space="preserve">Agreed Value</t>
        </is>
      </c>
      <c r="W144" s="46" t="inlineStr">
        <is>
          <t xml:space="preserve">$1,000</t>
        </is>
      </c>
      <c r="X144" s="48" t="inlineStr">
        <is>
          <t xml:space="preserve">$1,000,000 CSL</t>
        </is>
      </c>
      <c r="Y144" s="46"/>
      <c r="Z144" s="46"/>
      <c r="AA144" s="48" t="inlineStr">
        <is>
          <t xml:space="preserve">Surplus Lines</t>
        </is>
      </c>
      <c r="AB144" s="50">
        <v>4858.73</v>
      </c>
      <c r="AC144" s="51">
        <v>0</v>
      </c>
      <c r="AD144" s="38">
        <f>IF(ISNUMBER($AB144),$AB144*(1+N($AC144)),"")</f>
      </c>
      <c r="AE144" s="50">
        <v>350</v>
      </c>
      <c r="AF144" s="50">
        <v>0</v>
      </c>
      <c r="AG144" s="51"/>
      <c r="AH144" s="39">
        <f>IF(ISNUMBER($AD144),($AD144+$AE144+$AF144)*$AG144,"")</f>
      </c>
      <c r="AI144" s="50"/>
      <c r="AJ144" s="38">
        <f>IF(ISNUMBER($AD144),SUM($AD144:$AH144),"")</f>
      </c>
      <c r="AK144" s="40">
        <f>IF(AND(ISNUMBER($AB144),ISNUMBER($AD144)),IF($AB144&gt;0,$AD144/$AB144,""),"")</f>
      </c>
      <c r="AL144" s="48" t="inlineStr">
        <is>
          <t xml:space="preserve">At technical</t>
        </is>
      </c>
      <c r="AM144" s="41">
        <f>IF(ISNUMBER($AD144),Header!$I$3,"")</f>
      </c>
      <c r="AN144" s="39">
        <f>IF(ISNUMBER($AD144),$AO144+$AP144,"")</f>
      </c>
      <c r="AO144" s="39">
        <f>IF(ISNUMBER($AD144),ROUND($AD144*Header!$K$3,2),"")</f>
      </c>
      <c r="AP144" s="39">
        <f>IF(ISNUMBER($AD144),ROUND($AD144*Header!$M$3,2),"")</f>
      </c>
      <c r="AQ144" s="38">
        <f>IF(ISNUMBER($AD144),ROUND($AD144,2)-$AO144-$AP144,"")</f>
      </c>
      <c r="AR144" s="39">
        <f>IF(ISNUMBER($AD144),IF(Header!$D$34="","?",$AD144*Header!$D$34),"")</f>
      </c>
      <c r="AS144" s="39">
        <f>IF(ISNUMBER($AB144),IF(Header!$D$34="","?",$AB144*Header!$D$34),"")</f>
      </c>
      <c r="AT144" s="42">
        <f>IF(AND(ISNUMBER($AB144),$M144&gt;0),$AB144/$M144*100,"")</f>
      </c>
      <c r="AU144" s="42">
        <f>IF(AND(ISNUMBER($AD144),$M144&gt;0),$AD144/$M144*100,"")</f>
      </c>
      <c r="AV144" s="40">
        <f>IF(AND(ISNUMBER($AB144),ISNUMBER($AD144),ABS($AB144)&gt;0),$AD144/$AB144,"")</f>
      </c>
      <c r="AW144" s="39">
        <f>IF(ISNUMBER($AD144),MAX(0,(1-0.55-Header!$O$3)*Header!$Q$3*$AQ144),"")</f>
      </c>
      <c r="AX144" s="43">
        <f>IF($A144="","",IF(TRIM(IF($A144="","Missing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",""))="","PASS","FAIL: "&amp;TRIM(IF($A144="","Missing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f>
      </c>
      <c r="AY144" s="44">
        <f>IF($M144="","",IF(ISNUMBER($M144),IF($M144&gt;=Header!$C$18,"YES — refer","No"),""))</f>
      </c>
      <c r="AZ144" s="44">
        <f>IF($AD144="","",IF(ISNUMBER($AD144),IF($AD144&lt;Header!$C$20,"BELOW MIN PREMIUM","OK"),""))</f>
      </c>
      <c r="BA144" s="48" t="inlineStr">
        <is>
          <t xml:space="preserve">Yes</t>
        </is>
      </c>
      <c r="BB144" s="48" t="inlineStr">
        <is>
          <t xml:space="preserve">Yes</t>
        </is>
      </c>
      <c r="BC144" s="46" t="inlineStr">
        <is>
          <t xml:space="preserve">Synthetic demo data</t>
        </is>
      </c>
      <c r="BE144" s="45">
        <f>IF(OR($A144="",$L144="",$H144=""),"",IF(AND(LEFT($L144,2)="06",$H144&gt;1945),"FAIL - pre-war class, year "&amp;$H144,IF(AND(LEFT($L144,2)="07",OR($H144&lt;1946,$H144&gt;1972)),"FAIL - 1946-72 class, year "&amp;$H144,IF(AND(LEFT($L144,2)="08",OR($H144&lt;1973,$H144&gt;1999)),"FAIL - 1973-99 class, year "&amp;$H144,IF(AND(LEFT($L144,2)="09",OR($H144&lt;2000,$H144&gt;2010)),"FAIL - 2000-10 class, year "&amp;$H144,"OK")))))</f>
      </c>
      <c r="BF144" s="45">
        <f>IF($AD144="","",IF(ROUND($AO144+$AP144+$AQ144-$AD144,2)=0,"OK","FAIL - out by "&amp;TEXT($AO144+$AP144+$AQ144-$AD144,"$0.00")))</f>
      </c>
    </row>
    <row r="145" spans="1:58" ht="18.75" customHeight="1" x14ac:dyDescent="0.25">
      <c r="A145" s="30" t="inlineStr">
        <is>
          <t xml:space="preserve">CANON-202508-000187</t>
        </is>
      </c>
      <c r="B145" s="30" t="inlineStr">
        <is>
          <t xml:space="preserve">Anouk Delacroix</t>
        </is>
      </c>
      <c r="C145" s="31">
        <v>45878</v>
      </c>
      <c r="D145" s="32" t="inlineStr">
        <is>
          <t xml:space="preserve">Bound - within authority</t>
        </is>
      </c>
      <c r="E145" s="32" t="inlineStr">
        <is>
          <t xml:space="preserve">New business</t>
        </is>
      </c>
      <c r="F145" s="30" t="inlineStr">
        <is>
          <t xml:space="preserve">B1234EXOTIC26</t>
        </is>
      </c>
      <c r="G145" s="33">
        <f>IF($A145="","",IF($C145="","",YEAR($C145)))</f>
      </c>
      <c r="H145" s="34">
        <v>2016</v>
      </c>
      <c r="I145" s="30" t="inlineStr">
        <is>
          <t xml:space="preserve">Jaguar</t>
        </is>
      </c>
      <c r="J145" s="30" t="inlineStr">
        <is>
          <t xml:space="preserve">E-Type Series 1</t>
        </is>
      </c>
      <c r="K145" s="30" t="inlineStr">
        <is>
          <t xml:space="preserve">CLCESCX92VLJJ1WKK</t>
        </is>
      </c>
      <c r="L145" s="32" t="inlineStr">
        <is>
          <t xml:space="preserve">02 - Sports / GT</t>
        </is>
      </c>
      <c r="M145" s="35">
        <v>480000</v>
      </c>
      <c r="N145" s="32" t="inlineStr">
        <is>
          <t xml:space="preserve">Personal</t>
        </is>
      </c>
      <c r="O145" s="30" t="inlineStr">
        <is>
          <t xml:space="preserve">Personal - regular use</t>
        </is>
      </c>
      <c r="P145" s="30" t="inlineStr">
        <is>
          <t xml:space="preserve">2,500 - 5,000</t>
        </is>
      </c>
      <c r="Q145" s="30" t="inlineStr">
        <is>
          <t xml:space="preserve">Minnesota</t>
        </is>
      </c>
      <c r="R145" s="30" t="inlineStr">
        <is>
          <t xml:space="preserve">55401</t>
        </is>
      </c>
      <c r="S145" s="32" t="inlineStr">
        <is>
          <t xml:space="preserve">Severe convective - hail / tornado (moderate)</t>
        </is>
      </c>
      <c r="T145" s="36">
        <f>IF($A145="","",IF($S145="","",IFERROR(INDEX('[1]natural catastrophe'!$D$6:$D$17,MATCH($S145,'[1]natural catastrophe'!$B$6:$B$17,0)),"?")))</f>
      </c>
      <c r="U145" s="30" t="inlineStr">
        <is>
          <t xml:space="preserve">$5,000</t>
        </is>
      </c>
      <c r="V145" s="32" t="inlineStr">
        <is>
          <t xml:space="preserve">Agreed Value</t>
        </is>
      </c>
      <c r="W145" s="30" t="inlineStr">
        <is>
          <t xml:space="preserve">$1,000</t>
        </is>
      </c>
      <c r="X145" s="32" t="inlineStr">
        <is>
          <t xml:space="preserve">$1,000,000 CSL</t>
        </is>
      </c>
      <c r="Y145" s="30"/>
      <c r="Z145" s="30"/>
      <c r="AA145" s="32" t="inlineStr">
        <is>
          <t xml:space="preserve">Surplus Lines</t>
        </is>
      </c>
      <c r="AB145" s="35">
        <v>5738.26</v>
      </c>
      <c r="AC145" s="37">
        <v>0</v>
      </c>
      <c r="AD145" s="38">
        <f>IF(ISNUMBER($AB145),$AB145*(1+N($AC145)),"")</f>
      </c>
      <c r="AE145" s="35">
        <v>350</v>
      </c>
      <c r="AF145" s="35">
        <v>0</v>
      </c>
      <c r="AG145" s="37"/>
      <c r="AH145" s="39">
        <f>IF(ISNUMBER($AD145),($AD145+$AE145+$AF145)*$AG145,"")</f>
      </c>
      <c r="AI145" s="35"/>
      <c r="AJ145" s="38">
        <f>IF(ISNUMBER($AD145),SUM($AD145:$AH145),"")</f>
      </c>
      <c r="AK145" s="40">
        <f>IF(AND(ISNUMBER($AB145),ISNUMBER($AD145)),IF($AB145&gt;0,$AD145/$AB145,""),"")</f>
      </c>
      <c r="AL145" s="32" t="inlineStr">
        <is>
          <t xml:space="preserve">At technical</t>
        </is>
      </c>
      <c r="AM145" s="41">
        <f>IF(ISNUMBER($AD145),Header!$I$3,"")</f>
      </c>
      <c r="AN145" s="39">
        <f>IF(ISNUMBER($AD145),$AO145+$AP145,"")</f>
      </c>
      <c r="AO145" s="39">
        <f>IF(ISNUMBER($AD145),ROUND($AD145*Header!$K$3,2),"")</f>
      </c>
      <c r="AP145" s="39">
        <f>IF(ISNUMBER($AD145),ROUND($AD145*Header!$M$3,2),"")</f>
      </c>
      <c r="AQ145" s="38">
        <f>IF(ISNUMBER($AD145),ROUND($AD145,2)-$AO145-$AP145,"")</f>
      </c>
      <c r="AR145" s="39">
        <f>IF(ISNUMBER($AD145),IF(Header!$D$34="","?",$AD145*Header!$D$34),"")</f>
      </c>
      <c r="AS145" s="39">
        <f>IF(ISNUMBER($AB145),IF(Header!$D$34="","?",$AB145*Header!$D$34),"")</f>
      </c>
      <c r="AT145" s="42">
        <f>IF(AND(ISNUMBER($AB145),$M145&gt;0),$AB145/$M145*100,"")</f>
      </c>
      <c r="AU145" s="42">
        <f>IF(AND(ISNUMBER($AD145),$M145&gt;0),$AD145/$M145*100,"")</f>
      </c>
      <c r="AV145" s="40">
        <f>IF(AND(ISNUMBER($AB145),ISNUMBER($AD145),ABS($AB145)&gt;0),$AD145/$AB145,"")</f>
      </c>
      <c r="AW145" s="39">
        <f>IF(ISNUMBER($AD145),MAX(0,(1-0.55-Header!$O$3)*Header!$Q$3*$AQ145),"")</f>
      </c>
      <c r="AX145" s="43">
        <f>IF($A145="","",IF(TRIM(IF($A145="","Missing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",""))="","PASS","FAIL: "&amp;TRIM(IF($A145="","Missing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f>
      </c>
      <c r="AY145" s="44">
        <f>IF($M145="","",IF(ISNUMBER($M145),IF($M145&gt;=Header!$C$18,"YES — refer","No"),""))</f>
      </c>
      <c r="AZ145" s="44">
        <f>IF($AD145="","",IF(ISNUMBER($AD145),IF($AD145&lt;Header!$C$20,"BELOW MIN PREMIUM","OK"),""))</f>
      </c>
      <c r="BA145" s="32" t="inlineStr">
        <is>
          <t xml:space="preserve">Yes</t>
        </is>
      </c>
      <c r="BB145" s="32" t="inlineStr">
        <is>
          <t xml:space="preserve">Yes</t>
        </is>
      </c>
      <c r="BC145" s="30" t="inlineStr">
        <is>
          <t xml:space="preserve">Synthetic demo data</t>
        </is>
      </c>
      <c r="BE145" s="45">
        <f>IF(OR($A145="",$L145="",$H145=""),"",IF(AND(LEFT($L145,2)="06",$H145&gt;1945),"FAIL - pre-war class, year "&amp;$H145,IF(AND(LEFT($L145,2)="07",OR($H145&lt;1946,$H145&gt;1972)),"FAIL - 1946-72 class, year "&amp;$H145,IF(AND(LEFT($L145,2)="08",OR($H145&lt;1973,$H145&gt;1999)),"FAIL - 1973-99 class, year "&amp;$H145,IF(AND(LEFT($L145,2)="09",OR($H145&lt;2000,$H145&gt;2010)),"FAIL - 2000-10 class, year "&amp;$H145,"OK")))))</f>
      </c>
      <c r="BF145" s="45">
        <f>IF($AD145="","",IF(ROUND($AO145+$AP145+$AQ145-$AD145,2)=0,"OK","FAIL - out by "&amp;TEXT($AO145+$AP145+$AQ145-$AD145,"$0.00")))</f>
      </c>
    </row>
    <row r="146" spans="1:58" ht="18.75" customHeight="1" x14ac:dyDescent="0.25">
      <c r="A146" s="46" t="inlineStr">
        <is>
          <t xml:space="preserve">CANON-202508-000189</t>
        </is>
      </c>
      <c r="B146" s="46" t="inlineStr">
        <is>
          <t xml:space="preserve">Aurelio Harrington</t>
        </is>
      </c>
      <c r="C146" s="47">
        <v>45896</v>
      </c>
      <c r="D146" s="48" t="inlineStr">
        <is>
          <t xml:space="preserve">Bound - within authority</t>
        </is>
      </c>
      <c r="E146" s="48" t="inlineStr">
        <is>
          <t xml:space="preserve">New business</t>
        </is>
      </c>
      <c r="F146" s="46" t="inlineStr">
        <is>
          <t xml:space="preserve">B1234EXOTIC26</t>
        </is>
      </c>
      <c r="G146" s="33">
        <f>IF($A146="","",IF($C146="","",YEAR($C146)))</f>
      </c>
      <c r="H146" s="49">
        <v>2000</v>
      </c>
      <c r="I146" s="46" t="inlineStr">
        <is>
          <t xml:space="preserve">Bentley</t>
        </is>
      </c>
      <c r="J146" s="46" t="inlineStr">
        <is>
          <t xml:space="preserve">Continental GT</t>
        </is>
      </c>
      <c r="K146" s="46" t="inlineStr">
        <is>
          <t xml:space="preserve">NZEM4WXAEYAVEKD47</t>
        </is>
      </c>
      <c r="L146" s="48" t="inlineStr">
        <is>
          <t xml:space="preserve">02 - Sports / GT</t>
        </is>
      </c>
      <c r="M146" s="50">
        <v>265000</v>
      </c>
      <c r="N146" s="48" t="inlineStr">
        <is>
          <t xml:space="preserve">Personal</t>
        </is>
      </c>
      <c r="O146" s="46" t="inlineStr">
        <is>
          <t xml:space="preserve">Personal - regular use</t>
        </is>
      </c>
      <c r="P146" s="46" t="inlineStr">
        <is>
          <t xml:space="preserve">2,500 - 5,000</t>
        </is>
      </c>
      <c r="Q146" s="46" t="inlineStr">
        <is>
          <t xml:space="preserve">Montana</t>
        </is>
      </c>
      <c r="R146" s="46" t="inlineStr">
        <is>
          <t xml:space="preserve">59601</t>
        </is>
      </c>
      <c r="S146" s="48" t="inlineStr">
        <is>
          <t xml:space="preserve">Wildfire - WUI high hazard</t>
        </is>
      </c>
      <c r="T146" s="36">
        <f>IF($A146="","",IF($S146="","",IFERROR(INDEX('[1]natural catastrophe'!$D$6:$D$17,MATCH($S146,'[1]natural catastrophe'!$B$6:$B$17,0)),"?")))</f>
      </c>
      <c r="U146" s="46" t="inlineStr">
        <is>
          <t xml:space="preserve">$5,000</t>
        </is>
      </c>
      <c r="V146" s="48" t="inlineStr">
        <is>
          <t xml:space="preserve">Agreed Value</t>
        </is>
      </c>
      <c r="W146" s="46" t="inlineStr">
        <is>
          <t xml:space="preserve">$1,000</t>
        </is>
      </c>
      <c r="X146" s="48" t="inlineStr">
        <is>
          <t xml:space="preserve">$1,000,000 CSL</t>
        </is>
      </c>
      <c r="Y146" s="46"/>
      <c r="Z146" s="46"/>
      <c r="AA146" s="48" t="inlineStr">
        <is>
          <t xml:space="preserve">Surplus Lines</t>
        </is>
      </c>
      <c r="AB146" s="50">
        <v>3487.5</v>
      </c>
      <c r="AC146" s="51">
        <v>0</v>
      </c>
      <c r="AD146" s="38">
        <f>IF(ISNUMBER($AB146),$AB146*(1+N($AC146)),"")</f>
      </c>
      <c r="AE146" s="50">
        <v>350</v>
      </c>
      <c r="AF146" s="50">
        <v>0</v>
      </c>
      <c r="AG146" s="51"/>
      <c r="AH146" s="39">
        <f>IF(ISNUMBER($AD146),($AD146+$AE146+$AF146)*$AG146,"")</f>
      </c>
      <c r="AI146" s="50"/>
      <c r="AJ146" s="38">
        <f>IF(ISNUMBER($AD146),SUM($AD146:$AH146),"")</f>
      </c>
      <c r="AK146" s="40">
        <f>IF(AND(ISNUMBER($AB146),ISNUMBER($AD146)),IF($AB146&gt;0,$AD146/$AB146,""),"")</f>
      </c>
      <c r="AL146" s="48" t="inlineStr">
        <is>
          <t xml:space="preserve">At technical</t>
        </is>
      </c>
      <c r="AM146" s="41">
        <f>IF(ISNUMBER($AD146),Header!$I$3,"")</f>
      </c>
      <c r="AN146" s="39">
        <f>IF(ISNUMBER($AD146),$AO146+$AP146,"")</f>
      </c>
      <c r="AO146" s="39">
        <f>IF(ISNUMBER($AD146),ROUND($AD146*Header!$K$3,2),"")</f>
      </c>
      <c r="AP146" s="39">
        <f>IF(ISNUMBER($AD146),ROUND($AD146*Header!$M$3,2),"")</f>
      </c>
      <c r="AQ146" s="38">
        <f>IF(ISNUMBER($AD146),ROUND($AD146,2)-$AO146-$AP146,"")</f>
      </c>
      <c r="AR146" s="39">
        <f>IF(ISNUMBER($AD146),IF(Header!$D$34="","?",$AD146*Header!$D$34),"")</f>
      </c>
      <c r="AS146" s="39">
        <f>IF(ISNUMBER($AB146),IF(Header!$D$34="","?",$AB146*Header!$D$34),"")</f>
      </c>
      <c r="AT146" s="42">
        <f>IF(AND(ISNUMBER($AB146),$M146&gt;0),$AB146/$M146*100,"")</f>
      </c>
      <c r="AU146" s="42">
        <f>IF(AND(ISNUMBER($AD146),$M146&gt;0),$AD146/$M146*100,"")</f>
      </c>
      <c r="AV146" s="40">
        <f>IF(AND(ISNUMBER($AB146),ISNUMBER($AD146),ABS($AB146)&gt;0),$AD146/$AB146,"")</f>
      </c>
      <c r="AW146" s="39">
        <f>IF(ISNUMBER($AD146),MAX(0,(1-0.55-Header!$O$3)*Header!$Q$3*$AQ146),"")</f>
      </c>
      <c r="AX146" s="43">
        <f>IF($A146="","",IF(TRIM(IF($A146="","Missing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",""))="","PASS","FAIL: "&amp;TRIM(IF($A146="","Missing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f>
      </c>
      <c r="AY146" s="44">
        <f>IF($M146="","",IF(ISNUMBER($M146),IF($M146&gt;=Header!$C$18,"YES — refer","No"),""))</f>
      </c>
      <c r="AZ146" s="44">
        <f>IF($AD146="","",IF(ISNUMBER($AD146),IF($AD146&lt;Header!$C$20,"BELOW MIN PREMIUM","OK"),""))</f>
      </c>
      <c r="BA146" s="48" t="inlineStr">
        <is>
          <t xml:space="preserve">Yes</t>
        </is>
      </c>
      <c r="BB146" s="48" t="inlineStr">
        <is>
          <t xml:space="preserve">Yes</t>
        </is>
      </c>
      <c r="BC146" s="46" t="inlineStr">
        <is>
          <t xml:space="preserve">Synthetic demo data</t>
        </is>
      </c>
      <c r="BE146" s="45">
        <f>IF(OR($A146="",$L146="",$H146=""),"",IF(AND(LEFT($L146,2)="06",$H146&gt;1945),"FAIL - pre-war class, year "&amp;$H146,IF(AND(LEFT($L146,2)="07",OR($H146&lt;1946,$H146&gt;1972)),"FAIL - 1946-72 class, year "&amp;$H146,IF(AND(LEFT($L146,2)="08",OR($H146&lt;1973,$H146&gt;1999)),"FAIL - 1973-99 class, year "&amp;$H146,IF(AND(LEFT($L146,2)="09",OR($H146&lt;2000,$H146&gt;2010)),"FAIL - 2000-10 class, year "&amp;$H146,"OK")))))</f>
      </c>
      <c r="BF146" s="45">
        <f>IF($AD146="","",IF(ROUND($AO146+$AP146+$AQ146-$AD146,2)=0,"OK","FAIL - out by "&amp;TEXT($AO146+$AP146+$AQ146-$AD146,"$0.00")))</f>
      </c>
    </row>
    <row r="147" spans="1:58" ht="18.75" customHeight="1" x14ac:dyDescent="0.25">
      <c r="A147" s="30" t="inlineStr">
        <is>
          <t xml:space="preserve">CANON-202508-000190</t>
        </is>
      </c>
      <c r="B147" s="30" t="inlineStr">
        <is>
          <t xml:space="preserve">Thaddeus Delacroix</t>
        </is>
      </c>
      <c r="C147" s="31">
        <v>45876</v>
      </c>
      <c r="D147" s="32" t="inlineStr">
        <is>
          <t xml:space="preserve">Bound - within authority</t>
        </is>
      </c>
      <c r="E147" s="32" t="inlineStr">
        <is>
          <t xml:space="preserve">New business</t>
        </is>
      </c>
      <c r="F147" s="30" t="inlineStr">
        <is>
          <t xml:space="preserve">B1234EXOTIC26</t>
        </is>
      </c>
      <c r="G147" s="33">
        <f>IF($A147="","",IF($C147="","",YEAR($C147)))</f>
      </c>
      <c r="H147" s="34">
        <v>2002</v>
      </c>
      <c r="I147" s="30" t="inlineStr">
        <is>
          <t xml:space="preserve">Maserati</t>
        </is>
      </c>
      <c r="J147" s="30" t="inlineStr">
        <is>
          <t xml:space="preserve">GranTurismo</t>
        </is>
      </c>
      <c r="K147" s="30" t="inlineStr">
        <is>
          <t xml:space="preserve">LXZN38FZ6MP00RXUY</t>
        </is>
      </c>
      <c r="L147" s="32" t="inlineStr">
        <is>
          <t xml:space="preserve">02 - Sports / GT</t>
        </is>
      </c>
      <c r="M147" s="35">
        <v>500000</v>
      </c>
      <c r="N147" s="32" t="inlineStr">
        <is>
          <t xml:space="preserve">Personal</t>
        </is>
      </c>
      <c r="O147" s="30" t="inlineStr">
        <is>
          <t xml:space="preserve">Personal - regular use</t>
        </is>
      </c>
      <c r="P147" s="30" t="inlineStr">
        <is>
          <t xml:space="preserve">2,500 - 5,000</t>
        </is>
      </c>
      <c r="Q147" s="30" t="inlineStr">
        <is>
          <t xml:space="preserve">California</t>
        </is>
      </c>
      <c r="R147" s="30" t="inlineStr">
        <is>
          <t xml:space="preserve">90012</t>
        </is>
      </c>
      <c r="S147" s="32" t="inlineStr">
        <is>
          <t xml:space="preserve">Earthquake - high (CA, Cascadia, New Madrid)</t>
        </is>
      </c>
      <c r="T147" s="36">
        <f>IF($A147="","",IF($S147="","",IFERROR(INDEX('[1]natural catastrophe'!$D$6:$D$17,MATCH($S147,'[1]natural catastrophe'!$B$6:$B$17,0)),"?")))</f>
      </c>
      <c r="U147" s="30" t="inlineStr">
        <is>
          <t xml:space="preserve">$5,000</t>
        </is>
      </c>
      <c r="V147" s="32" t="inlineStr">
        <is>
          <t xml:space="preserve">Agreed Value</t>
        </is>
      </c>
      <c r="W147" s="30" t="inlineStr">
        <is>
          <t xml:space="preserve">$1,000</t>
        </is>
      </c>
      <c r="X147" s="32" t="inlineStr">
        <is>
          <t xml:space="preserve">$1,000,000 CSL</t>
        </is>
      </c>
      <c r="Y147" s="30"/>
      <c r="Z147" s="30"/>
      <c r="AA147" s="32" t="inlineStr">
        <is>
          <t xml:space="preserve">Surplus Lines</t>
        </is>
      </c>
      <c r="AB147" s="35">
        <v>8278.3</v>
      </c>
      <c r="AC147" s="37">
        <v>0</v>
      </c>
      <c r="AD147" s="38">
        <f>IF(ISNUMBER($AB147),$AB147*(1+N($AC147)),"")</f>
      </c>
      <c r="AE147" s="35">
        <v>350</v>
      </c>
      <c r="AF147" s="35">
        <v>0</v>
      </c>
      <c r="AG147" s="37"/>
      <c r="AH147" s="39">
        <f>IF(ISNUMBER($AD147),($AD147+$AE147+$AF147)*$AG147,"")</f>
      </c>
      <c r="AI147" s="35"/>
      <c r="AJ147" s="38">
        <f>IF(ISNUMBER($AD147),SUM($AD147:$AH147),"")</f>
      </c>
      <c r="AK147" s="40">
        <f>IF(AND(ISNUMBER($AB147),ISNUMBER($AD147)),IF($AB147&gt;0,$AD147/$AB147,""),"")</f>
      </c>
      <c r="AL147" s="32" t="inlineStr">
        <is>
          <t xml:space="preserve">At technical</t>
        </is>
      </c>
      <c r="AM147" s="41">
        <f>IF(ISNUMBER($AD147),Header!$I$3,"")</f>
      </c>
      <c r="AN147" s="39">
        <f>IF(ISNUMBER($AD147),$AO147+$AP147,"")</f>
      </c>
      <c r="AO147" s="39">
        <f>IF(ISNUMBER($AD147),ROUND($AD147*Header!$K$3,2),"")</f>
      </c>
      <c r="AP147" s="39">
        <f>IF(ISNUMBER($AD147),ROUND($AD147*Header!$M$3,2),"")</f>
      </c>
      <c r="AQ147" s="38">
        <f>IF(ISNUMBER($AD147),ROUND($AD147,2)-$AO147-$AP147,"")</f>
      </c>
      <c r="AR147" s="39">
        <f>IF(ISNUMBER($AD147),IF(Header!$D$34="","?",$AD147*Header!$D$34),"")</f>
      </c>
      <c r="AS147" s="39">
        <f>IF(ISNUMBER($AB147),IF(Header!$D$34="","?",$AB147*Header!$D$34),"")</f>
      </c>
      <c r="AT147" s="42">
        <f>IF(AND(ISNUMBER($AB147),$M147&gt;0),$AB147/$M147*100,"")</f>
      </c>
      <c r="AU147" s="42">
        <f>IF(AND(ISNUMBER($AD147),$M147&gt;0),$AD147/$M147*100,"")</f>
      </c>
      <c r="AV147" s="40">
        <f>IF(AND(ISNUMBER($AB147),ISNUMBER($AD147),ABS($AB147)&gt;0),$AD147/$AB147,"")</f>
      </c>
      <c r="AW147" s="39">
        <f>IF(ISNUMBER($AD147),MAX(0,(1-0.55-Header!$O$3)*Header!$Q$3*$AQ147),"")</f>
      </c>
      <c r="AX147" s="43">
        <f>IF($A147="","",IF(TRIM(IF($A147="","Missing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",""))="","PASS","FAIL: "&amp;TRIM(IF($A147="","Missing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f>
      </c>
      <c r="AY147" s="44">
        <f>IF($M147="","",IF(ISNUMBER($M147),IF($M147&gt;=Header!$C$18,"YES — refer","No"),""))</f>
      </c>
      <c r="AZ147" s="44">
        <f>IF($AD147="","",IF(ISNUMBER($AD147),IF($AD147&lt;Header!$C$20,"BELOW MIN PREMIUM","OK"),""))</f>
      </c>
      <c r="BA147" s="32" t="inlineStr">
        <is>
          <t xml:space="preserve">Yes</t>
        </is>
      </c>
      <c r="BB147" s="32" t="inlineStr">
        <is>
          <t xml:space="preserve">Yes</t>
        </is>
      </c>
      <c r="BC147" s="30" t="inlineStr">
        <is>
          <t xml:space="preserve">Synthetic demo data</t>
        </is>
      </c>
      <c r="BE147" s="45">
        <f>IF(OR($A147="",$L147="",$H147=""),"",IF(AND(LEFT($L147,2)="06",$H147&gt;1945),"FAIL - pre-war class, year "&amp;$H147,IF(AND(LEFT($L147,2)="07",OR($H147&lt;1946,$H147&gt;1972)),"FAIL - 1946-72 class, year "&amp;$H147,IF(AND(LEFT($L147,2)="08",OR($H147&lt;1973,$H147&gt;1999)),"FAIL - 1973-99 class, year "&amp;$H147,IF(AND(LEFT($L147,2)="09",OR($H147&lt;2000,$H147&gt;2010)),"FAIL - 2000-10 class, year "&amp;$H147,"OK")))))</f>
      </c>
      <c r="BF147" s="45">
        <f>IF($AD147="","",IF(ROUND($AO147+$AP147+$AQ147-$AD147,2)=0,"OK","FAIL - out by "&amp;TEXT($AO147+$AP147+$AQ147-$AD147,"$0.00")))</f>
      </c>
    </row>
    <row r="148" spans="1:58" ht="18.75" customHeight="1" x14ac:dyDescent="0.25">
      <c r="A148" s="46" t="inlineStr">
        <is>
          <t xml:space="preserve">CANON-202508-000191</t>
        </is>
      </c>
      <c r="B148" s="46" t="inlineStr">
        <is>
          <t xml:space="preserve">Leopold Whitlock</t>
        </is>
      </c>
      <c r="C148" s="47">
        <v>45870</v>
      </c>
      <c r="D148" s="48" t="inlineStr">
        <is>
          <t xml:space="preserve">Bound - within authority</t>
        </is>
      </c>
      <c r="E148" s="48" t="inlineStr">
        <is>
          <t xml:space="preserve">New business</t>
        </is>
      </c>
      <c r="F148" s="46" t="inlineStr">
        <is>
          <t xml:space="preserve">B1234EXOTIC26</t>
        </is>
      </c>
      <c r="G148" s="33">
        <f>IF($A148="","",IF($C148="","",YEAR($C148)))</f>
      </c>
      <c r="H148" s="49">
        <v>2020</v>
      </c>
      <c r="I148" s="46" t="inlineStr">
        <is>
          <t xml:space="preserve">Porsche</t>
        </is>
      </c>
      <c r="J148" s="46" t="inlineStr">
        <is>
          <t xml:space="preserve">911 Turbo S</t>
        </is>
      </c>
      <c r="K148" s="46" t="inlineStr">
        <is>
          <t xml:space="preserve">2PEN165KGHAGL1XR1</t>
        </is>
      </c>
      <c r="L148" s="48" t="inlineStr">
        <is>
          <t xml:space="preserve">02 - Sports / GT</t>
        </is>
      </c>
      <c r="M148" s="50">
        <v>485000</v>
      </c>
      <c r="N148" s="48" t="inlineStr">
        <is>
          <t xml:space="preserve">Personal</t>
        </is>
      </c>
      <c r="O148" s="46" t="inlineStr">
        <is>
          <t xml:space="preserve">Personal - regular use</t>
        </is>
      </c>
      <c r="P148" s="46" t="inlineStr">
        <is>
          <t xml:space="preserve">1,000 - 2,500</t>
        </is>
      </c>
      <c r="Q148" s="46" t="inlineStr">
        <is>
          <t xml:space="preserve">Utah</t>
        </is>
      </c>
      <c r="R148" s="46" t="inlineStr">
        <is>
          <t xml:space="preserve">84101</t>
        </is>
      </c>
      <c r="S148" s="48" t="inlineStr">
        <is>
          <t xml:space="preserve">Wildfire - WUI high hazard</t>
        </is>
      </c>
      <c r="T148" s="36">
        <f>IF($A148="","",IF($S148="","",IFERROR(INDEX('[1]natural catastrophe'!$D$6:$D$17,MATCH($S148,'[1]natural catastrophe'!$B$6:$B$17,0)),"?")))</f>
      </c>
      <c r="U148" s="46" t="inlineStr">
        <is>
          <t xml:space="preserve">$5,000</t>
        </is>
      </c>
      <c r="V148" s="48" t="inlineStr">
        <is>
          <t xml:space="preserve">Agreed Value</t>
        </is>
      </c>
      <c r="W148" s="46" t="inlineStr">
        <is>
          <t xml:space="preserve">$1,000</t>
        </is>
      </c>
      <c r="X148" s="48" t="inlineStr">
        <is>
          <t xml:space="preserve">$1,000,000 CSL</t>
        </is>
      </c>
      <c r="Y148" s="46"/>
      <c r="Z148" s="46"/>
      <c r="AA148" s="48" t="inlineStr">
        <is>
          <t xml:space="preserve">Surplus Lines</t>
        </is>
      </c>
      <c r="AB148" s="50">
        <v>9265.33</v>
      </c>
      <c r="AC148" s="51">
        <v>0</v>
      </c>
      <c r="AD148" s="38">
        <f>IF(ISNUMBER($AB148),$AB148*(1+N($AC148)),"")</f>
      </c>
      <c r="AE148" s="50">
        <v>350</v>
      </c>
      <c r="AF148" s="50">
        <v>0</v>
      </c>
      <c r="AG148" s="51"/>
      <c r="AH148" s="39">
        <f>IF(ISNUMBER($AD148),($AD148+$AE148+$AF148)*$AG148,"")</f>
      </c>
      <c r="AI148" s="50"/>
      <c r="AJ148" s="38">
        <f>IF(ISNUMBER($AD148),SUM($AD148:$AH148),"")</f>
      </c>
      <c r="AK148" s="40">
        <f>IF(AND(ISNUMBER($AB148),ISNUMBER($AD148)),IF($AB148&gt;0,$AD148/$AB148,""),"")</f>
      </c>
      <c r="AL148" s="48" t="inlineStr">
        <is>
          <t xml:space="preserve">At technical</t>
        </is>
      </c>
      <c r="AM148" s="41">
        <f>IF(ISNUMBER($AD148),Header!$I$3,"")</f>
      </c>
      <c r="AN148" s="39">
        <f>IF(ISNUMBER($AD148),$AO148+$AP148,"")</f>
      </c>
      <c r="AO148" s="39">
        <f>IF(ISNUMBER($AD148),ROUND($AD148*Header!$K$3,2),"")</f>
      </c>
      <c r="AP148" s="39">
        <f>IF(ISNUMBER($AD148),ROUND($AD148*Header!$M$3,2),"")</f>
      </c>
      <c r="AQ148" s="38">
        <f>IF(ISNUMBER($AD148),ROUND($AD148,2)-$AO148-$AP148,"")</f>
      </c>
      <c r="AR148" s="39">
        <f>IF(ISNUMBER($AD148),IF(Header!$D$34="","?",$AD148*Header!$D$34),"")</f>
      </c>
      <c r="AS148" s="39">
        <f>IF(ISNUMBER($AB148),IF(Header!$D$34="","?",$AB148*Header!$D$34),"")</f>
      </c>
      <c r="AT148" s="42">
        <f>IF(AND(ISNUMBER($AB148),$M148&gt;0),$AB148/$M148*100,"")</f>
      </c>
      <c r="AU148" s="42">
        <f>IF(AND(ISNUMBER($AD148),$M148&gt;0),$AD148/$M148*100,"")</f>
      </c>
      <c r="AV148" s="40">
        <f>IF(AND(ISNUMBER($AB148),ISNUMBER($AD148),ABS($AB148)&gt;0),$AD148/$AB148,"")</f>
      </c>
      <c r="AW148" s="39">
        <f>IF(ISNUMBER($AD148),MAX(0,(1-0.55-Header!$O$3)*Header!$Q$3*$AQ148),"")</f>
      </c>
      <c r="AX148" s="43">
        <f>IF($A148="","",IF(TRIM(IF($A148="","Missing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",""))="","PASS","FAIL: "&amp;TRIM(IF($A148="","Missing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f>
      </c>
      <c r="AY148" s="44">
        <f>IF($M148="","",IF(ISNUMBER($M148),IF($M148&gt;=Header!$C$18,"YES — refer","No"),""))</f>
      </c>
      <c r="AZ148" s="44">
        <f>IF($AD148="","",IF(ISNUMBER($AD148),IF($AD148&lt;Header!$C$20,"BELOW MIN PREMIUM","OK"),""))</f>
      </c>
      <c r="BA148" s="48" t="inlineStr">
        <is>
          <t xml:space="preserve">Yes</t>
        </is>
      </c>
      <c r="BB148" s="48" t="inlineStr">
        <is>
          <t xml:space="preserve">Yes</t>
        </is>
      </c>
      <c r="BC148" s="46" t="inlineStr">
        <is>
          <t xml:space="preserve">Synthetic demo data</t>
        </is>
      </c>
      <c r="BE148" s="45">
        <f>IF(OR($A148="",$L148="",$H148=""),"",IF(AND(LEFT($L148,2)="06",$H148&gt;1945),"FAIL - pre-war class, year "&amp;$H148,IF(AND(LEFT($L148,2)="07",OR($H148&lt;1946,$H148&gt;1972)),"FAIL - 1946-72 class, year "&amp;$H148,IF(AND(LEFT($L148,2)="08",OR($H148&lt;1973,$H148&gt;1999)),"FAIL - 1973-99 class, year "&amp;$H148,IF(AND(LEFT($L148,2)="09",OR($H148&lt;2000,$H148&gt;2010)),"FAIL - 2000-10 class, year "&amp;$H148,"OK")))))</f>
      </c>
      <c r="BF148" s="45">
        <f>IF($AD148="","",IF(ROUND($AO148+$AP148+$AQ148-$AD148,2)=0,"OK","FAIL - out by "&amp;TEXT($AO148+$AP148+$AQ148-$AD148,"$0.00")))</f>
      </c>
    </row>
    <row r="149" spans="1:58" ht="18.75" customHeight="1" x14ac:dyDescent="0.25">
      <c r="A149" s="30" t="inlineStr">
        <is>
          <t xml:space="preserve">CANON-202508-000192</t>
        </is>
      </c>
      <c r="B149" s="30" t="inlineStr">
        <is>
          <t xml:space="preserve">Fenwick Vasquez</t>
        </is>
      </c>
      <c r="C149" s="31">
        <v>45881</v>
      </c>
      <c r="D149" s="32" t="inlineStr">
        <is>
          <t xml:space="preserve">Bound - within authority</t>
        </is>
      </c>
      <c r="E149" s="32" t="inlineStr">
        <is>
          <t xml:space="preserve">New business</t>
        </is>
      </c>
      <c r="F149" s="30" t="inlineStr">
        <is>
          <t xml:space="preserve">B1234EXOTIC26</t>
        </is>
      </c>
      <c r="G149" s="33">
        <f>IF($A149="","",IF($C149="","",YEAR($C149)))</f>
      </c>
      <c r="H149" s="34">
        <v>1964</v>
      </c>
      <c r="I149" s="30" t="inlineStr">
        <is>
          <t xml:space="preserve">McLaren</t>
        </is>
      </c>
      <c r="J149" s="30" t="inlineStr">
        <is>
          <t xml:space="preserve">750S</t>
        </is>
      </c>
      <c r="K149" s="30" t="inlineStr">
        <is>
          <t xml:space="preserve">21MT1DV1LW7TU2S51</t>
        </is>
      </c>
      <c r="L149" s="32" t="inlineStr">
        <is>
          <t xml:space="preserve">03 - Supercar</t>
        </is>
      </c>
      <c r="M149" s="35">
        <v>1100000</v>
      </c>
      <c r="N149" s="32" t="inlineStr">
        <is>
          <t xml:space="preserve">Personal</t>
        </is>
      </c>
      <c r="O149" s="30" t="inlineStr">
        <is>
          <t xml:space="preserve">Personal - regular use</t>
        </is>
      </c>
      <c r="P149" s="30" t="inlineStr">
        <is>
          <t xml:space="preserve">1,000 - 2,500</t>
        </is>
      </c>
      <c r="Q149" s="30" t="inlineStr">
        <is>
          <t xml:space="preserve">California</t>
        </is>
      </c>
      <c r="R149" s="30" t="inlineStr">
        <is>
          <t xml:space="preserve">90012</t>
        </is>
      </c>
      <c r="S149" s="32" t="inlineStr">
        <is>
          <t xml:space="preserve">Earthquake - high (CA, Cascadia, New Madrid)</t>
        </is>
      </c>
      <c r="T149" s="36">
        <f>IF($A149="","",IF($S149="","",IFERROR(INDEX('[1]natural catastrophe'!$D$6:$D$17,MATCH($S149,'[1]natural catastrophe'!$B$6:$B$17,0)),"?")))</f>
      </c>
      <c r="U149" s="30" t="inlineStr">
        <is>
          <t xml:space="preserve">$5,000</t>
        </is>
      </c>
      <c r="V149" s="32" t="inlineStr">
        <is>
          <t xml:space="preserve">Agreed Value</t>
        </is>
      </c>
      <c r="W149" s="30" t="inlineStr">
        <is>
          <t xml:space="preserve">$1,000</t>
        </is>
      </c>
      <c r="X149" s="32" t="inlineStr">
        <is>
          <t xml:space="preserve">$1,000,000 CSL</t>
        </is>
      </c>
      <c r="Y149" s="30"/>
      <c r="Z149" s="30"/>
      <c r="AA149" s="32" t="inlineStr">
        <is>
          <t xml:space="preserve">Surplus Lines</t>
        </is>
      </c>
      <c r="AB149" s="35">
        <v>22415.09</v>
      </c>
      <c r="AC149" s="37">
        <v>0</v>
      </c>
      <c r="AD149" s="38">
        <f>IF(ISNUMBER($AB149),$AB149*(1+N($AC149)),"")</f>
      </c>
      <c r="AE149" s="35">
        <v>350</v>
      </c>
      <c r="AF149" s="35">
        <v>250</v>
      </c>
      <c r="AG149" s="37"/>
      <c r="AH149" s="39">
        <f>IF(ISNUMBER($AD149),($AD149+$AE149+$AF149)*$AG149,"")</f>
      </c>
      <c r="AI149" s="35"/>
      <c r="AJ149" s="38">
        <f>IF(ISNUMBER($AD149),SUM($AD149:$AH149),"")</f>
      </c>
      <c r="AK149" s="40">
        <f>IF(AND(ISNUMBER($AB149),ISNUMBER($AD149)),IF($AB149&gt;0,$AD149/$AB149,""),"")</f>
      </c>
      <c r="AL149" s="32" t="inlineStr">
        <is>
          <t xml:space="preserve">At technical</t>
        </is>
      </c>
      <c r="AM149" s="41">
        <f>IF(ISNUMBER($AD149),Header!$I$3,"")</f>
      </c>
      <c r="AN149" s="39">
        <f>IF(ISNUMBER($AD149),$AO149+$AP149,"")</f>
      </c>
      <c r="AO149" s="39">
        <f>IF(ISNUMBER($AD149),ROUND($AD149*Header!$K$3,2),"")</f>
      </c>
      <c r="AP149" s="39">
        <f>IF(ISNUMBER($AD149),ROUND($AD149*Header!$M$3,2),"")</f>
      </c>
      <c r="AQ149" s="38">
        <f>IF(ISNUMBER($AD149),ROUND($AD149,2)-$AO149-$AP149,"")</f>
      </c>
      <c r="AR149" s="39">
        <f>IF(ISNUMBER($AD149),IF(Header!$D$34="","?",$AD149*Header!$D$34),"")</f>
      </c>
      <c r="AS149" s="39">
        <f>IF(ISNUMBER($AB149),IF(Header!$D$34="","?",$AB149*Header!$D$34),"")</f>
      </c>
      <c r="AT149" s="42">
        <f>IF(AND(ISNUMBER($AB149),$M149&gt;0),$AB149/$M149*100,"")</f>
      </c>
      <c r="AU149" s="42">
        <f>IF(AND(ISNUMBER($AD149),$M149&gt;0),$AD149/$M149*100,"")</f>
      </c>
      <c r="AV149" s="40">
        <f>IF(AND(ISNUMBER($AB149),ISNUMBER($AD149),ABS($AB149)&gt;0),$AD149/$AB149,"")</f>
      </c>
      <c r="AW149" s="39">
        <f>IF(ISNUMBER($AD149),MAX(0,(1-0.55-Header!$O$3)*Header!$Q$3*$AQ149),"")</f>
      </c>
      <c r="AX149" s="43">
        <f>IF($A149="","",IF(TRIM(IF($A149="","Missing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",""))="","PASS","FAIL: "&amp;TRIM(IF($A149="","Missing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f>
      </c>
      <c r="AY149" s="44">
        <f>IF($M149="","",IF(ISNUMBER($M149),IF($M149&gt;=Header!$C$18,"YES — refer","No"),""))</f>
      </c>
      <c r="AZ149" s="44">
        <f>IF($AD149="","",IF(ISNUMBER($AD149),IF($AD149&lt;Header!$C$20,"BELOW MIN PREMIUM","OK"),""))</f>
      </c>
      <c r="BA149" s="32" t="inlineStr">
        <is>
          <t xml:space="preserve">Yes</t>
        </is>
      </c>
      <c r="BB149" s="32" t="inlineStr">
        <is>
          <t xml:space="preserve">Yes</t>
        </is>
      </c>
      <c r="BC149" s="30" t="inlineStr">
        <is>
          <t xml:space="preserve">Synthetic demo data</t>
        </is>
      </c>
      <c r="BE149" s="45">
        <f>IF(OR($A149="",$L149="",$H149=""),"",IF(AND(LEFT($L149,2)="06",$H149&gt;1945),"FAIL - pre-war class, year "&amp;$H149,IF(AND(LEFT($L149,2)="07",OR($H149&lt;1946,$H149&gt;1972)),"FAIL - 1946-72 class, year "&amp;$H149,IF(AND(LEFT($L149,2)="08",OR($H149&lt;1973,$H149&gt;1999)),"FAIL - 1973-99 class, year "&amp;$H149,IF(AND(LEFT($L149,2)="09",OR($H149&lt;2000,$H149&gt;2010)),"FAIL - 2000-10 class, year "&amp;$H149,"OK")))))</f>
      </c>
      <c r="BF149" s="45">
        <f>IF($AD149="","",IF(ROUND($AO149+$AP149+$AQ149-$AD149,2)=0,"OK","FAIL - out by "&amp;TEXT($AO149+$AP149+$AQ149-$AD149,"$0.00")))</f>
      </c>
    </row>
    <row r="150" spans="1:58" ht="18.75" customHeight="1" x14ac:dyDescent="0.25">
      <c r="A150" s="46" t="inlineStr">
        <is>
          <t xml:space="preserve">CANON-202508-000193</t>
        </is>
      </c>
      <c r="B150" s="46" t="inlineStr">
        <is>
          <t xml:space="preserve">Marisol Castellanos</t>
        </is>
      </c>
      <c r="C150" s="47">
        <v>45891</v>
      </c>
      <c r="D150" s="48" t="inlineStr">
        <is>
          <t xml:space="preserve">Bound - within authority</t>
        </is>
      </c>
      <c r="E150" s="48" t="inlineStr">
        <is>
          <t xml:space="preserve">New business</t>
        </is>
      </c>
      <c r="F150" s="46" t="inlineStr">
        <is>
          <t xml:space="preserve">B1234EXOTIC26</t>
        </is>
      </c>
      <c r="G150" s="33">
        <f>IF($A150="","",IF($C150="","",YEAR($C150)))</f>
      </c>
      <c r="H150" s="49">
        <v>2003</v>
      </c>
      <c r="I150" s="46" t="inlineStr">
        <is>
          <t xml:space="preserve">Maserati</t>
        </is>
      </c>
      <c r="J150" s="46" t="inlineStr">
        <is>
          <t xml:space="preserve">GranTurismo</t>
        </is>
      </c>
      <c r="K150" s="46" t="inlineStr">
        <is>
          <t xml:space="preserve">G99XXE2WHVP93A1EL</t>
        </is>
      </c>
      <c r="L150" s="48" t="inlineStr">
        <is>
          <t xml:space="preserve">02 - Sports / GT</t>
        </is>
      </c>
      <c r="M150" s="50">
        <v>345000</v>
      </c>
      <c r="N150" s="48" t="inlineStr">
        <is>
          <t xml:space="preserve">Personal</t>
        </is>
      </c>
      <c r="O150" s="46" t="inlineStr">
        <is>
          <t xml:space="preserve">Personal - regular use</t>
        </is>
      </c>
      <c r="P150" s="46" t="inlineStr">
        <is>
          <t xml:space="preserve">1,000 - 2,500</t>
        </is>
      </c>
      <c r="Q150" s="46" t="inlineStr">
        <is>
          <t xml:space="preserve">Montana</t>
        </is>
      </c>
      <c r="R150" s="46" t="inlineStr">
        <is>
          <t xml:space="preserve">59601</t>
        </is>
      </c>
      <c r="S150" s="48" t="inlineStr">
        <is>
          <t xml:space="preserve">Wildfire - WUI high hazard</t>
        </is>
      </c>
      <c r="T150" s="36">
        <f>IF($A150="","",IF($S150="","",IFERROR(INDEX('[1]natural catastrophe'!$D$6:$D$17,MATCH($S150,'[1]natural catastrophe'!$B$6:$B$17,0)),"?")))</f>
      </c>
      <c r="U150" s="46" t="inlineStr">
        <is>
          <t xml:space="preserve">$5,000</t>
        </is>
      </c>
      <c r="V150" s="48" t="inlineStr">
        <is>
          <t xml:space="preserve">Agreed Value</t>
        </is>
      </c>
      <c r="W150" s="46" t="inlineStr">
        <is>
          <t xml:space="preserve">$1,000</t>
        </is>
      </c>
      <c r="X150" s="48" t="inlineStr">
        <is>
          <t xml:space="preserve">$1,000,000 CSL</t>
        </is>
      </c>
      <c r="Y150" s="46"/>
      <c r="Z150" s="46"/>
      <c r="AA150" s="48" t="inlineStr">
        <is>
          <t xml:space="preserve">Surplus Lines</t>
        </is>
      </c>
      <c r="AB150" s="50">
        <v>4540.33</v>
      </c>
      <c r="AC150" s="51">
        <v>0</v>
      </c>
      <c r="AD150" s="38">
        <f>IF(ISNUMBER($AB150),$AB150*(1+N($AC150)),"")</f>
      </c>
      <c r="AE150" s="50">
        <v>350</v>
      </c>
      <c r="AF150" s="50">
        <v>0</v>
      </c>
      <c r="AG150" s="51"/>
      <c r="AH150" s="39">
        <f>IF(ISNUMBER($AD150),($AD150+$AE150+$AF150)*$AG150,"")</f>
      </c>
      <c r="AI150" s="50"/>
      <c r="AJ150" s="38">
        <f>IF(ISNUMBER($AD150),SUM($AD150:$AH150),"")</f>
      </c>
      <c r="AK150" s="40">
        <f>IF(AND(ISNUMBER($AB150),ISNUMBER($AD150)),IF($AB150&gt;0,$AD150/$AB150,""),"")</f>
      </c>
      <c r="AL150" s="48" t="inlineStr">
        <is>
          <t xml:space="preserve">At technical</t>
        </is>
      </c>
      <c r="AM150" s="41">
        <f>IF(ISNUMBER($AD150),Header!$I$3,"")</f>
      </c>
      <c r="AN150" s="39">
        <f>IF(ISNUMBER($AD150),$AO150+$AP150,"")</f>
      </c>
      <c r="AO150" s="39">
        <f>IF(ISNUMBER($AD150),ROUND($AD150*Header!$K$3,2),"")</f>
      </c>
      <c r="AP150" s="39">
        <f>IF(ISNUMBER($AD150),ROUND($AD150*Header!$M$3,2),"")</f>
      </c>
      <c r="AQ150" s="38">
        <f>IF(ISNUMBER($AD150),ROUND($AD150,2)-$AO150-$AP150,"")</f>
      </c>
      <c r="AR150" s="39">
        <f>IF(ISNUMBER($AD150),IF(Header!$D$34="","?",$AD150*Header!$D$34),"")</f>
      </c>
      <c r="AS150" s="39">
        <f>IF(ISNUMBER($AB150),IF(Header!$D$34="","?",$AB150*Header!$D$34),"")</f>
      </c>
      <c r="AT150" s="42">
        <f>IF(AND(ISNUMBER($AB150),$M150&gt;0),$AB150/$M150*100,"")</f>
      </c>
      <c r="AU150" s="42">
        <f>IF(AND(ISNUMBER($AD150),$M150&gt;0),$AD150/$M150*100,"")</f>
      </c>
      <c r="AV150" s="40">
        <f>IF(AND(ISNUMBER($AB150),ISNUMBER($AD150),ABS($AB150)&gt;0),$AD150/$AB150,"")</f>
      </c>
      <c r="AW150" s="39">
        <f>IF(ISNUMBER($AD150),MAX(0,(1-0.55-Header!$O$3)*Header!$Q$3*$AQ150),"")</f>
      </c>
      <c r="AX150" s="43">
        <f>IF($A150="","",IF(TRIM(IF($A150="","Missing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",""))="","PASS","FAIL: "&amp;TRIM(IF($A150="","Missing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f>
      </c>
      <c r="AY150" s="44">
        <f>IF($M150="","",IF(ISNUMBER($M150),IF($M150&gt;=Header!$C$18,"YES — refer","No"),""))</f>
      </c>
      <c r="AZ150" s="44">
        <f>IF($AD150="","",IF(ISNUMBER($AD150),IF($AD150&lt;Header!$C$20,"BELOW MIN PREMIUM","OK"),""))</f>
      </c>
      <c r="BA150" s="48" t="inlineStr">
        <is>
          <t xml:space="preserve">Yes</t>
        </is>
      </c>
      <c r="BB150" s="48" t="inlineStr">
        <is>
          <t xml:space="preserve">Yes</t>
        </is>
      </c>
      <c r="BC150" s="46" t="inlineStr">
        <is>
          <t xml:space="preserve">Synthetic demo data</t>
        </is>
      </c>
      <c r="BE150" s="45">
        <f>IF(OR($A150="",$L150="",$H150=""),"",IF(AND(LEFT($L150,2)="06",$H150&gt;1945),"FAIL - pre-war class, year "&amp;$H150,IF(AND(LEFT($L150,2)="07",OR($H150&lt;1946,$H150&gt;1972)),"FAIL - 1946-72 class, year "&amp;$H150,IF(AND(LEFT($L150,2)="08",OR($H150&lt;1973,$H150&gt;1999)),"FAIL - 1973-99 class, year "&amp;$H150,IF(AND(LEFT($L150,2)="09",OR($H150&lt;2000,$H150&gt;2010)),"FAIL - 2000-10 class, year "&amp;$H150,"OK")))))</f>
      </c>
      <c r="BF150" s="45">
        <f>IF($AD150="","",IF(ROUND($AO150+$AP150+$AQ150-$AD150,2)=0,"OK","FAIL - out by "&amp;TEXT($AO150+$AP150+$AQ150-$AD150,"$0.00")))</f>
      </c>
    </row>
    <row r="151" spans="1:58" ht="18.75" customHeight="1" x14ac:dyDescent="0.25">
      <c r="A151" s="30" t="inlineStr">
        <is>
          <t xml:space="preserve">CANON-202508-000195</t>
        </is>
      </c>
      <c r="B151" s="30" t="inlineStr">
        <is>
          <t xml:space="preserve">Thaddeus Harrington</t>
        </is>
      </c>
      <c r="C151" s="31">
        <v>45871</v>
      </c>
      <c r="D151" s="32" t="inlineStr">
        <is>
          <t xml:space="preserve">Bound - within authority</t>
        </is>
      </c>
      <c r="E151" s="32" t="inlineStr">
        <is>
          <t xml:space="preserve">New business</t>
        </is>
      </c>
      <c r="F151" s="30" t="inlineStr">
        <is>
          <t xml:space="preserve">B1234EXOTIC26</t>
        </is>
      </c>
      <c r="G151" s="33">
        <f>IF($A151="","",IF($C151="","",YEAR($C151)))</f>
      </c>
      <c r="H151" s="34">
        <v>1982</v>
      </c>
      <c r="I151" s="30" t="inlineStr">
        <is>
          <t xml:space="preserve">BMW</t>
        </is>
      </c>
      <c r="J151" s="30" t="inlineStr">
        <is>
          <t xml:space="preserve">M8 Competition</t>
        </is>
      </c>
      <c r="K151" s="30" t="inlineStr">
        <is>
          <t xml:space="preserve">4KF9A0B369GJRVUMF</t>
        </is>
      </c>
      <c r="L151" s="32" t="inlineStr">
        <is>
          <t xml:space="preserve">02 - Sports / GT</t>
        </is>
      </c>
      <c r="M151" s="35">
        <v>1090000</v>
      </c>
      <c r="N151" s="32" t="inlineStr">
        <is>
          <t xml:space="preserve">Personal</t>
        </is>
      </c>
      <c r="O151" s="30" t="inlineStr">
        <is>
          <t xml:space="preserve">Personal - regular use</t>
        </is>
      </c>
      <c r="P151" s="30" t="inlineStr">
        <is>
          <t xml:space="preserve">Under 1,000</t>
        </is>
      </c>
      <c r="Q151" s="30" t="inlineStr">
        <is>
          <t xml:space="preserve">New York</t>
        </is>
      </c>
      <c r="R151" s="30" t="inlineStr">
        <is>
          <t xml:space="preserve">10022</t>
        </is>
      </c>
      <c r="S151" s="32" t="inlineStr">
        <is>
          <t xml:space="preserve">Tier 3 - Coastal wind (25-100 miles)</t>
        </is>
      </c>
      <c r="T151" s="36">
        <f>IF($A151="","",IF($S151="","",IFERROR(INDEX('[1]natural catastrophe'!$D$6:$D$17,MATCH($S151,'[1]natural catastrophe'!$B$6:$B$17,0)),"?")))</f>
      </c>
      <c r="U151" s="30" t="inlineStr">
        <is>
          <t xml:space="preserve">2% of agreed value, minimum $10,000</t>
        </is>
      </c>
      <c r="V151" s="32" t="inlineStr">
        <is>
          <t xml:space="preserve">Agreed Value</t>
        </is>
      </c>
      <c r="W151" s="30" t="inlineStr">
        <is>
          <t xml:space="preserve">$1,000</t>
        </is>
      </c>
      <c r="X151" s="32" t="inlineStr">
        <is>
          <t xml:space="preserve">$1,000,000 CSL</t>
        </is>
      </c>
      <c r="Y151" s="30"/>
      <c r="Z151" s="30"/>
      <c r="AA151" s="32" t="inlineStr">
        <is>
          <t xml:space="preserve">Surplus Lines</t>
        </is>
      </c>
      <c r="AB151" s="35">
        <v>14478.49</v>
      </c>
      <c r="AC151" s="37">
        <v>0</v>
      </c>
      <c r="AD151" s="38">
        <f>IF(ISNUMBER($AB151),$AB151*(1+N($AC151)),"")</f>
      </c>
      <c r="AE151" s="35">
        <v>350</v>
      </c>
      <c r="AF151" s="35">
        <v>250</v>
      </c>
      <c r="AG151" s="37"/>
      <c r="AH151" s="39">
        <f>IF(ISNUMBER($AD151),($AD151+$AE151+$AF151)*$AG151,"")</f>
      </c>
      <c r="AI151" s="35"/>
      <c r="AJ151" s="38">
        <f>IF(ISNUMBER($AD151),SUM($AD151:$AH151),"")</f>
      </c>
      <c r="AK151" s="40">
        <f>IF(AND(ISNUMBER($AB151),ISNUMBER($AD151)),IF($AB151&gt;0,$AD151/$AB151,""),"")</f>
      </c>
      <c r="AL151" s="32" t="inlineStr">
        <is>
          <t xml:space="preserve">At technical</t>
        </is>
      </c>
      <c r="AM151" s="41">
        <f>IF(ISNUMBER($AD151),Header!$I$3,"")</f>
      </c>
      <c r="AN151" s="39">
        <f>IF(ISNUMBER($AD151),$AO151+$AP151,"")</f>
      </c>
      <c r="AO151" s="39">
        <f>IF(ISNUMBER($AD151),ROUND($AD151*Header!$K$3,2),"")</f>
      </c>
      <c r="AP151" s="39">
        <f>IF(ISNUMBER($AD151),ROUND($AD151*Header!$M$3,2),"")</f>
      </c>
      <c r="AQ151" s="38">
        <f>IF(ISNUMBER($AD151),ROUND($AD151,2)-$AO151-$AP151,"")</f>
      </c>
      <c r="AR151" s="39">
        <f>IF(ISNUMBER($AD151),IF(Header!$D$34="","?",$AD151*Header!$D$34),"")</f>
      </c>
      <c r="AS151" s="39">
        <f>IF(ISNUMBER($AB151),IF(Header!$D$34="","?",$AB151*Header!$D$34),"")</f>
      </c>
      <c r="AT151" s="42">
        <f>IF(AND(ISNUMBER($AB151),$M151&gt;0),$AB151/$M151*100,"")</f>
      </c>
      <c r="AU151" s="42">
        <f>IF(AND(ISNUMBER($AD151),$M151&gt;0),$AD151/$M151*100,"")</f>
      </c>
      <c r="AV151" s="40">
        <f>IF(AND(ISNUMBER($AB151),ISNUMBER($AD151),ABS($AB151)&gt;0),$AD151/$AB151,"")</f>
      </c>
      <c r="AW151" s="39">
        <f>IF(ISNUMBER($AD151),MAX(0,(1-0.55-Header!$O$3)*Header!$Q$3*$AQ151),"")</f>
      </c>
      <c r="AX151" s="43">
        <f>IF($A151="","",IF(TRIM(IF($A151="","Missing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",""))="","PASS","FAIL: "&amp;TRIM(IF($A151="","Missing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f>
      </c>
      <c r="AY151" s="44">
        <f>IF($M151="","",IF(ISNUMBER($M151),IF($M151&gt;=Header!$C$18,"YES — refer","No"),""))</f>
      </c>
      <c r="AZ151" s="44">
        <f>IF($AD151="","",IF(ISNUMBER($AD151),IF($AD151&lt;Header!$C$20,"BELOW MIN PREMIUM","OK"),""))</f>
      </c>
      <c r="BA151" s="32" t="inlineStr">
        <is>
          <t xml:space="preserve">Yes</t>
        </is>
      </c>
      <c r="BB151" s="32" t="inlineStr">
        <is>
          <t xml:space="preserve">Yes</t>
        </is>
      </c>
      <c r="BC151" s="30" t="inlineStr">
        <is>
          <t xml:space="preserve">Synthetic demo data</t>
        </is>
      </c>
      <c r="BE151" s="45">
        <f>IF(OR($A151="",$L151="",$H151=""),"",IF(AND(LEFT($L151,2)="06",$H151&gt;1945),"FAIL - pre-war class, year "&amp;$H151,IF(AND(LEFT($L151,2)="07",OR($H151&lt;1946,$H151&gt;1972)),"FAIL - 1946-72 class, year "&amp;$H151,IF(AND(LEFT($L151,2)="08",OR($H151&lt;1973,$H151&gt;1999)),"FAIL - 1973-99 class, year "&amp;$H151,IF(AND(LEFT($L151,2)="09",OR($H151&lt;2000,$H151&gt;2010)),"FAIL - 2000-10 class, year "&amp;$H151,"OK")))))</f>
      </c>
      <c r="BF151" s="45">
        <f>IF($AD151="","",IF(ROUND($AO151+$AP151+$AQ151-$AD151,2)=0,"OK","FAIL - out by "&amp;TEXT($AO151+$AP151+$AQ151-$AD151,"$0.00")))</f>
      </c>
    </row>
    <row r="152" spans="1:58" ht="18.75" customHeight="1" x14ac:dyDescent="0.25">
      <c r="A152" s="46" t="inlineStr">
        <is>
          <t xml:space="preserve">CANON-202508-000197</t>
        </is>
      </c>
      <c r="B152" s="46" t="inlineStr">
        <is>
          <t xml:space="preserve">Desmond Vandermeer</t>
        </is>
      </c>
      <c r="C152" s="47">
        <v>45881</v>
      </c>
      <c r="D152" s="48" t="inlineStr">
        <is>
          <t xml:space="preserve">Bound - within authority</t>
        </is>
      </c>
      <c r="E152" s="48" t="inlineStr">
        <is>
          <t xml:space="preserve">New business</t>
        </is>
      </c>
      <c r="F152" s="46" t="inlineStr">
        <is>
          <t xml:space="preserve">B1234EXOTIC26</t>
        </is>
      </c>
      <c r="G152" s="33">
        <f>IF($A152="","",IF($C152="","",YEAR($C152)))</f>
      </c>
      <c r="H152" s="49">
        <v>1997</v>
      </c>
      <c r="I152" s="46" t="inlineStr">
        <is>
          <t xml:space="preserve">Mercedes-Benz</t>
        </is>
      </c>
      <c r="J152" s="46" t="inlineStr">
        <is>
          <t xml:space="preserve">280SL Pagoda</t>
        </is>
      </c>
      <c r="K152" s="46" t="inlineStr">
        <is>
          <t xml:space="preserve">WLLMML59EP0W7C66U</t>
        </is>
      </c>
      <c r="L152" s="48" t="inlineStr">
        <is>
          <t xml:space="preserve">08 - Modern Classic (1973-1999)</t>
        </is>
      </c>
      <c r="M152" s="50">
        <v>510000</v>
      </c>
      <c r="N152" s="48" t="inlineStr">
        <is>
          <t xml:space="preserve">Personal</t>
        </is>
      </c>
      <c r="O152" s="46" t="inlineStr">
        <is>
          <t xml:space="preserve">Personal - regular use</t>
        </is>
      </c>
      <c r="P152" s="46" t="inlineStr">
        <is>
          <t xml:space="preserve">1,000 - 2,500</t>
        </is>
      </c>
      <c r="Q152" s="46" t="inlineStr">
        <is>
          <t xml:space="preserve">Wyoming</t>
        </is>
      </c>
      <c r="R152" s="46" t="inlineStr">
        <is>
          <t xml:space="preserve">82001</t>
        </is>
      </c>
      <c r="S152" s="48" t="inlineStr">
        <is>
          <t xml:space="preserve">Severe convective - hail alley (high)</t>
        </is>
      </c>
      <c r="T152" s="36">
        <f>IF($A152="","",IF($S152="","",IFERROR(INDEX('[1]natural catastrophe'!$D$6:$D$17,MATCH($S152,'[1]natural catastrophe'!$B$6:$B$17,0)),"?")))</f>
      </c>
      <c r="U152" s="46" t="inlineStr">
        <is>
          <t xml:space="preserve">$5,000</t>
        </is>
      </c>
      <c r="V152" s="48" t="inlineStr">
        <is>
          <t xml:space="preserve">Agreed Value</t>
        </is>
      </c>
      <c r="W152" s="46" t="inlineStr">
        <is>
          <t xml:space="preserve">$1,000</t>
        </is>
      </c>
      <c r="X152" s="48" t="inlineStr">
        <is>
          <t xml:space="preserve">$1,000,000 CSL</t>
        </is>
      </c>
      <c r="Y152" s="46"/>
      <c r="Z152" s="46"/>
      <c r="AA152" s="48" t="inlineStr">
        <is>
          <t xml:space="preserve">Surplus Lines</t>
        </is>
      </c>
      <c r="AB152" s="50">
        <v>4427.38</v>
      </c>
      <c r="AC152" s="51">
        <v>0</v>
      </c>
      <c r="AD152" s="38">
        <f>IF(ISNUMBER($AB152),$AB152*(1+N($AC152)),"")</f>
      </c>
      <c r="AE152" s="50">
        <v>350</v>
      </c>
      <c r="AF152" s="50">
        <v>0</v>
      </c>
      <c r="AG152" s="51"/>
      <c r="AH152" s="39">
        <f>IF(ISNUMBER($AD152),($AD152+$AE152+$AF152)*$AG152,"")</f>
      </c>
      <c r="AI152" s="50"/>
      <c r="AJ152" s="38">
        <f>IF(ISNUMBER($AD152),SUM($AD152:$AH152),"")</f>
      </c>
      <c r="AK152" s="40">
        <f>IF(AND(ISNUMBER($AB152),ISNUMBER($AD152)),IF($AB152&gt;0,$AD152/$AB152,""),"")</f>
      </c>
      <c r="AL152" s="48" t="inlineStr">
        <is>
          <t xml:space="preserve">At technical</t>
        </is>
      </c>
      <c r="AM152" s="41">
        <f>IF(ISNUMBER($AD152),Header!$I$3,"")</f>
      </c>
      <c r="AN152" s="39">
        <f>IF(ISNUMBER($AD152),$AO152+$AP152,"")</f>
      </c>
      <c r="AO152" s="39">
        <f>IF(ISNUMBER($AD152),ROUND($AD152*Header!$K$3,2),"")</f>
      </c>
      <c r="AP152" s="39">
        <f>IF(ISNUMBER($AD152),ROUND($AD152*Header!$M$3,2),"")</f>
      </c>
      <c r="AQ152" s="38">
        <f>IF(ISNUMBER($AD152),ROUND($AD152,2)-$AO152-$AP152,"")</f>
      </c>
      <c r="AR152" s="39">
        <f>IF(ISNUMBER($AD152),IF(Header!$D$34="","?",$AD152*Header!$D$34),"")</f>
      </c>
      <c r="AS152" s="39">
        <f>IF(ISNUMBER($AB152),IF(Header!$D$34="","?",$AB152*Header!$D$34),"")</f>
      </c>
      <c r="AT152" s="42">
        <f>IF(AND(ISNUMBER($AB152),$M152&gt;0),$AB152/$M152*100,"")</f>
      </c>
      <c r="AU152" s="42">
        <f>IF(AND(ISNUMBER($AD152),$M152&gt;0),$AD152/$M152*100,"")</f>
      </c>
      <c r="AV152" s="40">
        <f>IF(AND(ISNUMBER($AB152),ISNUMBER($AD152),ABS($AB152)&gt;0),$AD152/$AB152,"")</f>
      </c>
      <c r="AW152" s="39">
        <f>IF(ISNUMBER($AD152),MAX(0,(1-0.55-Header!$O$3)*Header!$Q$3*$AQ152),"")</f>
      </c>
      <c r="AX152" s="43">
        <f>IF($A152="","",IF(TRIM(IF($A152="","Missing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",""))="","PASS","FAIL: "&amp;TRIM(IF($A152="","Missing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f>
      </c>
      <c r="AY152" s="44">
        <f>IF($M152="","",IF(ISNUMBER($M152),IF($M152&gt;=Header!$C$18,"YES — refer","No"),""))</f>
      </c>
      <c r="AZ152" s="44">
        <f>IF($AD152="","",IF(ISNUMBER($AD152),IF($AD152&lt;Header!$C$20,"BELOW MIN PREMIUM","OK"),""))</f>
      </c>
      <c r="BA152" s="48" t="inlineStr">
        <is>
          <t xml:space="preserve">Yes</t>
        </is>
      </c>
      <c r="BB152" s="48" t="inlineStr">
        <is>
          <t xml:space="preserve">Yes</t>
        </is>
      </c>
      <c r="BC152" s="46" t="inlineStr">
        <is>
          <t xml:space="preserve">Synthetic demo data</t>
        </is>
      </c>
      <c r="BE152" s="45">
        <f>IF(OR($A152="",$L152="",$H152=""),"",IF(AND(LEFT($L152,2)="06",$H152&gt;1945),"FAIL - pre-war class, year "&amp;$H152,IF(AND(LEFT($L152,2)="07",OR($H152&lt;1946,$H152&gt;1972)),"FAIL - 1946-72 class, year "&amp;$H152,IF(AND(LEFT($L152,2)="08",OR($H152&lt;1973,$H152&gt;1999)),"FAIL - 1973-99 class, year "&amp;$H152,IF(AND(LEFT($L152,2)="09",OR($H152&lt;2000,$H152&gt;2010)),"FAIL - 2000-10 class, year "&amp;$H152,"OK")))))</f>
      </c>
      <c r="BF152" s="45">
        <f>IF($AD152="","",IF(ROUND($AO152+$AP152+$AQ152-$AD152,2)=0,"OK","FAIL - out by "&amp;TEXT($AO152+$AP152+$AQ152-$AD152,"$0.00")))</f>
      </c>
    </row>
    <row r="153" spans="1:58" ht="18.75" customHeight="1" x14ac:dyDescent="0.25">
      <c r="A153" s="30" t="inlineStr">
        <is>
          <t xml:space="preserve">CANON-202508-000198</t>
        </is>
      </c>
      <c r="B153" s="30" t="inlineStr">
        <is>
          <t xml:space="preserve">Aurelio Delacroix</t>
        </is>
      </c>
      <c r="C153" s="31">
        <v>45889</v>
      </c>
      <c r="D153" s="32" t="inlineStr">
        <is>
          <t xml:space="preserve">Bound - within authority</t>
        </is>
      </c>
      <c r="E153" s="32" t="inlineStr">
        <is>
          <t xml:space="preserve">New business</t>
        </is>
      </c>
      <c r="F153" s="30" t="inlineStr">
        <is>
          <t xml:space="preserve">B1234EXOTIC26</t>
        </is>
      </c>
      <c r="G153" s="33">
        <f>IF($A153="","",IF($C153="","",YEAR($C153)))</f>
      </c>
      <c r="H153" s="34">
        <v>1999</v>
      </c>
      <c r="I153" s="30" t="inlineStr">
        <is>
          <t xml:space="preserve">Bentley</t>
        </is>
      </c>
      <c r="J153" s="30" t="inlineStr">
        <is>
          <t xml:space="preserve">Continental GT</t>
        </is>
      </c>
      <c r="K153" s="30" t="inlineStr">
        <is>
          <t xml:space="preserve">UM0Z23KLVV39GFRGY</t>
        </is>
      </c>
      <c r="L153" s="32" t="inlineStr">
        <is>
          <t xml:space="preserve">02 - Sports / GT</t>
        </is>
      </c>
      <c r="M153" s="35">
        <v>1900000</v>
      </c>
      <c r="N153" s="32" t="inlineStr">
        <is>
          <t xml:space="preserve">Personal</t>
        </is>
      </c>
      <c r="O153" s="30" t="inlineStr">
        <is>
          <t xml:space="preserve">Personal - regular use</t>
        </is>
      </c>
      <c r="P153" s="30" t="inlineStr">
        <is>
          <t xml:space="preserve">2,500 - 5,000</t>
        </is>
      </c>
      <c r="Q153" s="30" t="inlineStr">
        <is>
          <t xml:space="preserve">North Carolina</t>
        </is>
      </c>
      <c r="R153" s="30" t="inlineStr">
        <is>
          <t xml:space="preserve">28202</t>
        </is>
      </c>
      <c r="S153" s="32" t="inlineStr">
        <is>
          <t xml:space="preserve">Tier 2 - Coastal wind (1-25 miles)</t>
        </is>
      </c>
      <c r="T153" s="36">
        <f>IF($A153="","",IF($S153="","",IFERROR(INDEX('[1]natural catastrophe'!$D$6:$D$17,MATCH($S153,'[1]natural catastrophe'!$B$6:$B$17,0)),"?")))</f>
      </c>
      <c r="U153" s="30" t="inlineStr">
        <is>
          <t xml:space="preserve">2% of agreed value, minimum $10,000</t>
        </is>
      </c>
      <c r="V153" s="32" t="inlineStr">
        <is>
          <t xml:space="preserve">Agreed Value</t>
        </is>
      </c>
      <c r="W153" s="30" t="inlineStr">
        <is>
          <t xml:space="preserve">$1,000</t>
        </is>
      </c>
      <c r="X153" s="32" t="inlineStr">
        <is>
          <t xml:space="preserve">$1,000,000 CSL</t>
        </is>
      </c>
      <c r="Y153" s="30"/>
      <c r="Z153" s="30"/>
      <c r="AA153" s="32" t="inlineStr">
        <is>
          <t xml:space="preserve">Surplus Lines</t>
        </is>
      </c>
      <c r="AB153" s="35">
        <v>22674.53</v>
      </c>
      <c r="AC153" s="37">
        <v>0</v>
      </c>
      <c r="AD153" s="38">
        <f>IF(ISNUMBER($AB153),$AB153*(1+N($AC153)),"")</f>
      </c>
      <c r="AE153" s="35">
        <v>350</v>
      </c>
      <c r="AF153" s="35">
        <v>250</v>
      </c>
      <c r="AG153" s="37"/>
      <c r="AH153" s="39">
        <f>IF(ISNUMBER($AD153),($AD153+$AE153+$AF153)*$AG153,"")</f>
      </c>
      <c r="AI153" s="35"/>
      <c r="AJ153" s="38">
        <f>IF(ISNUMBER($AD153),SUM($AD153:$AH153),"")</f>
      </c>
      <c r="AK153" s="40">
        <f>IF(AND(ISNUMBER($AB153),ISNUMBER($AD153)),IF($AB153&gt;0,$AD153/$AB153,""),"")</f>
      </c>
      <c r="AL153" s="32" t="inlineStr">
        <is>
          <t xml:space="preserve">At technical</t>
        </is>
      </c>
      <c r="AM153" s="41">
        <f>IF(ISNUMBER($AD153),Header!$I$3,"")</f>
      </c>
      <c r="AN153" s="39">
        <f>IF(ISNUMBER($AD153),$AO153+$AP153,"")</f>
      </c>
      <c r="AO153" s="39">
        <f>IF(ISNUMBER($AD153),ROUND($AD153*Header!$K$3,2),"")</f>
      </c>
      <c r="AP153" s="39">
        <f>IF(ISNUMBER($AD153),ROUND($AD153*Header!$M$3,2),"")</f>
      </c>
      <c r="AQ153" s="38">
        <f>IF(ISNUMBER($AD153),ROUND($AD153,2)-$AO153-$AP153,"")</f>
      </c>
      <c r="AR153" s="39">
        <f>IF(ISNUMBER($AD153),IF(Header!$D$34="","?",$AD153*Header!$D$34),"")</f>
      </c>
      <c r="AS153" s="39">
        <f>IF(ISNUMBER($AB153),IF(Header!$D$34="","?",$AB153*Header!$D$34),"")</f>
      </c>
      <c r="AT153" s="42">
        <f>IF(AND(ISNUMBER($AB153),$M153&gt;0),$AB153/$M153*100,"")</f>
      </c>
      <c r="AU153" s="42">
        <f>IF(AND(ISNUMBER($AD153),$M153&gt;0),$AD153/$M153*100,"")</f>
      </c>
      <c r="AV153" s="40">
        <f>IF(AND(ISNUMBER($AB153),ISNUMBER($AD153),ABS($AB153)&gt;0),$AD153/$AB153,"")</f>
      </c>
      <c r="AW153" s="39">
        <f>IF(ISNUMBER($AD153),MAX(0,(1-0.55-Header!$O$3)*Header!$Q$3*$AQ153),"")</f>
      </c>
      <c r="AX153" s="43">
        <f>IF($A153="","",IF(TRIM(IF($A153="","Missing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",""))="","PASS","FAIL: "&amp;TRIM(IF($A153="","Missing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f>
      </c>
      <c r="AY153" s="44">
        <f>IF($M153="","",IF(ISNUMBER($M153),IF($M153&gt;=Header!$C$18,"YES — refer","No"),""))</f>
      </c>
      <c r="AZ153" s="44">
        <f>IF($AD153="","",IF(ISNUMBER($AD153),IF($AD153&lt;Header!$C$20,"BELOW MIN PREMIUM","OK"),""))</f>
      </c>
      <c r="BA153" s="32" t="inlineStr">
        <is>
          <t xml:space="preserve">Yes</t>
        </is>
      </c>
      <c r="BB153" s="32" t="inlineStr">
        <is>
          <t xml:space="preserve">Yes</t>
        </is>
      </c>
      <c r="BC153" s="30" t="inlineStr">
        <is>
          <t xml:space="preserve">Synthetic demo data</t>
        </is>
      </c>
      <c r="BE153" s="45">
        <f>IF(OR($A153="",$L153="",$H153=""),"",IF(AND(LEFT($L153,2)="06",$H153&gt;1945),"FAIL - pre-war class, year "&amp;$H153,IF(AND(LEFT($L153,2)="07",OR($H153&lt;1946,$H153&gt;1972)),"FAIL - 1946-72 class, year "&amp;$H153,IF(AND(LEFT($L153,2)="08",OR($H153&lt;1973,$H153&gt;1999)),"FAIL - 1973-99 class, year "&amp;$H153,IF(AND(LEFT($L153,2)="09",OR($H153&lt;2000,$H153&gt;2010)),"FAIL - 2000-10 class, year "&amp;$H153,"OK")))))</f>
      </c>
      <c r="BF153" s="45">
        <f>IF($AD153="","",IF(ROUND($AO153+$AP153+$AQ153-$AD153,2)=0,"OK","FAIL - out by "&amp;TEXT($AO153+$AP153+$AQ153-$AD153,"$0.00")))</f>
      </c>
    </row>
    <row r="154" spans="1:58" ht="18.75" customHeight="1" x14ac:dyDescent="0.25">
      <c r="A154" s="46" t="inlineStr">
        <is>
          <t xml:space="preserve">CANON-202508-000199</t>
        </is>
      </c>
      <c r="B154" s="46" t="inlineStr">
        <is>
          <t xml:space="preserve">Fenwick Underwood</t>
        </is>
      </c>
      <c r="C154" s="47">
        <v>45881</v>
      </c>
      <c r="D154" s="48" t="inlineStr">
        <is>
          <t xml:space="preserve">Bound - within authority</t>
        </is>
      </c>
      <c r="E154" s="48" t="inlineStr">
        <is>
          <t xml:space="preserve">New business</t>
        </is>
      </c>
      <c r="F154" s="46" t="inlineStr">
        <is>
          <t xml:space="preserve">B1234EXOTIC26</t>
        </is>
      </c>
      <c r="G154" s="33">
        <f>IF($A154="","",IF($C154="","",YEAR($C154)))</f>
      </c>
      <c r="H154" s="49">
        <v>2013</v>
      </c>
      <c r="I154" s="46" t="inlineStr">
        <is>
          <t xml:space="preserve">Aston Martin</t>
        </is>
      </c>
      <c r="J154" s="46" t="inlineStr">
        <is>
          <t xml:space="preserve">DB12</t>
        </is>
      </c>
      <c r="K154" s="46" t="inlineStr">
        <is>
          <t xml:space="preserve">DU0F2C4K2JCDH4AWJ</t>
        </is>
      </c>
      <c r="L154" s="48" t="inlineStr">
        <is>
          <t xml:space="preserve">02 - Sports / GT</t>
        </is>
      </c>
      <c r="M154" s="50">
        <v>1215000</v>
      </c>
      <c r="N154" s="48" t="inlineStr">
        <is>
          <t xml:space="preserve">Personal</t>
        </is>
      </c>
      <c r="O154" s="46" t="inlineStr">
        <is>
          <t xml:space="preserve">Personal - regular use</t>
        </is>
      </c>
      <c r="P154" s="46" t="inlineStr">
        <is>
          <t xml:space="preserve">Under 1,000</t>
        </is>
      </c>
      <c r="Q154" s="46" t="inlineStr">
        <is>
          <t xml:space="preserve">Oregon</t>
        </is>
      </c>
      <c r="R154" s="46" t="inlineStr">
        <is>
          <t xml:space="preserve">97204</t>
        </is>
      </c>
      <c r="S154" s="48" t="inlineStr">
        <is>
          <t xml:space="preserve">Earthquake - high (CA, Cascadia, New Madrid)</t>
        </is>
      </c>
      <c r="T154" s="36">
        <f>IF($A154="","",IF($S154="","",IFERROR(INDEX('[1]natural catastrophe'!$D$6:$D$17,MATCH($S154,'[1]natural catastrophe'!$B$6:$B$17,0)),"?")))</f>
      </c>
      <c r="U154" s="46" t="inlineStr">
        <is>
          <t xml:space="preserve">$5,000</t>
        </is>
      </c>
      <c r="V154" s="48" t="inlineStr">
        <is>
          <t xml:space="preserve">Agreed Value</t>
        </is>
      </c>
      <c r="W154" s="46" t="inlineStr">
        <is>
          <t xml:space="preserve">$1,000</t>
        </is>
      </c>
      <c r="X154" s="48" t="inlineStr">
        <is>
          <t xml:space="preserve">$1,000,000 CSL</t>
        </is>
      </c>
      <c r="Y154" s="46"/>
      <c r="Z154" s="46"/>
      <c r="AA154" s="48" t="inlineStr">
        <is>
          <t xml:space="preserve">Surplus Lines</t>
        </is>
      </c>
      <c r="AB154" s="50">
        <v>14247.59</v>
      </c>
      <c r="AC154" s="51">
        <v>0</v>
      </c>
      <c r="AD154" s="38">
        <f>IF(ISNUMBER($AB154),$AB154*(1+N($AC154)),"")</f>
      </c>
      <c r="AE154" s="50">
        <v>350</v>
      </c>
      <c r="AF154" s="50">
        <v>250</v>
      </c>
      <c r="AG154" s="51"/>
      <c r="AH154" s="39">
        <f>IF(ISNUMBER($AD154),($AD154+$AE154+$AF154)*$AG154,"")</f>
      </c>
      <c r="AI154" s="50"/>
      <c r="AJ154" s="38">
        <f>IF(ISNUMBER($AD154),SUM($AD154:$AH154),"")</f>
      </c>
      <c r="AK154" s="40">
        <f>IF(AND(ISNUMBER($AB154),ISNUMBER($AD154)),IF($AB154&gt;0,$AD154/$AB154,""),"")</f>
      </c>
      <c r="AL154" s="48" t="inlineStr">
        <is>
          <t xml:space="preserve">At technical</t>
        </is>
      </c>
      <c r="AM154" s="41">
        <f>IF(ISNUMBER($AD154),Header!$I$3,"")</f>
      </c>
      <c r="AN154" s="39">
        <f>IF(ISNUMBER($AD154),$AO154+$AP154,"")</f>
      </c>
      <c r="AO154" s="39">
        <f>IF(ISNUMBER($AD154),ROUND($AD154*Header!$K$3,2),"")</f>
      </c>
      <c r="AP154" s="39">
        <f>IF(ISNUMBER($AD154),ROUND($AD154*Header!$M$3,2),"")</f>
      </c>
      <c r="AQ154" s="38">
        <f>IF(ISNUMBER($AD154),ROUND($AD154,2)-$AO154-$AP154,"")</f>
      </c>
      <c r="AR154" s="39">
        <f>IF(ISNUMBER($AD154),IF(Header!$D$34="","?",$AD154*Header!$D$34),"")</f>
      </c>
      <c r="AS154" s="39">
        <f>IF(ISNUMBER($AB154),IF(Header!$D$34="","?",$AB154*Header!$D$34),"")</f>
      </c>
      <c r="AT154" s="42">
        <f>IF(AND(ISNUMBER($AB154),$M154&gt;0),$AB154/$M154*100,"")</f>
      </c>
      <c r="AU154" s="42">
        <f>IF(AND(ISNUMBER($AD154),$M154&gt;0),$AD154/$M154*100,"")</f>
      </c>
      <c r="AV154" s="40">
        <f>IF(AND(ISNUMBER($AB154),ISNUMBER($AD154),ABS($AB154)&gt;0),$AD154/$AB154,"")</f>
      </c>
      <c r="AW154" s="39">
        <f>IF(ISNUMBER($AD154),MAX(0,(1-0.55-Header!$O$3)*Header!$Q$3*$AQ154),"")</f>
      </c>
      <c r="AX154" s="43">
        <f>IF($A154="","",IF(TRIM(IF($A154="","Missing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",""))="","PASS","FAIL: "&amp;TRIM(IF($A154="","Missing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f>
      </c>
      <c r="AY154" s="44">
        <f>IF($M154="","",IF(ISNUMBER($M154),IF($M154&gt;=Header!$C$18,"YES — refer","No"),""))</f>
      </c>
      <c r="AZ154" s="44">
        <f>IF($AD154="","",IF(ISNUMBER($AD154),IF($AD154&lt;Header!$C$20,"BELOW MIN PREMIUM","OK"),""))</f>
      </c>
      <c r="BA154" s="48" t="inlineStr">
        <is>
          <t xml:space="preserve">Yes</t>
        </is>
      </c>
      <c r="BB154" s="48" t="inlineStr">
        <is>
          <t xml:space="preserve">Yes</t>
        </is>
      </c>
      <c r="BC154" s="46" t="inlineStr">
        <is>
          <t xml:space="preserve">Synthetic demo data</t>
        </is>
      </c>
      <c r="BE154" s="45">
        <f>IF(OR($A154="",$L154="",$H154=""),"",IF(AND(LEFT($L154,2)="06",$H154&gt;1945),"FAIL - pre-war class, year "&amp;$H154,IF(AND(LEFT($L154,2)="07",OR($H154&lt;1946,$H154&gt;1972)),"FAIL - 1946-72 class, year "&amp;$H154,IF(AND(LEFT($L154,2)="08",OR($H154&lt;1973,$H154&gt;1999)),"FAIL - 1973-99 class, year "&amp;$H154,IF(AND(LEFT($L154,2)="09",OR($H154&lt;2000,$H154&gt;2010)),"FAIL - 2000-10 class, year "&amp;$H154,"OK")))))</f>
      </c>
      <c r="BF154" s="45">
        <f>IF($AD154="","",IF(ROUND($AO154+$AP154+$AQ154-$AD154,2)=0,"OK","FAIL - out by "&amp;TEXT($AO154+$AP154+$AQ154-$AD154,"$0.00")))</f>
      </c>
    </row>
    <row r="155" spans="1:58" ht="18.75" customHeight="1" x14ac:dyDescent="0.25">
      <c r="A155" s="30" t="inlineStr">
        <is>
          <t xml:space="preserve">CANON-202508-000200</t>
        </is>
      </c>
      <c r="B155" s="30" t="inlineStr">
        <is>
          <t xml:space="preserve">Thaddeus Kingsford</t>
        </is>
      </c>
      <c r="C155" s="31">
        <v>45889</v>
      </c>
      <c r="D155" s="32" t="inlineStr">
        <is>
          <t xml:space="preserve">Bound - within authority</t>
        </is>
      </c>
      <c r="E155" s="32" t="inlineStr">
        <is>
          <t xml:space="preserve">New business</t>
        </is>
      </c>
      <c r="F155" s="30" t="inlineStr">
        <is>
          <t xml:space="preserve">B1234EXOTIC26</t>
        </is>
      </c>
      <c r="G155" s="33">
        <f>IF($A155="","",IF($C155="","",YEAR($C155)))</f>
      </c>
      <c r="H155" s="34">
        <v>1990</v>
      </c>
      <c r="I155" s="30" t="inlineStr">
        <is>
          <t xml:space="preserve">Lamborghini</t>
        </is>
      </c>
      <c r="J155" s="30" t="inlineStr">
        <is>
          <t xml:space="preserve">Huracan EVO</t>
        </is>
      </c>
      <c r="K155" s="30" t="inlineStr">
        <is>
          <t xml:space="preserve">MYY1F979RD54HVHCJ</t>
        </is>
      </c>
      <c r="L155" s="32" t="inlineStr">
        <is>
          <t xml:space="preserve">03 - Supercar</t>
        </is>
      </c>
      <c r="M155" s="35">
        <v>825000</v>
      </c>
      <c r="N155" s="32" t="inlineStr">
        <is>
          <t xml:space="preserve">Personal</t>
        </is>
      </c>
      <c r="O155" s="30" t="inlineStr">
        <is>
          <t xml:space="preserve">Personal - regular use</t>
        </is>
      </c>
      <c r="P155" s="30" t="inlineStr">
        <is>
          <t xml:space="preserve">1,000 - 2,500</t>
        </is>
      </c>
      <c r="Q155" s="30" t="inlineStr">
        <is>
          <t xml:space="preserve">Ohio</t>
        </is>
      </c>
      <c r="R155" s="30" t="inlineStr">
        <is>
          <t xml:space="preserve">43215</t>
        </is>
      </c>
      <c r="S155" s="32" t="inlineStr">
        <is>
          <t xml:space="preserve">Severe convective - hail / tornado (moderate)</t>
        </is>
      </c>
      <c r="T155" s="36">
        <f>IF($A155="","",IF($S155="","",IFERROR(INDEX('[1]natural catastrophe'!$D$6:$D$17,MATCH($S155,'[1]natural catastrophe'!$B$6:$B$17,0)),"?")))</f>
      </c>
      <c r="U155" s="30" t="inlineStr">
        <is>
          <t xml:space="preserve">$5,000</t>
        </is>
      </c>
      <c r="V155" s="32" t="inlineStr">
        <is>
          <t xml:space="preserve">Agreed Value</t>
        </is>
      </c>
      <c r="W155" s="30" t="inlineStr">
        <is>
          <t xml:space="preserve">$1,000</t>
        </is>
      </c>
      <c r="X155" s="32" t="inlineStr">
        <is>
          <t xml:space="preserve">$1,000,000 CSL</t>
        </is>
      </c>
      <c r="Y155" s="30"/>
      <c r="Z155" s="30"/>
      <c r="AA155" s="32" t="inlineStr">
        <is>
          <t xml:space="preserve">Surplus Lines</t>
        </is>
      </c>
      <c r="AB155" s="35">
        <v>20554.95</v>
      </c>
      <c r="AC155" s="37">
        <v>0</v>
      </c>
      <c r="AD155" s="38">
        <f>IF(ISNUMBER($AB155),$AB155*(1+N($AC155)),"")</f>
      </c>
      <c r="AE155" s="35">
        <v>350</v>
      </c>
      <c r="AF155" s="35">
        <v>0</v>
      </c>
      <c r="AG155" s="37"/>
      <c r="AH155" s="39">
        <f>IF(ISNUMBER($AD155),($AD155+$AE155+$AF155)*$AG155,"")</f>
      </c>
      <c r="AI155" s="35"/>
      <c r="AJ155" s="38">
        <f>IF(ISNUMBER($AD155),SUM($AD155:$AH155),"")</f>
      </c>
      <c r="AK155" s="40">
        <f>IF(AND(ISNUMBER($AB155),ISNUMBER($AD155)),IF($AB155&gt;0,$AD155/$AB155,""),"")</f>
      </c>
      <c r="AL155" s="32" t="inlineStr">
        <is>
          <t xml:space="preserve">At technical</t>
        </is>
      </c>
      <c r="AM155" s="41">
        <f>IF(ISNUMBER($AD155),Header!$I$3,"")</f>
      </c>
      <c r="AN155" s="39">
        <f>IF(ISNUMBER($AD155),$AO155+$AP155,"")</f>
      </c>
      <c r="AO155" s="39">
        <f>IF(ISNUMBER($AD155),ROUND($AD155*Header!$K$3,2),"")</f>
      </c>
      <c r="AP155" s="39">
        <f>IF(ISNUMBER($AD155),ROUND($AD155*Header!$M$3,2),"")</f>
      </c>
      <c r="AQ155" s="38">
        <f>IF(ISNUMBER($AD155),ROUND($AD155,2)-$AO155-$AP155,"")</f>
      </c>
      <c r="AR155" s="39">
        <f>IF(ISNUMBER($AD155),IF(Header!$D$34="","?",$AD155*Header!$D$34),"")</f>
      </c>
      <c r="AS155" s="39">
        <f>IF(ISNUMBER($AB155),IF(Header!$D$34="","?",$AB155*Header!$D$34),"")</f>
      </c>
      <c r="AT155" s="42">
        <f>IF(AND(ISNUMBER($AB155),$M155&gt;0),$AB155/$M155*100,"")</f>
      </c>
      <c r="AU155" s="42">
        <f>IF(AND(ISNUMBER($AD155),$M155&gt;0),$AD155/$M155*100,"")</f>
      </c>
      <c r="AV155" s="40">
        <f>IF(AND(ISNUMBER($AB155),ISNUMBER($AD155),ABS($AB155)&gt;0),$AD155/$AB155,"")</f>
      </c>
      <c r="AW155" s="39">
        <f>IF(ISNUMBER($AD155),MAX(0,(1-0.55-Header!$O$3)*Header!$Q$3*$AQ155),"")</f>
      </c>
      <c r="AX155" s="43">
        <f>IF($A155="","",IF(TRIM(IF($A155="","Missing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",""))="","PASS","FAIL: "&amp;TRIM(IF($A155="","Missing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f>
      </c>
      <c r="AY155" s="44">
        <f>IF($M155="","",IF(ISNUMBER($M155),IF($M155&gt;=Header!$C$18,"YES — refer","No"),""))</f>
      </c>
      <c r="AZ155" s="44">
        <f>IF($AD155="","",IF(ISNUMBER($AD155),IF($AD155&lt;Header!$C$20,"BELOW MIN PREMIUM","OK"),""))</f>
      </c>
      <c r="BA155" s="32" t="inlineStr">
        <is>
          <t xml:space="preserve">Yes</t>
        </is>
      </c>
      <c r="BB155" s="32" t="inlineStr">
        <is>
          <t xml:space="preserve">Yes</t>
        </is>
      </c>
      <c r="BC155" s="30" t="inlineStr">
        <is>
          <t xml:space="preserve">Synthetic demo data</t>
        </is>
      </c>
      <c r="BE155" s="45">
        <f>IF(OR($A155="",$L155="",$H155=""),"",IF(AND(LEFT($L155,2)="06",$H155&gt;1945),"FAIL - pre-war class, year "&amp;$H155,IF(AND(LEFT($L155,2)="07",OR($H155&lt;1946,$H155&gt;1972)),"FAIL - 1946-72 class, year "&amp;$H155,IF(AND(LEFT($L155,2)="08",OR($H155&lt;1973,$H155&gt;1999)),"FAIL - 1973-99 class, year "&amp;$H155,IF(AND(LEFT($L155,2)="09",OR($H155&lt;2000,$H155&gt;2010)),"FAIL - 2000-10 class, year "&amp;$H155,"OK")))))</f>
      </c>
      <c r="BF155" s="45">
        <f>IF($AD155="","",IF(ROUND($AO155+$AP155+$AQ155-$AD155,2)=0,"OK","FAIL - out by "&amp;TEXT($AO155+$AP155+$AQ155-$AD155,"$0.00")))</f>
      </c>
    </row>
    <row r="156" spans="1:58" ht="18.75" customHeight="1" x14ac:dyDescent="0.25">
      <c r="A156" s="46" t="inlineStr">
        <is>
          <t xml:space="preserve">CANON-202508-000202</t>
        </is>
      </c>
      <c r="B156" s="46" t="inlineStr">
        <is>
          <t xml:space="preserve">Delphine Larsson</t>
        </is>
      </c>
      <c r="C156" s="47">
        <v>45889</v>
      </c>
      <c r="D156" s="48" t="inlineStr">
        <is>
          <t xml:space="preserve">Bound - within authority</t>
        </is>
      </c>
      <c r="E156" s="48" t="inlineStr">
        <is>
          <t xml:space="preserve">New business</t>
        </is>
      </c>
      <c r="F156" s="46" t="inlineStr">
        <is>
          <t xml:space="preserve">B1234EXOTIC26</t>
        </is>
      </c>
      <c r="G156" s="33">
        <f>IF($A156="","",IF($C156="","",YEAR($C156)))</f>
      </c>
      <c r="H156" s="49">
        <v>2011</v>
      </c>
      <c r="I156" s="46" t="inlineStr">
        <is>
          <t xml:space="preserve">Mercedes-Benz</t>
        </is>
      </c>
      <c r="J156" s="46" t="inlineStr">
        <is>
          <t xml:space="preserve">280SL Pagoda</t>
        </is>
      </c>
      <c r="K156" s="46" t="inlineStr">
        <is>
          <t xml:space="preserve">45V50D6EM2T1EJWW9</t>
        </is>
      </c>
      <c r="L156" s="48" t="inlineStr">
        <is>
          <t xml:space="preserve">02 - Sports / GT</t>
        </is>
      </c>
      <c r="M156" s="50">
        <v>1345000</v>
      </c>
      <c r="N156" s="48" t="inlineStr">
        <is>
          <t xml:space="preserve">Personal</t>
        </is>
      </c>
      <c r="O156" s="46" t="inlineStr">
        <is>
          <t xml:space="preserve">Personal - regular use</t>
        </is>
      </c>
      <c r="P156" s="46" t="inlineStr">
        <is>
          <t xml:space="preserve">1,000 - 2,500</t>
        </is>
      </c>
      <c r="Q156" s="46" t="inlineStr">
        <is>
          <t xml:space="preserve">New York</t>
        </is>
      </c>
      <c r="R156" s="46" t="inlineStr">
        <is>
          <t xml:space="preserve">10022</t>
        </is>
      </c>
      <c r="S156" s="48" t="inlineStr">
        <is>
          <t xml:space="preserve">Tier 3 - Coastal wind (25-100 miles)</t>
        </is>
      </c>
      <c r="T156" s="36">
        <f>IF($A156="","",IF($S156="","",IFERROR(INDEX('[1]natural catastrophe'!$D$6:$D$17,MATCH($S156,'[1]natural catastrophe'!$B$6:$B$17,0)),"?")))</f>
      </c>
      <c r="U156" s="46" t="inlineStr">
        <is>
          <t xml:space="preserve">2% of agreed value, minimum $10,000</t>
        </is>
      </c>
      <c r="V156" s="48" t="inlineStr">
        <is>
          <t xml:space="preserve">Agreed Value</t>
        </is>
      </c>
      <c r="W156" s="46" t="inlineStr">
        <is>
          <t xml:space="preserve">$1,000</t>
        </is>
      </c>
      <c r="X156" s="48" t="inlineStr">
        <is>
          <t xml:space="preserve">$1,000,000 CSL</t>
        </is>
      </c>
      <c r="Y156" s="46"/>
      <c r="Z156" s="46"/>
      <c r="AA156" s="48" t="inlineStr">
        <is>
          <t xml:space="preserve">Surplus Lines</t>
        </is>
      </c>
      <c r="AB156" s="50">
        <v>12343.55</v>
      </c>
      <c r="AC156" s="51">
        <v>0</v>
      </c>
      <c r="AD156" s="38">
        <f>IF(ISNUMBER($AB156),$AB156*(1+N($AC156)),"")</f>
      </c>
      <c r="AE156" s="50">
        <v>350</v>
      </c>
      <c r="AF156" s="50">
        <v>250</v>
      </c>
      <c r="AG156" s="51"/>
      <c r="AH156" s="39">
        <f>IF(ISNUMBER($AD156),($AD156+$AE156+$AF156)*$AG156,"")</f>
      </c>
      <c r="AI156" s="50"/>
      <c r="AJ156" s="38">
        <f>IF(ISNUMBER($AD156),SUM($AD156:$AH156),"")</f>
      </c>
      <c r="AK156" s="40">
        <f>IF(AND(ISNUMBER($AB156),ISNUMBER($AD156)),IF($AB156&gt;0,$AD156/$AB156,""),"")</f>
      </c>
      <c r="AL156" s="48" t="inlineStr">
        <is>
          <t xml:space="preserve">At technical</t>
        </is>
      </c>
      <c r="AM156" s="41">
        <f>IF(ISNUMBER($AD156),Header!$I$3,"")</f>
      </c>
      <c r="AN156" s="39">
        <f>IF(ISNUMBER($AD156),$AO156+$AP156,"")</f>
      </c>
      <c r="AO156" s="39">
        <f>IF(ISNUMBER($AD156),ROUND($AD156*Header!$K$3,2),"")</f>
      </c>
      <c r="AP156" s="39">
        <f>IF(ISNUMBER($AD156),ROUND($AD156*Header!$M$3,2),"")</f>
      </c>
      <c r="AQ156" s="38">
        <f>IF(ISNUMBER($AD156),ROUND($AD156,2)-$AO156-$AP156,"")</f>
      </c>
      <c r="AR156" s="39">
        <f>IF(ISNUMBER($AD156),IF(Header!$D$34="","?",$AD156*Header!$D$34),"")</f>
      </c>
      <c r="AS156" s="39">
        <f>IF(ISNUMBER($AB156),IF(Header!$D$34="","?",$AB156*Header!$D$34),"")</f>
      </c>
      <c r="AT156" s="42">
        <f>IF(AND(ISNUMBER($AB156),$M156&gt;0),$AB156/$M156*100,"")</f>
      </c>
      <c r="AU156" s="42">
        <f>IF(AND(ISNUMBER($AD156),$M156&gt;0),$AD156/$M156*100,"")</f>
      </c>
      <c r="AV156" s="40">
        <f>IF(AND(ISNUMBER($AB156),ISNUMBER($AD156),ABS($AB156)&gt;0),$AD156/$AB156,"")</f>
      </c>
      <c r="AW156" s="39">
        <f>IF(ISNUMBER($AD156),MAX(0,(1-0.55-Header!$O$3)*Header!$Q$3*$AQ156),"")</f>
      </c>
      <c r="AX156" s="43">
        <f>IF($A156="","",IF(TRIM(IF($A156="","Missing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",""))="","PASS","FAIL: "&amp;TRIM(IF($A156="","Missing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f>
      </c>
      <c r="AY156" s="44">
        <f>IF($M156="","",IF(ISNUMBER($M156),IF($M156&gt;=Header!$C$18,"YES — refer","No"),""))</f>
      </c>
      <c r="AZ156" s="44">
        <f>IF($AD156="","",IF(ISNUMBER($AD156),IF($AD156&lt;Header!$C$20,"BELOW MIN PREMIUM","OK"),""))</f>
      </c>
      <c r="BA156" s="48" t="inlineStr">
        <is>
          <t xml:space="preserve">Yes</t>
        </is>
      </c>
      <c r="BB156" s="48" t="inlineStr">
        <is>
          <t xml:space="preserve">Yes</t>
        </is>
      </c>
      <c r="BC156" s="46" t="inlineStr">
        <is>
          <t xml:space="preserve">Synthetic demo data</t>
        </is>
      </c>
      <c r="BE156" s="45">
        <f>IF(OR($A156="",$L156="",$H156=""),"",IF(AND(LEFT($L156,2)="06",$H156&gt;1945),"FAIL - pre-war class, year "&amp;$H156,IF(AND(LEFT($L156,2)="07",OR($H156&lt;1946,$H156&gt;1972)),"FAIL - 1946-72 class, year "&amp;$H156,IF(AND(LEFT($L156,2)="08",OR($H156&lt;1973,$H156&gt;1999)),"FAIL - 1973-99 class, year "&amp;$H156,IF(AND(LEFT($L156,2)="09",OR($H156&lt;2000,$H156&gt;2010)),"FAIL - 2000-10 class, year "&amp;$H156,"OK")))))</f>
      </c>
      <c r="BF156" s="45">
        <f>IF($AD156="","",IF(ROUND($AO156+$AP156+$AQ156-$AD156,2)=0,"OK","FAIL - out by "&amp;TEXT($AO156+$AP156+$AQ156-$AD156,"$0.00")))</f>
      </c>
    </row>
    <row r="157" spans="1:58" ht="18.75" customHeight="1" x14ac:dyDescent="0.25">
      <c r="A157" s="30" t="inlineStr">
        <is>
          <t xml:space="preserve">CANON-202508-000203</t>
        </is>
      </c>
      <c r="B157" s="30" t="inlineStr">
        <is>
          <t xml:space="preserve">Beatrix Chattopadhyay</t>
        </is>
      </c>
      <c r="C157" s="31">
        <v>45872</v>
      </c>
      <c r="D157" s="32" t="inlineStr">
        <is>
          <t xml:space="preserve">Bound - within authority</t>
        </is>
      </c>
      <c r="E157" s="32" t="inlineStr">
        <is>
          <t xml:space="preserve">New business</t>
        </is>
      </c>
      <c r="F157" s="30" t="inlineStr">
        <is>
          <t xml:space="preserve">B1234EXOTIC26</t>
        </is>
      </c>
      <c r="G157" s="33">
        <f>IF($A157="","",IF($C157="","",YEAR($C157)))</f>
      </c>
      <c r="H157" s="34">
        <v>2012</v>
      </c>
      <c r="I157" s="30" t="inlineStr">
        <is>
          <t xml:space="preserve">Jaguar</t>
        </is>
      </c>
      <c r="J157" s="30" t="inlineStr">
        <is>
          <t xml:space="preserve">E-Type Series 1</t>
        </is>
      </c>
      <c r="K157" s="30" t="inlineStr">
        <is>
          <t xml:space="preserve">65BYYFRRRB139L4VA</t>
        </is>
      </c>
      <c r="L157" s="32" t="inlineStr">
        <is>
          <t xml:space="preserve">02 - Sports / GT</t>
        </is>
      </c>
      <c r="M157" s="35">
        <v>635000</v>
      </c>
      <c r="N157" s="32" t="inlineStr">
        <is>
          <t xml:space="preserve">Personal</t>
        </is>
      </c>
      <c r="O157" s="30" t="inlineStr">
        <is>
          <t xml:space="preserve">Personal - regular use</t>
        </is>
      </c>
      <c r="P157" s="30" t="inlineStr">
        <is>
          <t xml:space="preserve">Under 1,000</t>
        </is>
      </c>
      <c r="Q157" s="30" t="inlineStr">
        <is>
          <t xml:space="preserve">Pennsylvania</t>
        </is>
      </c>
      <c r="R157" s="30" t="inlineStr">
        <is>
          <t xml:space="preserve">19103</t>
        </is>
      </c>
      <c r="S157" s="32" t="inlineStr">
        <is>
          <t xml:space="preserve">Low hazard - inland benign</t>
        </is>
      </c>
      <c r="T157" s="36">
        <f>IF($A157="","",IF($S157="","",IFERROR(INDEX('[1]natural catastrophe'!$D$6:$D$17,MATCH($S157,'[1]natural catastrophe'!$B$6:$B$17,0)),"?")))</f>
      </c>
      <c r="U157" s="30" t="inlineStr">
        <is>
          <t xml:space="preserve">$5,000</t>
        </is>
      </c>
      <c r="V157" s="32" t="inlineStr">
        <is>
          <t xml:space="preserve">Agreed Value</t>
        </is>
      </c>
      <c r="W157" s="30" t="inlineStr">
        <is>
          <t xml:space="preserve">$1,000</t>
        </is>
      </c>
      <c r="X157" s="32" t="inlineStr">
        <is>
          <t xml:space="preserve">$1,000,000 CSL</t>
        </is>
      </c>
      <c r="Y157" s="30"/>
      <c r="Z157" s="30"/>
      <c r="AA157" s="32" t="inlineStr">
        <is>
          <t xml:space="preserve">Surplus Lines</t>
        </is>
      </c>
      <c r="AB157" s="35">
        <v>5151.89</v>
      </c>
      <c r="AC157" s="37">
        <v>0</v>
      </c>
      <c r="AD157" s="38">
        <f>IF(ISNUMBER($AB157),$AB157*(1+N($AC157)),"")</f>
      </c>
      <c r="AE157" s="35">
        <v>350</v>
      </c>
      <c r="AF157" s="35">
        <v>0</v>
      </c>
      <c r="AG157" s="37"/>
      <c r="AH157" s="39">
        <f>IF(ISNUMBER($AD157),($AD157+$AE157+$AF157)*$AG157,"")</f>
      </c>
      <c r="AI157" s="35"/>
      <c r="AJ157" s="38">
        <f>IF(ISNUMBER($AD157),SUM($AD157:$AH157),"")</f>
      </c>
      <c r="AK157" s="40">
        <f>IF(AND(ISNUMBER($AB157),ISNUMBER($AD157)),IF($AB157&gt;0,$AD157/$AB157,""),"")</f>
      </c>
      <c r="AL157" s="32" t="inlineStr">
        <is>
          <t xml:space="preserve">At technical</t>
        </is>
      </c>
      <c r="AM157" s="41">
        <f>IF(ISNUMBER($AD157),Header!$I$3,"")</f>
      </c>
      <c r="AN157" s="39">
        <f>IF(ISNUMBER($AD157),$AO157+$AP157,"")</f>
      </c>
      <c r="AO157" s="39">
        <f>IF(ISNUMBER($AD157),ROUND($AD157*Header!$K$3,2),"")</f>
      </c>
      <c r="AP157" s="39">
        <f>IF(ISNUMBER($AD157),ROUND($AD157*Header!$M$3,2),"")</f>
      </c>
      <c r="AQ157" s="38">
        <f>IF(ISNUMBER($AD157),ROUND($AD157,2)-$AO157-$AP157,"")</f>
      </c>
      <c r="AR157" s="39">
        <f>IF(ISNUMBER($AD157),IF(Header!$D$34="","?",$AD157*Header!$D$34),"")</f>
      </c>
      <c r="AS157" s="39">
        <f>IF(ISNUMBER($AB157),IF(Header!$D$34="","?",$AB157*Header!$D$34),"")</f>
      </c>
      <c r="AT157" s="42">
        <f>IF(AND(ISNUMBER($AB157),$M157&gt;0),$AB157/$M157*100,"")</f>
      </c>
      <c r="AU157" s="42">
        <f>IF(AND(ISNUMBER($AD157),$M157&gt;0),$AD157/$M157*100,"")</f>
      </c>
      <c r="AV157" s="40">
        <f>IF(AND(ISNUMBER($AB157),ISNUMBER($AD157),ABS($AB157)&gt;0),$AD157/$AB157,"")</f>
      </c>
      <c r="AW157" s="39">
        <f>IF(ISNUMBER($AD157),MAX(0,(1-0.55-Header!$O$3)*Header!$Q$3*$AQ157),"")</f>
      </c>
      <c r="AX157" s="43">
        <f>IF($A157="","",IF(TRIM(IF($A157="","Missing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",""))="","PASS","FAIL: "&amp;TRIM(IF($A157="","Missing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f>
      </c>
      <c r="AY157" s="44">
        <f>IF($M157="","",IF(ISNUMBER($M157),IF($M157&gt;=Header!$C$18,"YES — refer","No"),""))</f>
      </c>
      <c r="AZ157" s="44">
        <f>IF($AD157="","",IF(ISNUMBER($AD157),IF($AD157&lt;Header!$C$20,"BELOW MIN PREMIUM","OK"),""))</f>
      </c>
      <c r="BA157" s="32" t="inlineStr">
        <is>
          <t xml:space="preserve">Yes</t>
        </is>
      </c>
      <c r="BB157" s="32" t="inlineStr">
        <is>
          <t xml:space="preserve">Yes</t>
        </is>
      </c>
      <c r="BC157" s="30" t="inlineStr">
        <is>
          <t xml:space="preserve">Synthetic demo data</t>
        </is>
      </c>
      <c r="BE157" s="45">
        <f>IF(OR($A157="",$L157="",$H157=""),"",IF(AND(LEFT($L157,2)="06",$H157&gt;1945),"FAIL - pre-war class, year "&amp;$H157,IF(AND(LEFT($L157,2)="07",OR($H157&lt;1946,$H157&gt;1972)),"FAIL - 1946-72 class, year "&amp;$H157,IF(AND(LEFT($L157,2)="08",OR($H157&lt;1973,$H157&gt;1999)),"FAIL - 1973-99 class, year "&amp;$H157,IF(AND(LEFT($L157,2)="09",OR($H157&lt;2000,$H157&gt;2010)),"FAIL - 2000-10 class, year "&amp;$H157,"OK")))))</f>
      </c>
      <c r="BF157" s="45">
        <f>IF($AD157="","",IF(ROUND($AO157+$AP157+$AQ157-$AD157,2)=0,"OK","FAIL - out by "&amp;TEXT($AO157+$AP157+$AQ157-$AD157,"$0.00")))</f>
      </c>
    </row>
    <row r="158" spans="1:58" ht="18.75" customHeight="1" x14ac:dyDescent="0.25">
      <c r="A158" s="46" t="inlineStr">
        <is>
          <t xml:space="preserve">CANON-202508-000204</t>
        </is>
      </c>
      <c r="B158" s="46" t="inlineStr">
        <is>
          <t xml:space="preserve">Leopold Rourke</t>
        </is>
      </c>
      <c r="C158" s="47">
        <v>45870</v>
      </c>
      <c r="D158" s="48" t="inlineStr">
        <is>
          <t xml:space="preserve">Bound - within authority</t>
        </is>
      </c>
      <c r="E158" s="48" t="inlineStr">
        <is>
          <t xml:space="preserve">New business</t>
        </is>
      </c>
      <c r="F158" s="46" t="inlineStr">
        <is>
          <t xml:space="preserve">B1234EXOTIC26</t>
        </is>
      </c>
      <c r="G158" s="33">
        <f>IF($A158="","",IF($C158="","",YEAR($C158)))</f>
      </c>
      <c r="H158" s="49">
        <v>1955</v>
      </c>
      <c r="I158" s="46" t="inlineStr">
        <is>
          <t xml:space="preserve">McLaren</t>
        </is>
      </c>
      <c r="J158" s="46" t="inlineStr">
        <is>
          <t xml:space="preserve">750S</t>
        </is>
      </c>
      <c r="K158" s="46" t="inlineStr">
        <is>
          <t xml:space="preserve">Y5M0X5V7APMS0T83T</t>
        </is>
      </c>
      <c r="L158" s="48" t="inlineStr">
        <is>
          <t xml:space="preserve">03 - Supercar</t>
        </is>
      </c>
      <c r="M158" s="50">
        <v>1950000</v>
      </c>
      <c r="N158" s="48" t="inlineStr">
        <is>
          <t xml:space="preserve">Personal</t>
        </is>
      </c>
      <c r="O158" s="46" t="inlineStr">
        <is>
          <t xml:space="preserve">Personal - regular use</t>
        </is>
      </c>
      <c r="P158" s="46" t="inlineStr">
        <is>
          <t xml:space="preserve">2,500 - 5,000</t>
        </is>
      </c>
      <c r="Q158" s="46" t="inlineStr">
        <is>
          <t xml:space="preserve">Idaho</t>
        </is>
      </c>
      <c r="R158" s="46" t="inlineStr">
        <is>
          <t xml:space="preserve">83702</t>
        </is>
      </c>
      <c r="S158" s="48" t="inlineStr">
        <is>
          <t xml:space="preserve">Wildfire - WUI high hazard</t>
        </is>
      </c>
      <c r="T158" s="36">
        <f>IF($A158="","",IF($S158="","",IFERROR(INDEX('[1]natural catastrophe'!$D$6:$D$17,MATCH($S158,'[1]natural catastrophe'!$B$6:$B$17,0)),"?")))</f>
      </c>
      <c r="U158" s="46" t="inlineStr">
        <is>
          <t xml:space="preserve">$5,000</t>
        </is>
      </c>
      <c r="V158" s="48" t="inlineStr">
        <is>
          <t xml:space="preserve">Agreed Value</t>
        </is>
      </c>
      <c r="W158" s="46" t="inlineStr">
        <is>
          <t xml:space="preserve">$1,000</t>
        </is>
      </c>
      <c r="X158" s="48" t="inlineStr">
        <is>
          <t xml:space="preserve">$1,000,000 CSL</t>
        </is>
      </c>
      <c r="Y158" s="46"/>
      <c r="Z158" s="46"/>
      <c r="AA158" s="48" t="inlineStr">
        <is>
          <t xml:space="preserve">Surplus Lines</t>
        </is>
      </c>
      <c r="AB158" s="50">
        <v>29139.62</v>
      </c>
      <c r="AC158" s="51">
        <v>0</v>
      </c>
      <c r="AD158" s="38">
        <f>IF(ISNUMBER($AB158),$AB158*(1+N($AC158)),"")</f>
      </c>
      <c r="AE158" s="50">
        <v>350</v>
      </c>
      <c r="AF158" s="50">
        <v>250</v>
      </c>
      <c r="AG158" s="51"/>
      <c r="AH158" s="39">
        <f>IF(ISNUMBER($AD158),($AD158+$AE158+$AF158)*$AG158,"")</f>
      </c>
      <c r="AI158" s="50"/>
      <c r="AJ158" s="38">
        <f>IF(ISNUMBER($AD158),SUM($AD158:$AH158),"")</f>
      </c>
      <c r="AK158" s="40">
        <f>IF(AND(ISNUMBER($AB158),ISNUMBER($AD158)),IF($AB158&gt;0,$AD158/$AB158,""),"")</f>
      </c>
      <c r="AL158" s="48" t="inlineStr">
        <is>
          <t xml:space="preserve">At technical</t>
        </is>
      </c>
      <c r="AM158" s="41">
        <f>IF(ISNUMBER($AD158),Header!$I$3,"")</f>
      </c>
      <c r="AN158" s="39">
        <f>IF(ISNUMBER($AD158),$AO158+$AP158,"")</f>
      </c>
      <c r="AO158" s="39">
        <f>IF(ISNUMBER($AD158),ROUND($AD158*Header!$K$3,2),"")</f>
      </c>
      <c r="AP158" s="39">
        <f>IF(ISNUMBER($AD158),ROUND($AD158*Header!$M$3,2),"")</f>
      </c>
      <c r="AQ158" s="38">
        <f>IF(ISNUMBER($AD158),ROUND($AD158,2)-$AO158-$AP158,"")</f>
      </c>
      <c r="AR158" s="39">
        <f>IF(ISNUMBER($AD158),IF(Header!$D$34="","?",$AD158*Header!$D$34),"")</f>
      </c>
      <c r="AS158" s="39">
        <f>IF(ISNUMBER($AB158),IF(Header!$D$34="","?",$AB158*Header!$D$34),"")</f>
      </c>
      <c r="AT158" s="42">
        <f>IF(AND(ISNUMBER($AB158),$M158&gt;0),$AB158/$M158*100,"")</f>
      </c>
      <c r="AU158" s="42">
        <f>IF(AND(ISNUMBER($AD158),$M158&gt;0),$AD158/$M158*100,"")</f>
      </c>
      <c r="AV158" s="40">
        <f>IF(AND(ISNUMBER($AB158),ISNUMBER($AD158),ABS($AB158)&gt;0),$AD158/$AB158,"")</f>
      </c>
      <c r="AW158" s="39">
        <f>IF(ISNUMBER($AD158),MAX(0,(1-0.55-Header!$O$3)*Header!$Q$3*$AQ158),"")</f>
      </c>
      <c r="AX158" s="43">
        <f>IF($A158="","",IF(TRIM(IF($A158="","Missing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",""))="","PASS","FAIL: "&amp;TRIM(IF($A158="","Missing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f>
      </c>
      <c r="AY158" s="44">
        <f>IF($M158="","",IF(ISNUMBER($M158),IF($M158&gt;=Header!$C$18,"YES — refer","No"),""))</f>
      </c>
      <c r="AZ158" s="44">
        <f>IF($AD158="","",IF(ISNUMBER($AD158),IF($AD158&lt;Header!$C$20,"BELOW MIN PREMIUM","OK"),""))</f>
      </c>
      <c r="BA158" s="48" t="inlineStr">
        <is>
          <t xml:space="preserve">Yes</t>
        </is>
      </c>
      <c r="BB158" s="48" t="inlineStr">
        <is>
          <t xml:space="preserve">Yes</t>
        </is>
      </c>
      <c r="BC158" s="46" t="inlineStr">
        <is>
          <t xml:space="preserve">Synthetic demo data</t>
        </is>
      </c>
      <c r="BE158" s="45">
        <f>IF(OR($A158="",$L158="",$H158=""),"",IF(AND(LEFT($L158,2)="06",$H158&gt;1945),"FAIL - pre-war class, year "&amp;$H158,IF(AND(LEFT($L158,2)="07",OR($H158&lt;1946,$H158&gt;1972)),"FAIL - 1946-72 class, year "&amp;$H158,IF(AND(LEFT($L158,2)="08",OR($H158&lt;1973,$H158&gt;1999)),"FAIL - 1973-99 class, year "&amp;$H158,IF(AND(LEFT($L158,2)="09",OR($H158&lt;2000,$H158&gt;2010)),"FAIL - 2000-10 class, year "&amp;$H158,"OK")))))</f>
      </c>
      <c r="BF158" s="45">
        <f>IF($AD158="","",IF(ROUND($AO158+$AP158+$AQ158-$AD158,2)=0,"OK","FAIL - out by "&amp;TEXT($AO158+$AP158+$AQ158-$AD158,"$0.00")))</f>
      </c>
    </row>
    <row r="159" spans="1:58" ht="18.75" customHeight="1" x14ac:dyDescent="0.25">
      <c r="A159" s="30" t="inlineStr">
        <is>
          <t xml:space="preserve">CANON-202508-000205</t>
        </is>
      </c>
      <c r="B159" s="30" t="inlineStr">
        <is>
          <t xml:space="preserve">Ramona Merriweather</t>
        </is>
      </c>
      <c r="C159" s="31">
        <v>45893</v>
      </c>
      <c r="D159" s="32" t="inlineStr">
        <is>
          <t xml:space="preserve">Bound - within authority</t>
        </is>
      </c>
      <c r="E159" s="32" t="inlineStr">
        <is>
          <t xml:space="preserve">New business</t>
        </is>
      </c>
      <c r="F159" s="30" t="inlineStr">
        <is>
          <t xml:space="preserve">B1234EXOTIC26</t>
        </is>
      </c>
      <c r="G159" s="33">
        <f>IF($A159="","",IF($C159="","",YEAR($C159)))</f>
      </c>
      <c r="H159" s="34">
        <v>1977</v>
      </c>
      <c r="I159" s="30" t="inlineStr">
        <is>
          <t xml:space="preserve">Jaguar</t>
        </is>
      </c>
      <c r="J159" s="30" t="inlineStr">
        <is>
          <t xml:space="preserve">E-Type Series 1</t>
        </is>
      </c>
      <c r="K159" s="30" t="inlineStr">
        <is>
          <t xml:space="preserve">HMVU9HW5BRBDYCWW0</t>
        </is>
      </c>
      <c r="L159" s="32" t="inlineStr">
        <is>
          <t xml:space="preserve">08 - Modern Classic (1973-1999)</t>
        </is>
      </c>
      <c r="M159" s="35">
        <v>725000</v>
      </c>
      <c r="N159" s="32" t="inlineStr">
        <is>
          <t xml:space="preserve">Personal</t>
        </is>
      </c>
      <c r="O159" s="30" t="inlineStr">
        <is>
          <t xml:space="preserve">Personal - regular use</t>
        </is>
      </c>
      <c r="P159" s="30" t="inlineStr">
        <is>
          <t xml:space="preserve">Under 1,000</t>
        </is>
      </c>
      <c r="Q159" s="30" t="inlineStr">
        <is>
          <t xml:space="preserve">Washington</t>
        </is>
      </c>
      <c r="R159" s="30" t="inlineStr">
        <is>
          <t xml:space="preserve">98101</t>
        </is>
      </c>
      <c r="S159" s="32" t="inlineStr">
        <is>
          <t xml:space="preserve">Earthquake - high (CA, Cascadia, New Madrid)</t>
        </is>
      </c>
      <c r="T159" s="36">
        <f>IF($A159="","",IF($S159="","",IFERROR(INDEX('[1]natural catastrophe'!$D$6:$D$17,MATCH($S159,'[1]natural catastrophe'!$B$6:$B$17,0)),"?")))</f>
      </c>
      <c r="U159" s="30" t="inlineStr">
        <is>
          <t xml:space="preserve">$5,000</t>
        </is>
      </c>
      <c r="V159" s="32" t="inlineStr">
        <is>
          <t xml:space="preserve">Agreed Value</t>
        </is>
      </c>
      <c r="W159" s="30" t="inlineStr">
        <is>
          <t xml:space="preserve">$1,000</t>
        </is>
      </c>
      <c r="X159" s="32" t="inlineStr">
        <is>
          <t xml:space="preserve">$1,000,000 CSL</t>
        </is>
      </c>
      <c r="Y159" s="30"/>
      <c r="Z159" s="30"/>
      <c r="AA159" s="32" t="inlineStr">
        <is>
          <t xml:space="preserve">Surplus Lines</t>
        </is>
      </c>
      <c r="AB159" s="35">
        <v>5646.79</v>
      </c>
      <c r="AC159" s="37">
        <v>0</v>
      </c>
      <c r="AD159" s="38">
        <f>IF(ISNUMBER($AB159),$AB159*(1+N($AC159)),"")</f>
      </c>
      <c r="AE159" s="35">
        <v>350</v>
      </c>
      <c r="AF159" s="35">
        <v>0</v>
      </c>
      <c r="AG159" s="37"/>
      <c r="AH159" s="39">
        <f>IF(ISNUMBER($AD159),($AD159+$AE159+$AF159)*$AG159,"")</f>
      </c>
      <c r="AI159" s="35"/>
      <c r="AJ159" s="38">
        <f>IF(ISNUMBER($AD159),SUM($AD159:$AH159),"")</f>
      </c>
      <c r="AK159" s="40">
        <f>IF(AND(ISNUMBER($AB159),ISNUMBER($AD159)),IF($AB159&gt;0,$AD159/$AB159,""),"")</f>
      </c>
      <c r="AL159" s="32" t="inlineStr">
        <is>
          <t xml:space="preserve">At technical</t>
        </is>
      </c>
      <c r="AM159" s="41">
        <f>IF(ISNUMBER($AD159),Header!$I$3,"")</f>
      </c>
      <c r="AN159" s="39">
        <f>IF(ISNUMBER($AD159),$AO159+$AP159,"")</f>
      </c>
      <c r="AO159" s="39">
        <f>IF(ISNUMBER($AD159),ROUND($AD159*Header!$K$3,2),"")</f>
      </c>
      <c r="AP159" s="39">
        <f>IF(ISNUMBER($AD159),ROUND($AD159*Header!$M$3,2),"")</f>
      </c>
      <c r="AQ159" s="38">
        <f>IF(ISNUMBER($AD159),ROUND($AD159,2)-$AO159-$AP159,"")</f>
      </c>
      <c r="AR159" s="39">
        <f>IF(ISNUMBER($AD159),IF(Header!$D$34="","?",$AD159*Header!$D$34),"")</f>
      </c>
      <c r="AS159" s="39">
        <f>IF(ISNUMBER($AB159),IF(Header!$D$34="","?",$AB159*Header!$D$34),"")</f>
      </c>
      <c r="AT159" s="42">
        <f>IF(AND(ISNUMBER($AB159),$M159&gt;0),$AB159/$M159*100,"")</f>
      </c>
      <c r="AU159" s="42">
        <f>IF(AND(ISNUMBER($AD159),$M159&gt;0),$AD159/$M159*100,"")</f>
      </c>
      <c r="AV159" s="40">
        <f>IF(AND(ISNUMBER($AB159),ISNUMBER($AD159),ABS($AB159)&gt;0),$AD159/$AB159,"")</f>
      </c>
      <c r="AW159" s="39">
        <f>IF(ISNUMBER($AD159),MAX(0,(1-0.55-Header!$O$3)*Header!$Q$3*$AQ159),"")</f>
      </c>
      <c r="AX159" s="43">
        <f>IF($A159="","",IF(TRIM(IF($A159="","Missing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",""))="","PASS","FAIL: "&amp;TRIM(IF($A159="","Missing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f>
      </c>
      <c r="AY159" s="44">
        <f>IF($M159="","",IF(ISNUMBER($M159),IF($M159&gt;=Header!$C$18,"YES — refer","No"),""))</f>
      </c>
      <c r="AZ159" s="44">
        <f>IF($AD159="","",IF(ISNUMBER($AD159),IF($AD159&lt;Header!$C$20,"BELOW MIN PREMIUM","OK"),""))</f>
      </c>
      <c r="BA159" s="32" t="inlineStr">
        <is>
          <t xml:space="preserve">Yes</t>
        </is>
      </c>
      <c r="BB159" s="32" t="inlineStr">
        <is>
          <t xml:space="preserve">Yes</t>
        </is>
      </c>
      <c r="BC159" s="30" t="inlineStr">
        <is>
          <t xml:space="preserve">Synthetic demo data</t>
        </is>
      </c>
      <c r="BE159" s="45">
        <f>IF(OR($A159="",$L159="",$H159=""),"",IF(AND(LEFT($L159,2)="06",$H159&gt;1945),"FAIL - pre-war class, year "&amp;$H159,IF(AND(LEFT($L159,2)="07",OR($H159&lt;1946,$H159&gt;1972)),"FAIL - 1946-72 class, year "&amp;$H159,IF(AND(LEFT($L159,2)="08",OR($H159&lt;1973,$H159&gt;1999)),"FAIL - 1973-99 class, year "&amp;$H159,IF(AND(LEFT($L159,2)="09",OR($H159&lt;2000,$H159&gt;2010)),"FAIL - 2000-10 class, year "&amp;$H159,"OK")))))</f>
      </c>
      <c r="BF159" s="45">
        <f>IF($AD159="","",IF(ROUND($AO159+$AP159+$AQ159-$AD159,2)=0,"OK","FAIL - out by "&amp;TEXT($AO159+$AP159+$AQ159-$AD159,"$0.00")))</f>
      </c>
    </row>
    <row r="160" spans="1:58" ht="18.75" customHeight="1" x14ac:dyDescent="0.25">
      <c r="A160" s="46" t="inlineStr">
        <is>
          <t xml:space="preserve">CANON-202508-000206</t>
        </is>
      </c>
      <c r="B160" s="46" t="inlineStr">
        <is>
          <t xml:space="preserve">Thaddeus Blackwood</t>
        </is>
      </c>
      <c r="C160" s="47">
        <v>45894</v>
      </c>
      <c r="D160" s="48" t="inlineStr">
        <is>
          <t xml:space="preserve">Bound - within authority</t>
        </is>
      </c>
      <c r="E160" s="48" t="inlineStr">
        <is>
          <t xml:space="preserve">New business</t>
        </is>
      </c>
      <c r="F160" s="46" t="inlineStr">
        <is>
          <t xml:space="preserve">B1234EXOTIC26</t>
        </is>
      </c>
      <c r="G160" s="33">
        <f>IF($A160="","",IF($C160="","",YEAR($C160)))</f>
      </c>
      <c r="H160" s="49">
        <v>1962</v>
      </c>
      <c r="I160" s="46" t="inlineStr">
        <is>
          <t xml:space="preserve">Aston Martin</t>
        </is>
      </c>
      <c r="J160" s="46" t="inlineStr">
        <is>
          <t xml:space="preserve">DB5</t>
        </is>
      </c>
      <c r="K160" s="46" t="inlineStr">
        <is>
          <t xml:space="preserve">YAZEBEULE95BEV5Z5</t>
        </is>
      </c>
      <c r="L160" s="48" t="inlineStr">
        <is>
          <t xml:space="preserve">07 - Post-War Classic (1946-1972)</t>
        </is>
      </c>
      <c r="M160" s="50">
        <v>510000</v>
      </c>
      <c r="N160" s="48" t="inlineStr">
        <is>
          <t xml:space="preserve">Personal</t>
        </is>
      </c>
      <c r="O160" s="46" t="inlineStr">
        <is>
          <t xml:space="preserve">Personal - regular use</t>
        </is>
      </c>
      <c r="P160" s="46" t="inlineStr">
        <is>
          <t xml:space="preserve">1,000 - 2,500</t>
        </is>
      </c>
      <c r="Q160" s="46" t="inlineStr">
        <is>
          <t xml:space="preserve">Georgia</t>
        </is>
      </c>
      <c r="R160" s="46" t="inlineStr">
        <is>
          <t xml:space="preserve">30303</t>
        </is>
      </c>
      <c r="S160" s="48" t="inlineStr">
        <is>
          <t xml:space="preserve">Tier 2 - Coastal wind (1-25 miles)</t>
        </is>
      </c>
      <c r="T160" s="36">
        <f>IF($A160="","",IF($S160="","",IFERROR(INDEX('[1]natural catastrophe'!$D$6:$D$17,MATCH($S160,'[1]natural catastrophe'!$B$6:$B$17,0)),"?")))</f>
      </c>
      <c r="U160" s="46" t="inlineStr">
        <is>
          <t xml:space="preserve">2% of agreed value, minimum $10,000</t>
        </is>
      </c>
      <c r="V160" s="48" t="inlineStr">
        <is>
          <t xml:space="preserve">Agreed Value</t>
        </is>
      </c>
      <c r="W160" s="46" t="inlineStr">
        <is>
          <t xml:space="preserve">$1,000</t>
        </is>
      </c>
      <c r="X160" s="48" t="inlineStr">
        <is>
          <t xml:space="preserve">$1,000,000 CSL</t>
        </is>
      </c>
      <c r="Y160" s="46"/>
      <c r="Z160" s="46"/>
      <c r="AA160" s="48" t="inlineStr">
        <is>
          <t xml:space="preserve">Surplus Lines</t>
        </is>
      </c>
      <c r="AB160" s="50">
        <v>4634.26</v>
      </c>
      <c r="AC160" s="51">
        <v>0</v>
      </c>
      <c r="AD160" s="38">
        <f>IF(ISNUMBER($AB160),$AB160*(1+N($AC160)),"")</f>
      </c>
      <c r="AE160" s="50">
        <v>350</v>
      </c>
      <c r="AF160" s="50">
        <v>0</v>
      </c>
      <c r="AG160" s="51"/>
      <c r="AH160" s="39">
        <f>IF(ISNUMBER($AD160),($AD160+$AE160+$AF160)*$AG160,"")</f>
      </c>
      <c r="AI160" s="50"/>
      <c r="AJ160" s="38">
        <f>IF(ISNUMBER($AD160),SUM($AD160:$AH160),"")</f>
      </c>
      <c r="AK160" s="40">
        <f>IF(AND(ISNUMBER($AB160),ISNUMBER($AD160)),IF($AB160&gt;0,$AD160/$AB160,""),"")</f>
      </c>
      <c r="AL160" s="48" t="inlineStr">
        <is>
          <t xml:space="preserve">At technical</t>
        </is>
      </c>
      <c r="AM160" s="41">
        <f>IF(ISNUMBER($AD160),Header!$I$3,"")</f>
      </c>
      <c r="AN160" s="39">
        <f>IF(ISNUMBER($AD160),$AO160+$AP160,"")</f>
      </c>
      <c r="AO160" s="39">
        <f>IF(ISNUMBER($AD160),ROUND($AD160*Header!$K$3,2),"")</f>
      </c>
      <c r="AP160" s="39">
        <f>IF(ISNUMBER($AD160),ROUND($AD160*Header!$M$3,2),"")</f>
      </c>
      <c r="AQ160" s="38">
        <f>IF(ISNUMBER($AD160),ROUND($AD160,2)-$AO160-$AP160,"")</f>
      </c>
      <c r="AR160" s="39">
        <f>IF(ISNUMBER($AD160),IF(Header!$D$34="","?",$AD160*Header!$D$34),"")</f>
      </c>
      <c r="AS160" s="39">
        <f>IF(ISNUMBER($AB160),IF(Header!$D$34="","?",$AB160*Header!$D$34),"")</f>
      </c>
      <c r="AT160" s="42">
        <f>IF(AND(ISNUMBER($AB160),$M160&gt;0),$AB160/$M160*100,"")</f>
      </c>
      <c r="AU160" s="42">
        <f>IF(AND(ISNUMBER($AD160),$M160&gt;0),$AD160/$M160*100,"")</f>
      </c>
      <c r="AV160" s="40">
        <f>IF(AND(ISNUMBER($AB160),ISNUMBER($AD160),ABS($AB160)&gt;0),$AD160/$AB160,"")</f>
      </c>
      <c r="AW160" s="39">
        <f>IF(ISNUMBER($AD160),MAX(0,(1-0.55-Header!$O$3)*Header!$Q$3*$AQ160),"")</f>
      </c>
      <c r="AX160" s="43">
        <f>IF($A160="","",IF(TRIM(IF($A160="","Missing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",""))="","PASS","FAIL: "&amp;TRIM(IF($A160="","Missing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f>
      </c>
      <c r="AY160" s="44">
        <f>IF($M160="","",IF(ISNUMBER($M160),IF($M160&gt;=Header!$C$18,"YES — refer","No"),""))</f>
      </c>
      <c r="AZ160" s="44">
        <f>IF($AD160="","",IF(ISNUMBER($AD160),IF($AD160&lt;Header!$C$20,"BELOW MIN PREMIUM","OK"),""))</f>
      </c>
      <c r="BA160" s="48" t="inlineStr">
        <is>
          <t xml:space="preserve">Yes</t>
        </is>
      </c>
      <c r="BB160" s="48" t="inlineStr">
        <is>
          <t xml:space="preserve">Yes</t>
        </is>
      </c>
      <c r="BC160" s="46" t="inlineStr">
        <is>
          <t xml:space="preserve">Synthetic demo data</t>
        </is>
      </c>
      <c r="BE160" s="45">
        <f>IF(OR($A160="",$L160="",$H160=""),"",IF(AND(LEFT($L160,2)="06",$H160&gt;1945),"FAIL - pre-war class, year "&amp;$H160,IF(AND(LEFT($L160,2)="07",OR($H160&lt;1946,$H160&gt;1972)),"FAIL - 1946-72 class, year "&amp;$H160,IF(AND(LEFT($L160,2)="08",OR($H160&lt;1973,$H160&gt;1999)),"FAIL - 1973-99 class, year "&amp;$H160,IF(AND(LEFT($L160,2)="09",OR($H160&lt;2000,$H160&gt;2010)),"FAIL - 2000-10 class, year "&amp;$H160,"OK")))))</f>
      </c>
      <c r="BF160" s="45">
        <f>IF($AD160="","",IF(ROUND($AO160+$AP160+$AQ160-$AD160,2)=0,"OK","FAIL - out by "&amp;TEXT($AO160+$AP160+$AQ160-$AD160,"$0.00")))</f>
      </c>
    </row>
    <row r="161" spans="1:58" ht="18.75" customHeight="1" x14ac:dyDescent="0.25">
      <c r="A161" s="30" t="inlineStr">
        <is>
          <t xml:space="preserve">CANON-202508-000207</t>
        </is>
      </c>
      <c r="B161" s="30" t="inlineStr">
        <is>
          <t xml:space="preserve">Aurelio Larsson</t>
        </is>
      </c>
      <c r="C161" s="31">
        <v>45891</v>
      </c>
      <c r="D161" s="32" t="inlineStr">
        <is>
          <t xml:space="preserve">Bound - within authority</t>
        </is>
      </c>
      <c r="E161" s="32" t="inlineStr">
        <is>
          <t xml:space="preserve">New business</t>
        </is>
      </c>
      <c r="F161" s="30" t="inlineStr">
        <is>
          <t xml:space="preserve">B1234EXOTIC26</t>
        </is>
      </c>
      <c r="G161" s="33">
        <f>IF($A161="","",IF($C161="","",YEAR($C161)))</f>
      </c>
      <c r="H161" s="34">
        <v>1959</v>
      </c>
      <c r="I161" s="30" t="inlineStr">
        <is>
          <t xml:space="preserve">Mercedes-Benz</t>
        </is>
      </c>
      <c r="J161" s="30" t="inlineStr">
        <is>
          <t xml:space="preserve">AMG GT</t>
        </is>
      </c>
      <c r="K161" s="30" t="inlineStr">
        <is>
          <t xml:space="preserve">1FCN5FA0RKUPUPCZZ</t>
        </is>
      </c>
      <c r="L161" s="32" t="inlineStr">
        <is>
          <t xml:space="preserve">02 - Sports / GT</t>
        </is>
      </c>
      <c r="M161" s="35">
        <v>415000</v>
      </c>
      <c r="N161" s="32" t="inlineStr">
        <is>
          <t xml:space="preserve">Personal</t>
        </is>
      </c>
      <c r="O161" s="30" t="inlineStr">
        <is>
          <t xml:space="preserve">Personal - regular use</t>
        </is>
      </c>
      <c r="P161" s="30" t="inlineStr">
        <is>
          <t xml:space="preserve">Under 1,000</t>
        </is>
      </c>
      <c r="Q161" s="30" t="inlineStr">
        <is>
          <t xml:space="preserve">Arkansas</t>
        </is>
      </c>
      <c r="R161" s="30" t="inlineStr">
        <is>
          <t xml:space="preserve">72201</t>
        </is>
      </c>
      <c r="S161" s="32" t="inlineStr">
        <is>
          <t xml:space="preserve">Severe convective - hail / tornado (moderate)</t>
        </is>
      </c>
      <c r="T161" s="36">
        <f>IF($A161="","",IF($S161="","",IFERROR(INDEX('[1]natural catastrophe'!$D$6:$D$17,MATCH($S161,'[1]natural catastrophe'!$B$6:$B$17,0)),"?")))</f>
      </c>
      <c r="U161" s="30" t="inlineStr">
        <is>
          <t xml:space="preserve">$5,000</t>
        </is>
      </c>
      <c r="V161" s="32" t="inlineStr">
        <is>
          <t xml:space="preserve">Agreed Value</t>
        </is>
      </c>
      <c r="W161" s="30" t="inlineStr">
        <is>
          <t xml:space="preserve">$1,000</t>
        </is>
      </c>
      <c r="X161" s="32" t="inlineStr">
        <is>
          <t xml:space="preserve">$1,000,000 CSL</t>
        </is>
      </c>
      <c r="Y161" s="30"/>
      <c r="Z161" s="30"/>
      <c r="AA161" s="32" t="inlineStr">
        <is>
          <t xml:space="preserve">Surplus Lines</t>
        </is>
      </c>
      <c r="AB161" s="35">
        <v>8104.25</v>
      </c>
      <c r="AC161" s="37">
        <v>0</v>
      </c>
      <c r="AD161" s="38">
        <f>IF(ISNUMBER($AB161),$AB161*(1+N($AC161)),"")</f>
      </c>
      <c r="AE161" s="35">
        <v>350</v>
      </c>
      <c r="AF161" s="35">
        <v>0</v>
      </c>
      <c r="AG161" s="37"/>
      <c r="AH161" s="39">
        <f>IF(ISNUMBER($AD161),($AD161+$AE161+$AF161)*$AG161,"")</f>
      </c>
      <c r="AI161" s="35"/>
      <c r="AJ161" s="38">
        <f>IF(ISNUMBER($AD161),SUM($AD161:$AH161),"")</f>
      </c>
      <c r="AK161" s="40">
        <f>IF(AND(ISNUMBER($AB161),ISNUMBER($AD161)),IF($AB161&gt;0,$AD161/$AB161,""),"")</f>
      </c>
      <c r="AL161" s="32" t="inlineStr">
        <is>
          <t xml:space="preserve">At technical</t>
        </is>
      </c>
      <c r="AM161" s="41">
        <f>IF(ISNUMBER($AD161),Header!$I$3,"")</f>
      </c>
      <c r="AN161" s="39">
        <f>IF(ISNUMBER($AD161),$AO161+$AP161,"")</f>
      </c>
      <c r="AO161" s="39">
        <f>IF(ISNUMBER($AD161),ROUND($AD161*Header!$K$3,2),"")</f>
      </c>
      <c r="AP161" s="39">
        <f>IF(ISNUMBER($AD161),ROUND($AD161*Header!$M$3,2),"")</f>
      </c>
      <c r="AQ161" s="38">
        <f>IF(ISNUMBER($AD161),ROUND($AD161,2)-$AO161-$AP161,"")</f>
      </c>
      <c r="AR161" s="39">
        <f>IF(ISNUMBER($AD161),IF(Header!$D$34="","?",$AD161*Header!$D$34),"")</f>
      </c>
      <c r="AS161" s="39">
        <f>IF(ISNUMBER($AB161),IF(Header!$D$34="","?",$AB161*Header!$D$34),"")</f>
      </c>
      <c r="AT161" s="42">
        <f>IF(AND(ISNUMBER($AB161),$M161&gt;0),$AB161/$M161*100,"")</f>
      </c>
      <c r="AU161" s="42">
        <f>IF(AND(ISNUMBER($AD161),$M161&gt;0),$AD161/$M161*100,"")</f>
      </c>
      <c r="AV161" s="40">
        <f>IF(AND(ISNUMBER($AB161),ISNUMBER($AD161),ABS($AB161)&gt;0),$AD161/$AB161,"")</f>
      </c>
      <c r="AW161" s="39">
        <f>IF(ISNUMBER($AD161),MAX(0,(1-0.55-Header!$O$3)*Header!$Q$3*$AQ161),"")</f>
      </c>
      <c r="AX161" s="43">
        <f>IF($A161="","",IF(TRIM(IF($A161="","Missing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",""))="","PASS","FAIL: "&amp;TRIM(IF($A161="","Missing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f>
      </c>
      <c r="AY161" s="44">
        <f>IF($M161="","",IF(ISNUMBER($M161),IF($M161&gt;=Header!$C$18,"YES — refer","No"),""))</f>
      </c>
      <c r="AZ161" s="44">
        <f>IF($AD161="","",IF(ISNUMBER($AD161),IF($AD161&lt;Header!$C$20,"BELOW MIN PREMIUM","OK"),""))</f>
      </c>
      <c r="BA161" s="32" t="inlineStr">
        <is>
          <t xml:space="preserve">Yes</t>
        </is>
      </c>
      <c r="BB161" s="32" t="inlineStr">
        <is>
          <t xml:space="preserve">Yes</t>
        </is>
      </c>
      <c r="BC161" s="30" t="inlineStr">
        <is>
          <t xml:space="preserve">Synthetic demo data</t>
        </is>
      </c>
      <c r="BE161" s="45">
        <f>IF(OR($A161="",$L161="",$H161=""),"",IF(AND(LEFT($L161,2)="06",$H161&gt;1945),"FAIL - pre-war class, year "&amp;$H161,IF(AND(LEFT($L161,2)="07",OR($H161&lt;1946,$H161&gt;1972)),"FAIL - 1946-72 class, year "&amp;$H161,IF(AND(LEFT($L161,2)="08",OR($H161&lt;1973,$H161&gt;1999)),"FAIL - 1973-99 class, year "&amp;$H161,IF(AND(LEFT($L161,2)="09",OR($H161&lt;2000,$H161&gt;2010)),"FAIL - 2000-10 class, year "&amp;$H161,"OK")))))</f>
      </c>
      <c r="BF161" s="45">
        <f>IF($AD161="","",IF(ROUND($AO161+$AP161+$AQ161-$AD161,2)=0,"OK","FAIL - out by "&amp;TEXT($AO161+$AP161+$AQ161-$AD161,"$0.00")))</f>
      </c>
    </row>
    <row r="162" spans="1:58" ht="18.75" customHeight="1" x14ac:dyDescent="0.25">
      <c r="A162" s="46" t="inlineStr">
        <is>
          <t xml:space="preserve">CANON-202508-000208</t>
        </is>
      </c>
      <c r="B162" s="46" t="inlineStr">
        <is>
          <t xml:space="preserve">Beatrix Bellandi</t>
        </is>
      </c>
      <c r="C162" s="47">
        <v>45874</v>
      </c>
      <c r="D162" s="48" t="inlineStr">
        <is>
          <t xml:space="preserve">Bound - within authority</t>
        </is>
      </c>
      <c r="E162" s="48" t="inlineStr">
        <is>
          <t xml:space="preserve">New business</t>
        </is>
      </c>
      <c r="F162" s="46" t="inlineStr">
        <is>
          <t xml:space="preserve">B1234EXOTIC26</t>
        </is>
      </c>
      <c r="G162" s="33">
        <f>IF($A162="","",IF($C162="","",YEAR($C162)))</f>
      </c>
      <c r="H162" s="49">
        <v>2006</v>
      </c>
      <c r="I162" s="46" t="inlineStr">
        <is>
          <t xml:space="preserve">Porsche</t>
        </is>
      </c>
      <c r="J162" s="46" t="inlineStr">
        <is>
          <t xml:space="preserve">911 Turbo S</t>
        </is>
      </c>
      <c r="K162" s="46" t="inlineStr">
        <is>
          <t xml:space="preserve">L0ZYMEDG2J2HSC5NZ</t>
        </is>
      </c>
      <c r="L162" s="48" t="inlineStr">
        <is>
          <t xml:space="preserve">02 - Sports / GT</t>
        </is>
      </c>
      <c r="M162" s="50">
        <v>590000</v>
      </c>
      <c r="N162" s="48" t="inlineStr">
        <is>
          <t xml:space="preserve">Personal</t>
        </is>
      </c>
      <c r="O162" s="46" t="inlineStr">
        <is>
          <t xml:space="preserve">Personal - regular use</t>
        </is>
      </c>
      <c r="P162" s="46" t="inlineStr">
        <is>
          <t xml:space="preserve">Under 1,000</t>
        </is>
      </c>
      <c r="Q162" s="46" t="inlineStr">
        <is>
          <t xml:space="preserve">Kentucky</t>
        </is>
      </c>
      <c r="R162" s="46" t="inlineStr">
        <is>
          <t xml:space="preserve">40202</t>
        </is>
      </c>
      <c r="S162" s="48" t="inlineStr">
        <is>
          <t xml:space="preserve">Severe convective - hail / tornado (moderate)</t>
        </is>
      </c>
      <c r="T162" s="36">
        <f>IF($A162="","",IF($S162="","",IFERROR(INDEX('[1]natural catastrophe'!$D$6:$D$17,MATCH($S162,'[1]natural catastrophe'!$B$6:$B$17,0)),"?")))</f>
      </c>
      <c r="U162" s="46" t="inlineStr">
        <is>
          <t xml:space="preserve">$5,000</t>
        </is>
      </c>
      <c r="V162" s="48" t="inlineStr">
        <is>
          <t xml:space="preserve">Agreed Value</t>
        </is>
      </c>
      <c r="W162" s="46" t="inlineStr">
        <is>
          <t xml:space="preserve">$1,000</t>
        </is>
      </c>
      <c r="X162" s="48" t="inlineStr">
        <is>
          <t xml:space="preserve">$1,000,000 CSL</t>
        </is>
      </c>
      <c r="Y162" s="46"/>
      <c r="Z162" s="46"/>
      <c r="AA162" s="48" t="inlineStr">
        <is>
          <t xml:space="preserve">Surplus Lines</t>
        </is>
      </c>
      <c r="AB162" s="50">
        <v>9696.04</v>
      </c>
      <c r="AC162" s="51">
        <v>0</v>
      </c>
      <c r="AD162" s="38">
        <f>IF(ISNUMBER($AB162),$AB162*(1+N($AC162)),"")</f>
      </c>
      <c r="AE162" s="50">
        <v>350</v>
      </c>
      <c r="AF162" s="50">
        <v>0</v>
      </c>
      <c r="AG162" s="51"/>
      <c r="AH162" s="39">
        <f>IF(ISNUMBER($AD162),($AD162+$AE162+$AF162)*$AG162,"")</f>
      </c>
      <c r="AI162" s="50"/>
      <c r="AJ162" s="38">
        <f>IF(ISNUMBER($AD162),SUM($AD162:$AH162),"")</f>
      </c>
      <c r="AK162" s="40">
        <f>IF(AND(ISNUMBER($AB162),ISNUMBER($AD162)),IF($AB162&gt;0,$AD162/$AB162,""),"")</f>
      </c>
      <c r="AL162" s="48" t="inlineStr">
        <is>
          <t xml:space="preserve">At technical</t>
        </is>
      </c>
      <c r="AM162" s="41">
        <f>IF(ISNUMBER($AD162),Header!$I$3,"")</f>
      </c>
      <c r="AN162" s="39">
        <f>IF(ISNUMBER($AD162),$AO162+$AP162,"")</f>
      </c>
      <c r="AO162" s="39">
        <f>IF(ISNUMBER($AD162),ROUND($AD162*Header!$K$3,2),"")</f>
      </c>
      <c r="AP162" s="39">
        <f>IF(ISNUMBER($AD162),ROUND($AD162*Header!$M$3,2),"")</f>
      </c>
      <c r="AQ162" s="38">
        <f>IF(ISNUMBER($AD162),ROUND($AD162,2)-$AO162-$AP162,"")</f>
      </c>
      <c r="AR162" s="39">
        <f>IF(ISNUMBER($AD162),IF(Header!$D$34="","?",$AD162*Header!$D$34),"")</f>
      </c>
      <c r="AS162" s="39">
        <f>IF(ISNUMBER($AB162),IF(Header!$D$34="","?",$AB162*Header!$D$34),"")</f>
      </c>
      <c r="AT162" s="42">
        <f>IF(AND(ISNUMBER($AB162),$M162&gt;0),$AB162/$M162*100,"")</f>
      </c>
      <c r="AU162" s="42">
        <f>IF(AND(ISNUMBER($AD162),$M162&gt;0),$AD162/$M162*100,"")</f>
      </c>
      <c r="AV162" s="40">
        <f>IF(AND(ISNUMBER($AB162),ISNUMBER($AD162),ABS($AB162)&gt;0),$AD162/$AB162,"")</f>
      </c>
      <c r="AW162" s="39">
        <f>IF(ISNUMBER($AD162),MAX(0,(1-0.55-Header!$O$3)*Header!$Q$3*$AQ162),"")</f>
      </c>
      <c r="AX162" s="43">
        <f>IF($A162="","",IF(TRIM(IF($A162="","Missing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",""))="","PASS","FAIL: "&amp;TRIM(IF($A162="","Missing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f>
      </c>
      <c r="AY162" s="44">
        <f>IF($M162="","",IF(ISNUMBER($M162),IF($M162&gt;=Header!$C$18,"YES — refer","No"),""))</f>
      </c>
      <c r="AZ162" s="44">
        <f>IF($AD162="","",IF(ISNUMBER($AD162),IF($AD162&lt;Header!$C$20,"BELOW MIN PREMIUM","OK"),""))</f>
      </c>
      <c r="BA162" s="48" t="inlineStr">
        <is>
          <t xml:space="preserve">Yes</t>
        </is>
      </c>
      <c r="BB162" s="48" t="inlineStr">
        <is>
          <t xml:space="preserve">Yes</t>
        </is>
      </c>
      <c r="BC162" s="46" t="inlineStr">
        <is>
          <t xml:space="preserve">Synthetic demo data</t>
        </is>
      </c>
      <c r="BE162" s="45">
        <f>IF(OR($A162="",$L162="",$H162=""),"",IF(AND(LEFT($L162,2)="06",$H162&gt;1945),"FAIL - pre-war class, year "&amp;$H162,IF(AND(LEFT($L162,2)="07",OR($H162&lt;1946,$H162&gt;1972)),"FAIL - 1946-72 class, year "&amp;$H162,IF(AND(LEFT($L162,2)="08",OR($H162&lt;1973,$H162&gt;1999)),"FAIL - 1973-99 class, year "&amp;$H162,IF(AND(LEFT($L162,2)="09",OR($H162&lt;2000,$H162&gt;2010)),"FAIL - 2000-10 class, year "&amp;$H162,"OK")))))</f>
      </c>
      <c r="BF162" s="45">
        <f>IF($AD162="","",IF(ROUND($AO162+$AP162+$AQ162-$AD162,2)=0,"OK","FAIL - out by "&amp;TEXT($AO162+$AP162+$AQ162-$AD162,"$0.00")))</f>
      </c>
    </row>
    <row r="163" spans="1:58" ht="18.75" customHeight="1" x14ac:dyDescent="0.25">
      <c r="A163" s="30" t="inlineStr">
        <is>
          <t xml:space="preserve">CANON-202508-000209</t>
        </is>
      </c>
      <c r="B163" s="30" t="inlineStr">
        <is>
          <t xml:space="preserve">Leopold Bellandi</t>
        </is>
      </c>
      <c r="C163" s="31">
        <v>45885</v>
      </c>
      <c r="D163" s="32" t="inlineStr">
        <is>
          <t xml:space="preserve">Bound - within authority</t>
        </is>
      </c>
      <c r="E163" s="32" t="inlineStr">
        <is>
          <t xml:space="preserve">New business</t>
        </is>
      </c>
      <c r="F163" s="30" t="inlineStr">
        <is>
          <t xml:space="preserve">B1234EXOTIC26</t>
        </is>
      </c>
      <c r="G163" s="33">
        <f>IF($A163="","",IF($C163="","",YEAR($C163)))</f>
      </c>
      <c r="H163" s="34">
        <v>1966</v>
      </c>
      <c r="I163" s="30" t="inlineStr">
        <is>
          <t xml:space="preserve">Bentley</t>
        </is>
      </c>
      <c r="J163" s="30" t="inlineStr">
        <is>
          <t xml:space="preserve">Continental GT</t>
        </is>
      </c>
      <c r="K163" s="30" t="inlineStr">
        <is>
          <t xml:space="preserve">BC13HMK5GRPB5CPL4</t>
        </is>
      </c>
      <c r="L163" s="32" t="inlineStr">
        <is>
          <t xml:space="preserve">02 - Sports / GT</t>
        </is>
      </c>
      <c r="M163" s="35">
        <v>600000</v>
      </c>
      <c r="N163" s="32" t="inlineStr">
        <is>
          <t xml:space="preserve">Personal</t>
        </is>
      </c>
      <c r="O163" s="30" t="inlineStr">
        <is>
          <t xml:space="preserve">Personal - regular use</t>
        </is>
      </c>
      <c r="P163" s="30" t="inlineStr">
        <is>
          <t xml:space="preserve">2,500 - 5,000</t>
        </is>
      </c>
      <c r="Q163" s="30" t="inlineStr">
        <is>
          <t xml:space="preserve">Wisconsin</t>
        </is>
      </c>
      <c r="R163" s="30" t="inlineStr">
        <is>
          <t xml:space="preserve">53202</t>
        </is>
      </c>
      <c r="S163" s="32" t="inlineStr">
        <is>
          <t xml:space="preserve">Severe convective - hail / tornado (moderate)</t>
        </is>
      </c>
      <c r="T163" s="36">
        <f>IF($A163="","",IF($S163="","",IFERROR(INDEX('[1]natural catastrophe'!$D$6:$D$17,MATCH($S163,'[1]natural catastrophe'!$B$6:$B$17,0)),"?")))</f>
      </c>
      <c r="U163" s="30" t="inlineStr">
        <is>
          <t xml:space="preserve">$5,000</t>
        </is>
      </c>
      <c r="V163" s="32" t="inlineStr">
        <is>
          <t xml:space="preserve">Agreed Value</t>
        </is>
      </c>
      <c r="W163" s="30" t="inlineStr">
        <is>
          <t xml:space="preserve">$1,000</t>
        </is>
      </c>
      <c r="X163" s="32" t="inlineStr">
        <is>
          <t xml:space="preserve">$1,000,000 CSL</t>
        </is>
      </c>
      <c r="Y163" s="30"/>
      <c r="Z163" s="30"/>
      <c r="AA163" s="32" t="inlineStr">
        <is>
          <t xml:space="preserve">Surplus Lines</t>
        </is>
      </c>
      <c r="AB163" s="35">
        <v>8830.19</v>
      </c>
      <c r="AC163" s="37">
        <v>0</v>
      </c>
      <c r="AD163" s="38">
        <f>IF(ISNUMBER($AB163),$AB163*(1+N($AC163)),"")</f>
      </c>
      <c r="AE163" s="35">
        <v>350</v>
      </c>
      <c r="AF163" s="35">
        <v>0</v>
      </c>
      <c r="AG163" s="37"/>
      <c r="AH163" s="39">
        <f>IF(ISNUMBER($AD163),($AD163+$AE163+$AF163)*$AG163,"")</f>
      </c>
      <c r="AI163" s="35"/>
      <c r="AJ163" s="38">
        <f>IF(ISNUMBER($AD163),SUM($AD163:$AH163),"")</f>
      </c>
      <c r="AK163" s="40">
        <f>IF(AND(ISNUMBER($AB163),ISNUMBER($AD163)),IF($AB163&gt;0,$AD163/$AB163,""),"")</f>
      </c>
      <c r="AL163" s="32" t="inlineStr">
        <is>
          <t xml:space="preserve">At technical</t>
        </is>
      </c>
      <c r="AM163" s="41">
        <f>IF(ISNUMBER($AD163),Header!$I$3,"")</f>
      </c>
      <c r="AN163" s="39">
        <f>IF(ISNUMBER($AD163),$AO163+$AP163,"")</f>
      </c>
      <c r="AO163" s="39">
        <f>IF(ISNUMBER($AD163),ROUND($AD163*Header!$K$3,2),"")</f>
      </c>
      <c r="AP163" s="39">
        <f>IF(ISNUMBER($AD163),ROUND($AD163*Header!$M$3,2),"")</f>
      </c>
      <c r="AQ163" s="38">
        <f>IF(ISNUMBER($AD163),ROUND($AD163,2)-$AO163-$AP163,"")</f>
      </c>
      <c r="AR163" s="39">
        <f>IF(ISNUMBER($AD163),IF(Header!$D$34="","?",$AD163*Header!$D$34),"")</f>
      </c>
      <c r="AS163" s="39">
        <f>IF(ISNUMBER($AB163),IF(Header!$D$34="","?",$AB163*Header!$D$34),"")</f>
      </c>
      <c r="AT163" s="42">
        <f>IF(AND(ISNUMBER($AB163),$M163&gt;0),$AB163/$M163*100,"")</f>
      </c>
      <c r="AU163" s="42">
        <f>IF(AND(ISNUMBER($AD163),$M163&gt;0),$AD163/$M163*100,"")</f>
      </c>
      <c r="AV163" s="40">
        <f>IF(AND(ISNUMBER($AB163),ISNUMBER($AD163),ABS($AB163)&gt;0),$AD163/$AB163,"")</f>
      </c>
      <c r="AW163" s="39">
        <f>IF(ISNUMBER($AD163),MAX(0,(1-0.55-Header!$O$3)*Header!$Q$3*$AQ163),"")</f>
      </c>
      <c r="AX163" s="43">
        <f>IF($A163="","",IF(TRIM(IF($A163="","Missing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",""))="","PASS","FAIL: "&amp;TRIM(IF($A163="","Missing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f>
      </c>
      <c r="AY163" s="44">
        <f>IF($M163="","",IF(ISNUMBER($M163),IF($M163&gt;=Header!$C$18,"YES — refer","No"),""))</f>
      </c>
      <c r="AZ163" s="44">
        <f>IF($AD163="","",IF(ISNUMBER($AD163),IF($AD163&lt;Header!$C$20,"BELOW MIN PREMIUM","OK"),""))</f>
      </c>
      <c r="BA163" s="32" t="inlineStr">
        <is>
          <t xml:space="preserve">Yes</t>
        </is>
      </c>
      <c r="BB163" s="32" t="inlineStr">
        <is>
          <t xml:space="preserve">Yes</t>
        </is>
      </c>
      <c r="BC163" s="30" t="inlineStr">
        <is>
          <t xml:space="preserve">Synthetic demo data</t>
        </is>
      </c>
      <c r="BE163" s="45">
        <f>IF(OR($A163="",$L163="",$H163=""),"",IF(AND(LEFT($L163,2)="06",$H163&gt;1945),"FAIL - pre-war class, year "&amp;$H163,IF(AND(LEFT($L163,2)="07",OR($H163&lt;1946,$H163&gt;1972)),"FAIL - 1946-72 class, year "&amp;$H163,IF(AND(LEFT($L163,2)="08",OR($H163&lt;1973,$H163&gt;1999)),"FAIL - 1973-99 class, year "&amp;$H163,IF(AND(LEFT($L163,2)="09",OR($H163&lt;2000,$H163&gt;2010)),"FAIL - 2000-10 class, year "&amp;$H163,"OK")))))</f>
      </c>
      <c r="BF163" s="45">
        <f>IF($AD163="","",IF(ROUND($AO163+$AP163+$AQ163-$AD163,2)=0,"OK","FAIL - out by "&amp;TEXT($AO163+$AP163+$AQ163-$AD163,"$0.00")))</f>
      </c>
    </row>
    <row r="164" spans="1:58" ht="18.75" customHeight="1" x14ac:dyDescent="0.25">
      <c r="A164" s="46" t="inlineStr">
        <is>
          <t xml:space="preserve">CANON-202508-000210</t>
        </is>
      </c>
      <c r="B164" s="46" t="inlineStr">
        <is>
          <t xml:space="preserve">Leopold Merriweather</t>
        </is>
      </c>
      <c r="C164" s="47">
        <v>45878</v>
      </c>
      <c r="D164" s="48" t="inlineStr">
        <is>
          <t xml:space="preserve">Bound - within authority</t>
        </is>
      </c>
      <c r="E164" s="48" t="inlineStr">
        <is>
          <t xml:space="preserve">New business</t>
        </is>
      </c>
      <c r="F164" s="46" t="inlineStr">
        <is>
          <t xml:space="preserve">B1234EXOTIC26</t>
        </is>
      </c>
      <c r="G164" s="33">
        <f>IF($A164="","",IF($C164="","",YEAR($C164)))</f>
      </c>
      <c r="H164" s="49">
        <v>1963</v>
      </c>
      <c r="I164" s="46" t="inlineStr">
        <is>
          <t xml:space="preserve">Mercedes-Benz</t>
        </is>
      </c>
      <c r="J164" s="46" t="inlineStr">
        <is>
          <t xml:space="preserve">AMG GT</t>
        </is>
      </c>
      <c r="K164" s="46" t="inlineStr">
        <is>
          <t xml:space="preserve">8W6AU8AGTWWZRBYAR</t>
        </is>
      </c>
      <c r="L164" s="48" t="inlineStr">
        <is>
          <t xml:space="preserve">02 - Sports / GT</t>
        </is>
      </c>
      <c r="M164" s="50">
        <v>300000</v>
      </c>
      <c r="N164" s="48" t="inlineStr">
        <is>
          <t xml:space="preserve">Personal</t>
        </is>
      </c>
      <c r="O164" s="46" t="inlineStr">
        <is>
          <t xml:space="preserve">Personal - regular use</t>
        </is>
      </c>
      <c r="P164" s="46" t="inlineStr">
        <is>
          <t xml:space="preserve">1,000 - 2,500</t>
        </is>
      </c>
      <c r="Q164" s="46" t="inlineStr">
        <is>
          <t xml:space="preserve">Louisiana</t>
        </is>
      </c>
      <c r="R164" s="46" t="inlineStr">
        <is>
          <t xml:space="preserve">70112</t>
        </is>
      </c>
      <c r="S164" s="48" t="inlineStr">
        <is>
          <t xml:space="preserve">Tier 2 - Coastal wind (1-25 miles)</t>
        </is>
      </c>
      <c r="T164" s="36">
        <f>IF($A164="","",IF($S164="","",IFERROR(INDEX('[1]natural catastrophe'!$D$6:$D$17,MATCH($S164,'[1]natural catastrophe'!$B$6:$B$17,0)),"?")))</f>
      </c>
      <c r="U164" s="46" t="inlineStr">
        <is>
          <t xml:space="preserve">2% of agreed value, minimum $10,000</t>
        </is>
      </c>
      <c r="V164" s="48" t="inlineStr">
        <is>
          <t xml:space="preserve">Agreed Value</t>
        </is>
      </c>
      <c r="W164" s="46" t="inlineStr">
        <is>
          <t xml:space="preserve">$1,000</t>
        </is>
      </c>
      <c r="X164" s="48" t="inlineStr">
        <is>
          <t xml:space="preserve">$1,000,000 CSL</t>
        </is>
      </c>
      <c r="Y164" s="46"/>
      <c r="Z164" s="46"/>
      <c r="AA164" s="48" t="inlineStr">
        <is>
          <t xml:space="preserve">Surplus Lines</t>
        </is>
      </c>
      <c r="AB164" s="50">
        <v>5136.79</v>
      </c>
      <c r="AC164" s="51">
        <v>0</v>
      </c>
      <c r="AD164" s="38">
        <f>IF(ISNUMBER($AB164),$AB164*(1+N($AC164)),"")</f>
      </c>
      <c r="AE164" s="50">
        <v>350</v>
      </c>
      <c r="AF164" s="50">
        <v>0</v>
      </c>
      <c r="AG164" s="51"/>
      <c r="AH164" s="39">
        <f>IF(ISNUMBER($AD164),($AD164+$AE164+$AF164)*$AG164,"")</f>
      </c>
      <c r="AI164" s="50"/>
      <c r="AJ164" s="38">
        <f>IF(ISNUMBER($AD164),SUM($AD164:$AH164),"")</f>
      </c>
      <c r="AK164" s="40">
        <f>IF(AND(ISNUMBER($AB164),ISNUMBER($AD164)),IF($AB164&gt;0,$AD164/$AB164,""),"")</f>
      </c>
      <c r="AL164" s="48" t="inlineStr">
        <is>
          <t xml:space="preserve">At technical</t>
        </is>
      </c>
      <c r="AM164" s="41">
        <f>IF(ISNUMBER($AD164),Header!$I$3,"")</f>
      </c>
      <c r="AN164" s="39">
        <f>IF(ISNUMBER($AD164),$AO164+$AP164,"")</f>
      </c>
      <c r="AO164" s="39">
        <f>IF(ISNUMBER($AD164),ROUND($AD164*Header!$K$3,2),"")</f>
      </c>
      <c r="AP164" s="39">
        <f>IF(ISNUMBER($AD164),ROUND($AD164*Header!$M$3,2),"")</f>
      </c>
      <c r="AQ164" s="38">
        <f>IF(ISNUMBER($AD164),ROUND($AD164,2)-$AO164-$AP164,"")</f>
      </c>
      <c r="AR164" s="39">
        <f>IF(ISNUMBER($AD164),IF(Header!$D$34="","?",$AD164*Header!$D$34),"")</f>
      </c>
      <c r="AS164" s="39">
        <f>IF(ISNUMBER($AB164),IF(Header!$D$34="","?",$AB164*Header!$D$34),"")</f>
      </c>
      <c r="AT164" s="42">
        <f>IF(AND(ISNUMBER($AB164),$M164&gt;0),$AB164/$M164*100,"")</f>
      </c>
      <c r="AU164" s="42">
        <f>IF(AND(ISNUMBER($AD164),$M164&gt;0),$AD164/$M164*100,"")</f>
      </c>
      <c r="AV164" s="40">
        <f>IF(AND(ISNUMBER($AB164),ISNUMBER($AD164),ABS($AB164)&gt;0),$AD164/$AB164,"")</f>
      </c>
      <c r="AW164" s="39">
        <f>IF(ISNUMBER($AD164),MAX(0,(1-0.55-Header!$O$3)*Header!$Q$3*$AQ164),"")</f>
      </c>
      <c r="AX164" s="43">
        <f>IF($A164="","",IF(TRIM(IF($A164="","Missing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",""))="","PASS","FAIL: "&amp;TRIM(IF($A164="","Missing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f>
      </c>
      <c r="AY164" s="44">
        <f>IF($M164="","",IF(ISNUMBER($M164),IF($M164&gt;=Header!$C$18,"YES — refer","No"),""))</f>
      </c>
      <c r="AZ164" s="44">
        <f>IF($AD164="","",IF(ISNUMBER($AD164),IF($AD164&lt;Header!$C$20,"BELOW MIN PREMIUM","OK"),""))</f>
      </c>
      <c r="BA164" s="48" t="inlineStr">
        <is>
          <t xml:space="preserve">Yes</t>
        </is>
      </c>
      <c r="BB164" s="48" t="inlineStr">
        <is>
          <t xml:space="preserve">Yes</t>
        </is>
      </c>
      <c r="BC164" s="46" t="inlineStr">
        <is>
          <t xml:space="preserve">Synthetic demo data</t>
        </is>
      </c>
      <c r="BE164" s="45">
        <f>IF(OR($A164="",$L164="",$H164=""),"",IF(AND(LEFT($L164,2)="06",$H164&gt;1945),"FAIL - pre-war class, year "&amp;$H164,IF(AND(LEFT($L164,2)="07",OR($H164&lt;1946,$H164&gt;1972)),"FAIL - 1946-72 class, year "&amp;$H164,IF(AND(LEFT($L164,2)="08",OR($H164&lt;1973,$H164&gt;1999)),"FAIL - 1973-99 class, year "&amp;$H164,IF(AND(LEFT($L164,2)="09",OR($H164&lt;2000,$H164&gt;2010)),"FAIL - 2000-10 class, year "&amp;$H164,"OK")))))</f>
      </c>
      <c r="BF164" s="45">
        <f>IF($AD164="","",IF(ROUND($AO164+$AP164+$AQ164-$AD164,2)=0,"OK","FAIL - out by "&amp;TEXT($AO164+$AP164+$AQ164-$AD164,"$0.00")))</f>
      </c>
    </row>
    <row r="165" spans="1:58" ht="18.75" customHeight="1" x14ac:dyDescent="0.25">
      <c r="A165" s="30" t="inlineStr">
        <is>
          <t xml:space="preserve">CANON-202508-000211</t>
        </is>
      </c>
      <c r="B165" s="30" t="inlineStr">
        <is>
          <t xml:space="preserve">Delphine Vandermeer</t>
        </is>
      </c>
      <c r="C165" s="31">
        <v>45895</v>
      </c>
      <c r="D165" s="32" t="inlineStr">
        <is>
          <t xml:space="preserve">Bound - within authority</t>
        </is>
      </c>
      <c r="E165" s="32" t="inlineStr">
        <is>
          <t xml:space="preserve">New business</t>
        </is>
      </c>
      <c r="F165" s="30" t="inlineStr">
        <is>
          <t xml:space="preserve">B1234EXOTIC26</t>
        </is>
      </c>
      <c r="G165" s="33">
        <f>IF($A165="","",IF($C165="","",YEAR($C165)))</f>
      </c>
      <c r="H165" s="34">
        <v>2022</v>
      </c>
      <c r="I165" s="30" t="inlineStr">
        <is>
          <t xml:space="preserve">BMW</t>
        </is>
      </c>
      <c r="J165" s="30" t="inlineStr">
        <is>
          <t xml:space="preserve">M8 Competition</t>
        </is>
      </c>
      <c r="K165" s="30" t="inlineStr">
        <is>
          <t xml:space="preserve">78VS533AGHD0MJ290</t>
        </is>
      </c>
      <c r="L165" s="32" t="inlineStr">
        <is>
          <t xml:space="preserve">02 - Sports / GT</t>
        </is>
      </c>
      <c r="M165" s="35">
        <v>675000</v>
      </c>
      <c r="N165" s="32" t="inlineStr">
        <is>
          <t xml:space="preserve">Personal</t>
        </is>
      </c>
      <c r="O165" s="30" t="inlineStr">
        <is>
          <t xml:space="preserve">Personal - regular use</t>
        </is>
      </c>
      <c r="P165" s="30" t="inlineStr">
        <is>
          <t xml:space="preserve">2,500 - 5,000</t>
        </is>
      </c>
      <c r="Q165" s="30" t="inlineStr">
        <is>
          <t xml:space="preserve">North Carolina</t>
        </is>
      </c>
      <c r="R165" s="30" t="inlineStr">
        <is>
          <t xml:space="preserve">28202</t>
        </is>
      </c>
      <c r="S165" s="32" t="inlineStr">
        <is>
          <t xml:space="preserve">Tier 2 - Coastal wind (1-25 miles)</t>
        </is>
      </c>
      <c r="T165" s="36">
        <f>IF($A165="","",IF($S165="","",IFERROR(INDEX('[1]natural catastrophe'!$D$6:$D$17,MATCH($S165,'[1]natural catastrophe'!$B$6:$B$17,0)),"?")))</f>
      </c>
      <c r="U165" s="30" t="inlineStr">
        <is>
          <t xml:space="preserve">2% of agreed value, minimum $10,000</t>
        </is>
      </c>
      <c r="V165" s="32" t="inlineStr">
        <is>
          <t xml:space="preserve">Agreed Value</t>
        </is>
      </c>
      <c r="W165" s="30" t="inlineStr">
        <is>
          <t xml:space="preserve">$1,000</t>
        </is>
      </c>
      <c r="X165" s="32" t="inlineStr">
        <is>
          <t xml:space="preserve">$1,000,000 CSL</t>
        </is>
      </c>
      <c r="Y165" s="30"/>
      <c r="Z165" s="30"/>
      <c r="AA165" s="32" t="inlineStr">
        <is>
          <t xml:space="preserve">Surplus Lines</t>
        </is>
      </c>
      <c r="AB165" s="35">
        <v>9520.05</v>
      </c>
      <c r="AC165" s="37">
        <v>0</v>
      </c>
      <c r="AD165" s="38">
        <f>IF(ISNUMBER($AB165),$AB165*(1+N($AC165)),"")</f>
      </c>
      <c r="AE165" s="35">
        <v>350</v>
      </c>
      <c r="AF165" s="35">
        <v>0</v>
      </c>
      <c r="AG165" s="37"/>
      <c r="AH165" s="39">
        <f>IF(ISNUMBER($AD165),($AD165+$AE165+$AF165)*$AG165,"")</f>
      </c>
      <c r="AI165" s="35"/>
      <c r="AJ165" s="38">
        <f>IF(ISNUMBER($AD165),SUM($AD165:$AH165),"")</f>
      </c>
      <c r="AK165" s="40">
        <f>IF(AND(ISNUMBER($AB165),ISNUMBER($AD165)),IF($AB165&gt;0,$AD165/$AB165,""),"")</f>
      </c>
      <c r="AL165" s="32" t="inlineStr">
        <is>
          <t xml:space="preserve">At technical</t>
        </is>
      </c>
      <c r="AM165" s="41">
        <f>IF(ISNUMBER($AD165),Header!$I$3,"")</f>
      </c>
      <c r="AN165" s="39">
        <f>IF(ISNUMBER($AD165),$AO165+$AP165,"")</f>
      </c>
      <c r="AO165" s="39">
        <f>IF(ISNUMBER($AD165),ROUND($AD165*Header!$K$3,2),"")</f>
      </c>
      <c r="AP165" s="39">
        <f>IF(ISNUMBER($AD165),ROUND($AD165*Header!$M$3,2),"")</f>
      </c>
      <c r="AQ165" s="38">
        <f>IF(ISNUMBER($AD165),ROUND($AD165,2)-$AO165-$AP165,"")</f>
      </c>
      <c r="AR165" s="39">
        <f>IF(ISNUMBER($AD165),IF(Header!$D$34="","?",$AD165*Header!$D$34),"")</f>
      </c>
      <c r="AS165" s="39">
        <f>IF(ISNUMBER($AB165),IF(Header!$D$34="","?",$AB165*Header!$D$34),"")</f>
      </c>
      <c r="AT165" s="42">
        <f>IF(AND(ISNUMBER($AB165),$M165&gt;0),$AB165/$M165*100,"")</f>
      </c>
      <c r="AU165" s="42">
        <f>IF(AND(ISNUMBER($AD165),$M165&gt;0),$AD165/$M165*100,"")</f>
      </c>
      <c r="AV165" s="40">
        <f>IF(AND(ISNUMBER($AB165),ISNUMBER($AD165),ABS($AB165)&gt;0),$AD165/$AB165,"")</f>
      </c>
      <c r="AW165" s="39">
        <f>IF(ISNUMBER($AD165),MAX(0,(1-0.55-Header!$O$3)*Header!$Q$3*$AQ165),"")</f>
      </c>
      <c r="AX165" s="43">
        <f>IF($A165="","",IF(TRIM(IF($A165="","Missing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",""))="","PASS","FAIL: "&amp;TRIM(IF($A165="","Missing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f>
      </c>
      <c r="AY165" s="44">
        <f>IF($M165="","",IF(ISNUMBER($M165),IF($M165&gt;=Header!$C$18,"YES — refer","No"),""))</f>
      </c>
      <c r="AZ165" s="44">
        <f>IF($AD165="","",IF(ISNUMBER($AD165),IF($AD165&lt;Header!$C$20,"BELOW MIN PREMIUM","OK"),""))</f>
      </c>
      <c r="BA165" s="32" t="inlineStr">
        <is>
          <t xml:space="preserve">Yes</t>
        </is>
      </c>
      <c r="BB165" s="32" t="inlineStr">
        <is>
          <t xml:space="preserve">Yes</t>
        </is>
      </c>
      <c r="BC165" s="30" t="inlineStr">
        <is>
          <t xml:space="preserve">Synthetic demo data</t>
        </is>
      </c>
      <c r="BE165" s="45">
        <f>IF(OR($A165="",$L165="",$H165=""),"",IF(AND(LEFT($L165,2)="06",$H165&gt;1945),"FAIL - pre-war class, year "&amp;$H165,IF(AND(LEFT($L165,2)="07",OR($H165&lt;1946,$H165&gt;1972)),"FAIL - 1946-72 class, year "&amp;$H165,IF(AND(LEFT($L165,2)="08",OR($H165&lt;1973,$H165&gt;1999)),"FAIL - 1973-99 class, year "&amp;$H165,IF(AND(LEFT($L165,2)="09",OR($H165&lt;2000,$H165&gt;2010)),"FAIL - 2000-10 class, year "&amp;$H165,"OK")))))</f>
      </c>
      <c r="BF165" s="45">
        <f>IF($AD165="","",IF(ROUND($AO165+$AP165+$AQ165-$AD165,2)=0,"OK","FAIL - out by "&amp;TEXT($AO165+$AP165+$AQ165-$AD165,"$0.00")))</f>
      </c>
    </row>
    <row r="166" spans="1:58" ht="18.75" customHeight="1" x14ac:dyDescent="0.25">
      <c r="A166" s="46" t="inlineStr">
        <is>
          <t xml:space="preserve">CANON-202508-000213</t>
        </is>
      </c>
      <c r="B166" s="46" t="inlineStr">
        <is>
          <t xml:space="preserve">Horace Okonkwo</t>
        </is>
      </c>
      <c r="C166" s="47">
        <v>45873</v>
      </c>
      <c r="D166" s="48" t="inlineStr">
        <is>
          <t xml:space="preserve">Bound - within authority</t>
        </is>
      </c>
      <c r="E166" s="48" t="inlineStr">
        <is>
          <t xml:space="preserve">New business</t>
        </is>
      </c>
      <c r="F166" s="46" t="inlineStr">
        <is>
          <t xml:space="preserve">B1234EXOTIC26</t>
        </is>
      </c>
      <c r="G166" s="33">
        <f>IF($A166="","",IF($C166="","",YEAR($C166)))</f>
      </c>
      <c r="H166" s="49">
        <v>1996</v>
      </c>
      <c r="I166" s="46" t="inlineStr">
        <is>
          <t xml:space="preserve">Ferrari</t>
        </is>
      </c>
      <c r="J166" s="46" t="inlineStr">
        <is>
          <t xml:space="preserve">275 GTB/4</t>
        </is>
      </c>
      <c r="K166" s="46" t="inlineStr">
        <is>
          <t xml:space="preserve">ZJHJMN8ETZJJW1ARG</t>
        </is>
      </c>
      <c r="L166" s="48" t="inlineStr">
        <is>
          <t xml:space="preserve">08 - Modern Classic (1973-1999)</t>
        </is>
      </c>
      <c r="M166" s="50">
        <v>640000</v>
      </c>
      <c r="N166" s="48" t="inlineStr">
        <is>
          <t xml:space="preserve">Personal</t>
        </is>
      </c>
      <c r="O166" s="46" t="inlineStr">
        <is>
          <t xml:space="preserve">Personal - regular use</t>
        </is>
      </c>
      <c r="P166" s="46" t="inlineStr">
        <is>
          <t xml:space="preserve">1,000 - 2,500</t>
        </is>
      </c>
      <c r="Q166" s="46" t="inlineStr">
        <is>
          <t xml:space="preserve">North Carolina</t>
        </is>
      </c>
      <c r="R166" s="46" t="inlineStr">
        <is>
          <t xml:space="preserve">28202</t>
        </is>
      </c>
      <c r="S166" s="48" t="inlineStr">
        <is>
          <t xml:space="preserve">Tier 2 - Coastal wind (1-25 miles)</t>
        </is>
      </c>
      <c r="T166" s="36">
        <f>IF($A166="","",IF($S166="","",IFERROR(INDEX('[1]natural catastrophe'!$D$6:$D$17,MATCH($S166,'[1]natural catastrophe'!$B$6:$B$17,0)),"?")))</f>
      </c>
      <c r="U166" s="46" t="inlineStr">
        <is>
          <t xml:space="preserve">2% of agreed value, minimum $10,000</t>
        </is>
      </c>
      <c r="V166" s="48" t="inlineStr">
        <is>
          <t xml:space="preserve">Agreed Value</t>
        </is>
      </c>
      <c r="W166" s="46" t="inlineStr">
        <is>
          <t xml:space="preserve">$1,000</t>
        </is>
      </c>
      <c r="X166" s="48" t="inlineStr">
        <is>
          <t xml:space="preserve">$1,000,000 CSL</t>
        </is>
      </c>
      <c r="Y166" s="46"/>
      <c r="Z166" s="46"/>
      <c r="AA166" s="48" t="inlineStr">
        <is>
          <t xml:space="preserve">Surplus Lines</t>
        </is>
      </c>
      <c r="AB166" s="50">
        <v>5971.32</v>
      </c>
      <c r="AC166" s="51">
        <v>0</v>
      </c>
      <c r="AD166" s="38">
        <f>IF(ISNUMBER($AB166),$AB166*(1+N($AC166)),"")</f>
      </c>
      <c r="AE166" s="50">
        <v>350</v>
      </c>
      <c r="AF166" s="50">
        <v>0</v>
      </c>
      <c r="AG166" s="51"/>
      <c r="AH166" s="39">
        <f>IF(ISNUMBER($AD166),($AD166+$AE166+$AF166)*$AG166,"")</f>
      </c>
      <c r="AI166" s="50"/>
      <c r="AJ166" s="38">
        <f>IF(ISNUMBER($AD166),SUM($AD166:$AH166),"")</f>
      </c>
      <c r="AK166" s="40">
        <f>IF(AND(ISNUMBER($AB166),ISNUMBER($AD166)),IF($AB166&gt;0,$AD166/$AB166,""),"")</f>
      </c>
      <c r="AL166" s="48" t="inlineStr">
        <is>
          <t xml:space="preserve">At technical</t>
        </is>
      </c>
      <c r="AM166" s="41">
        <f>IF(ISNUMBER($AD166),Header!$I$3,"")</f>
      </c>
      <c r="AN166" s="39">
        <f>IF(ISNUMBER($AD166),$AO166+$AP166,"")</f>
      </c>
      <c r="AO166" s="39">
        <f>IF(ISNUMBER($AD166),ROUND($AD166*Header!$K$3,2),"")</f>
      </c>
      <c r="AP166" s="39">
        <f>IF(ISNUMBER($AD166),ROUND($AD166*Header!$M$3,2),"")</f>
      </c>
      <c r="AQ166" s="38">
        <f>IF(ISNUMBER($AD166),ROUND($AD166,2)-$AO166-$AP166,"")</f>
      </c>
      <c r="AR166" s="39">
        <f>IF(ISNUMBER($AD166),IF(Header!$D$34="","?",$AD166*Header!$D$34),"")</f>
      </c>
      <c r="AS166" s="39">
        <f>IF(ISNUMBER($AB166),IF(Header!$D$34="","?",$AB166*Header!$D$34),"")</f>
      </c>
      <c r="AT166" s="42">
        <f>IF(AND(ISNUMBER($AB166),$M166&gt;0),$AB166/$M166*100,"")</f>
      </c>
      <c r="AU166" s="42">
        <f>IF(AND(ISNUMBER($AD166),$M166&gt;0),$AD166/$M166*100,"")</f>
      </c>
      <c r="AV166" s="40">
        <f>IF(AND(ISNUMBER($AB166),ISNUMBER($AD166),ABS($AB166)&gt;0),$AD166/$AB166,"")</f>
      </c>
      <c r="AW166" s="39">
        <f>IF(ISNUMBER($AD166),MAX(0,(1-0.55-Header!$O$3)*Header!$Q$3*$AQ166),"")</f>
      </c>
      <c r="AX166" s="43">
        <f>IF($A166="","",IF(TRIM(IF($A166="","Missing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",""))="","PASS","FAIL: "&amp;TRIM(IF($A166="","Missing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f>
      </c>
      <c r="AY166" s="44">
        <f>IF($M166="","",IF(ISNUMBER($M166),IF($M166&gt;=Header!$C$18,"YES — refer","No"),""))</f>
      </c>
      <c r="AZ166" s="44">
        <f>IF($AD166="","",IF(ISNUMBER($AD166),IF($AD166&lt;Header!$C$20,"BELOW MIN PREMIUM","OK"),""))</f>
      </c>
      <c r="BA166" s="48" t="inlineStr">
        <is>
          <t xml:space="preserve">Yes</t>
        </is>
      </c>
      <c r="BB166" s="48" t="inlineStr">
        <is>
          <t xml:space="preserve">Yes</t>
        </is>
      </c>
      <c r="BC166" s="46" t="inlineStr">
        <is>
          <t xml:space="preserve">Synthetic demo data</t>
        </is>
      </c>
      <c r="BE166" s="45">
        <f>IF(OR($A166="",$L166="",$H166=""),"",IF(AND(LEFT($L166,2)="06",$H166&gt;1945),"FAIL - pre-war class, year "&amp;$H166,IF(AND(LEFT($L166,2)="07",OR($H166&lt;1946,$H166&gt;1972)),"FAIL - 1946-72 class, year "&amp;$H166,IF(AND(LEFT($L166,2)="08",OR($H166&lt;1973,$H166&gt;1999)),"FAIL - 1973-99 class, year "&amp;$H166,IF(AND(LEFT($L166,2)="09",OR($H166&lt;2000,$H166&gt;2010)),"FAIL - 2000-10 class, year "&amp;$H166,"OK")))))</f>
      </c>
      <c r="BF166" s="45">
        <f>IF($AD166="","",IF(ROUND($AO166+$AP166+$AQ166-$AD166,2)=0,"OK","FAIL - out by "&amp;TEXT($AO166+$AP166+$AQ166-$AD166,"$0.00")))</f>
      </c>
    </row>
    <row r="167" spans="1:58" ht="18.75" customHeight="1" x14ac:dyDescent="0.25">
      <c r="A167" s="30" t="inlineStr">
        <is>
          <t xml:space="preserve">CANON-202508-000214</t>
        </is>
      </c>
      <c r="B167" s="30" t="inlineStr">
        <is>
          <t xml:space="preserve">Anouk Chattopadhyay</t>
        </is>
      </c>
      <c r="C167" s="31">
        <v>45892</v>
      </c>
      <c r="D167" s="32" t="inlineStr">
        <is>
          <t xml:space="preserve">Bound - within authority</t>
        </is>
      </c>
      <c r="E167" s="32" t="inlineStr">
        <is>
          <t xml:space="preserve">New business</t>
        </is>
      </c>
      <c r="F167" s="30" t="inlineStr">
        <is>
          <t xml:space="preserve">B1234EXOTIC26</t>
        </is>
      </c>
      <c r="G167" s="33">
        <f>IF($A167="","",IF($C167="","",YEAR($C167)))</f>
      </c>
      <c r="H167" s="34">
        <v>1998</v>
      </c>
      <c r="I167" s="30" t="inlineStr">
        <is>
          <t xml:space="preserve">Mercedes-Benz</t>
        </is>
      </c>
      <c r="J167" s="30" t="inlineStr">
        <is>
          <t xml:space="preserve">AMG GT</t>
        </is>
      </c>
      <c r="K167" s="30" t="inlineStr">
        <is>
          <t xml:space="preserve">VHACNULCF5HJ6STUR</t>
        </is>
      </c>
      <c r="L167" s="32" t="inlineStr">
        <is>
          <t xml:space="preserve">02 - Sports / GT</t>
        </is>
      </c>
      <c r="M167" s="35">
        <v>555000</v>
      </c>
      <c r="N167" s="32" t="inlineStr">
        <is>
          <t xml:space="preserve">Personal</t>
        </is>
      </c>
      <c r="O167" s="30" t="inlineStr">
        <is>
          <t xml:space="preserve">Personal - regular use</t>
        </is>
      </c>
      <c r="P167" s="30" t="inlineStr">
        <is>
          <t xml:space="preserve">2,500 - 5,000</t>
        </is>
      </c>
      <c r="Q167" s="30" t="inlineStr">
        <is>
          <t xml:space="preserve">Missouri</t>
        </is>
      </c>
      <c r="R167" s="30" t="inlineStr">
        <is>
          <t xml:space="preserve">63101</t>
        </is>
      </c>
      <c r="S167" s="32" t="inlineStr">
        <is>
          <t xml:space="preserve">Severe convective - hail / tornado (moderate)</t>
        </is>
      </c>
      <c r="T167" s="36">
        <f>IF($A167="","",IF($S167="","",IFERROR(INDEX('[1]natural catastrophe'!$D$6:$D$17,MATCH($S167,'[1]natural catastrophe'!$B$6:$B$17,0)),"?")))</f>
      </c>
      <c r="U167" s="30" t="inlineStr">
        <is>
          <t xml:space="preserve">$5,000</t>
        </is>
      </c>
      <c r="V167" s="32" t="inlineStr">
        <is>
          <t xml:space="preserve">Agreed Value</t>
        </is>
      </c>
      <c r="W167" s="30" t="inlineStr">
        <is>
          <t xml:space="preserve">$1,000</t>
        </is>
      </c>
      <c r="X167" s="32" t="inlineStr">
        <is>
          <t xml:space="preserve">$1,000,000 CSL</t>
        </is>
      </c>
      <c r="Y167" s="30"/>
      <c r="Z167" s="30"/>
      <c r="AA167" s="32" t="inlineStr">
        <is>
          <t xml:space="preserve">Surplus Lines</t>
        </is>
      </c>
      <c r="AB167" s="35">
        <v>7215</v>
      </c>
      <c r="AC167" s="37">
        <v>0</v>
      </c>
      <c r="AD167" s="38">
        <f>IF(ISNUMBER($AB167),$AB167*(1+N($AC167)),"")</f>
      </c>
      <c r="AE167" s="35">
        <v>350</v>
      </c>
      <c r="AF167" s="35">
        <v>0</v>
      </c>
      <c r="AG167" s="37"/>
      <c r="AH167" s="39">
        <f>IF(ISNUMBER($AD167),($AD167+$AE167+$AF167)*$AG167,"")</f>
      </c>
      <c r="AI167" s="35"/>
      <c r="AJ167" s="38">
        <f>IF(ISNUMBER($AD167),SUM($AD167:$AH167),"")</f>
      </c>
      <c r="AK167" s="40">
        <f>IF(AND(ISNUMBER($AB167),ISNUMBER($AD167)),IF($AB167&gt;0,$AD167/$AB167,""),"")</f>
      </c>
      <c r="AL167" s="32" t="inlineStr">
        <is>
          <t xml:space="preserve">At technical</t>
        </is>
      </c>
      <c r="AM167" s="41">
        <f>IF(ISNUMBER($AD167),Header!$I$3,"")</f>
      </c>
      <c r="AN167" s="39">
        <f>IF(ISNUMBER($AD167),$AO167+$AP167,"")</f>
      </c>
      <c r="AO167" s="39">
        <f>IF(ISNUMBER($AD167),ROUND($AD167*Header!$K$3,2),"")</f>
      </c>
      <c r="AP167" s="39">
        <f>IF(ISNUMBER($AD167),ROUND($AD167*Header!$M$3,2),"")</f>
      </c>
      <c r="AQ167" s="38">
        <f>IF(ISNUMBER($AD167),ROUND($AD167,2)-$AO167-$AP167,"")</f>
      </c>
      <c r="AR167" s="39">
        <f>IF(ISNUMBER($AD167),IF(Header!$D$34="","?",$AD167*Header!$D$34),"")</f>
      </c>
      <c r="AS167" s="39">
        <f>IF(ISNUMBER($AB167),IF(Header!$D$34="","?",$AB167*Header!$D$34),"")</f>
      </c>
      <c r="AT167" s="42">
        <f>IF(AND(ISNUMBER($AB167),$M167&gt;0),$AB167/$M167*100,"")</f>
      </c>
      <c r="AU167" s="42">
        <f>IF(AND(ISNUMBER($AD167),$M167&gt;0),$AD167/$M167*100,"")</f>
      </c>
      <c r="AV167" s="40">
        <f>IF(AND(ISNUMBER($AB167),ISNUMBER($AD167),ABS($AB167)&gt;0),$AD167/$AB167,"")</f>
      </c>
      <c r="AW167" s="39">
        <f>IF(ISNUMBER($AD167),MAX(0,(1-0.55-Header!$O$3)*Header!$Q$3*$AQ167),"")</f>
      </c>
      <c r="AX167" s="43">
        <f>IF($A167="","",IF(TRIM(IF($A167="","Missing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",""))="","PASS","FAIL: "&amp;TRIM(IF($A167="","Missing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f>
      </c>
      <c r="AY167" s="44">
        <f>IF($M167="","",IF(ISNUMBER($M167),IF($M167&gt;=Header!$C$18,"YES — refer","No"),""))</f>
      </c>
      <c r="AZ167" s="44">
        <f>IF($AD167="","",IF(ISNUMBER($AD167),IF($AD167&lt;Header!$C$20,"BELOW MIN PREMIUM","OK"),""))</f>
      </c>
      <c r="BA167" s="32" t="inlineStr">
        <is>
          <t xml:space="preserve">Yes</t>
        </is>
      </c>
      <c r="BB167" s="32" t="inlineStr">
        <is>
          <t xml:space="preserve">Yes</t>
        </is>
      </c>
      <c r="BC167" s="30" t="inlineStr">
        <is>
          <t xml:space="preserve">Synthetic demo data</t>
        </is>
      </c>
      <c r="BE167" s="45">
        <f>IF(OR($A167="",$L167="",$H167=""),"",IF(AND(LEFT($L167,2)="06",$H167&gt;1945),"FAIL - pre-war class, year "&amp;$H167,IF(AND(LEFT($L167,2)="07",OR($H167&lt;1946,$H167&gt;1972)),"FAIL - 1946-72 class, year "&amp;$H167,IF(AND(LEFT($L167,2)="08",OR($H167&lt;1973,$H167&gt;1999)),"FAIL - 1973-99 class, year "&amp;$H167,IF(AND(LEFT($L167,2)="09",OR($H167&lt;2000,$H167&gt;2010)),"FAIL - 2000-10 class, year "&amp;$H167,"OK")))))</f>
      </c>
      <c r="BF167" s="45">
        <f>IF($AD167="","",IF(ROUND($AO167+$AP167+$AQ167-$AD167,2)=0,"OK","FAIL - out by "&amp;TEXT($AO167+$AP167+$AQ167-$AD167,"$0.00")))</f>
      </c>
    </row>
    <row r="168" spans="1:58" ht="18.75" customHeight="1" x14ac:dyDescent="0.25">
      <c r="A168" s="46" t="inlineStr">
        <is>
          <t xml:space="preserve">CANON-202508-000215</t>
        </is>
      </c>
      <c r="B168" s="46" t="inlineStr">
        <is>
          <t xml:space="preserve">Lorenzo Merriweather</t>
        </is>
      </c>
      <c r="C168" s="47">
        <v>45876</v>
      </c>
      <c r="D168" s="48" t="inlineStr">
        <is>
          <t xml:space="preserve">Bound - within authority</t>
        </is>
      </c>
      <c r="E168" s="48" t="inlineStr">
        <is>
          <t xml:space="preserve">New business</t>
        </is>
      </c>
      <c r="F168" s="46" t="inlineStr">
        <is>
          <t xml:space="preserve">B1234EXOTIC26</t>
        </is>
      </c>
      <c r="G168" s="33">
        <f>IF($A168="","",IF($C168="","",YEAR($C168)))</f>
      </c>
      <c r="H168" s="49">
        <v>1978</v>
      </c>
      <c r="I168" s="46" t="inlineStr">
        <is>
          <t xml:space="preserve">Bentley</t>
        </is>
      </c>
      <c r="J168" s="46" t="inlineStr">
        <is>
          <t xml:space="preserve">Continental GT</t>
        </is>
      </c>
      <c r="K168" s="46" t="inlineStr">
        <is>
          <t xml:space="preserve">TD7EC8UAHXSHA8P3E</t>
        </is>
      </c>
      <c r="L168" s="48" t="inlineStr">
        <is>
          <t xml:space="preserve">02 - Sports / GT</t>
        </is>
      </c>
      <c r="M168" s="50">
        <v>610000</v>
      </c>
      <c r="N168" s="48" t="inlineStr">
        <is>
          <t xml:space="preserve">Personal</t>
        </is>
      </c>
      <c r="O168" s="46" t="inlineStr">
        <is>
          <t xml:space="preserve">Personal - regular use</t>
        </is>
      </c>
      <c r="P168" s="46" t="inlineStr">
        <is>
          <t xml:space="preserve">1,000 - 2,500</t>
        </is>
      </c>
      <c r="Q168" s="46" t="inlineStr">
        <is>
          <t xml:space="preserve">North Dakota</t>
        </is>
      </c>
      <c r="R168" s="46" t="inlineStr">
        <is>
          <t xml:space="preserve">58501</t>
        </is>
      </c>
      <c r="S168" s="48" t="inlineStr">
        <is>
          <t xml:space="preserve">Severe convective - hail alley (high)</t>
        </is>
      </c>
      <c r="T168" s="36">
        <f>IF($A168="","",IF($S168="","",IFERROR(INDEX('[1]natural catastrophe'!$D$6:$D$17,MATCH($S168,'[1]natural catastrophe'!$B$6:$B$17,0)),"?")))</f>
      </c>
      <c r="U168" s="46" t="inlineStr">
        <is>
          <t xml:space="preserve">$5,000</t>
        </is>
      </c>
      <c r="V168" s="48" t="inlineStr">
        <is>
          <t xml:space="preserve">Agreed Value</t>
        </is>
      </c>
      <c r="W168" s="46" t="inlineStr">
        <is>
          <t xml:space="preserve">$1,000</t>
        </is>
      </c>
      <c r="X168" s="48" t="inlineStr">
        <is>
          <t xml:space="preserve">$1,000,000 CSL</t>
        </is>
      </c>
      <c r="Y168" s="46"/>
      <c r="Z168" s="46"/>
      <c r="AA168" s="48" t="inlineStr">
        <is>
          <t xml:space="preserve">Surplus Lines</t>
        </is>
      </c>
      <c r="AB168" s="50">
        <v>7630.75</v>
      </c>
      <c r="AC168" s="51">
        <v>0</v>
      </c>
      <c r="AD168" s="38">
        <f>IF(ISNUMBER($AB168),$AB168*(1+N($AC168)),"")</f>
      </c>
      <c r="AE168" s="50">
        <v>350</v>
      </c>
      <c r="AF168" s="50">
        <v>0</v>
      </c>
      <c r="AG168" s="51"/>
      <c r="AH168" s="39">
        <f>IF(ISNUMBER($AD168),($AD168+$AE168+$AF168)*$AG168,"")</f>
      </c>
      <c r="AI168" s="50"/>
      <c r="AJ168" s="38">
        <f>IF(ISNUMBER($AD168),SUM($AD168:$AH168),"")</f>
      </c>
      <c r="AK168" s="40">
        <f>IF(AND(ISNUMBER($AB168),ISNUMBER($AD168)),IF($AB168&gt;0,$AD168/$AB168,""),"")</f>
      </c>
      <c r="AL168" s="48" t="inlineStr">
        <is>
          <t xml:space="preserve">At technical</t>
        </is>
      </c>
      <c r="AM168" s="41">
        <f>IF(ISNUMBER($AD168),Header!$I$3,"")</f>
      </c>
      <c r="AN168" s="39">
        <f>IF(ISNUMBER($AD168),$AO168+$AP168,"")</f>
      </c>
      <c r="AO168" s="39">
        <f>IF(ISNUMBER($AD168),ROUND($AD168*Header!$K$3,2),"")</f>
      </c>
      <c r="AP168" s="39">
        <f>IF(ISNUMBER($AD168),ROUND($AD168*Header!$M$3,2),"")</f>
      </c>
      <c r="AQ168" s="38">
        <f>IF(ISNUMBER($AD168),ROUND($AD168,2)-$AO168-$AP168,"")</f>
      </c>
      <c r="AR168" s="39">
        <f>IF(ISNUMBER($AD168),IF(Header!$D$34="","?",$AD168*Header!$D$34),"")</f>
      </c>
      <c r="AS168" s="39">
        <f>IF(ISNUMBER($AB168),IF(Header!$D$34="","?",$AB168*Header!$D$34),"")</f>
      </c>
      <c r="AT168" s="42">
        <f>IF(AND(ISNUMBER($AB168),$M168&gt;0),$AB168/$M168*100,"")</f>
      </c>
      <c r="AU168" s="42">
        <f>IF(AND(ISNUMBER($AD168),$M168&gt;0),$AD168/$M168*100,"")</f>
      </c>
      <c r="AV168" s="40">
        <f>IF(AND(ISNUMBER($AB168),ISNUMBER($AD168),ABS($AB168)&gt;0),$AD168/$AB168,"")</f>
      </c>
      <c r="AW168" s="39">
        <f>IF(ISNUMBER($AD168),MAX(0,(1-0.55-Header!$O$3)*Header!$Q$3*$AQ168),"")</f>
      </c>
      <c r="AX168" s="43">
        <f>IF($A168="","",IF(TRIM(IF($A168="","Missing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",""))="","PASS","FAIL: "&amp;TRIM(IF($A168="","Missing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f>
      </c>
      <c r="AY168" s="44">
        <f>IF($M168="","",IF(ISNUMBER($M168),IF($M168&gt;=Header!$C$18,"YES — refer","No"),""))</f>
      </c>
      <c r="AZ168" s="44">
        <f>IF($AD168="","",IF(ISNUMBER($AD168),IF($AD168&lt;Header!$C$20,"BELOW MIN PREMIUM","OK"),""))</f>
      </c>
      <c r="BA168" s="48" t="inlineStr">
        <is>
          <t xml:space="preserve">Yes</t>
        </is>
      </c>
      <c r="BB168" s="48" t="inlineStr">
        <is>
          <t xml:space="preserve">Yes</t>
        </is>
      </c>
      <c r="BC168" s="46" t="inlineStr">
        <is>
          <t xml:space="preserve">Synthetic demo data</t>
        </is>
      </c>
      <c r="BE168" s="45">
        <f>IF(OR($A168="",$L168="",$H168=""),"",IF(AND(LEFT($L168,2)="06",$H168&gt;1945),"FAIL - pre-war class, year "&amp;$H168,IF(AND(LEFT($L168,2)="07",OR($H168&lt;1946,$H168&gt;1972)),"FAIL - 1946-72 class, year "&amp;$H168,IF(AND(LEFT($L168,2)="08",OR($H168&lt;1973,$H168&gt;1999)),"FAIL - 1973-99 class, year "&amp;$H168,IF(AND(LEFT($L168,2)="09",OR($H168&lt;2000,$H168&gt;2010)),"FAIL - 2000-10 class, year "&amp;$H168,"OK")))))</f>
      </c>
      <c r="BF168" s="45">
        <f>IF($AD168="","",IF(ROUND($AO168+$AP168+$AQ168-$AD168,2)=0,"OK","FAIL - out by "&amp;TEXT($AO168+$AP168+$AQ168-$AD168,"$0.00")))</f>
      </c>
    </row>
    <row r="169" spans="1:58" ht="18.75" customHeight="1" x14ac:dyDescent="0.25">
      <c r="A169" s="30" t="inlineStr">
        <is>
          <t xml:space="preserve">CANON-202508-000216</t>
        </is>
      </c>
      <c r="B169" s="30" t="inlineStr">
        <is>
          <t xml:space="preserve">Fenwick Whitlock</t>
        </is>
      </c>
      <c r="C169" s="31">
        <v>45887</v>
      </c>
      <c r="D169" s="32" t="inlineStr">
        <is>
          <t xml:space="preserve">Bound - within authority</t>
        </is>
      </c>
      <c r="E169" s="32" t="inlineStr">
        <is>
          <t xml:space="preserve">New business</t>
        </is>
      </c>
      <c r="F169" s="30" t="inlineStr">
        <is>
          <t xml:space="preserve">B1234EXOTIC26</t>
        </is>
      </c>
      <c r="G169" s="33">
        <f>IF($A169="","",IF($C169="","",YEAR($C169)))</f>
      </c>
      <c r="H169" s="34">
        <v>2019</v>
      </c>
      <c r="I169" s="30" t="inlineStr">
        <is>
          <t xml:space="preserve">McLaren</t>
        </is>
      </c>
      <c r="J169" s="30" t="inlineStr">
        <is>
          <t xml:space="preserve">750S</t>
        </is>
      </c>
      <c r="K169" s="30" t="inlineStr">
        <is>
          <t xml:space="preserve">JDU793SZZ6NMGVXT0</t>
        </is>
      </c>
      <c r="L169" s="32" t="inlineStr">
        <is>
          <t xml:space="preserve">03 - Supercar</t>
        </is>
      </c>
      <c r="M169" s="35">
        <v>1040000</v>
      </c>
      <c r="N169" s="32" t="inlineStr">
        <is>
          <t xml:space="preserve">Personal</t>
        </is>
      </c>
      <c r="O169" s="30" t="inlineStr">
        <is>
          <t xml:space="preserve">Personal - regular use</t>
        </is>
      </c>
      <c r="P169" s="30" t="inlineStr">
        <is>
          <t xml:space="preserve">1,000 - 2,500</t>
        </is>
      </c>
      <c r="Q169" s="30" t="inlineStr">
        <is>
          <t xml:space="preserve">South Dakota</t>
        </is>
      </c>
      <c r="R169" s="30" t="inlineStr">
        <is>
          <t xml:space="preserve">57501</t>
        </is>
      </c>
      <c r="S169" s="32" t="inlineStr">
        <is>
          <t xml:space="preserve">Severe convective - hail alley (high)</t>
        </is>
      </c>
      <c r="T169" s="36">
        <f>IF($A169="","",IF($S169="","",IFERROR(INDEX('[1]natural catastrophe'!$D$6:$D$17,MATCH($S169,'[1]natural catastrophe'!$B$6:$B$17,0)),"?")))</f>
      </c>
      <c r="U169" s="30" t="inlineStr">
        <is>
          <t xml:space="preserve">$5,000</t>
        </is>
      </c>
      <c r="V169" s="32" t="inlineStr">
        <is>
          <t xml:space="preserve">Agreed Value</t>
        </is>
      </c>
      <c r="W169" s="30" t="inlineStr">
        <is>
          <t xml:space="preserve">$1,000</t>
        </is>
      </c>
      <c r="X169" s="32" t="inlineStr">
        <is>
          <t xml:space="preserve">$1,000,000 CSL</t>
        </is>
      </c>
      <c r="Y169" s="30"/>
      <c r="Z169" s="30"/>
      <c r="AA169" s="32" t="inlineStr">
        <is>
          <t xml:space="preserve">Surplus Lines</t>
        </is>
      </c>
      <c r="AB169" s="35">
        <v>17424.91</v>
      </c>
      <c r="AC169" s="37">
        <v>0</v>
      </c>
      <c r="AD169" s="38">
        <f>IF(ISNUMBER($AB169),$AB169*(1+N($AC169)),"")</f>
      </c>
      <c r="AE169" s="35">
        <v>350</v>
      </c>
      <c r="AF169" s="35">
        <v>250</v>
      </c>
      <c r="AG169" s="37"/>
      <c r="AH169" s="39">
        <f>IF(ISNUMBER($AD169),($AD169+$AE169+$AF169)*$AG169,"")</f>
      </c>
      <c r="AI169" s="35"/>
      <c r="AJ169" s="38">
        <f>IF(ISNUMBER($AD169),SUM($AD169:$AH169),"")</f>
      </c>
      <c r="AK169" s="40">
        <f>IF(AND(ISNUMBER($AB169),ISNUMBER($AD169)),IF($AB169&gt;0,$AD169/$AB169,""),"")</f>
      </c>
      <c r="AL169" s="32" t="inlineStr">
        <is>
          <t xml:space="preserve">At technical</t>
        </is>
      </c>
      <c r="AM169" s="41">
        <f>IF(ISNUMBER($AD169),Header!$I$3,"")</f>
      </c>
      <c r="AN169" s="39">
        <f>IF(ISNUMBER($AD169),$AO169+$AP169,"")</f>
      </c>
      <c r="AO169" s="39">
        <f>IF(ISNUMBER($AD169),ROUND($AD169*Header!$K$3,2),"")</f>
      </c>
      <c r="AP169" s="39">
        <f>IF(ISNUMBER($AD169),ROUND($AD169*Header!$M$3,2),"")</f>
      </c>
      <c r="AQ169" s="38">
        <f>IF(ISNUMBER($AD169),ROUND($AD169,2)-$AO169-$AP169,"")</f>
      </c>
      <c r="AR169" s="39">
        <f>IF(ISNUMBER($AD169),IF(Header!$D$34="","?",$AD169*Header!$D$34),"")</f>
      </c>
      <c r="AS169" s="39">
        <f>IF(ISNUMBER($AB169),IF(Header!$D$34="","?",$AB169*Header!$D$34),"")</f>
      </c>
      <c r="AT169" s="42">
        <f>IF(AND(ISNUMBER($AB169),$M169&gt;0),$AB169/$M169*100,"")</f>
      </c>
      <c r="AU169" s="42">
        <f>IF(AND(ISNUMBER($AD169),$M169&gt;0),$AD169/$M169*100,"")</f>
      </c>
      <c r="AV169" s="40">
        <f>IF(AND(ISNUMBER($AB169),ISNUMBER($AD169),ABS($AB169)&gt;0),$AD169/$AB169,"")</f>
      </c>
      <c r="AW169" s="39">
        <f>IF(ISNUMBER($AD169),MAX(0,(1-0.55-Header!$O$3)*Header!$Q$3*$AQ169),"")</f>
      </c>
      <c r="AX169" s="43">
        <f>IF($A169="","",IF(TRIM(IF($A169="","Missing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",""))="","PASS","FAIL: "&amp;TRIM(IF($A169="","Missing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f>
      </c>
      <c r="AY169" s="44">
        <f>IF($M169="","",IF(ISNUMBER($M169),IF($M169&gt;=Header!$C$18,"YES — refer","No"),""))</f>
      </c>
      <c r="AZ169" s="44">
        <f>IF($AD169="","",IF(ISNUMBER($AD169),IF($AD169&lt;Header!$C$20,"BELOW MIN PREMIUM","OK"),""))</f>
      </c>
      <c r="BA169" s="32" t="inlineStr">
        <is>
          <t xml:space="preserve">Yes</t>
        </is>
      </c>
      <c r="BB169" s="32" t="inlineStr">
        <is>
          <t xml:space="preserve">Yes</t>
        </is>
      </c>
      <c r="BC169" s="30" t="inlineStr">
        <is>
          <t xml:space="preserve">Synthetic demo data</t>
        </is>
      </c>
      <c r="BE169" s="45">
        <f>IF(OR($A169="",$L169="",$H169=""),"",IF(AND(LEFT($L169,2)="06",$H169&gt;1945),"FAIL - pre-war class, year "&amp;$H169,IF(AND(LEFT($L169,2)="07",OR($H169&lt;1946,$H169&gt;1972)),"FAIL - 1946-72 class, year "&amp;$H169,IF(AND(LEFT($L169,2)="08",OR($H169&lt;1973,$H169&gt;1999)),"FAIL - 1973-99 class, year "&amp;$H169,IF(AND(LEFT($L169,2)="09",OR($H169&lt;2000,$H169&gt;2010)),"FAIL - 2000-10 class, year "&amp;$H169,"OK")))))</f>
      </c>
      <c r="BF169" s="45">
        <f>IF($AD169="","",IF(ROUND($AO169+$AP169+$AQ169-$AD169,2)=0,"OK","FAIL - out by "&amp;TEXT($AO169+$AP169+$AQ169-$AD169,"$0.00")))</f>
      </c>
    </row>
    <row r="170" spans="1:58" ht="18.75" customHeight="1" x14ac:dyDescent="0.25">
      <c r="A170" s="46" t="inlineStr">
        <is>
          <t xml:space="preserve">CANON-202508-000218</t>
        </is>
      </c>
      <c r="B170" s="46" t="inlineStr">
        <is>
          <t xml:space="preserve">Mireille Ashcombe</t>
        </is>
      </c>
      <c r="C170" s="47">
        <v>45886</v>
      </c>
      <c r="D170" s="48" t="inlineStr">
        <is>
          <t xml:space="preserve">Bound - within authority</t>
        </is>
      </c>
      <c r="E170" s="48" t="inlineStr">
        <is>
          <t xml:space="preserve">New business</t>
        </is>
      </c>
      <c r="F170" s="46" t="inlineStr">
        <is>
          <t xml:space="preserve">B1234EXOTIC26</t>
        </is>
      </c>
      <c r="G170" s="33">
        <f>IF($A170="","",IF($C170="","",YEAR($C170)))</f>
      </c>
      <c r="H170" s="49">
        <v>1995</v>
      </c>
      <c r="I170" s="46" t="inlineStr">
        <is>
          <t xml:space="preserve">Bentley</t>
        </is>
      </c>
      <c r="J170" s="46" t="inlineStr">
        <is>
          <t xml:space="preserve">4.5 Litre</t>
        </is>
      </c>
      <c r="K170" s="46" t="inlineStr">
        <is>
          <t xml:space="preserve">8PVDW1S1DEKJ0S1F7</t>
        </is>
      </c>
      <c r="L170" s="48" t="inlineStr">
        <is>
          <t xml:space="preserve">08 - Modern Classic (1973-1999)</t>
        </is>
      </c>
      <c r="M170" s="50">
        <v>710000</v>
      </c>
      <c r="N170" s="48" t="inlineStr">
        <is>
          <t xml:space="preserve">Personal</t>
        </is>
      </c>
      <c r="O170" s="46" t="inlineStr">
        <is>
          <t xml:space="preserve">Personal - regular use</t>
        </is>
      </c>
      <c r="P170" s="46" t="inlineStr">
        <is>
          <t xml:space="preserve">Under 1,000</t>
        </is>
      </c>
      <c r="Q170" s="46" t="inlineStr">
        <is>
          <t xml:space="preserve">Kansas</t>
        </is>
      </c>
      <c r="R170" s="46" t="inlineStr">
        <is>
          <t xml:space="preserve">66603</t>
        </is>
      </c>
      <c r="S170" s="48" t="inlineStr">
        <is>
          <t xml:space="preserve">Severe convective - hail alley (high)</t>
        </is>
      </c>
      <c r="T170" s="36">
        <f>IF($A170="","",IF($S170="","",IFERROR(INDEX('[1]natural catastrophe'!$D$6:$D$17,MATCH($S170,'[1]natural catastrophe'!$B$6:$B$17,0)),"?")))</f>
      </c>
      <c r="U170" s="46" t="inlineStr">
        <is>
          <t xml:space="preserve">$5,000</t>
        </is>
      </c>
      <c r="V170" s="48" t="inlineStr">
        <is>
          <t xml:space="preserve">Agreed Value</t>
        </is>
      </c>
      <c r="W170" s="46" t="inlineStr">
        <is>
          <t xml:space="preserve">$1,000</t>
        </is>
      </c>
      <c r="X170" s="48" t="inlineStr">
        <is>
          <t xml:space="preserve">$1,000,000 CSL</t>
        </is>
      </c>
      <c r="Y170" s="46"/>
      <c r="Z170" s="46"/>
      <c r="AA170" s="48" t="inlineStr">
        <is>
          <t xml:space="preserve">Surplus Lines</t>
        </is>
      </c>
      <c r="AB170" s="50">
        <v>4937.85</v>
      </c>
      <c r="AC170" s="51">
        <v>0</v>
      </c>
      <c r="AD170" s="38">
        <f>IF(ISNUMBER($AB170),$AB170*(1+N($AC170)),"")</f>
      </c>
      <c r="AE170" s="50">
        <v>350</v>
      </c>
      <c r="AF170" s="50">
        <v>0</v>
      </c>
      <c r="AG170" s="51"/>
      <c r="AH170" s="39">
        <f>IF(ISNUMBER($AD170),($AD170+$AE170+$AF170)*$AG170,"")</f>
      </c>
      <c r="AI170" s="50"/>
      <c r="AJ170" s="38">
        <f>IF(ISNUMBER($AD170),SUM($AD170:$AH170),"")</f>
      </c>
      <c r="AK170" s="40">
        <f>IF(AND(ISNUMBER($AB170),ISNUMBER($AD170)),IF($AB170&gt;0,$AD170/$AB170,""),"")</f>
      </c>
      <c r="AL170" s="48" t="inlineStr">
        <is>
          <t xml:space="preserve">At technical</t>
        </is>
      </c>
      <c r="AM170" s="41">
        <f>IF(ISNUMBER($AD170),Header!$I$3,"")</f>
      </c>
      <c r="AN170" s="39">
        <f>IF(ISNUMBER($AD170),$AO170+$AP170,"")</f>
      </c>
      <c r="AO170" s="39">
        <f>IF(ISNUMBER($AD170),ROUND($AD170*Header!$K$3,2),"")</f>
      </c>
      <c r="AP170" s="39">
        <f>IF(ISNUMBER($AD170),ROUND($AD170*Header!$M$3,2),"")</f>
      </c>
      <c r="AQ170" s="38">
        <f>IF(ISNUMBER($AD170),ROUND($AD170,2)-$AO170-$AP170,"")</f>
      </c>
      <c r="AR170" s="39">
        <f>IF(ISNUMBER($AD170),IF(Header!$D$34="","?",$AD170*Header!$D$34),"")</f>
      </c>
      <c r="AS170" s="39">
        <f>IF(ISNUMBER($AB170),IF(Header!$D$34="","?",$AB170*Header!$D$34),"")</f>
      </c>
      <c r="AT170" s="42">
        <f>IF(AND(ISNUMBER($AB170),$M170&gt;0),$AB170/$M170*100,"")</f>
      </c>
      <c r="AU170" s="42">
        <f>IF(AND(ISNUMBER($AD170),$M170&gt;0),$AD170/$M170*100,"")</f>
      </c>
      <c r="AV170" s="40">
        <f>IF(AND(ISNUMBER($AB170),ISNUMBER($AD170),ABS($AB170)&gt;0),$AD170/$AB170,"")</f>
      </c>
      <c r="AW170" s="39">
        <f>IF(ISNUMBER($AD170),MAX(0,(1-0.55-Header!$O$3)*Header!$Q$3*$AQ170),"")</f>
      </c>
      <c r="AX170" s="43">
        <f>IF($A170="","",IF(TRIM(IF($A170="","Missing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",""))="","PASS","FAIL: "&amp;TRIM(IF($A170="","Missing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f>
      </c>
      <c r="AY170" s="44">
        <f>IF($M170="","",IF(ISNUMBER($M170),IF($M170&gt;=Header!$C$18,"YES — refer","No"),""))</f>
      </c>
      <c r="AZ170" s="44">
        <f>IF($AD170="","",IF(ISNUMBER($AD170),IF($AD170&lt;Header!$C$20,"BELOW MIN PREMIUM","OK"),""))</f>
      </c>
      <c r="BA170" s="48" t="inlineStr">
        <is>
          <t xml:space="preserve">Yes</t>
        </is>
      </c>
      <c r="BB170" s="48" t="inlineStr">
        <is>
          <t xml:space="preserve">Yes</t>
        </is>
      </c>
      <c r="BC170" s="46" t="inlineStr">
        <is>
          <t xml:space="preserve">Synthetic demo data</t>
        </is>
      </c>
      <c r="BE170" s="45">
        <f>IF(OR($A170="",$L170="",$H170=""),"",IF(AND(LEFT($L170,2)="06",$H170&gt;1945),"FAIL - pre-war class, year "&amp;$H170,IF(AND(LEFT($L170,2)="07",OR($H170&lt;1946,$H170&gt;1972)),"FAIL - 1946-72 class, year "&amp;$H170,IF(AND(LEFT($L170,2)="08",OR($H170&lt;1973,$H170&gt;1999)),"FAIL - 1973-99 class, year "&amp;$H170,IF(AND(LEFT($L170,2)="09",OR($H170&lt;2000,$H170&gt;2010)),"FAIL - 2000-10 class, year "&amp;$H170,"OK")))))</f>
      </c>
      <c r="BF170" s="45">
        <f>IF($AD170="","",IF(ROUND($AO170+$AP170+$AQ170-$AD170,2)=0,"OK","FAIL - out by "&amp;TEXT($AO170+$AP170+$AQ170-$AD170,"$0.00")))</f>
      </c>
    </row>
    <row r="171" spans="1:58" ht="18.75" customHeight="1" x14ac:dyDescent="0.25">
      <c r="A171" s="30" t="inlineStr">
        <is>
          <t xml:space="preserve">CANON-202508-000219</t>
        </is>
      </c>
      <c r="B171" s="30" t="inlineStr">
        <is>
          <t xml:space="preserve">Mireille Castellanos</t>
        </is>
      </c>
      <c r="C171" s="31">
        <v>45891</v>
      </c>
      <c r="D171" s="32" t="inlineStr">
        <is>
          <t xml:space="preserve">Bound - within authority</t>
        </is>
      </c>
      <c r="E171" s="32" t="inlineStr">
        <is>
          <t xml:space="preserve">New business</t>
        </is>
      </c>
      <c r="F171" s="30" t="inlineStr">
        <is>
          <t xml:space="preserve">B1234EXOTIC26</t>
        </is>
      </c>
      <c r="G171" s="33">
        <f>IF($A171="","",IF($C171="","",YEAR($C171)))</f>
      </c>
      <c r="H171" s="34">
        <v>2002</v>
      </c>
      <c r="I171" s="30" t="inlineStr">
        <is>
          <t xml:space="preserve">Bentley</t>
        </is>
      </c>
      <c r="J171" s="30" t="inlineStr">
        <is>
          <t xml:space="preserve">Continental GT</t>
        </is>
      </c>
      <c r="K171" s="30" t="inlineStr">
        <is>
          <t xml:space="preserve">JRWJALV9LCCR2JCCN</t>
        </is>
      </c>
      <c r="L171" s="32" t="inlineStr">
        <is>
          <t xml:space="preserve">02 - Sports / GT</t>
        </is>
      </c>
      <c r="M171" s="35">
        <v>270000</v>
      </c>
      <c r="N171" s="32" t="inlineStr">
        <is>
          <t xml:space="preserve">Personal</t>
        </is>
      </c>
      <c r="O171" s="30" t="inlineStr">
        <is>
          <t xml:space="preserve">Personal - regular use</t>
        </is>
      </c>
      <c r="P171" s="30" t="inlineStr">
        <is>
          <t xml:space="preserve">1,000 - 2,500</t>
        </is>
      </c>
      <c r="Q171" s="30" t="inlineStr">
        <is>
          <t xml:space="preserve">Illinois</t>
        </is>
      </c>
      <c r="R171" s="30" t="inlineStr">
        <is>
          <t xml:space="preserve">60601</t>
        </is>
      </c>
      <c r="S171" s="32" t="inlineStr">
        <is>
          <t xml:space="preserve">Severe convective - hail / tornado (moderate)</t>
        </is>
      </c>
      <c r="T171" s="36">
        <f>IF($A171="","",IF($S171="","",IFERROR(INDEX('[1]natural catastrophe'!$D$6:$D$17,MATCH($S171,'[1]natural catastrophe'!$B$6:$B$17,0)),"?")))</f>
      </c>
      <c r="U171" s="30" t="inlineStr">
        <is>
          <t xml:space="preserve">$5,000</t>
        </is>
      </c>
      <c r="V171" s="32" t="inlineStr">
        <is>
          <t xml:space="preserve">Agreed Value</t>
        </is>
      </c>
      <c r="W171" s="30" t="inlineStr">
        <is>
          <t xml:space="preserve">$1,000</t>
        </is>
      </c>
      <c r="X171" s="32" t="inlineStr">
        <is>
          <t xml:space="preserve">$1,000,000 CSL</t>
        </is>
      </c>
      <c r="Y171" s="30"/>
      <c r="Z171" s="30"/>
      <c r="AA171" s="32" t="inlineStr">
        <is>
          <t xml:space="preserve">Surplus Lines</t>
        </is>
      </c>
      <c r="AB171" s="35">
        <v>5196.23</v>
      </c>
      <c r="AC171" s="37">
        <v>0</v>
      </c>
      <c r="AD171" s="38">
        <f>IF(ISNUMBER($AB171),$AB171*(1+N($AC171)),"")</f>
      </c>
      <c r="AE171" s="35">
        <v>350</v>
      </c>
      <c r="AF171" s="35">
        <v>0</v>
      </c>
      <c r="AG171" s="37"/>
      <c r="AH171" s="39">
        <f>IF(ISNUMBER($AD171),($AD171+$AE171+$AF171)*$AG171,"")</f>
      </c>
      <c r="AI171" s="35"/>
      <c r="AJ171" s="38">
        <f>IF(ISNUMBER($AD171),SUM($AD171:$AH171),"")</f>
      </c>
      <c r="AK171" s="40">
        <f>IF(AND(ISNUMBER($AB171),ISNUMBER($AD171)),IF($AB171&gt;0,$AD171/$AB171,""),"")</f>
      </c>
      <c r="AL171" s="32" t="inlineStr">
        <is>
          <t xml:space="preserve">At technical</t>
        </is>
      </c>
      <c r="AM171" s="41">
        <f>IF(ISNUMBER($AD171),Header!$I$3,"")</f>
      </c>
      <c r="AN171" s="39">
        <f>IF(ISNUMBER($AD171),$AO171+$AP171,"")</f>
      </c>
      <c r="AO171" s="39">
        <f>IF(ISNUMBER($AD171),ROUND($AD171*Header!$K$3,2),"")</f>
      </c>
      <c r="AP171" s="39">
        <f>IF(ISNUMBER($AD171),ROUND($AD171*Header!$M$3,2),"")</f>
      </c>
      <c r="AQ171" s="38">
        <f>IF(ISNUMBER($AD171),ROUND($AD171,2)-$AO171-$AP171,"")</f>
      </c>
      <c r="AR171" s="39">
        <f>IF(ISNUMBER($AD171),IF(Header!$D$34="","?",$AD171*Header!$D$34),"")</f>
      </c>
      <c r="AS171" s="39">
        <f>IF(ISNUMBER($AB171),IF(Header!$D$34="","?",$AB171*Header!$D$34),"")</f>
      </c>
      <c r="AT171" s="42">
        <f>IF(AND(ISNUMBER($AB171),$M171&gt;0),$AB171/$M171*100,"")</f>
      </c>
      <c r="AU171" s="42">
        <f>IF(AND(ISNUMBER($AD171),$M171&gt;0),$AD171/$M171*100,"")</f>
      </c>
      <c r="AV171" s="40">
        <f>IF(AND(ISNUMBER($AB171),ISNUMBER($AD171),ABS($AB171)&gt;0),$AD171/$AB171,"")</f>
      </c>
      <c r="AW171" s="39">
        <f>IF(ISNUMBER($AD171),MAX(0,(1-0.55-Header!$O$3)*Header!$Q$3*$AQ171),"")</f>
      </c>
      <c r="AX171" s="43">
        <f>IF($A171="","",IF(TRIM(IF($A171="","Missing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",""))="","PASS","FAIL: "&amp;TRIM(IF($A171="","Missing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f>
      </c>
      <c r="AY171" s="44">
        <f>IF($M171="","",IF(ISNUMBER($M171),IF($M171&gt;=Header!$C$18,"YES — refer","No"),""))</f>
      </c>
      <c r="AZ171" s="44">
        <f>IF($AD171="","",IF(ISNUMBER($AD171),IF($AD171&lt;Header!$C$20,"BELOW MIN PREMIUM","OK"),""))</f>
      </c>
      <c r="BA171" s="32" t="inlineStr">
        <is>
          <t xml:space="preserve">Yes</t>
        </is>
      </c>
      <c r="BB171" s="32" t="inlineStr">
        <is>
          <t xml:space="preserve">Yes</t>
        </is>
      </c>
      <c r="BC171" s="30" t="inlineStr">
        <is>
          <t xml:space="preserve">Synthetic demo data</t>
        </is>
      </c>
      <c r="BE171" s="45">
        <f>IF(OR($A171="",$L171="",$H171=""),"",IF(AND(LEFT($L171,2)="06",$H171&gt;1945),"FAIL - pre-war class, year "&amp;$H171,IF(AND(LEFT($L171,2)="07",OR($H171&lt;1946,$H171&gt;1972)),"FAIL - 1946-72 class, year "&amp;$H171,IF(AND(LEFT($L171,2)="08",OR($H171&lt;1973,$H171&gt;1999)),"FAIL - 1973-99 class, year "&amp;$H171,IF(AND(LEFT($L171,2)="09",OR($H171&lt;2000,$H171&gt;2010)),"FAIL - 2000-10 class, year "&amp;$H171,"OK")))))</f>
      </c>
      <c r="BF171" s="45">
        <f>IF($AD171="","",IF(ROUND($AO171+$AP171+$AQ171-$AD171,2)=0,"OK","FAIL - out by "&amp;TEXT($AO171+$AP171+$AQ171-$AD171,"$0.00")))</f>
      </c>
    </row>
    <row r="172" spans="1:58" ht="18.75" customHeight="1" x14ac:dyDescent="0.25">
      <c r="A172" s="46" t="inlineStr">
        <is>
          <t xml:space="preserve">CANON-202508-000220</t>
        </is>
      </c>
      <c r="B172" s="46" t="inlineStr">
        <is>
          <t xml:space="preserve">Fitzgerald Rourke</t>
        </is>
      </c>
      <c r="C172" s="47">
        <v>45890</v>
      </c>
      <c r="D172" s="48" t="inlineStr">
        <is>
          <t xml:space="preserve">Bound - within authority</t>
        </is>
      </c>
      <c r="E172" s="48" t="inlineStr">
        <is>
          <t xml:space="preserve">New business</t>
        </is>
      </c>
      <c r="F172" s="46" t="inlineStr">
        <is>
          <t xml:space="preserve">B1234EXOTIC26</t>
        </is>
      </c>
      <c r="G172" s="33">
        <f>IF($A172="","",IF($C172="","",YEAR($C172)))</f>
      </c>
      <c r="H172" s="49">
        <v>2019</v>
      </c>
      <c r="I172" s="46" t="inlineStr">
        <is>
          <t xml:space="preserve">Maserati</t>
        </is>
      </c>
      <c r="J172" s="46" t="inlineStr">
        <is>
          <t xml:space="preserve">GranTurismo</t>
        </is>
      </c>
      <c r="K172" s="46" t="inlineStr">
        <is>
          <t xml:space="preserve">MTGT1F3BFEP11GWXZ</t>
        </is>
      </c>
      <c r="L172" s="48" t="inlineStr">
        <is>
          <t xml:space="preserve">02 - Sports / GT</t>
        </is>
      </c>
      <c r="M172" s="50">
        <v>235000</v>
      </c>
      <c r="N172" s="48" t="inlineStr">
        <is>
          <t xml:space="preserve">Personal</t>
        </is>
      </c>
      <c r="O172" s="46" t="inlineStr">
        <is>
          <t xml:space="preserve">Personal - regular use</t>
        </is>
      </c>
      <c r="P172" s="46" t="inlineStr">
        <is>
          <t xml:space="preserve">Under 1,000</t>
        </is>
      </c>
      <c r="Q172" s="46" t="inlineStr">
        <is>
          <t xml:space="preserve">Virginia</t>
        </is>
      </c>
      <c r="R172" s="46" t="inlineStr">
        <is>
          <t xml:space="preserve">23219</t>
        </is>
      </c>
      <c r="S172" s="48" t="inlineStr">
        <is>
          <t xml:space="preserve">Tier 3 - Coastal wind (25-100 miles)</t>
        </is>
      </c>
      <c r="T172" s="36">
        <f>IF($A172="","",IF($S172="","",IFERROR(INDEX('[1]natural catastrophe'!$D$6:$D$17,MATCH($S172,'[1]natural catastrophe'!$B$6:$B$17,0)),"?")))</f>
      </c>
      <c r="U172" s="46" t="inlineStr">
        <is>
          <t xml:space="preserve">2% of agreed value, minimum $10,000</t>
        </is>
      </c>
      <c r="V172" s="48" t="inlineStr">
        <is>
          <t xml:space="preserve">Agreed Value</t>
        </is>
      </c>
      <c r="W172" s="46" t="inlineStr">
        <is>
          <t xml:space="preserve">$1,000</t>
        </is>
      </c>
      <c r="X172" s="48" t="inlineStr">
        <is>
          <t xml:space="preserve">$1,000,000 CSL</t>
        </is>
      </c>
      <c r="Y172" s="46"/>
      <c r="Z172" s="46"/>
      <c r="AA172" s="48" t="inlineStr">
        <is>
          <t xml:space="preserve">Surplus Lines</t>
        </is>
      </c>
      <c r="AB172" s="50">
        <v>4446.38</v>
      </c>
      <c r="AC172" s="51">
        <v>0</v>
      </c>
      <c r="AD172" s="38">
        <f>IF(ISNUMBER($AB172),$AB172*(1+N($AC172)),"")</f>
      </c>
      <c r="AE172" s="50">
        <v>350</v>
      </c>
      <c r="AF172" s="50">
        <v>0</v>
      </c>
      <c r="AG172" s="51"/>
      <c r="AH172" s="39">
        <f>IF(ISNUMBER($AD172),($AD172+$AE172+$AF172)*$AG172,"")</f>
      </c>
      <c r="AI172" s="50"/>
      <c r="AJ172" s="38">
        <f>IF(ISNUMBER($AD172),SUM($AD172:$AH172),"")</f>
      </c>
      <c r="AK172" s="40">
        <f>IF(AND(ISNUMBER($AB172),ISNUMBER($AD172)),IF($AB172&gt;0,$AD172/$AB172,""),"")</f>
      </c>
      <c r="AL172" s="48" t="inlineStr">
        <is>
          <t xml:space="preserve">At technical</t>
        </is>
      </c>
      <c r="AM172" s="41">
        <f>IF(ISNUMBER($AD172),Header!$I$3,"")</f>
      </c>
      <c r="AN172" s="39">
        <f>IF(ISNUMBER($AD172),$AO172+$AP172,"")</f>
      </c>
      <c r="AO172" s="39">
        <f>IF(ISNUMBER($AD172),ROUND($AD172*Header!$K$3,2),"")</f>
      </c>
      <c r="AP172" s="39">
        <f>IF(ISNUMBER($AD172),ROUND($AD172*Header!$M$3,2),"")</f>
      </c>
      <c r="AQ172" s="38">
        <f>IF(ISNUMBER($AD172),ROUND($AD172,2)-$AO172-$AP172,"")</f>
      </c>
      <c r="AR172" s="39">
        <f>IF(ISNUMBER($AD172),IF(Header!$D$34="","?",$AD172*Header!$D$34),"")</f>
      </c>
      <c r="AS172" s="39">
        <f>IF(ISNUMBER($AB172),IF(Header!$D$34="","?",$AB172*Header!$D$34),"")</f>
      </c>
      <c r="AT172" s="42">
        <f>IF(AND(ISNUMBER($AB172),$M172&gt;0),$AB172/$M172*100,"")</f>
      </c>
      <c r="AU172" s="42">
        <f>IF(AND(ISNUMBER($AD172),$M172&gt;0),$AD172/$M172*100,"")</f>
      </c>
      <c r="AV172" s="40">
        <f>IF(AND(ISNUMBER($AB172),ISNUMBER($AD172),ABS($AB172)&gt;0),$AD172/$AB172,"")</f>
      </c>
      <c r="AW172" s="39">
        <f>IF(ISNUMBER($AD172),MAX(0,(1-0.55-Header!$O$3)*Header!$Q$3*$AQ172),"")</f>
      </c>
      <c r="AX172" s="43">
        <f>IF($A172="","",IF(TRIM(IF($A172="","Missing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",""))="","PASS","FAIL: "&amp;TRIM(IF($A172="","Missing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f>
      </c>
      <c r="AY172" s="44">
        <f>IF($M172="","",IF(ISNUMBER($M172),IF($M172&gt;=Header!$C$18,"YES — refer","No"),""))</f>
      </c>
      <c r="AZ172" s="44">
        <f>IF($AD172="","",IF(ISNUMBER($AD172),IF($AD172&lt;Header!$C$20,"BELOW MIN PREMIUM","OK"),""))</f>
      </c>
      <c r="BA172" s="48" t="inlineStr">
        <is>
          <t xml:space="preserve">Yes</t>
        </is>
      </c>
      <c r="BB172" s="48" t="inlineStr">
        <is>
          <t xml:space="preserve">Yes</t>
        </is>
      </c>
      <c r="BC172" s="46" t="inlineStr">
        <is>
          <t xml:space="preserve">Synthetic demo data</t>
        </is>
      </c>
      <c r="BE172" s="45">
        <f>IF(OR($A172="",$L172="",$H172=""),"",IF(AND(LEFT($L172,2)="06",$H172&gt;1945),"FAIL - pre-war class, year "&amp;$H172,IF(AND(LEFT($L172,2)="07",OR($H172&lt;1946,$H172&gt;1972)),"FAIL - 1946-72 class, year "&amp;$H172,IF(AND(LEFT($L172,2)="08",OR($H172&lt;1973,$H172&gt;1999)),"FAIL - 1973-99 class, year "&amp;$H172,IF(AND(LEFT($L172,2)="09",OR($H172&lt;2000,$H172&gt;2010)),"FAIL - 2000-10 class, year "&amp;$H172,"OK")))))</f>
      </c>
      <c r="BF172" s="45">
        <f>IF($AD172="","",IF(ROUND($AO172+$AP172+$AQ172-$AD172,2)=0,"OK","FAIL - out by "&amp;TEXT($AO172+$AP172+$AQ172-$AD172,"$0.00")))</f>
      </c>
    </row>
    <row r="173" spans="1:58" ht="18.75" customHeight="1" x14ac:dyDescent="0.25">
      <c r="A173" s="30" t="inlineStr">
        <is>
          <t xml:space="preserve">CANON-202508-000221</t>
        </is>
      </c>
      <c r="B173" s="30" t="inlineStr">
        <is>
          <t xml:space="preserve">Thaddeus Chattopadhyay</t>
        </is>
      </c>
      <c r="C173" s="31">
        <v>45884</v>
      </c>
      <c r="D173" s="32" t="inlineStr">
        <is>
          <t xml:space="preserve">Bound - within authority</t>
        </is>
      </c>
      <c r="E173" s="32" t="inlineStr">
        <is>
          <t xml:space="preserve">New business</t>
        </is>
      </c>
      <c r="F173" s="30" t="inlineStr">
        <is>
          <t xml:space="preserve">B1234EXOTIC26</t>
        </is>
      </c>
      <c r="G173" s="33">
        <f>IF($A173="","",IF($C173="","",YEAR($C173)))</f>
      </c>
      <c r="H173" s="34">
        <v>1996</v>
      </c>
      <c r="I173" s="30" t="inlineStr">
        <is>
          <t xml:space="preserve">Singer</t>
        </is>
      </c>
      <c r="J173" s="30" t="inlineStr">
        <is>
          <t xml:space="preserve">911 Reimagined</t>
        </is>
      </c>
      <c r="K173" s="30" t="inlineStr">
        <is>
          <t xml:space="preserve">FYBN2BWU7KVU619TG</t>
        </is>
      </c>
      <c r="L173" s="32" t="inlineStr">
        <is>
          <t xml:space="preserve">11 - Restomod / Coachbuilt / Bespoke</t>
        </is>
      </c>
      <c r="M173" s="35">
        <v>855000</v>
      </c>
      <c r="N173" s="32" t="inlineStr">
        <is>
          <t xml:space="preserve">Personal</t>
        </is>
      </c>
      <c r="O173" s="30" t="inlineStr">
        <is>
          <t xml:space="preserve">Personal - regular use</t>
        </is>
      </c>
      <c r="P173" s="30" t="inlineStr">
        <is>
          <t xml:space="preserve">2,500 - 5,000</t>
        </is>
      </c>
      <c r="Q173" s="30" t="inlineStr">
        <is>
          <t xml:space="preserve">Florida</t>
        </is>
      </c>
      <c r="R173" s="30" t="inlineStr">
        <is>
          <t xml:space="preserve">33139</t>
        </is>
      </c>
      <c r="S173" s="32" t="inlineStr">
        <is>
          <t xml:space="preserve">Tier 2 - Coastal wind (1-25 miles)</t>
        </is>
      </c>
      <c r="T173" s="36">
        <f>IF($A173="","",IF($S173="","",IFERROR(INDEX('[1]natural catastrophe'!$D$6:$D$17,MATCH($S173,'[1]natural catastrophe'!$B$6:$B$17,0)),"?")))</f>
      </c>
      <c r="U173" s="30" t="inlineStr">
        <is>
          <t xml:space="preserve">2% of agreed value, minimum $10,000</t>
        </is>
      </c>
      <c r="V173" s="32" t="inlineStr">
        <is>
          <t xml:space="preserve">Agreed Value</t>
        </is>
      </c>
      <c r="W173" s="30" t="inlineStr">
        <is>
          <t xml:space="preserve">$1,000</t>
        </is>
      </c>
      <c r="X173" s="32" t="inlineStr">
        <is>
          <t xml:space="preserve">$1,000,000 CSL</t>
        </is>
      </c>
      <c r="Y173" s="30"/>
      <c r="Z173" s="30"/>
      <c r="AA173" s="32" t="inlineStr">
        <is>
          <t xml:space="preserve">Surplus Lines</t>
        </is>
      </c>
      <c r="AB173" s="35">
        <v>17867.89</v>
      </c>
      <c r="AC173" s="37">
        <v>0</v>
      </c>
      <c r="AD173" s="38">
        <f>IF(ISNUMBER($AB173),$AB173*(1+N($AC173)),"")</f>
      </c>
      <c r="AE173" s="35">
        <v>350</v>
      </c>
      <c r="AF173" s="35">
        <v>0</v>
      </c>
      <c r="AG173" s="37"/>
      <c r="AH173" s="39">
        <f>IF(ISNUMBER($AD173),($AD173+$AE173+$AF173)*$AG173,"")</f>
      </c>
      <c r="AI173" s="35"/>
      <c r="AJ173" s="38">
        <f>IF(ISNUMBER($AD173),SUM($AD173:$AH173),"")</f>
      </c>
      <c r="AK173" s="40">
        <f>IF(AND(ISNUMBER($AB173),ISNUMBER($AD173)),IF($AB173&gt;0,$AD173/$AB173,""),"")</f>
      </c>
      <c r="AL173" s="32" t="inlineStr">
        <is>
          <t xml:space="preserve">At technical</t>
        </is>
      </c>
      <c r="AM173" s="41">
        <f>IF(ISNUMBER($AD173),Header!$I$3,"")</f>
      </c>
      <c r="AN173" s="39">
        <f>IF(ISNUMBER($AD173),$AO173+$AP173,"")</f>
      </c>
      <c r="AO173" s="39">
        <f>IF(ISNUMBER($AD173),ROUND($AD173*Header!$K$3,2),"")</f>
      </c>
      <c r="AP173" s="39">
        <f>IF(ISNUMBER($AD173),ROUND($AD173*Header!$M$3,2),"")</f>
      </c>
      <c r="AQ173" s="38">
        <f>IF(ISNUMBER($AD173),ROUND($AD173,2)-$AO173-$AP173,"")</f>
      </c>
      <c r="AR173" s="39">
        <f>IF(ISNUMBER($AD173),IF(Header!$D$34="","?",$AD173*Header!$D$34),"")</f>
      </c>
      <c r="AS173" s="39">
        <f>IF(ISNUMBER($AB173),IF(Header!$D$34="","?",$AB173*Header!$D$34),"")</f>
      </c>
      <c r="AT173" s="42">
        <f>IF(AND(ISNUMBER($AB173),$M173&gt;0),$AB173/$M173*100,"")</f>
      </c>
      <c r="AU173" s="42">
        <f>IF(AND(ISNUMBER($AD173),$M173&gt;0),$AD173/$M173*100,"")</f>
      </c>
      <c r="AV173" s="40">
        <f>IF(AND(ISNUMBER($AB173),ISNUMBER($AD173),ABS($AB173)&gt;0),$AD173/$AB173,"")</f>
      </c>
      <c r="AW173" s="39">
        <f>IF(ISNUMBER($AD173),MAX(0,(1-0.55-Header!$O$3)*Header!$Q$3*$AQ173),"")</f>
      </c>
      <c r="AX173" s="43">
        <f>IF($A173="","",IF(TRIM(IF($A173="","Missing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",""))="","PASS","FAIL: "&amp;TRIM(IF($A173="","Missing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f>
      </c>
      <c r="AY173" s="44">
        <f>IF($M173="","",IF(ISNUMBER($M173),IF($M173&gt;=Header!$C$18,"YES — refer","No"),""))</f>
      </c>
      <c r="AZ173" s="44">
        <f>IF($AD173="","",IF(ISNUMBER($AD173),IF($AD173&lt;Header!$C$20,"BELOW MIN PREMIUM","OK"),""))</f>
      </c>
      <c r="BA173" s="32" t="inlineStr">
        <is>
          <t xml:space="preserve">Yes</t>
        </is>
      </c>
      <c r="BB173" s="32" t="inlineStr">
        <is>
          <t xml:space="preserve">Yes</t>
        </is>
      </c>
      <c r="BC173" s="30" t="inlineStr">
        <is>
          <t xml:space="preserve">Synthetic demo data</t>
        </is>
      </c>
      <c r="BE173" s="45">
        <f>IF(OR($A173="",$L173="",$H173=""),"",IF(AND(LEFT($L173,2)="06",$H173&gt;1945),"FAIL - pre-war class, year "&amp;$H173,IF(AND(LEFT($L173,2)="07",OR($H173&lt;1946,$H173&gt;1972)),"FAIL - 1946-72 class, year "&amp;$H173,IF(AND(LEFT($L173,2)="08",OR($H173&lt;1973,$H173&gt;1999)),"FAIL - 1973-99 class, year "&amp;$H173,IF(AND(LEFT($L173,2)="09",OR($H173&lt;2000,$H173&gt;2010)),"FAIL - 2000-10 class, year "&amp;$H173,"OK")))))</f>
      </c>
      <c r="BF173" s="45">
        <f>IF($AD173="","",IF(ROUND($AO173+$AP173+$AQ173-$AD173,2)=0,"OK","FAIL - out by "&amp;TEXT($AO173+$AP173+$AQ173-$AD173,"$0.00")))</f>
      </c>
    </row>
    <row r="174" spans="1:58" ht="18.75" customHeight="1" x14ac:dyDescent="0.25">
      <c r="A174" s="46" t="inlineStr">
        <is>
          <t xml:space="preserve">CANON-202508-000222</t>
        </is>
      </c>
      <c r="B174" s="46" t="inlineStr">
        <is>
          <t xml:space="preserve">Ottilie Vandermeer</t>
        </is>
      </c>
      <c r="C174" s="47">
        <v>45880</v>
      </c>
      <c r="D174" s="48" t="inlineStr">
        <is>
          <t xml:space="preserve">Bound - within authority</t>
        </is>
      </c>
      <c r="E174" s="48" t="inlineStr">
        <is>
          <t xml:space="preserve">New business</t>
        </is>
      </c>
      <c r="F174" s="46" t="inlineStr">
        <is>
          <t xml:space="preserve">B1234EXOTIC26</t>
        </is>
      </c>
      <c r="G174" s="33">
        <f>IF($A174="","",IF($C174="","",YEAR($C174)))</f>
      </c>
      <c r="H174" s="49">
        <v>2001</v>
      </c>
      <c r="I174" s="46" t="inlineStr">
        <is>
          <t xml:space="preserve">BMW</t>
        </is>
      </c>
      <c r="J174" s="46" t="inlineStr">
        <is>
          <t xml:space="preserve">M8 Competition</t>
        </is>
      </c>
      <c r="K174" s="46" t="inlineStr">
        <is>
          <t xml:space="preserve">T4G9TEC3PSY7KBF5T</t>
        </is>
      </c>
      <c r="L174" s="48" t="inlineStr">
        <is>
          <t xml:space="preserve">02 - Sports / GT</t>
        </is>
      </c>
      <c r="M174" s="50">
        <v>690000</v>
      </c>
      <c r="N174" s="48" t="inlineStr">
        <is>
          <t xml:space="preserve">Personal</t>
        </is>
      </c>
      <c r="O174" s="46" t="inlineStr">
        <is>
          <t xml:space="preserve">Personal - regular use</t>
        </is>
      </c>
      <c r="P174" s="46" t="inlineStr">
        <is>
          <t xml:space="preserve">1,000 - 2,500</t>
        </is>
      </c>
      <c r="Q174" s="46" t="inlineStr">
        <is>
          <t xml:space="preserve">Idaho</t>
        </is>
      </c>
      <c r="R174" s="46" t="inlineStr">
        <is>
          <t xml:space="preserve">83702</t>
        </is>
      </c>
      <c r="S174" s="48" t="inlineStr">
        <is>
          <t xml:space="preserve">Wildfire - WUI high hazard</t>
        </is>
      </c>
      <c r="T174" s="36">
        <f>IF($A174="","",IF($S174="","",IFERROR(INDEX('[1]natural catastrophe'!$D$6:$D$17,MATCH($S174,'[1]natural catastrophe'!$B$6:$B$17,0)),"?")))</f>
      </c>
      <c r="U174" s="46" t="inlineStr">
        <is>
          <t xml:space="preserve">$5,000</t>
        </is>
      </c>
      <c r="V174" s="48" t="inlineStr">
        <is>
          <t xml:space="preserve">Agreed Value</t>
        </is>
      </c>
      <c r="W174" s="46" t="inlineStr">
        <is>
          <t xml:space="preserve">$1,000</t>
        </is>
      </c>
      <c r="X174" s="48" t="inlineStr">
        <is>
          <t xml:space="preserve">$1,000,000 CSL</t>
        </is>
      </c>
      <c r="Y174" s="46"/>
      <c r="Z174" s="46"/>
      <c r="AA174" s="48" t="inlineStr">
        <is>
          <t xml:space="preserve">Surplus Lines</t>
        </is>
      </c>
      <c r="AB174" s="50">
        <v>8377.64</v>
      </c>
      <c r="AC174" s="51">
        <v>0</v>
      </c>
      <c r="AD174" s="38">
        <f>IF(ISNUMBER($AB174),$AB174*(1+N($AC174)),"")</f>
      </c>
      <c r="AE174" s="50">
        <v>350</v>
      </c>
      <c r="AF174" s="50">
        <v>0</v>
      </c>
      <c r="AG174" s="51"/>
      <c r="AH174" s="39">
        <f>IF(ISNUMBER($AD174),($AD174+$AE174+$AF174)*$AG174,"")</f>
      </c>
      <c r="AI174" s="50"/>
      <c r="AJ174" s="38">
        <f>IF(ISNUMBER($AD174),SUM($AD174:$AH174),"")</f>
      </c>
      <c r="AK174" s="40">
        <f>IF(AND(ISNUMBER($AB174),ISNUMBER($AD174)),IF($AB174&gt;0,$AD174/$AB174,""),"")</f>
      </c>
      <c r="AL174" s="48" t="inlineStr">
        <is>
          <t xml:space="preserve">At technical</t>
        </is>
      </c>
      <c r="AM174" s="41">
        <f>IF(ISNUMBER($AD174),Header!$I$3,"")</f>
      </c>
      <c r="AN174" s="39">
        <f>IF(ISNUMBER($AD174),$AO174+$AP174,"")</f>
      </c>
      <c r="AO174" s="39">
        <f>IF(ISNUMBER($AD174),ROUND($AD174*Header!$K$3,2),"")</f>
      </c>
      <c r="AP174" s="39">
        <f>IF(ISNUMBER($AD174),ROUND($AD174*Header!$M$3,2),"")</f>
      </c>
      <c r="AQ174" s="38">
        <f>IF(ISNUMBER($AD174),ROUND($AD174,2)-$AO174-$AP174,"")</f>
      </c>
      <c r="AR174" s="39">
        <f>IF(ISNUMBER($AD174),IF(Header!$D$34="","?",$AD174*Header!$D$34),"")</f>
      </c>
      <c r="AS174" s="39">
        <f>IF(ISNUMBER($AB174),IF(Header!$D$34="","?",$AB174*Header!$D$34),"")</f>
      </c>
      <c r="AT174" s="42">
        <f>IF(AND(ISNUMBER($AB174),$M174&gt;0),$AB174/$M174*100,"")</f>
      </c>
      <c r="AU174" s="42">
        <f>IF(AND(ISNUMBER($AD174),$M174&gt;0),$AD174/$M174*100,"")</f>
      </c>
      <c r="AV174" s="40">
        <f>IF(AND(ISNUMBER($AB174),ISNUMBER($AD174),ABS($AB174)&gt;0),$AD174/$AB174,"")</f>
      </c>
      <c r="AW174" s="39">
        <f>IF(ISNUMBER($AD174),MAX(0,(1-0.55-Header!$O$3)*Header!$Q$3*$AQ174),"")</f>
      </c>
      <c r="AX174" s="43">
        <f>IF($A174="","",IF(TRIM(IF($A174="","Missing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",""))="","PASS","FAIL: "&amp;TRIM(IF($A174="","Missing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f>
      </c>
      <c r="AY174" s="44">
        <f>IF($M174="","",IF(ISNUMBER($M174),IF($M174&gt;=Header!$C$18,"YES — refer","No"),""))</f>
      </c>
      <c r="AZ174" s="44">
        <f>IF($AD174="","",IF(ISNUMBER($AD174),IF($AD174&lt;Header!$C$20,"BELOW MIN PREMIUM","OK"),""))</f>
      </c>
      <c r="BA174" s="48" t="inlineStr">
        <is>
          <t xml:space="preserve">Yes</t>
        </is>
      </c>
      <c r="BB174" s="48" t="inlineStr">
        <is>
          <t xml:space="preserve">Yes</t>
        </is>
      </c>
      <c r="BC174" s="46" t="inlineStr">
        <is>
          <t xml:space="preserve">Synthetic demo data</t>
        </is>
      </c>
      <c r="BE174" s="45">
        <f>IF(OR($A174="",$L174="",$H174=""),"",IF(AND(LEFT($L174,2)="06",$H174&gt;1945),"FAIL - pre-war class, year "&amp;$H174,IF(AND(LEFT($L174,2)="07",OR($H174&lt;1946,$H174&gt;1972)),"FAIL - 1946-72 class, year "&amp;$H174,IF(AND(LEFT($L174,2)="08",OR($H174&lt;1973,$H174&gt;1999)),"FAIL - 1973-99 class, year "&amp;$H174,IF(AND(LEFT($L174,2)="09",OR($H174&lt;2000,$H174&gt;2010)),"FAIL - 2000-10 class, year "&amp;$H174,"OK")))))</f>
      </c>
      <c r="BF174" s="45">
        <f>IF($AD174="","",IF(ROUND($AO174+$AP174+$AQ174-$AD174,2)=0,"OK","FAIL - out by "&amp;TEXT($AO174+$AP174+$AQ174-$AD174,"$0.00")))</f>
      </c>
    </row>
    <row r="175" spans="1:58" ht="18.75" customHeight="1" x14ac:dyDescent="0.25">
      <c r="A175" s="30" t="inlineStr">
        <is>
          <t xml:space="preserve">CANON-202508-000224</t>
        </is>
      </c>
      <c r="B175" s="30" t="inlineStr">
        <is>
          <t xml:space="preserve">Everett Nakashima</t>
        </is>
      </c>
      <c r="C175" s="31">
        <v>45870</v>
      </c>
      <c r="D175" s="32" t="inlineStr">
        <is>
          <t xml:space="preserve">Bound - within authority</t>
        </is>
      </c>
      <c r="E175" s="32" t="inlineStr">
        <is>
          <t xml:space="preserve">New business</t>
        </is>
      </c>
      <c r="F175" s="30" t="inlineStr">
        <is>
          <t xml:space="preserve">B1234EXOTIC26</t>
        </is>
      </c>
      <c r="G175" s="33">
        <f>IF($A175="","",IF($C175="","",YEAR($C175)))</f>
      </c>
      <c r="H175" s="34">
        <v>2023</v>
      </c>
      <c r="I175" s="30" t="inlineStr">
        <is>
          <t xml:space="preserve">McLaren</t>
        </is>
      </c>
      <c r="J175" s="30" t="inlineStr">
        <is>
          <t xml:space="preserve">750S</t>
        </is>
      </c>
      <c r="K175" s="30" t="inlineStr">
        <is>
          <t xml:space="preserve">HXE5F0E8X0JAWZ53N</t>
        </is>
      </c>
      <c r="L175" s="32" t="inlineStr">
        <is>
          <t xml:space="preserve">03 - Supercar</t>
        </is>
      </c>
      <c r="M175" s="35">
        <v>1270000</v>
      </c>
      <c r="N175" s="32" t="inlineStr">
        <is>
          <t xml:space="preserve">Personal</t>
        </is>
      </c>
      <c r="O175" s="30" t="inlineStr">
        <is>
          <t xml:space="preserve">Personal - regular use</t>
        </is>
      </c>
      <c r="P175" s="30" t="inlineStr">
        <is>
          <t xml:space="preserve">2,500 - 5,000</t>
        </is>
      </c>
      <c r="Q175" s="30" t="inlineStr">
        <is>
          <t xml:space="preserve">Minnesota</t>
        </is>
      </c>
      <c r="R175" s="30" t="inlineStr">
        <is>
          <t xml:space="preserve">55401</t>
        </is>
      </c>
      <c r="S175" s="32" t="inlineStr">
        <is>
          <t xml:space="preserve">Severe convective - hail / tornado (moderate)</t>
        </is>
      </c>
      <c r="T175" s="36">
        <f>IF($A175="","",IF($S175="","",IFERROR(INDEX('[1]natural catastrophe'!$D$6:$D$17,MATCH($S175,'[1]natural catastrophe'!$B$6:$B$17,0)),"?")))</f>
      </c>
      <c r="U175" s="30" t="inlineStr">
        <is>
          <t xml:space="preserve">$5,000</t>
        </is>
      </c>
      <c r="V175" s="32" t="inlineStr">
        <is>
          <t xml:space="preserve">Agreed Value</t>
        </is>
      </c>
      <c r="W175" s="30" t="inlineStr">
        <is>
          <t xml:space="preserve">$1,000</t>
        </is>
      </c>
      <c r="X175" s="32" t="inlineStr">
        <is>
          <t xml:space="preserve">$1,000,000 CSL</t>
        </is>
      </c>
      <c r="Y175" s="30"/>
      <c r="Z175" s="30"/>
      <c r="AA175" s="32" t="inlineStr">
        <is>
          <t xml:space="preserve">Surplus Lines</t>
        </is>
      </c>
      <c r="AB175" s="35">
        <v>25304.15</v>
      </c>
      <c r="AC175" s="37">
        <v>0</v>
      </c>
      <c r="AD175" s="38">
        <f>IF(ISNUMBER($AB175),$AB175*(1+N($AC175)),"")</f>
      </c>
      <c r="AE175" s="35">
        <v>350</v>
      </c>
      <c r="AF175" s="35">
        <v>250</v>
      </c>
      <c r="AG175" s="37"/>
      <c r="AH175" s="39">
        <f>IF(ISNUMBER($AD175),($AD175+$AE175+$AF175)*$AG175,"")</f>
      </c>
      <c r="AI175" s="35"/>
      <c r="AJ175" s="38">
        <f>IF(ISNUMBER($AD175),SUM($AD175:$AH175),"")</f>
      </c>
      <c r="AK175" s="40">
        <f>IF(AND(ISNUMBER($AB175),ISNUMBER($AD175)),IF($AB175&gt;0,$AD175/$AB175,""),"")</f>
      </c>
      <c r="AL175" s="32" t="inlineStr">
        <is>
          <t xml:space="preserve">At technical</t>
        </is>
      </c>
      <c r="AM175" s="41">
        <f>IF(ISNUMBER($AD175),Header!$I$3,"")</f>
      </c>
      <c r="AN175" s="39">
        <f>IF(ISNUMBER($AD175),$AO175+$AP175,"")</f>
      </c>
      <c r="AO175" s="39">
        <f>IF(ISNUMBER($AD175),ROUND($AD175*Header!$K$3,2),"")</f>
      </c>
      <c r="AP175" s="39">
        <f>IF(ISNUMBER($AD175),ROUND($AD175*Header!$M$3,2),"")</f>
      </c>
      <c r="AQ175" s="38">
        <f>IF(ISNUMBER($AD175),ROUND($AD175,2)-$AO175-$AP175,"")</f>
      </c>
      <c r="AR175" s="39">
        <f>IF(ISNUMBER($AD175),IF(Header!$D$34="","?",$AD175*Header!$D$34),"")</f>
      </c>
      <c r="AS175" s="39">
        <f>IF(ISNUMBER($AB175),IF(Header!$D$34="","?",$AB175*Header!$D$34),"")</f>
      </c>
      <c r="AT175" s="42">
        <f>IF(AND(ISNUMBER($AB175),$M175&gt;0),$AB175/$M175*100,"")</f>
      </c>
      <c r="AU175" s="42">
        <f>IF(AND(ISNUMBER($AD175),$M175&gt;0),$AD175/$M175*100,"")</f>
      </c>
      <c r="AV175" s="40">
        <f>IF(AND(ISNUMBER($AB175),ISNUMBER($AD175),ABS($AB175)&gt;0),$AD175/$AB175,"")</f>
      </c>
      <c r="AW175" s="39">
        <f>IF(ISNUMBER($AD175),MAX(0,(1-0.55-Header!$O$3)*Header!$Q$3*$AQ175),"")</f>
      </c>
      <c r="AX175" s="43">
        <f>IF($A175="","",IF(TRIM(IF($A175="","Missing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",""))="","PASS","FAIL: "&amp;TRIM(IF($A175="","Missing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f>
      </c>
      <c r="AY175" s="44">
        <f>IF($M175="","",IF(ISNUMBER($M175),IF($M175&gt;=Header!$C$18,"YES — refer","No"),""))</f>
      </c>
      <c r="AZ175" s="44">
        <f>IF($AD175="","",IF(ISNUMBER($AD175),IF($AD175&lt;Header!$C$20,"BELOW MIN PREMIUM","OK"),""))</f>
      </c>
      <c r="BA175" s="32" t="inlineStr">
        <is>
          <t xml:space="preserve">Yes</t>
        </is>
      </c>
      <c r="BB175" s="32" t="inlineStr">
        <is>
          <t xml:space="preserve">Yes</t>
        </is>
      </c>
      <c r="BC175" s="30" t="inlineStr">
        <is>
          <t xml:space="preserve">Synthetic demo data</t>
        </is>
      </c>
      <c r="BE175" s="45">
        <f>IF(OR($A175="",$L175="",$H175=""),"",IF(AND(LEFT($L175,2)="06",$H175&gt;1945),"FAIL - pre-war class, year "&amp;$H175,IF(AND(LEFT($L175,2)="07",OR($H175&lt;1946,$H175&gt;1972)),"FAIL - 1946-72 class, year "&amp;$H175,IF(AND(LEFT($L175,2)="08",OR($H175&lt;1973,$H175&gt;1999)),"FAIL - 1973-99 class, year "&amp;$H175,IF(AND(LEFT($L175,2)="09",OR($H175&lt;2000,$H175&gt;2010)),"FAIL - 2000-10 class, year "&amp;$H175,"OK")))))</f>
      </c>
      <c r="BF175" s="45">
        <f>IF($AD175="","",IF(ROUND($AO175+$AP175+$AQ175-$AD175,2)=0,"OK","FAIL - out by "&amp;TEXT($AO175+$AP175+$AQ175-$AD175,"$0.00")))</f>
      </c>
    </row>
    <row r="176" spans="1:58" ht="18.75" customHeight="1" x14ac:dyDescent="0.25">
      <c r="A176" s="46" t="inlineStr">
        <is>
          <t xml:space="preserve">CANON-202508-000225</t>
        </is>
      </c>
      <c r="B176" s="46" t="inlineStr">
        <is>
          <t xml:space="preserve">Sunniva Fairweather</t>
        </is>
      </c>
      <c r="C176" s="47">
        <v>45898</v>
      </c>
      <c r="D176" s="48" t="inlineStr">
        <is>
          <t xml:space="preserve">Bound - within authority</t>
        </is>
      </c>
      <c r="E176" s="48" t="inlineStr">
        <is>
          <t xml:space="preserve">New business</t>
        </is>
      </c>
      <c r="F176" s="46" t="inlineStr">
        <is>
          <t xml:space="preserve">B1234EXOTIC26</t>
        </is>
      </c>
      <c r="G176" s="33">
        <f>IF($A176="","",IF($C176="","",YEAR($C176)))</f>
      </c>
      <c r="H176" s="49">
        <v>1986</v>
      </c>
      <c r="I176" s="46" t="inlineStr">
        <is>
          <t xml:space="preserve">Bentley</t>
        </is>
      </c>
      <c r="J176" s="46" t="inlineStr">
        <is>
          <t xml:space="preserve">Continental GT</t>
        </is>
      </c>
      <c r="K176" s="46" t="inlineStr">
        <is>
          <t xml:space="preserve">XB0DGUA4UDTF8MY4B</t>
        </is>
      </c>
      <c r="L176" s="48" t="inlineStr">
        <is>
          <t xml:space="preserve">02 - Sports / GT</t>
        </is>
      </c>
      <c r="M176" s="50">
        <v>350000</v>
      </c>
      <c r="N176" s="48" t="inlineStr">
        <is>
          <t xml:space="preserve">Personal</t>
        </is>
      </c>
      <c r="O176" s="46" t="inlineStr">
        <is>
          <t xml:space="preserve">Personal - regular use</t>
        </is>
      </c>
      <c r="P176" s="46" t="inlineStr">
        <is>
          <t xml:space="preserve">Under 1,000</t>
        </is>
      </c>
      <c r="Q176" s="46" t="inlineStr">
        <is>
          <t xml:space="preserve">Mississippi</t>
        </is>
      </c>
      <c r="R176" s="46" t="inlineStr">
        <is>
          <t xml:space="preserve">39201</t>
        </is>
      </c>
      <c r="S176" s="48" t="inlineStr">
        <is>
          <t xml:space="preserve">Tier 2 - Coastal wind (1-25 miles)</t>
        </is>
      </c>
      <c r="T176" s="36">
        <f>IF($A176="","",IF($S176="","",IFERROR(INDEX('[1]natural catastrophe'!$D$6:$D$17,MATCH($S176,'[1]natural catastrophe'!$B$6:$B$17,0)),"?")))</f>
      </c>
      <c r="U176" s="46" t="inlineStr">
        <is>
          <t xml:space="preserve">2% of agreed value, minimum $10,000</t>
        </is>
      </c>
      <c r="V176" s="48" t="inlineStr">
        <is>
          <t xml:space="preserve">Agreed Value</t>
        </is>
      </c>
      <c r="W176" s="46" t="inlineStr">
        <is>
          <t xml:space="preserve">$1,000</t>
        </is>
      </c>
      <c r="X176" s="48" t="inlineStr">
        <is>
          <t xml:space="preserve">$1,000,000 CSL</t>
        </is>
      </c>
      <c r="Y176" s="46"/>
      <c r="Z176" s="46"/>
      <c r="AA176" s="48" t="inlineStr">
        <is>
          <t xml:space="preserve">Surplus Lines</t>
        </is>
      </c>
      <c r="AB176" s="50">
        <v>5893.87</v>
      </c>
      <c r="AC176" s="51">
        <v>0</v>
      </c>
      <c r="AD176" s="38">
        <f>IF(ISNUMBER($AB176),$AB176*(1+N($AC176)),"")</f>
      </c>
      <c r="AE176" s="50">
        <v>350</v>
      </c>
      <c r="AF176" s="50">
        <v>0</v>
      </c>
      <c r="AG176" s="51"/>
      <c r="AH176" s="39">
        <f>IF(ISNUMBER($AD176),($AD176+$AE176+$AF176)*$AG176,"")</f>
      </c>
      <c r="AI176" s="50"/>
      <c r="AJ176" s="38">
        <f>IF(ISNUMBER($AD176),SUM($AD176:$AH176),"")</f>
      </c>
      <c r="AK176" s="40">
        <f>IF(AND(ISNUMBER($AB176),ISNUMBER($AD176)),IF($AB176&gt;0,$AD176/$AB176,""),"")</f>
      </c>
      <c r="AL176" s="48" t="inlineStr">
        <is>
          <t xml:space="preserve">At technical</t>
        </is>
      </c>
      <c r="AM176" s="41">
        <f>IF(ISNUMBER($AD176),Header!$I$3,"")</f>
      </c>
      <c r="AN176" s="39">
        <f>IF(ISNUMBER($AD176),$AO176+$AP176,"")</f>
      </c>
      <c r="AO176" s="39">
        <f>IF(ISNUMBER($AD176),ROUND($AD176*Header!$K$3,2),"")</f>
      </c>
      <c r="AP176" s="39">
        <f>IF(ISNUMBER($AD176),ROUND($AD176*Header!$M$3,2),"")</f>
      </c>
      <c r="AQ176" s="38">
        <f>IF(ISNUMBER($AD176),ROUND($AD176,2)-$AO176-$AP176,"")</f>
      </c>
      <c r="AR176" s="39">
        <f>IF(ISNUMBER($AD176),IF(Header!$D$34="","?",$AD176*Header!$D$34),"")</f>
      </c>
      <c r="AS176" s="39">
        <f>IF(ISNUMBER($AB176),IF(Header!$D$34="","?",$AB176*Header!$D$34),"")</f>
      </c>
      <c r="AT176" s="42">
        <f>IF(AND(ISNUMBER($AB176),$M176&gt;0),$AB176/$M176*100,"")</f>
      </c>
      <c r="AU176" s="42">
        <f>IF(AND(ISNUMBER($AD176),$M176&gt;0),$AD176/$M176*100,"")</f>
      </c>
      <c r="AV176" s="40">
        <f>IF(AND(ISNUMBER($AB176),ISNUMBER($AD176),ABS($AB176)&gt;0),$AD176/$AB176,"")</f>
      </c>
      <c r="AW176" s="39">
        <f>IF(ISNUMBER($AD176),MAX(0,(1-0.55-Header!$O$3)*Header!$Q$3*$AQ176),"")</f>
      </c>
      <c r="AX176" s="43">
        <f>IF($A176="","",IF(TRIM(IF($A176="","Missing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",""))="","PASS","FAIL: "&amp;TRIM(IF($A176="","Missing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f>
      </c>
      <c r="AY176" s="44">
        <f>IF($M176="","",IF(ISNUMBER($M176),IF($M176&gt;=Header!$C$18,"YES — refer","No"),""))</f>
      </c>
      <c r="AZ176" s="44">
        <f>IF($AD176="","",IF(ISNUMBER($AD176),IF($AD176&lt;Header!$C$20,"BELOW MIN PREMIUM","OK"),""))</f>
      </c>
      <c r="BA176" s="48" t="inlineStr">
        <is>
          <t xml:space="preserve">Yes</t>
        </is>
      </c>
      <c r="BB176" s="48" t="inlineStr">
        <is>
          <t xml:space="preserve">Yes</t>
        </is>
      </c>
      <c r="BC176" s="46" t="inlineStr">
        <is>
          <t xml:space="preserve">Synthetic demo data</t>
        </is>
      </c>
      <c r="BE176" s="45">
        <f>IF(OR($A176="",$L176="",$H176=""),"",IF(AND(LEFT($L176,2)="06",$H176&gt;1945),"FAIL - pre-war class, year "&amp;$H176,IF(AND(LEFT($L176,2)="07",OR($H176&lt;1946,$H176&gt;1972)),"FAIL - 1946-72 class, year "&amp;$H176,IF(AND(LEFT($L176,2)="08",OR($H176&lt;1973,$H176&gt;1999)),"FAIL - 1973-99 class, year "&amp;$H176,IF(AND(LEFT($L176,2)="09",OR($H176&lt;2000,$H176&gt;2010)),"FAIL - 2000-10 class, year "&amp;$H176,"OK")))))</f>
      </c>
      <c r="BF176" s="45">
        <f>IF($AD176="","",IF(ROUND($AO176+$AP176+$AQ176-$AD176,2)=0,"OK","FAIL - out by "&amp;TEXT($AO176+$AP176+$AQ176-$AD176,"$0.00")))</f>
      </c>
    </row>
    <row r="177" spans="1:58" ht="18.75" customHeight="1" x14ac:dyDescent="0.25">
      <c r="A177" s="30" t="inlineStr">
        <is>
          <t xml:space="preserve">CANON-202508-000226</t>
        </is>
      </c>
      <c r="B177" s="30" t="inlineStr">
        <is>
          <t xml:space="preserve">Anouk Pennington</t>
        </is>
      </c>
      <c r="C177" s="31">
        <v>45892</v>
      </c>
      <c r="D177" s="32" t="inlineStr">
        <is>
          <t xml:space="preserve">Bound - within authority</t>
        </is>
      </c>
      <c r="E177" s="32" t="inlineStr">
        <is>
          <t xml:space="preserve">New business</t>
        </is>
      </c>
      <c r="F177" s="30" t="inlineStr">
        <is>
          <t xml:space="preserve">B1234EXOTIC26</t>
        </is>
      </c>
      <c r="G177" s="33">
        <f>IF($A177="","",IF($C177="","",YEAR($C177)))</f>
      </c>
      <c r="H177" s="34">
        <v>1975</v>
      </c>
      <c r="I177" s="30" t="inlineStr">
        <is>
          <t xml:space="preserve">Porsche</t>
        </is>
      </c>
      <c r="J177" s="30" t="inlineStr">
        <is>
          <t xml:space="preserve">911 Turbo S</t>
        </is>
      </c>
      <c r="K177" s="30" t="inlineStr">
        <is>
          <t xml:space="preserve">3ZYN1PTNRE4PJ37Z2</t>
        </is>
      </c>
      <c r="L177" s="32" t="inlineStr">
        <is>
          <t xml:space="preserve">02 - Sports / GT</t>
        </is>
      </c>
      <c r="M177" s="35">
        <v>915000</v>
      </c>
      <c r="N177" s="32" t="inlineStr">
        <is>
          <t xml:space="preserve">Personal</t>
        </is>
      </c>
      <c r="O177" s="30" t="inlineStr">
        <is>
          <t xml:space="preserve">Personal - regular use</t>
        </is>
      </c>
      <c r="P177" s="30" t="inlineStr">
        <is>
          <t xml:space="preserve">Under 1,000</t>
        </is>
      </c>
      <c r="Q177" s="30" t="inlineStr">
        <is>
          <t xml:space="preserve">California</t>
        </is>
      </c>
      <c r="R177" s="30" t="inlineStr">
        <is>
          <t xml:space="preserve">90012</t>
        </is>
      </c>
      <c r="S177" s="32" t="inlineStr">
        <is>
          <t xml:space="preserve">Earthquake - high (CA, Cascadia, New Madrid)</t>
        </is>
      </c>
      <c r="T177" s="36">
        <f>IF($A177="","",IF($S177="","",IFERROR(INDEX('[1]natural catastrophe'!$D$6:$D$17,MATCH($S177,'[1]natural catastrophe'!$B$6:$B$17,0)),"?")))</f>
      </c>
      <c r="U177" s="30" t="inlineStr">
        <is>
          <t xml:space="preserve">$5,000</t>
        </is>
      </c>
      <c r="V177" s="32" t="inlineStr">
        <is>
          <t xml:space="preserve">Agreed Value</t>
        </is>
      </c>
      <c r="W177" s="30" t="inlineStr">
        <is>
          <t xml:space="preserve">$1,000</t>
        </is>
      </c>
      <c r="X177" s="32" t="inlineStr">
        <is>
          <t xml:space="preserve">$1,000,000 CSL</t>
        </is>
      </c>
      <c r="Y177" s="30"/>
      <c r="Z177" s="30"/>
      <c r="AA177" s="32" t="inlineStr">
        <is>
          <t xml:space="preserve">Surplus Lines</t>
        </is>
      </c>
      <c r="AB177" s="35">
        <v>15149.29</v>
      </c>
      <c r="AC177" s="37">
        <v>0</v>
      </c>
      <c r="AD177" s="38">
        <f>IF(ISNUMBER($AB177),$AB177*(1+N($AC177)),"")</f>
      </c>
      <c r="AE177" s="35">
        <v>350</v>
      </c>
      <c r="AF177" s="35">
        <v>0</v>
      </c>
      <c r="AG177" s="37"/>
      <c r="AH177" s="39">
        <f>IF(ISNUMBER($AD177),($AD177+$AE177+$AF177)*$AG177,"")</f>
      </c>
      <c r="AI177" s="35"/>
      <c r="AJ177" s="38">
        <f>IF(ISNUMBER($AD177),SUM($AD177:$AH177),"")</f>
      </c>
      <c r="AK177" s="40">
        <f>IF(AND(ISNUMBER($AB177),ISNUMBER($AD177)),IF($AB177&gt;0,$AD177/$AB177,""),"")</f>
      </c>
      <c r="AL177" s="32" t="inlineStr">
        <is>
          <t xml:space="preserve">At technical</t>
        </is>
      </c>
      <c r="AM177" s="41">
        <f>IF(ISNUMBER($AD177),Header!$I$3,"")</f>
      </c>
      <c r="AN177" s="39">
        <f>IF(ISNUMBER($AD177),$AO177+$AP177,"")</f>
      </c>
      <c r="AO177" s="39">
        <f>IF(ISNUMBER($AD177),ROUND($AD177*Header!$K$3,2),"")</f>
      </c>
      <c r="AP177" s="39">
        <f>IF(ISNUMBER($AD177),ROUND($AD177*Header!$M$3,2),"")</f>
      </c>
      <c r="AQ177" s="38">
        <f>IF(ISNUMBER($AD177),ROUND($AD177,2)-$AO177-$AP177,"")</f>
      </c>
      <c r="AR177" s="39">
        <f>IF(ISNUMBER($AD177),IF(Header!$D$34="","?",$AD177*Header!$D$34),"")</f>
      </c>
      <c r="AS177" s="39">
        <f>IF(ISNUMBER($AB177),IF(Header!$D$34="","?",$AB177*Header!$D$34),"")</f>
      </c>
      <c r="AT177" s="42">
        <f>IF(AND(ISNUMBER($AB177),$M177&gt;0),$AB177/$M177*100,"")</f>
      </c>
      <c r="AU177" s="42">
        <f>IF(AND(ISNUMBER($AD177),$M177&gt;0),$AD177/$M177*100,"")</f>
      </c>
      <c r="AV177" s="40">
        <f>IF(AND(ISNUMBER($AB177),ISNUMBER($AD177),ABS($AB177)&gt;0),$AD177/$AB177,"")</f>
      </c>
      <c r="AW177" s="39">
        <f>IF(ISNUMBER($AD177),MAX(0,(1-0.55-Header!$O$3)*Header!$Q$3*$AQ177),"")</f>
      </c>
      <c r="AX177" s="43">
        <f>IF($A177="","",IF(TRIM(IF($A177="","Missing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",""))="","PASS","FAIL: "&amp;TRIM(IF($A177="","Missing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f>
      </c>
      <c r="AY177" s="44">
        <f>IF($M177="","",IF(ISNUMBER($M177),IF($M177&gt;=Header!$C$18,"YES — refer","No"),""))</f>
      </c>
      <c r="AZ177" s="44">
        <f>IF($AD177="","",IF(ISNUMBER($AD177),IF($AD177&lt;Header!$C$20,"BELOW MIN PREMIUM","OK"),""))</f>
      </c>
      <c r="BA177" s="32" t="inlineStr">
        <is>
          <t xml:space="preserve">Yes</t>
        </is>
      </c>
      <c r="BB177" s="32" t="inlineStr">
        <is>
          <t xml:space="preserve">Yes</t>
        </is>
      </c>
      <c r="BC177" s="30" t="inlineStr">
        <is>
          <t xml:space="preserve">Synthetic demo data</t>
        </is>
      </c>
      <c r="BE177" s="45">
        <f>IF(OR($A177="",$L177="",$H177=""),"",IF(AND(LEFT($L177,2)="06",$H177&gt;1945),"FAIL - pre-war class, year "&amp;$H177,IF(AND(LEFT($L177,2)="07",OR($H177&lt;1946,$H177&gt;1972)),"FAIL - 1946-72 class, year "&amp;$H177,IF(AND(LEFT($L177,2)="08",OR($H177&lt;1973,$H177&gt;1999)),"FAIL - 1973-99 class, year "&amp;$H177,IF(AND(LEFT($L177,2)="09",OR($H177&lt;2000,$H177&gt;2010)),"FAIL - 2000-10 class, year "&amp;$H177,"OK")))))</f>
      </c>
      <c r="BF177" s="45">
        <f>IF($AD177="","",IF(ROUND($AO177+$AP177+$AQ177-$AD177,2)=0,"OK","FAIL - out by "&amp;TEXT($AO177+$AP177+$AQ177-$AD177,"$0.00")))</f>
      </c>
    </row>
    <row r="178" spans="1:58" ht="18.75" customHeight="1" x14ac:dyDescent="0.25">
      <c r="A178" s="46" t="inlineStr">
        <is>
          <t xml:space="preserve">CANON-202508-000227</t>
        </is>
      </c>
      <c r="B178" s="46" t="inlineStr">
        <is>
          <t xml:space="preserve">Desmond Merriweather</t>
        </is>
      </c>
      <c r="C178" s="47">
        <v>45890</v>
      </c>
      <c r="D178" s="48" t="inlineStr">
        <is>
          <t xml:space="preserve">Bound - within authority</t>
        </is>
      </c>
      <c r="E178" s="48" t="inlineStr">
        <is>
          <t xml:space="preserve">New business</t>
        </is>
      </c>
      <c r="F178" s="46" t="inlineStr">
        <is>
          <t xml:space="preserve">B1234EXOTIC26</t>
        </is>
      </c>
      <c r="G178" s="33">
        <f>IF($A178="","",IF($C178="","",YEAR($C178)))</f>
      </c>
      <c r="H178" s="49">
        <v>1972</v>
      </c>
      <c r="I178" s="46" t="inlineStr">
        <is>
          <t xml:space="preserve">Porsche</t>
        </is>
      </c>
      <c r="J178" s="46" t="inlineStr">
        <is>
          <t xml:space="preserve">911 Turbo S</t>
        </is>
      </c>
      <c r="K178" s="46" t="inlineStr">
        <is>
          <t xml:space="preserve">8LRALCPYVWMFGDJ3U</t>
        </is>
      </c>
      <c r="L178" s="48" t="inlineStr">
        <is>
          <t xml:space="preserve">02 - Sports / GT</t>
        </is>
      </c>
      <c r="M178" s="50">
        <v>660000</v>
      </c>
      <c r="N178" s="48" t="inlineStr">
        <is>
          <t xml:space="preserve">Personal</t>
        </is>
      </c>
      <c r="O178" s="46" t="inlineStr">
        <is>
          <t xml:space="preserve">Personal - regular use</t>
        </is>
      </c>
      <c r="P178" s="46" t="inlineStr">
        <is>
          <t xml:space="preserve">1,000 - 2,500</t>
        </is>
      </c>
      <c r="Q178" s="46" t="inlineStr">
        <is>
          <t xml:space="preserve">Pennsylvania</t>
        </is>
      </c>
      <c r="R178" s="46" t="inlineStr">
        <is>
          <t xml:space="preserve">19103</t>
        </is>
      </c>
      <c r="S178" s="48" t="inlineStr">
        <is>
          <t xml:space="preserve">Low hazard - inland benign</t>
        </is>
      </c>
      <c r="T178" s="36">
        <f>IF($A178="","",IF($S178="","",IFERROR(INDEX('[1]natural catastrophe'!$D$6:$D$17,MATCH($S178,'[1]natural catastrophe'!$B$6:$B$17,0)),"?")))</f>
      </c>
      <c r="U178" s="46" t="inlineStr">
        <is>
          <t xml:space="preserve">$5,000</t>
        </is>
      </c>
      <c r="V178" s="48" t="inlineStr">
        <is>
          <t xml:space="preserve">Agreed Value</t>
        </is>
      </c>
      <c r="W178" s="46" t="inlineStr">
        <is>
          <t xml:space="preserve">$1,000</t>
        </is>
      </c>
      <c r="X178" s="48" t="inlineStr">
        <is>
          <t xml:space="preserve">$1,000,000 CSL</t>
        </is>
      </c>
      <c r="Y178" s="46"/>
      <c r="Z178" s="46"/>
      <c r="AA178" s="48" t="inlineStr">
        <is>
          <t xml:space="preserve">Surplus Lines</t>
        </is>
      </c>
      <c r="AB178" s="50">
        <v>8094.34</v>
      </c>
      <c r="AC178" s="51">
        <v>0</v>
      </c>
      <c r="AD178" s="38">
        <f>IF(ISNUMBER($AB178),$AB178*(1+N($AC178)),"")</f>
      </c>
      <c r="AE178" s="50">
        <v>350</v>
      </c>
      <c r="AF178" s="50">
        <v>0</v>
      </c>
      <c r="AG178" s="51"/>
      <c r="AH178" s="39">
        <f>IF(ISNUMBER($AD178),($AD178+$AE178+$AF178)*$AG178,"")</f>
      </c>
      <c r="AI178" s="50"/>
      <c r="AJ178" s="38">
        <f>IF(ISNUMBER($AD178),SUM($AD178:$AH178),"")</f>
      </c>
      <c r="AK178" s="40">
        <f>IF(AND(ISNUMBER($AB178),ISNUMBER($AD178)),IF($AB178&gt;0,$AD178/$AB178,""),"")</f>
      </c>
      <c r="AL178" s="48" t="inlineStr">
        <is>
          <t xml:space="preserve">At technical</t>
        </is>
      </c>
      <c r="AM178" s="41">
        <f>IF(ISNUMBER($AD178),Header!$I$3,"")</f>
      </c>
      <c r="AN178" s="39">
        <f>IF(ISNUMBER($AD178),$AO178+$AP178,"")</f>
      </c>
      <c r="AO178" s="39">
        <f>IF(ISNUMBER($AD178),ROUND($AD178*Header!$K$3,2),"")</f>
      </c>
      <c r="AP178" s="39">
        <f>IF(ISNUMBER($AD178),ROUND($AD178*Header!$M$3,2),"")</f>
      </c>
      <c r="AQ178" s="38">
        <f>IF(ISNUMBER($AD178),ROUND($AD178,2)-$AO178-$AP178,"")</f>
      </c>
      <c r="AR178" s="39">
        <f>IF(ISNUMBER($AD178),IF(Header!$D$34="","?",$AD178*Header!$D$34),"")</f>
      </c>
      <c r="AS178" s="39">
        <f>IF(ISNUMBER($AB178),IF(Header!$D$34="","?",$AB178*Header!$D$34),"")</f>
      </c>
      <c r="AT178" s="42">
        <f>IF(AND(ISNUMBER($AB178),$M178&gt;0),$AB178/$M178*100,"")</f>
      </c>
      <c r="AU178" s="42">
        <f>IF(AND(ISNUMBER($AD178),$M178&gt;0),$AD178/$M178*100,"")</f>
      </c>
      <c r="AV178" s="40">
        <f>IF(AND(ISNUMBER($AB178),ISNUMBER($AD178),ABS($AB178)&gt;0),$AD178/$AB178,"")</f>
      </c>
      <c r="AW178" s="39">
        <f>IF(ISNUMBER($AD178),MAX(0,(1-0.55-Header!$O$3)*Header!$Q$3*$AQ178),"")</f>
      </c>
      <c r="AX178" s="43">
        <f>IF($A178="","",IF(TRIM(IF($A178="","Missing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",""))="","PASS","FAIL: "&amp;TRIM(IF($A178="","Missing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f>
      </c>
      <c r="AY178" s="44">
        <f>IF($M178="","",IF(ISNUMBER($M178),IF($M178&gt;=Header!$C$18,"YES — refer","No"),""))</f>
      </c>
      <c r="AZ178" s="44">
        <f>IF($AD178="","",IF(ISNUMBER($AD178),IF($AD178&lt;Header!$C$20,"BELOW MIN PREMIUM","OK"),""))</f>
      </c>
      <c r="BA178" s="48" t="inlineStr">
        <is>
          <t xml:space="preserve">Yes</t>
        </is>
      </c>
      <c r="BB178" s="48" t="inlineStr">
        <is>
          <t xml:space="preserve">Yes</t>
        </is>
      </c>
      <c r="BC178" s="46" t="inlineStr">
        <is>
          <t xml:space="preserve">Synthetic demo data</t>
        </is>
      </c>
      <c r="BE178" s="45">
        <f>IF(OR($A178="",$L178="",$H178=""),"",IF(AND(LEFT($L178,2)="06",$H178&gt;1945),"FAIL - pre-war class, year "&amp;$H178,IF(AND(LEFT($L178,2)="07",OR($H178&lt;1946,$H178&gt;1972)),"FAIL - 1946-72 class, year "&amp;$H178,IF(AND(LEFT($L178,2)="08",OR($H178&lt;1973,$H178&gt;1999)),"FAIL - 1973-99 class, year "&amp;$H178,IF(AND(LEFT($L178,2)="09",OR($H178&lt;2000,$H178&gt;2010)),"FAIL - 2000-10 class, year "&amp;$H178,"OK")))))</f>
      </c>
      <c r="BF178" s="45">
        <f>IF($AD178="","",IF(ROUND($AO178+$AP178+$AQ178-$AD178,2)=0,"OK","FAIL - out by "&amp;TEXT($AO178+$AP178+$AQ178-$AD178,"$0.00")))</f>
      </c>
    </row>
    <row r="179" spans="1:58" ht="18.75" customHeight="1" x14ac:dyDescent="0.25">
      <c r="A179" s="30" t="inlineStr">
        <is>
          <t xml:space="preserve">CANON-202508-000228</t>
        </is>
      </c>
      <c r="B179" s="30" t="inlineStr">
        <is>
          <t xml:space="preserve">Fenwick Rourke</t>
        </is>
      </c>
      <c r="C179" s="31">
        <v>45877</v>
      </c>
      <c r="D179" s="32" t="inlineStr">
        <is>
          <t xml:space="preserve">Bound - within authority</t>
        </is>
      </c>
      <c r="E179" s="32" t="inlineStr">
        <is>
          <t xml:space="preserve">New business</t>
        </is>
      </c>
      <c r="F179" s="30" t="inlineStr">
        <is>
          <t xml:space="preserve">B1234EXOTIC26</t>
        </is>
      </c>
      <c r="G179" s="33">
        <f>IF($A179="","",IF($C179="","",YEAR($C179)))</f>
      </c>
      <c r="H179" s="34">
        <v>2004</v>
      </c>
      <c r="I179" s="30" t="inlineStr">
        <is>
          <t xml:space="preserve">Porsche</t>
        </is>
      </c>
      <c r="J179" s="30" t="inlineStr">
        <is>
          <t xml:space="preserve">911 Turbo S</t>
        </is>
      </c>
      <c r="K179" s="30" t="inlineStr">
        <is>
          <t xml:space="preserve">JZXCMVHVG182NUJ7A</t>
        </is>
      </c>
      <c r="L179" s="32" t="inlineStr">
        <is>
          <t xml:space="preserve">02 - Sports / GT</t>
        </is>
      </c>
      <c r="M179" s="35">
        <v>1055000</v>
      </c>
      <c r="N179" s="32" t="inlineStr">
        <is>
          <t xml:space="preserve">Personal</t>
        </is>
      </c>
      <c r="O179" s="30" t="inlineStr">
        <is>
          <t xml:space="preserve">Personal - regular use</t>
        </is>
      </c>
      <c r="P179" s="30" t="inlineStr">
        <is>
          <t xml:space="preserve">2,500 - 5,000</t>
        </is>
      </c>
      <c r="Q179" s="30" t="inlineStr">
        <is>
          <t xml:space="preserve">Connecticut</t>
        </is>
      </c>
      <c r="R179" s="30" t="inlineStr">
        <is>
          <t xml:space="preserve">06103</t>
        </is>
      </c>
      <c r="S179" s="32" t="inlineStr">
        <is>
          <t xml:space="preserve">Tier 3 - Coastal wind (25-100 miles)</t>
        </is>
      </c>
      <c r="T179" s="36">
        <f>IF($A179="","",IF($S179="","",IFERROR(INDEX('[1]natural catastrophe'!$D$6:$D$17,MATCH($S179,'[1]natural catastrophe'!$B$6:$B$17,0)),"?")))</f>
      </c>
      <c r="U179" s="30" t="inlineStr">
        <is>
          <t xml:space="preserve">2% of agreed value, minimum $10,000</t>
        </is>
      </c>
      <c r="V179" s="32" t="inlineStr">
        <is>
          <t xml:space="preserve">Agreed Value</t>
        </is>
      </c>
      <c r="W179" s="30" t="inlineStr">
        <is>
          <t xml:space="preserve">$1,000</t>
        </is>
      </c>
      <c r="X179" s="32" t="inlineStr">
        <is>
          <t xml:space="preserve">$1,000,000 CSL</t>
        </is>
      </c>
      <c r="Y179" s="30"/>
      <c r="Z179" s="30"/>
      <c r="AA179" s="32" t="inlineStr">
        <is>
          <t xml:space="preserve">Surplus Lines</t>
        </is>
      </c>
      <c r="AB179" s="35">
        <v>12261.89</v>
      </c>
      <c r="AC179" s="37">
        <v>0</v>
      </c>
      <c r="AD179" s="38">
        <f>IF(ISNUMBER($AB179),$AB179*(1+N($AC179)),"")</f>
      </c>
      <c r="AE179" s="35">
        <v>350</v>
      </c>
      <c r="AF179" s="35">
        <v>250</v>
      </c>
      <c r="AG179" s="37"/>
      <c r="AH179" s="39">
        <f>IF(ISNUMBER($AD179),($AD179+$AE179+$AF179)*$AG179,"")</f>
      </c>
      <c r="AI179" s="35"/>
      <c r="AJ179" s="38">
        <f>IF(ISNUMBER($AD179),SUM($AD179:$AH179),"")</f>
      </c>
      <c r="AK179" s="40">
        <f>IF(AND(ISNUMBER($AB179),ISNUMBER($AD179)),IF($AB179&gt;0,$AD179/$AB179,""),"")</f>
      </c>
      <c r="AL179" s="32" t="inlineStr">
        <is>
          <t xml:space="preserve">At technical</t>
        </is>
      </c>
      <c r="AM179" s="41">
        <f>IF(ISNUMBER($AD179),Header!$I$3,"")</f>
      </c>
      <c r="AN179" s="39">
        <f>IF(ISNUMBER($AD179),$AO179+$AP179,"")</f>
      </c>
      <c r="AO179" s="39">
        <f>IF(ISNUMBER($AD179),ROUND($AD179*Header!$K$3,2),"")</f>
      </c>
      <c r="AP179" s="39">
        <f>IF(ISNUMBER($AD179),ROUND($AD179*Header!$M$3,2),"")</f>
      </c>
      <c r="AQ179" s="38">
        <f>IF(ISNUMBER($AD179),ROUND($AD179,2)-$AO179-$AP179,"")</f>
      </c>
      <c r="AR179" s="39">
        <f>IF(ISNUMBER($AD179),IF(Header!$D$34="","?",$AD179*Header!$D$34),"")</f>
      </c>
      <c r="AS179" s="39">
        <f>IF(ISNUMBER($AB179),IF(Header!$D$34="","?",$AB179*Header!$D$34),"")</f>
      </c>
      <c r="AT179" s="42">
        <f>IF(AND(ISNUMBER($AB179),$M179&gt;0),$AB179/$M179*100,"")</f>
      </c>
      <c r="AU179" s="42">
        <f>IF(AND(ISNUMBER($AD179),$M179&gt;0),$AD179/$M179*100,"")</f>
      </c>
      <c r="AV179" s="40">
        <f>IF(AND(ISNUMBER($AB179),ISNUMBER($AD179),ABS($AB179)&gt;0),$AD179/$AB179,"")</f>
      </c>
      <c r="AW179" s="39">
        <f>IF(ISNUMBER($AD179),MAX(0,(1-0.55-Header!$O$3)*Header!$Q$3*$AQ179),"")</f>
      </c>
      <c r="AX179" s="43">
        <f>IF($A179="","",IF(TRIM(IF($A179="","Missing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",""))="","PASS","FAIL: "&amp;TRIM(IF($A179="","Missing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f>
      </c>
      <c r="AY179" s="44">
        <f>IF($M179="","",IF(ISNUMBER($M179),IF($M179&gt;=Header!$C$18,"YES — refer","No"),""))</f>
      </c>
      <c r="AZ179" s="44">
        <f>IF($AD179="","",IF(ISNUMBER($AD179),IF($AD179&lt;Header!$C$20,"BELOW MIN PREMIUM","OK"),""))</f>
      </c>
      <c r="BA179" s="32" t="inlineStr">
        <is>
          <t xml:space="preserve">Yes</t>
        </is>
      </c>
      <c r="BB179" s="32" t="inlineStr">
        <is>
          <t xml:space="preserve">Yes</t>
        </is>
      </c>
      <c r="BC179" s="30" t="inlineStr">
        <is>
          <t xml:space="preserve">Synthetic demo data</t>
        </is>
      </c>
      <c r="BE179" s="45">
        <f>IF(OR($A179="",$L179="",$H179=""),"",IF(AND(LEFT($L179,2)="06",$H179&gt;1945),"FAIL - pre-war class, year "&amp;$H179,IF(AND(LEFT($L179,2)="07",OR($H179&lt;1946,$H179&gt;1972)),"FAIL - 1946-72 class, year "&amp;$H179,IF(AND(LEFT($L179,2)="08",OR($H179&lt;1973,$H179&gt;1999)),"FAIL - 1973-99 class, year "&amp;$H179,IF(AND(LEFT($L179,2)="09",OR($H179&lt;2000,$H179&gt;2010)),"FAIL - 2000-10 class, year "&amp;$H179,"OK")))))</f>
      </c>
      <c r="BF179" s="45">
        <f>IF($AD179="","",IF(ROUND($AO179+$AP179+$AQ179-$AD179,2)=0,"OK","FAIL - out by "&amp;TEXT($AO179+$AP179+$AQ179-$AD179,"$0.00")))</f>
      </c>
    </row>
    <row r="180" spans="1:58" ht="18.75" customHeight="1" x14ac:dyDescent="0.25">
      <c r="A180" s="46" t="inlineStr">
        <is>
          <t xml:space="preserve">CANON-202508-000230</t>
        </is>
      </c>
      <c r="B180" s="46" t="inlineStr">
        <is>
          <t xml:space="preserve">Priya Okonkwo</t>
        </is>
      </c>
      <c r="C180" s="47">
        <v>45874</v>
      </c>
      <c r="D180" s="48" t="inlineStr">
        <is>
          <t xml:space="preserve">Bound - within authority</t>
        </is>
      </c>
      <c r="E180" s="48" t="inlineStr">
        <is>
          <t xml:space="preserve">New business</t>
        </is>
      </c>
      <c r="F180" s="46" t="inlineStr">
        <is>
          <t xml:space="preserve">B1234EXOTIC26</t>
        </is>
      </c>
      <c r="G180" s="33">
        <f>IF($A180="","",IF($C180="","",YEAR($C180)))</f>
      </c>
      <c r="H180" s="49">
        <v>1973</v>
      </c>
      <c r="I180" s="46" t="inlineStr">
        <is>
          <t xml:space="preserve">Lamborghini</t>
        </is>
      </c>
      <c r="J180" s="46" t="inlineStr">
        <is>
          <t xml:space="preserve">Huracan EVO</t>
        </is>
      </c>
      <c r="K180" s="46" t="inlineStr">
        <is>
          <t xml:space="preserve">2T01R2V8MAURY8WEB</t>
        </is>
      </c>
      <c r="L180" s="48" t="inlineStr">
        <is>
          <t xml:space="preserve">03 - Supercar</t>
        </is>
      </c>
      <c r="M180" s="50">
        <v>360000</v>
      </c>
      <c r="N180" s="48" t="inlineStr">
        <is>
          <t xml:space="preserve">Personal</t>
        </is>
      </c>
      <c r="O180" s="46" t="inlineStr">
        <is>
          <t xml:space="preserve">Personal - regular use</t>
        </is>
      </c>
      <c r="P180" s="46" t="inlineStr">
        <is>
          <t xml:space="preserve">2,500 - 5,000</t>
        </is>
      </c>
      <c r="Q180" s="46" t="inlineStr">
        <is>
          <t xml:space="preserve">Washington</t>
        </is>
      </c>
      <c r="R180" s="46" t="inlineStr">
        <is>
          <t xml:space="preserve">98101</t>
        </is>
      </c>
      <c r="S180" s="48" t="inlineStr">
        <is>
          <t xml:space="preserve">Earthquake - high (CA, Cascadia, New Madrid)</t>
        </is>
      </c>
      <c r="T180" s="36">
        <f>IF($A180="","",IF($S180="","",IFERROR(INDEX('[1]natural catastrophe'!$D$6:$D$17,MATCH($S180,'[1]natural catastrophe'!$B$6:$B$17,0)),"?")))</f>
      </c>
      <c r="U180" s="46" t="inlineStr">
        <is>
          <t xml:space="preserve">$5,000</t>
        </is>
      </c>
      <c r="V180" s="48" t="inlineStr">
        <is>
          <t xml:space="preserve">Agreed Value</t>
        </is>
      </c>
      <c r="W180" s="46" t="inlineStr">
        <is>
          <t xml:space="preserve">$1,000</t>
        </is>
      </c>
      <c r="X180" s="48" t="inlineStr">
        <is>
          <t xml:space="preserve">$1,000,000 CSL</t>
        </is>
      </c>
      <c r="Y180" s="46"/>
      <c r="Z180" s="46"/>
      <c r="AA180" s="48" t="inlineStr">
        <is>
          <t xml:space="preserve">Surplus Lines</t>
        </is>
      </c>
      <c r="AB180" s="50">
        <v>7498.87</v>
      </c>
      <c r="AC180" s="51">
        <v>0</v>
      </c>
      <c r="AD180" s="38">
        <f>IF(ISNUMBER($AB180),$AB180*(1+N($AC180)),"")</f>
      </c>
      <c r="AE180" s="50">
        <v>350</v>
      </c>
      <c r="AF180" s="50">
        <v>0</v>
      </c>
      <c r="AG180" s="51"/>
      <c r="AH180" s="39">
        <f>IF(ISNUMBER($AD180),($AD180+$AE180+$AF180)*$AG180,"")</f>
      </c>
      <c r="AI180" s="50"/>
      <c r="AJ180" s="38">
        <f>IF(ISNUMBER($AD180),SUM($AD180:$AH180),"")</f>
      </c>
      <c r="AK180" s="40">
        <f>IF(AND(ISNUMBER($AB180),ISNUMBER($AD180)),IF($AB180&gt;0,$AD180/$AB180,""),"")</f>
      </c>
      <c r="AL180" s="48" t="inlineStr">
        <is>
          <t xml:space="preserve">At technical</t>
        </is>
      </c>
      <c r="AM180" s="41">
        <f>IF(ISNUMBER($AD180),Header!$I$3,"")</f>
      </c>
      <c r="AN180" s="39">
        <f>IF(ISNUMBER($AD180),$AO180+$AP180,"")</f>
      </c>
      <c r="AO180" s="39">
        <f>IF(ISNUMBER($AD180),ROUND($AD180*Header!$K$3,2),"")</f>
      </c>
      <c r="AP180" s="39">
        <f>IF(ISNUMBER($AD180),ROUND($AD180*Header!$M$3,2),"")</f>
      </c>
      <c r="AQ180" s="38">
        <f>IF(ISNUMBER($AD180),ROUND($AD180,2)-$AO180-$AP180,"")</f>
      </c>
      <c r="AR180" s="39">
        <f>IF(ISNUMBER($AD180),IF(Header!$D$34="","?",$AD180*Header!$D$34),"")</f>
      </c>
      <c r="AS180" s="39">
        <f>IF(ISNUMBER($AB180),IF(Header!$D$34="","?",$AB180*Header!$D$34),"")</f>
      </c>
      <c r="AT180" s="42">
        <f>IF(AND(ISNUMBER($AB180),$M180&gt;0),$AB180/$M180*100,"")</f>
      </c>
      <c r="AU180" s="42">
        <f>IF(AND(ISNUMBER($AD180),$M180&gt;0),$AD180/$M180*100,"")</f>
      </c>
      <c r="AV180" s="40">
        <f>IF(AND(ISNUMBER($AB180),ISNUMBER($AD180),ABS($AB180)&gt;0),$AD180/$AB180,"")</f>
      </c>
      <c r="AW180" s="39">
        <f>IF(ISNUMBER($AD180),MAX(0,(1-0.55-Header!$O$3)*Header!$Q$3*$AQ180),"")</f>
      </c>
      <c r="AX180" s="43">
        <f>IF($A180="","",IF(TRIM(IF($A180="","Missing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",""))="","PASS","FAIL: "&amp;TRIM(IF($A180="","Missing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f>
      </c>
      <c r="AY180" s="44">
        <f>IF($M180="","",IF(ISNUMBER($M180),IF($M180&gt;=Header!$C$18,"YES — refer","No"),""))</f>
      </c>
      <c r="AZ180" s="44">
        <f>IF($AD180="","",IF(ISNUMBER($AD180),IF($AD180&lt;Header!$C$20,"BELOW MIN PREMIUM","OK"),""))</f>
      </c>
      <c r="BA180" s="48" t="inlineStr">
        <is>
          <t xml:space="preserve">Yes</t>
        </is>
      </c>
      <c r="BB180" s="48" t="inlineStr">
        <is>
          <t xml:space="preserve">Yes</t>
        </is>
      </c>
      <c r="BC180" s="46" t="inlineStr">
        <is>
          <t xml:space="preserve">Synthetic demo data</t>
        </is>
      </c>
      <c r="BE180" s="45">
        <f>IF(OR($A180="",$L180="",$H180=""),"",IF(AND(LEFT($L180,2)="06",$H180&gt;1945),"FAIL - pre-war class, year "&amp;$H180,IF(AND(LEFT($L180,2)="07",OR($H180&lt;1946,$H180&gt;1972)),"FAIL - 1946-72 class, year "&amp;$H180,IF(AND(LEFT($L180,2)="08",OR($H180&lt;1973,$H180&gt;1999)),"FAIL - 1973-99 class, year "&amp;$H180,IF(AND(LEFT($L180,2)="09",OR($H180&lt;2000,$H180&gt;2010)),"FAIL - 2000-10 class, year "&amp;$H180,"OK")))))</f>
      </c>
      <c r="BF180" s="45">
        <f>IF($AD180="","",IF(ROUND($AO180+$AP180+$AQ180-$AD180,2)=0,"OK","FAIL - out by "&amp;TEXT($AO180+$AP180+$AQ180-$AD180,"$0.00")))</f>
      </c>
    </row>
    <row r="181" spans="1:58" ht="18.75" customHeight="1" x14ac:dyDescent="0.25">
      <c r="A181" s="30" t="inlineStr">
        <is>
          <t xml:space="preserve">CANON-202508-000231</t>
        </is>
      </c>
      <c r="B181" s="30" t="inlineStr">
        <is>
          <t xml:space="preserve">Everett Larsson</t>
        </is>
      </c>
      <c r="C181" s="31">
        <v>45889</v>
      </c>
      <c r="D181" s="32" t="inlineStr">
        <is>
          <t xml:space="preserve">Bound - within authority</t>
        </is>
      </c>
      <c r="E181" s="32" t="inlineStr">
        <is>
          <t xml:space="preserve">New business</t>
        </is>
      </c>
      <c r="F181" s="30" t="inlineStr">
        <is>
          <t xml:space="preserve">B1234EXOTIC26</t>
        </is>
      </c>
      <c r="G181" s="33">
        <f>IF($A181="","",IF($C181="","",YEAR($C181)))</f>
      </c>
      <c r="H181" s="34">
        <v>1983</v>
      </c>
      <c r="I181" s="30" t="inlineStr">
        <is>
          <t xml:space="preserve">Maserati</t>
        </is>
      </c>
      <c r="J181" s="30" t="inlineStr">
        <is>
          <t xml:space="preserve">GranTurismo</t>
        </is>
      </c>
      <c r="K181" s="30" t="inlineStr">
        <is>
          <t xml:space="preserve">B1R1PK2GBMZA3TFVW</t>
        </is>
      </c>
      <c r="L181" s="32" t="inlineStr">
        <is>
          <t xml:space="preserve">02 - Sports / GT</t>
        </is>
      </c>
      <c r="M181" s="35">
        <v>670000</v>
      </c>
      <c r="N181" s="32" t="inlineStr">
        <is>
          <t xml:space="preserve">Personal</t>
        </is>
      </c>
      <c r="O181" s="30" t="inlineStr">
        <is>
          <t xml:space="preserve">Personal - regular use</t>
        </is>
      </c>
      <c r="P181" s="30" t="inlineStr">
        <is>
          <t xml:space="preserve">1,000 - 2,500</t>
        </is>
      </c>
      <c r="Q181" s="30" t="inlineStr">
        <is>
          <t xml:space="preserve">Arkansas</t>
        </is>
      </c>
      <c r="R181" s="30" t="inlineStr">
        <is>
          <t xml:space="preserve">72201</t>
        </is>
      </c>
      <c r="S181" s="32" t="inlineStr">
        <is>
          <t xml:space="preserve">Severe convective - hail / tornado (moderate)</t>
        </is>
      </c>
      <c r="T181" s="36">
        <f>IF($A181="","",IF($S181="","",IFERROR(INDEX('[1]natural catastrophe'!$D$6:$D$17,MATCH($S181,'[1]natural catastrophe'!$B$6:$B$17,0)),"?")))</f>
      </c>
      <c r="U181" s="30" t="inlineStr">
        <is>
          <t xml:space="preserve">$5,000</t>
        </is>
      </c>
      <c r="V181" s="32" t="inlineStr">
        <is>
          <t xml:space="preserve">Agreed Value</t>
        </is>
      </c>
      <c r="W181" s="30" t="inlineStr">
        <is>
          <t xml:space="preserve">$1,000</t>
        </is>
      </c>
      <c r="X181" s="32" t="inlineStr">
        <is>
          <t xml:space="preserve">$1,000,000 CSL</t>
        </is>
      </c>
      <c r="Y181" s="30"/>
      <c r="Z181" s="30"/>
      <c r="AA181" s="32" t="inlineStr">
        <is>
          <t xml:space="preserve">Surplus Lines</t>
        </is>
      </c>
      <c r="AB181" s="35">
        <v>11339.43</v>
      </c>
      <c r="AC181" s="37">
        <v>0</v>
      </c>
      <c r="AD181" s="38">
        <f>IF(ISNUMBER($AB181),$AB181*(1+N($AC181)),"")</f>
      </c>
      <c r="AE181" s="35">
        <v>350</v>
      </c>
      <c r="AF181" s="35">
        <v>0</v>
      </c>
      <c r="AG181" s="37"/>
      <c r="AH181" s="39">
        <f>IF(ISNUMBER($AD181),($AD181+$AE181+$AF181)*$AG181,"")</f>
      </c>
      <c r="AI181" s="35"/>
      <c r="AJ181" s="38">
        <f>IF(ISNUMBER($AD181),SUM($AD181:$AH181),"")</f>
      </c>
      <c r="AK181" s="40">
        <f>IF(AND(ISNUMBER($AB181),ISNUMBER($AD181)),IF($AB181&gt;0,$AD181/$AB181,""),"")</f>
      </c>
      <c r="AL181" s="32" t="inlineStr">
        <is>
          <t xml:space="preserve">At technical</t>
        </is>
      </c>
      <c r="AM181" s="41">
        <f>IF(ISNUMBER($AD181),Header!$I$3,"")</f>
      </c>
      <c r="AN181" s="39">
        <f>IF(ISNUMBER($AD181),$AO181+$AP181,"")</f>
      </c>
      <c r="AO181" s="39">
        <f>IF(ISNUMBER($AD181),ROUND($AD181*Header!$K$3,2),"")</f>
      </c>
      <c r="AP181" s="39">
        <f>IF(ISNUMBER($AD181),ROUND($AD181*Header!$M$3,2),"")</f>
      </c>
      <c r="AQ181" s="38">
        <f>IF(ISNUMBER($AD181),ROUND($AD181,2)-$AO181-$AP181,"")</f>
      </c>
      <c r="AR181" s="39">
        <f>IF(ISNUMBER($AD181),IF(Header!$D$34="","?",$AD181*Header!$D$34),"")</f>
      </c>
      <c r="AS181" s="39">
        <f>IF(ISNUMBER($AB181),IF(Header!$D$34="","?",$AB181*Header!$D$34),"")</f>
      </c>
      <c r="AT181" s="42">
        <f>IF(AND(ISNUMBER($AB181),$M181&gt;0),$AB181/$M181*100,"")</f>
      </c>
      <c r="AU181" s="42">
        <f>IF(AND(ISNUMBER($AD181),$M181&gt;0),$AD181/$M181*100,"")</f>
      </c>
      <c r="AV181" s="40">
        <f>IF(AND(ISNUMBER($AB181),ISNUMBER($AD181),ABS($AB181)&gt;0),$AD181/$AB181,"")</f>
      </c>
      <c r="AW181" s="39">
        <f>IF(ISNUMBER($AD181),MAX(0,(1-0.55-Header!$O$3)*Header!$Q$3*$AQ181),"")</f>
      </c>
      <c r="AX181" s="43">
        <f>IF($A181="","",IF(TRIM(IF($A181="","Missing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",""))="","PASS","FAIL: "&amp;TRIM(IF($A181="","Missing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f>
      </c>
      <c r="AY181" s="44">
        <f>IF($M181="","",IF(ISNUMBER($M181),IF($M181&gt;=Header!$C$18,"YES — refer","No"),""))</f>
      </c>
      <c r="AZ181" s="44">
        <f>IF($AD181="","",IF(ISNUMBER($AD181),IF($AD181&lt;Header!$C$20,"BELOW MIN PREMIUM","OK"),""))</f>
      </c>
      <c r="BA181" s="32" t="inlineStr">
        <is>
          <t xml:space="preserve">Yes</t>
        </is>
      </c>
      <c r="BB181" s="32" t="inlineStr">
        <is>
          <t xml:space="preserve">Yes</t>
        </is>
      </c>
      <c r="BC181" s="30" t="inlineStr">
        <is>
          <t xml:space="preserve">Synthetic demo data</t>
        </is>
      </c>
      <c r="BE181" s="45">
        <f>IF(OR($A181="",$L181="",$H181=""),"",IF(AND(LEFT($L181,2)="06",$H181&gt;1945),"FAIL - pre-war class, year "&amp;$H181,IF(AND(LEFT($L181,2)="07",OR($H181&lt;1946,$H181&gt;1972)),"FAIL - 1946-72 class, year "&amp;$H181,IF(AND(LEFT($L181,2)="08",OR($H181&lt;1973,$H181&gt;1999)),"FAIL - 1973-99 class, year "&amp;$H181,IF(AND(LEFT($L181,2)="09",OR($H181&lt;2000,$H181&gt;2010)),"FAIL - 2000-10 class, year "&amp;$H181,"OK")))))</f>
      </c>
      <c r="BF181" s="45">
        <f>IF($AD181="","",IF(ROUND($AO181+$AP181+$AQ181-$AD181,2)=0,"OK","FAIL - out by "&amp;TEXT($AO181+$AP181+$AQ181-$AD181,"$0.00")))</f>
      </c>
    </row>
    <row r="182" spans="1:58" ht="18.75" customHeight="1" x14ac:dyDescent="0.25">
      <c r="A182" s="46" t="inlineStr">
        <is>
          <t xml:space="preserve">CANON-202508-000234</t>
        </is>
      </c>
      <c r="B182" s="46" t="inlineStr">
        <is>
          <t xml:space="preserve">Cassius Delacroix</t>
        </is>
      </c>
      <c r="C182" s="47">
        <v>45896</v>
      </c>
      <c r="D182" s="48" t="inlineStr">
        <is>
          <t xml:space="preserve">Bound - within authority</t>
        </is>
      </c>
      <c r="E182" s="48" t="inlineStr">
        <is>
          <t xml:space="preserve">New business</t>
        </is>
      </c>
      <c r="F182" s="46" t="inlineStr">
        <is>
          <t xml:space="preserve">B1234EXOTIC26</t>
        </is>
      </c>
      <c r="G182" s="33">
        <f>IF($A182="","",IF($C182="","",YEAR($C182)))</f>
      </c>
      <c r="H182" s="49">
        <v>1992</v>
      </c>
      <c r="I182" s="46" t="inlineStr">
        <is>
          <t xml:space="preserve">Aston Martin</t>
        </is>
      </c>
      <c r="J182" s="46" t="inlineStr">
        <is>
          <t xml:space="preserve">DB12</t>
        </is>
      </c>
      <c r="K182" s="46" t="inlineStr">
        <is>
          <t xml:space="preserve">9FN5CLKNN6GB89Y9E</t>
        </is>
      </c>
      <c r="L182" s="48" t="inlineStr">
        <is>
          <t xml:space="preserve">02 - Sports / GT</t>
        </is>
      </c>
      <c r="M182" s="50">
        <v>380000</v>
      </c>
      <c r="N182" s="48" t="inlineStr">
        <is>
          <t xml:space="preserve">Personal</t>
        </is>
      </c>
      <c r="O182" s="46" t="inlineStr">
        <is>
          <t xml:space="preserve">Personal - regular use</t>
        </is>
      </c>
      <c r="P182" s="46" t="inlineStr">
        <is>
          <t xml:space="preserve">2,500 - 5,000</t>
        </is>
      </c>
      <c r="Q182" s="46" t="inlineStr">
        <is>
          <t xml:space="preserve">New Jersey</t>
        </is>
      </c>
      <c r="R182" s="46" t="inlineStr">
        <is>
          <t xml:space="preserve">07102</t>
        </is>
      </c>
      <c r="S182" s="48" t="inlineStr">
        <is>
          <t xml:space="preserve">Tier 3 - Coastal wind (25-100 miles)</t>
        </is>
      </c>
      <c r="T182" s="36">
        <f>IF($A182="","",IF($S182="","",IFERROR(INDEX('[1]natural catastrophe'!$D$6:$D$17,MATCH($S182,'[1]natural catastrophe'!$B$6:$B$17,0)),"?")))</f>
      </c>
      <c r="U182" s="46" t="inlineStr">
        <is>
          <t xml:space="preserve">2% of agreed value, minimum $10,000</t>
        </is>
      </c>
      <c r="V182" s="48" t="inlineStr">
        <is>
          <t xml:space="preserve">Agreed Value</t>
        </is>
      </c>
      <c r="W182" s="46" t="inlineStr">
        <is>
          <t xml:space="preserve">$1,000</t>
        </is>
      </c>
      <c r="X182" s="48" t="inlineStr">
        <is>
          <t xml:space="preserve">$1,000,000 CSL</t>
        </is>
      </c>
      <c r="Y182" s="46"/>
      <c r="Z182" s="46"/>
      <c r="AA182" s="48" t="inlineStr">
        <is>
          <t xml:space="preserve">Surplus Lines</t>
        </is>
      </c>
      <c r="AB182" s="50">
        <v>4893.4</v>
      </c>
      <c r="AC182" s="51">
        <v>0</v>
      </c>
      <c r="AD182" s="38">
        <f>IF(ISNUMBER($AB182),$AB182*(1+N($AC182)),"")</f>
      </c>
      <c r="AE182" s="50">
        <v>350</v>
      </c>
      <c r="AF182" s="50">
        <v>0</v>
      </c>
      <c r="AG182" s="51"/>
      <c r="AH182" s="39">
        <f>IF(ISNUMBER($AD182),($AD182+$AE182+$AF182)*$AG182,"")</f>
      </c>
      <c r="AI182" s="50"/>
      <c r="AJ182" s="38">
        <f>IF(ISNUMBER($AD182),SUM($AD182:$AH182),"")</f>
      </c>
      <c r="AK182" s="40">
        <f>IF(AND(ISNUMBER($AB182),ISNUMBER($AD182)),IF($AB182&gt;0,$AD182/$AB182,""),"")</f>
      </c>
      <c r="AL182" s="48" t="inlineStr">
        <is>
          <t xml:space="preserve">At technical</t>
        </is>
      </c>
      <c r="AM182" s="41">
        <f>IF(ISNUMBER($AD182),Header!$I$3,"")</f>
      </c>
      <c r="AN182" s="39">
        <f>IF(ISNUMBER($AD182),$AO182+$AP182,"")</f>
      </c>
      <c r="AO182" s="39">
        <f>IF(ISNUMBER($AD182),ROUND($AD182*Header!$K$3,2),"")</f>
      </c>
      <c r="AP182" s="39">
        <f>IF(ISNUMBER($AD182),ROUND($AD182*Header!$M$3,2),"")</f>
      </c>
      <c r="AQ182" s="38">
        <f>IF(ISNUMBER($AD182),ROUND($AD182,2)-$AO182-$AP182,"")</f>
      </c>
      <c r="AR182" s="39">
        <f>IF(ISNUMBER($AD182),IF(Header!$D$34="","?",$AD182*Header!$D$34),"")</f>
      </c>
      <c r="AS182" s="39">
        <f>IF(ISNUMBER($AB182),IF(Header!$D$34="","?",$AB182*Header!$D$34),"")</f>
      </c>
      <c r="AT182" s="42">
        <f>IF(AND(ISNUMBER($AB182),$M182&gt;0),$AB182/$M182*100,"")</f>
      </c>
      <c r="AU182" s="42">
        <f>IF(AND(ISNUMBER($AD182),$M182&gt;0),$AD182/$M182*100,"")</f>
      </c>
      <c r="AV182" s="40">
        <f>IF(AND(ISNUMBER($AB182),ISNUMBER($AD182),ABS($AB182)&gt;0),$AD182/$AB182,"")</f>
      </c>
      <c r="AW182" s="39">
        <f>IF(ISNUMBER($AD182),MAX(0,(1-0.55-Header!$O$3)*Header!$Q$3*$AQ182),"")</f>
      </c>
      <c r="AX182" s="43">
        <f>IF($A182="","",IF(TRIM(IF($A182="","Missing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",""))="","PASS","FAIL: "&amp;TRIM(IF($A182="","Missing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f>
      </c>
      <c r="AY182" s="44">
        <f>IF($M182="","",IF(ISNUMBER($M182),IF($M182&gt;=Header!$C$18,"YES — refer","No"),""))</f>
      </c>
      <c r="AZ182" s="44">
        <f>IF($AD182="","",IF(ISNUMBER($AD182),IF($AD182&lt;Header!$C$20,"BELOW MIN PREMIUM","OK"),""))</f>
      </c>
      <c r="BA182" s="48" t="inlineStr">
        <is>
          <t xml:space="preserve">Yes</t>
        </is>
      </c>
      <c r="BB182" s="48" t="inlineStr">
        <is>
          <t xml:space="preserve">Yes</t>
        </is>
      </c>
      <c r="BC182" s="46" t="inlineStr">
        <is>
          <t xml:space="preserve">Synthetic demo data</t>
        </is>
      </c>
      <c r="BE182" s="45">
        <f>IF(OR($A182="",$L182="",$H182=""),"",IF(AND(LEFT($L182,2)="06",$H182&gt;1945),"FAIL - pre-war class, year "&amp;$H182,IF(AND(LEFT($L182,2)="07",OR($H182&lt;1946,$H182&gt;1972)),"FAIL - 1946-72 class, year "&amp;$H182,IF(AND(LEFT($L182,2)="08",OR($H182&lt;1973,$H182&gt;1999)),"FAIL - 1973-99 class, year "&amp;$H182,IF(AND(LEFT($L182,2)="09",OR($H182&lt;2000,$H182&gt;2010)),"FAIL - 2000-10 class, year "&amp;$H182,"OK")))))</f>
      </c>
      <c r="BF182" s="45">
        <f>IF($AD182="","",IF(ROUND($AO182+$AP182+$AQ182-$AD182,2)=0,"OK","FAIL - out by "&amp;TEXT($AO182+$AP182+$AQ182-$AD182,"$0.00")))</f>
      </c>
    </row>
    <row r="183" spans="1:58" ht="18.75" customHeight="1" x14ac:dyDescent="0.25">
      <c r="A183" s="30" t="inlineStr">
        <is>
          <t xml:space="preserve">CANON-202508-000235</t>
        </is>
      </c>
      <c r="B183" s="30" t="inlineStr">
        <is>
          <t xml:space="preserve">Fitzgerald Castellanos</t>
        </is>
      </c>
      <c r="C183" s="31">
        <v>45870</v>
      </c>
      <c r="D183" s="32" t="inlineStr">
        <is>
          <t xml:space="preserve">Bound - within authority</t>
        </is>
      </c>
      <c r="E183" s="32" t="inlineStr">
        <is>
          <t xml:space="preserve">New business</t>
        </is>
      </c>
      <c r="F183" s="30" t="inlineStr">
        <is>
          <t xml:space="preserve">B1234EXOTIC26</t>
        </is>
      </c>
      <c r="G183" s="33">
        <f>IF($A183="","",IF($C183="","",YEAR($C183)))</f>
      </c>
      <c r="H183" s="34">
        <v>1987</v>
      </c>
      <c r="I183" s="30" t="inlineStr">
        <is>
          <t xml:space="preserve">Mercedes-Benz</t>
        </is>
      </c>
      <c r="J183" s="30" t="inlineStr">
        <is>
          <t xml:space="preserve">AMG GT</t>
        </is>
      </c>
      <c r="K183" s="30" t="inlineStr">
        <is>
          <t xml:space="preserve">XAUD3B41A82VFKF75</t>
        </is>
      </c>
      <c r="L183" s="32" t="inlineStr">
        <is>
          <t xml:space="preserve">02 - Sports / GT</t>
        </is>
      </c>
      <c r="M183" s="35">
        <v>890000</v>
      </c>
      <c r="N183" s="32" t="inlineStr">
        <is>
          <t xml:space="preserve">Personal</t>
        </is>
      </c>
      <c r="O183" s="30" t="inlineStr">
        <is>
          <t xml:space="preserve">Personal - regular use</t>
        </is>
      </c>
      <c r="P183" s="30" t="inlineStr">
        <is>
          <t xml:space="preserve">Under 1,000</t>
        </is>
      </c>
      <c r="Q183" s="30" t="inlineStr">
        <is>
          <t xml:space="preserve">New Jersey</t>
        </is>
      </c>
      <c r="R183" s="30" t="inlineStr">
        <is>
          <t xml:space="preserve">07102</t>
        </is>
      </c>
      <c r="S183" s="32" t="inlineStr">
        <is>
          <t xml:space="preserve">Tier 3 - Coastal wind (25-100 miles)</t>
        </is>
      </c>
      <c r="T183" s="36">
        <f>IF($A183="","",IF($S183="","",IFERROR(INDEX('[1]natural catastrophe'!$D$6:$D$17,MATCH($S183,'[1]natural catastrophe'!$B$6:$B$17,0)),"?")))</f>
      </c>
      <c r="U183" s="30" t="inlineStr">
        <is>
          <t xml:space="preserve">2% of agreed value, minimum $10,000</t>
        </is>
      </c>
      <c r="V183" s="32" t="inlineStr">
        <is>
          <t xml:space="preserve">Agreed Value</t>
        </is>
      </c>
      <c r="W183" s="30" t="inlineStr">
        <is>
          <t xml:space="preserve">$1,000</t>
        </is>
      </c>
      <c r="X183" s="32" t="inlineStr">
        <is>
          <t xml:space="preserve">$1,000,000 CSL</t>
        </is>
      </c>
      <c r="Y183" s="30"/>
      <c r="Z183" s="30"/>
      <c r="AA183" s="32" t="inlineStr">
        <is>
          <t xml:space="preserve">Surplus Lines</t>
        </is>
      </c>
      <c r="AB183" s="35">
        <v>9932.74</v>
      </c>
      <c r="AC183" s="37">
        <v>0</v>
      </c>
      <c r="AD183" s="38">
        <f>IF(ISNUMBER($AB183),$AB183*(1+N($AC183)),"")</f>
      </c>
      <c r="AE183" s="35">
        <v>350</v>
      </c>
      <c r="AF183" s="35">
        <v>0</v>
      </c>
      <c r="AG183" s="37"/>
      <c r="AH183" s="39">
        <f>IF(ISNUMBER($AD183),($AD183+$AE183+$AF183)*$AG183,"")</f>
      </c>
      <c r="AI183" s="35"/>
      <c r="AJ183" s="38">
        <f>IF(ISNUMBER($AD183),SUM($AD183:$AH183),"")</f>
      </c>
      <c r="AK183" s="40">
        <f>IF(AND(ISNUMBER($AB183),ISNUMBER($AD183)),IF($AB183&gt;0,$AD183/$AB183,""),"")</f>
      </c>
      <c r="AL183" s="32" t="inlineStr">
        <is>
          <t xml:space="preserve">At technical</t>
        </is>
      </c>
      <c r="AM183" s="41">
        <f>IF(ISNUMBER($AD183),Header!$I$3,"")</f>
      </c>
      <c r="AN183" s="39">
        <f>IF(ISNUMBER($AD183),$AO183+$AP183,"")</f>
      </c>
      <c r="AO183" s="39">
        <f>IF(ISNUMBER($AD183),ROUND($AD183*Header!$K$3,2),"")</f>
      </c>
      <c r="AP183" s="39">
        <f>IF(ISNUMBER($AD183),ROUND($AD183*Header!$M$3,2),"")</f>
      </c>
      <c r="AQ183" s="38">
        <f>IF(ISNUMBER($AD183),ROUND($AD183,2)-$AO183-$AP183,"")</f>
      </c>
      <c r="AR183" s="39">
        <f>IF(ISNUMBER($AD183),IF(Header!$D$34="","?",$AD183*Header!$D$34),"")</f>
      </c>
      <c r="AS183" s="39">
        <f>IF(ISNUMBER($AB183),IF(Header!$D$34="","?",$AB183*Header!$D$34),"")</f>
      </c>
      <c r="AT183" s="42">
        <f>IF(AND(ISNUMBER($AB183),$M183&gt;0),$AB183/$M183*100,"")</f>
      </c>
      <c r="AU183" s="42">
        <f>IF(AND(ISNUMBER($AD183),$M183&gt;0),$AD183/$M183*100,"")</f>
      </c>
      <c r="AV183" s="40">
        <f>IF(AND(ISNUMBER($AB183),ISNUMBER($AD183),ABS($AB183)&gt;0),$AD183/$AB183,"")</f>
      </c>
      <c r="AW183" s="39">
        <f>IF(ISNUMBER($AD183),MAX(0,(1-0.55-Header!$O$3)*Header!$Q$3*$AQ183),"")</f>
      </c>
      <c r="AX183" s="43">
        <f>IF($A183="","",IF(TRIM(IF($A183="","Missing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",""))="","PASS","FAIL: "&amp;TRIM(IF($A183="","Missing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f>
      </c>
      <c r="AY183" s="44">
        <f>IF($M183="","",IF(ISNUMBER($M183),IF($M183&gt;=Header!$C$18,"YES — refer","No"),""))</f>
      </c>
      <c r="AZ183" s="44">
        <f>IF($AD183="","",IF(ISNUMBER($AD183),IF($AD183&lt;Header!$C$20,"BELOW MIN PREMIUM","OK"),""))</f>
      </c>
      <c r="BA183" s="32" t="inlineStr">
        <is>
          <t xml:space="preserve">Yes</t>
        </is>
      </c>
      <c r="BB183" s="32" t="inlineStr">
        <is>
          <t xml:space="preserve">Yes</t>
        </is>
      </c>
      <c r="BC183" s="30" t="inlineStr">
        <is>
          <t xml:space="preserve">Synthetic demo data</t>
        </is>
      </c>
      <c r="BE183" s="45">
        <f>IF(OR($A183="",$L183="",$H183=""),"",IF(AND(LEFT($L183,2)="06",$H183&gt;1945),"FAIL - pre-war class, year "&amp;$H183,IF(AND(LEFT($L183,2)="07",OR($H183&lt;1946,$H183&gt;1972)),"FAIL - 1946-72 class, year "&amp;$H183,IF(AND(LEFT($L183,2)="08",OR($H183&lt;1973,$H183&gt;1999)),"FAIL - 1973-99 class, year "&amp;$H183,IF(AND(LEFT($L183,2)="09",OR($H183&lt;2000,$H183&gt;2010)),"FAIL - 2000-10 class, year "&amp;$H183,"OK")))))</f>
      </c>
      <c r="BF183" s="45">
        <f>IF($AD183="","",IF(ROUND($AO183+$AP183+$AQ183-$AD183,2)=0,"OK","FAIL - out by "&amp;TEXT($AO183+$AP183+$AQ183-$AD183,"$0.00")))</f>
      </c>
    </row>
    <row r="184" spans="1:58" ht="18.75" customHeight="1" x14ac:dyDescent="0.25">
      <c r="A184" s="46" t="inlineStr">
        <is>
          <t xml:space="preserve">CANON-202508-000236</t>
        </is>
      </c>
      <c r="B184" s="46" t="inlineStr">
        <is>
          <t xml:space="preserve">Fenwick Delacroix</t>
        </is>
      </c>
      <c r="C184" s="47">
        <v>45880</v>
      </c>
      <c r="D184" s="48" t="inlineStr">
        <is>
          <t xml:space="preserve">Bound - within authority</t>
        </is>
      </c>
      <c r="E184" s="48" t="inlineStr">
        <is>
          <t xml:space="preserve">New business</t>
        </is>
      </c>
      <c r="F184" s="46" t="inlineStr">
        <is>
          <t xml:space="preserve">B1234EXOTIC26</t>
        </is>
      </c>
      <c r="G184" s="33">
        <f>IF($A184="","",IF($C184="","",YEAR($C184)))</f>
      </c>
      <c r="H184" s="49">
        <v>1971</v>
      </c>
      <c r="I184" s="46" t="inlineStr">
        <is>
          <t xml:space="preserve">Ringbrothers</t>
        </is>
      </c>
      <c r="J184" s="46" t="inlineStr">
        <is>
          <t xml:space="preserve">Mustang</t>
        </is>
      </c>
      <c r="K184" s="46" t="inlineStr">
        <is>
          <t xml:space="preserve">0R565B4ZM51L75V00</t>
        </is>
      </c>
      <c r="L184" s="48" t="inlineStr">
        <is>
          <t xml:space="preserve">11 - Restomod / Coachbuilt / Bespoke</t>
        </is>
      </c>
      <c r="M184" s="50">
        <v>460000</v>
      </c>
      <c r="N184" s="48" t="inlineStr">
        <is>
          <t xml:space="preserve">Personal</t>
        </is>
      </c>
      <c r="O184" s="46" t="inlineStr">
        <is>
          <t xml:space="preserve">Personal - regular use</t>
        </is>
      </c>
      <c r="P184" s="46" t="inlineStr">
        <is>
          <t xml:space="preserve">2,500 - 5,000</t>
        </is>
      </c>
      <c r="Q184" s="46" t="inlineStr">
        <is>
          <t xml:space="preserve">Illinois</t>
        </is>
      </c>
      <c r="R184" s="46" t="inlineStr">
        <is>
          <t xml:space="preserve">60601</t>
        </is>
      </c>
      <c r="S184" s="48" t="inlineStr">
        <is>
          <t xml:space="preserve">Severe convective - hail / tornado (moderate)</t>
        </is>
      </c>
      <c r="T184" s="36">
        <f>IF($A184="","",IF($S184="","",IFERROR(INDEX('[1]natural catastrophe'!$D$6:$D$17,MATCH($S184,'[1]natural catastrophe'!$B$6:$B$17,0)),"?")))</f>
      </c>
      <c r="U184" s="46" t="inlineStr">
        <is>
          <t xml:space="preserve">$5,000</t>
        </is>
      </c>
      <c r="V184" s="48" t="inlineStr">
        <is>
          <t xml:space="preserve">Agreed Value</t>
        </is>
      </c>
      <c r="W184" s="46" t="inlineStr">
        <is>
          <t xml:space="preserve">$1,000</t>
        </is>
      </c>
      <c r="X184" s="48" t="inlineStr">
        <is>
          <t xml:space="preserve">$1,000,000 CSL</t>
        </is>
      </c>
      <c r="Y184" s="46"/>
      <c r="Z184" s="46"/>
      <c r="AA184" s="48" t="inlineStr">
        <is>
          <t xml:space="preserve">Surplus Lines</t>
        </is>
      </c>
      <c r="AB184" s="50">
        <v>10387.32</v>
      </c>
      <c r="AC184" s="51">
        <v>0</v>
      </c>
      <c r="AD184" s="38">
        <f>IF(ISNUMBER($AB184),$AB184*(1+N($AC184)),"")</f>
      </c>
      <c r="AE184" s="50">
        <v>350</v>
      </c>
      <c r="AF184" s="50">
        <v>0</v>
      </c>
      <c r="AG184" s="51"/>
      <c r="AH184" s="39">
        <f>IF(ISNUMBER($AD184),($AD184+$AE184+$AF184)*$AG184,"")</f>
      </c>
      <c r="AI184" s="50"/>
      <c r="AJ184" s="38">
        <f>IF(ISNUMBER($AD184),SUM($AD184:$AH184),"")</f>
      </c>
      <c r="AK184" s="40">
        <f>IF(AND(ISNUMBER($AB184),ISNUMBER($AD184)),IF($AB184&gt;0,$AD184/$AB184,""),"")</f>
      </c>
      <c r="AL184" s="48" t="inlineStr">
        <is>
          <t xml:space="preserve">At technical</t>
        </is>
      </c>
      <c r="AM184" s="41">
        <f>IF(ISNUMBER($AD184),Header!$I$3,"")</f>
      </c>
      <c r="AN184" s="39">
        <f>IF(ISNUMBER($AD184),$AO184+$AP184,"")</f>
      </c>
      <c r="AO184" s="39">
        <f>IF(ISNUMBER($AD184),ROUND($AD184*Header!$K$3,2),"")</f>
      </c>
      <c r="AP184" s="39">
        <f>IF(ISNUMBER($AD184),ROUND($AD184*Header!$M$3,2),"")</f>
      </c>
      <c r="AQ184" s="38">
        <f>IF(ISNUMBER($AD184),ROUND($AD184,2)-$AO184-$AP184,"")</f>
      </c>
      <c r="AR184" s="39">
        <f>IF(ISNUMBER($AD184),IF(Header!$D$34="","?",$AD184*Header!$D$34),"")</f>
      </c>
      <c r="AS184" s="39">
        <f>IF(ISNUMBER($AB184),IF(Header!$D$34="","?",$AB184*Header!$D$34),"")</f>
      </c>
      <c r="AT184" s="42">
        <f>IF(AND(ISNUMBER($AB184),$M184&gt;0),$AB184/$M184*100,"")</f>
      </c>
      <c r="AU184" s="42">
        <f>IF(AND(ISNUMBER($AD184),$M184&gt;0),$AD184/$M184*100,"")</f>
      </c>
      <c r="AV184" s="40">
        <f>IF(AND(ISNUMBER($AB184),ISNUMBER($AD184),ABS($AB184)&gt;0),$AD184/$AB184,"")</f>
      </c>
      <c r="AW184" s="39">
        <f>IF(ISNUMBER($AD184),MAX(0,(1-0.55-Header!$O$3)*Header!$Q$3*$AQ184),"")</f>
      </c>
      <c r="AX184" s="43">
        <f>IF($A184="","",IF(TRIM(IF($A184="","Missing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",""))="","PASS","FAIL: "&amp;TRIM(IF($A184="","Missing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f>
      </c>
      <c r="AY184" s="44">
        <f>IF($M184="","",IF(ISNUMBER($M184),IF($M184&gt;=Header!$C$18,"YES — refer","No"),""))</f>
      </c>
      <c r="AZ184" s="44">
        <f>IF($AD184="","",IF(ISNUMBER($AD184),IF($AD184&lt;Header!$C$20,"BELOW MIN PREMIUM","OK"),""))</f>
      </c>
      <c r="BA184" s="48" t="inlineStr">
        <is>
          <t xml:space="preserve">Yes</t>
        </is>
      </c>
      <c r="BB184" s="48" t="inlineStr">
        <is>
          <t xml:space="preserve">Yes</t>
        </is>
      </c>
      <c r="BC184" s="46" t="inlineStr">
        <is>
          <t xml:space="preserve">Synthetic demo data</t>
        </is>
      </c>
      <c r="BE184" s="45">
        <f>IF(OR($A184="",$L184="",$H184=""),"",IF(AND(LEFT($L184,2)="06",$H184&gt;1945),"FAIL - pre-war class, year "&amp;$H184,IF(AND(LEFT($L184,2)="07",OR($H184&lt;1946,$H184&gt;1972)),"FAIL - 1946-72 class, year "&amp;$H184,IF(AND(LEFT($L184,2)="08",OR($H184&lt;1973,$H184&gt;1999)),"FAIL - 1973-99 class, year "&amp;$H184,IF(AND(LEFT($L184,2)="09",OR($H184&lt;2000,$H184&gt;2010)),"FAIL - 2000-10 class, year "&amp;$H184,"OK")))))</f>
      </c>
      <c r="BF184" s="45">
        <f>IF($AD184="","",IF(ROUND($AO184+$AP184+$AQ184-$AD184,2)=0,"OK","FAIL - out by "&amp;TEXT($AO184+$AP184+$AQ184-$AD184,"$0.00")))</f>
      </c>
    </row>
    <row r="185" spans="1:58" ht="18.75" customHeight="1" x14ac:dyDescent="0.25">
      <c r="A185" s="30" t="inlineStr">
        <is>
          <t xml:space="preserve">CANON-202508-000238</t>
        </is>
      </c>
      <c r="B185" s="30" t="inlineStr">
        <is>
          <t xml:space="preserve">Desmond Vandermeer</t>
        </is>
      </c>
      <c r="C185" s="31">
        <v>45882</v>
      </c>
      <c r="D185" s="32" t="inlineStr">
        <is>
          <t xml:space="preserve">Bound - within authority</t>
        </is>
      </c>
      <c r="E185" s="32" t="inlineStr">
        <is>
          <t xml:space="preserve">New business</t>
        </is>
      </c>
      <c r="F185" s="30" t="inlineStr">
        <is>
          <t xml:space="preserve">B1234EXOTIC26</t>
        </is>
      </c>
      <c r="G185" s="33">
        <f>IF($A185="","",IF($C185="","",YEAR($C185)))</f>
      </c>
      <c r="H185" s="34">
        <v>2002</v>
      </c>
      <c r="I185" s="30" t="inlineStr">
        <is>
          <t xml:space="preserve">Porsche</t>
        </is>
      </c>
      <c r="J185" s="30" t="inlineStr">
        <is>
          <t xml:space="preserve">911 Turbo S</t>
        </is>
      </c>
      <c r="K185" s="30" t="inlineStr">
        <is>
          <t xml:space="preserve">XW19P1SJXR7EJCKF2</t>
        </is>
      </c>
      <c r="L185" s="32" t="inlineStr">
        <is>
          <t xml:space="preserve">02 - Sports / GT</t>
        </is>
      </c>
      <c r="M185" s="35">
        <v>1440000</v>
      </c>
      <c r="N185" s="32" t="inlineStr">
        <is>
          <t xml:space="preserve">Personal</t>
        </is>
      </c>
      <c r="O185" s="30" t="inlineStr">
        <is>
          <t xml:space="preserve">Personal - regular use</t>
        </is>
      </c>
      <c r="P185" s="30" t="inlineStr">
        <is>
          <t xml:space="preserve">Under 1,000</t>
        </is>
      </c>
      <c r="Q185" s="30" t="inlineStr">
        <is>
          <t xml:space="preserve">Arkansas</t>
        </is>
      </c>
      <c r="R185" s="30" t="inlineStr">
        <is>
          <t xml:space="preserve">72201</t>
        </is>
      </c>
      <c r="S185" s="32" t="inlineStr">
        <is>
          <t xml:space="preserve">Severe convective - hail / tornado (moderate)</t>
        </is>
      </c>
      <c r="T185" s="36">
        <f>IF($A185="","",IF($S185="","",IFERROR(INDEX('[1]natural catastrophe'!$D$6:$D$17,MATCH($S185,'[1]natural catastrophe'!$B$6:$B$17,0)),"?")))</f>
      </c>
      <c r="U185" s="30" t="inlineStr">
        <is>
          <t xml:space="preserve">$5,000</t>
        </is>
      </c>
      <c r="V185" s="32" t="inlineStr">
        <is>
          <t xml:space="preserve">Agreed Value</t>
        </is>
      </c>
      <c r="W185" s="30" t="inlineStr">
        <is>
          <t xml:space="preserve">$1,000</t>
        </is>
      </c>
      <c r="X185" s="32" t="inlineStr">
        <is>
          <t xml:space="preserve">$1,000,000 CSL</t>
        </is>
      </c>
      <c r="Y185" s="30"/>
      <c r="Z185" s="30"/>
      <c r="AA185" s="32" t="inlineStr">
        <is>
          <t xml:space="preserve">Surplus Lines</t>
        </is>
      </c>
      <c r="AB185" s="35">
        <v>20621.89</v>
      </c>
      <c r="AC185" s="37">
        <v>0</v>
      </c>
      <c r="AD185" s="38">
        <f>IF(ISNUMBER($AB185),$AB185*(1+N($AC185)),"")</f>
      </c>
      <c r="AE185" s="35">
        <v>350</v>
      </c>
      <c r="AF185" s="35">
        <v>250</v>
      </c>
      <c r="AG185" s="37"/>
      <c r="AH185" s="39">
        <f>IF(ISNUMBER($AD185),($AD185+$AE185+$AF185)*$AG185,"")</f>
      </c>
      <c r="AI185" s="35"/>
      <c r="AJ185" s="38">
        <f>IF(ISNUMBER($AD185),SUM($AD185:$AH185),"")</f>
      </c>
      <c r="AK185" s="40">
        <f>IF(AND(ISNUMBER($AB185),ISNUMBER($AD185)),IF($AB185&gt;0,$AD185/$AB185,""),"")</f>
      </c>
      <c r="AL185" s="32" t="inlineStr">
        <is>
          <t xml:space="preserve">At technical</t>
        </is>
      </c>
      <c r="AM185" s="41">
        <f>IF(ISNUMBER($AD185),Header!$I$3,"")</f>
      </c>
      <c r="AN185" s="39">
        <f>IF(ISNUMBER($AD185),$AO185+$AP185,"")</f>
      </c>
      <c r="AO185" s="39">
        <f>IF(ISNUMBER($AD185),ROUND($AD185*Header!$K$3,2),"")</f>
      </c>
      <c r="AP185" s="39">
        <f>IF(ISNUMBER($AD185),ROUND($AD185*Header!$M$3,2),"")</f>
      </c>
      <c r="AQ185" s="38">
        <f>IF(ISNUMBER($AD185),ROUND($AD185,2)-$AO185-$AP185,"")</f>
      </c>
      <c r="AR185" s="39">
        <f>IF(ISNUMBER($AD185),IF(Header!$D$34="","?",$AD185*Header!$D$34),"")</f>
      </c>
      <c r="AS185" s="39">
        <f>IF(ISNUMBER($AB185),IF(Header!$D$34="","?",$AB185*Header!$D$34),"")</f>
      </c>
      <c r="AT185" s="42">
        <f>IF(AND(ISNUMBER($AB185),$M185&gt;0),$AB185/$M185*100,"")</f>
      </c>
      <c r="AU185" s="42">
        <f>IF(AND(ISNUMBER($AD185),$M185&gt;0),$AD185/$M185*100,"")</f>
      </c>
      <c r="AV185" s="40">
        <f>IF(AND(ISNUMBER($AB185),ISNUMBER($AD185),ABS($AB185)&gt;0),$AD185/$AB185,"")</f>
      </c>
      <c r="AW185" s="39">
        <f>IF(ISNUMBER($AD185),MAX(0,(1-0.55-Header!$O$3)*Header!$Q$3*$AQ185),"")</f>
      </c>
      <c r="AX185" s="43">
        <f>IF($A185="","",IF(TRIM(IF($A185="","Missing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",""))="","PASS","FAIL: "&amp;TRIM(IF($A185="","Missing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f>
      </c>
      <c r="AY185" s="44">
        <f>IF($M185="","",IF(ISNUMBER($M185),IF($M185&gt;=Header!$C$18,"YES — refer","No"),""))</f>
      </c>
      <c r="AZ185" s="44">
        <f>IF($AD185="","",IF(ISNUMBER($AD185),IF($AD185&lt;Header!$C$20,"BELOW MIN PREMIUM","OK"),""))</f>
      </c>
      <c r="BA185" s="32" t="inlineStr">
        <is>
          <t xml:space="preserve">Yes</t>
        </is>
      </c>
      <c r="BB185" s="32" t="inlineStr">
        <is>
          <t xml:space="preserve">Yes</t>
        </is>
      </c>
      <c r="BC185" s="30" t="inlineStr">
        <is>
          <t xml:space="preserve">Synthetic demo data</t>
        </is>
      </c>
      <c r="BE185" s="45">
        <f>IF(OR($A185="",$L185="",$H185=""),"",IF(AND(LEFT($L185,2)="06",$H185&gt;1945),"FAIL - pre-war class, year "&amp;$H185,IF(AND(LEFT($L185,2)="07",OR($H185&lt;1946,$H185&gt;1972)),"FAIL - 1946-72 class, year "&amp;$H185,IF(AND(LEFT($L185,2)="08",OR($H185&lt;1973,$H185&gt;1999)),"FAIL - 1973-99 class, year "&amp;$H185,IF(AND(LEFT($L185,2)="09",OR($H185&lt;2000,$H185&gt;2010)),"FAIL - 2000-10 class, year "&amp;$H185,"OK")))))</f>
      </c>
      <c r="BF185" s="45">
        <f>IF($AD185="","",IF(ROUND($AO185+$AP185+$AQ185-$AD185,2)=0,"OK","FAIL - out by "&amp;TEXT($AO185+$AP185+$AQ185-$AD185,"$0.00")))</f>
      </c>
    </row>
    <row r="186" spans="1:58" ht="18.75" customHeight="1" x14ac:dyDescent="0.25">
      <c r="A186" s="46" t="inlineStr">
        <is>
          <t xml:space="preserve">CANON-202508-000240</t>
        </is>
      </c>
      <c r="B186" s="46" t="inlineStr">
        <is>
          <t xml:space="preserve">Marisol Merriweather</t>
        </is>
      </c>
      <c r="C186" s="47">
        <v>45892</v>
      </c>
      <c r="D186" s="48" t="inlineStr">
        <is>
          <t xml:space="preserve">Bound - within authority</t>
        </is>
      </c>
      <c r="E186" s="48" t="inlineStr">
        <is>
          <t xml:space="preserve">New business</t>
        </is>
      </c>
      <c r="F186" s="46" t="inlineStr">
        <is>
          <t xml:space="preserve">B1234EXOTIC26</t>
        </is>
      </c>
      <c r="G186" s="33">
        <f>IF($A186="","",IF($C186="","",YEAR($C186)))</f>
      </c>
      <c r="H186" s="49">
        <v>1997</v>
      </c>
      <c r="I186" s="46" t="inlineStr">
        <is>
          <t xml:space="preserve">Maserati</t>
        </is>
      </c>
      <c r="J186" s="46" t="inlineStr">
        <is>
          <t xml:space="preserve">GranTurismo</t>
        </is>
      </c>
      <c r="K186" s="46" t="inlineStr">
        <is>
          <t xml:space="preserve">MM86UKVBPVHCE643B</t>
        </is>
      </c>
      <c r="L186" s="48" t="inlineStr">
        <is>
          <t xml:space="preserve">02 - Sports / GT</t>
        </is>
      </c>
      <c r="M186" s="50">
        <v>795000</v>
      </c>
      <c r="N186" s="48" t="inlineStr">
        <is>
          <t xml:space="preserve">Personal</t>
        </is>
      </c>
      <c r="O186" s="46" t="inlineStr">
        <is>
          <t xml:space="preserve">Personal - regular use</t>
        </is>
      </c>
      <c r="P186" s="46" t="inlineStr">
        <is>
          <t xml:space="preserve">Under 1,000</t>
        </is>
      </c>
      <c r="Q186" s="46" t="inlineStr">
        <is>
          <t xml:space="preserve">Tennessee</t>
        </is>
      </c>
      <c r="R186" s="46" t="inlineStr">
        <is>
          <t xml:space="preserve">37203</t>
        </is>
      </c>
      <c r="S186" s="48" t="inlineStr">
        <is>
          <t xml:space="preserve">Severe convective - hail / tornado (moderate)</t>
        </is>
      </c>
      <c r="T186" s="36">
        <f>IF($A186="","",IF($S186="","",IFERROR(INDEX('[1]natural catastrophe'!$D$6:$D$17,MATCH($S186,'[1]natural catastrophe'!$B$6:$B$17,0)),"?")))</f>
      </c>
      <c r="U186" s="46" t="inlineStr">
        <is>
          <t xml:space="preserve">$5,000</t>
        </is>
      </c>
      <c r="V186" s="48" t="inlineStr">
        <is>
          <t xml:space="preserve">Agreed Value</t>
        </is>
      </c>
      <c r="W186" s="46" t="inlineStr">
        <is>
          <t xml:space="preserve">$1,000</t>
        </is>
      </c>
      <c r="X186" s="48" t="inlineStr">
        <is>
          <t xml:space="preserve">$1,000,000 CSL</t>
        </is>
      </c>
      <c r="Y186" s="46"/>
      <c r="Z186" s="46"/>
      <c r="AA186" s="48" t="inlineStr">
        <is>
          <t xml:space="preserve">Surplus Lines</t>
        </is>
      </c>
      <c r="AB186" s="50">
        <v>9555</v>
      </c>
      <c r="AC186" s="51">
        <v>0</v>
      </c>
      <c r="AD186" s="38">
        <f>IF(ISNUMBER($AB186),$AB186*(1+N($AC186)),"")</f>
      </c>
      <c r="AE186" s="50">
        <v>350</v>
      </c>
      <c r="AF186" s="50">
        <v>0</v>
      </c>
      <c r="AG186" s="51"/>
      <c r="AH186" s="39">
        <f>IF(ISNUMBER($AD186),($AD186+$AE186+$AF186)*$AG186,"")</f>
      </c>
      <c r="AI186" s="50"/>
      <c r="AJ186" s="38">
        <f>IF(ISNUMBER($AD186),SUM($AD186:$AH186),"")</f>
      </c>
      <c r="AK186" s="40">
        <f>IF(AND(ISNUMBER($AB186),ISNUMBER($AD186)),IF($AB186&gt;0,$AD186/$AB186,""),"")</f>
      </c>
      <c r="AL186" s="48" t="inlineStr">
        <is>
          <t xml:space="preserve">At technical</t>
        </is>
      </c>
      <c r="AM186" s="41">
        <f>IF(ISNUMBER($AD186),Header!$I$3,"")</f>
      </c>
      <c r="AN186" s="39">
        <f>IF(ISNUMBER($AD186),$AO186+$AP186,"")</f>
      </c>
      <c r="AO186" s="39">
        <f>IF(ISNUMBER($AD186),ROUND($AD186*Header!$K$3,2),"")</f>
      </c>
      <c r="AP186" s="39">
        <f>IF(ISNUMBER($AD186),ROUND($AD186*Header!$M$3,2),"")</f>
      </c>
      <c r="AQ186" s="38">
        <f>IF(ISNUMBER($AD186),ROUND($AD186,2)-$AO186-$AP186,"")</f>
      </c>
      <c r="AR186" s="39">
        <f>IF(ISNUMBER($AD186),IF(Header!$D$34="","?",$AD186*Header!$D$34),"")</f>
      </c>
      <c r="AS186" s="39">
        <f>IF(ISNUMBER($AB186),IF(Header!$D$34="","?",$AB186*Header!$D$34),"")</f>
      </c>
      <c r="AT186" s="42">
        <f>IF(AND(ISNUMBER($AB186),$M186&gt;0),$AB186/$M186*100,"")</f>
      </c>
      <c r="AU186" s="42">
        <f>IF(AND(ISNUMBER($AD186),$M186&gt;0),$AD186/$M186*100,"")</f>
      </c>
      <c r="AV186" s="40">
        <f>IF(AND(ISNUMBER($AB186),ISNUMBER($AD186),ABS($AB186)&gt;0),$AD186/$AB186,"")</f>
      </c>
      <c r="AW186" s="39">
        <f>IF(ISNUMBER($AD186),MAX(0,(1-0.55-Header!$O$3)*Header!$Q$3*$AQ186),"")</f>
      </c>
      <c r="AX186" s="43">
        <f>IF($A186="","",IF(TRIM(IF($A186="","Missing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",""))="","PASS","FAIL: "&amp;TRIM(IF($A186="","Missing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f>
      </c>
      <c r="AY186" s="44">
        <f>IF($M186="","",IF(ISNUMBER($M186),IF($M186&gt;=Header!$C$18,"YES — refer","No"),""))</f>
      </c>
      <c r="AZ186" s="44">
        <f>IF($AD186="","",IF(ISNUMBER($AD186),IF($AD186&lt;Header!$C$20,"BELOW MIN PREMIUM","OK"),""))</f>
      </c>
      <c r="BA186" s="48" t="inlineStr">
        <is>
          <t xml:space="preserve">Yes</t>
        </is>
      </c>
      <c r="BB186" s="48" t="inlineStr">
        <is>
          <t xml:space="preserve">Yes</t>
        </is>
      </c>
      <c r="BC186" s="46" t="inlineStr">
        <is>
          <t xml:space="preserve">Synthetic demo data</t>
        </is>
      </c>
      <c r="BE186" s="45">
        <f>IF(OR($A186="",$L186="",$H186=""),"",IF(AND(LEFT($L186,2)="06",$H186&gt;1945),"FAIL - pre-war class, year "&amp;$H186,IF(AND(LEFT($L186,2)="07",OR($H186&lt;1946,$H186&gt;1972)),"FAIL - 1946-72 class, year "&amp;$H186,IF(AND(LEFT($L186,2)="08",OR($H186&lt;1973,$H186&gt;1999)),"FAIL - 1973-99 class, year "&amp;$H186,IF(AND(LEFT($L186,2)="09",OR($H186&lt;2000,$H186&gt;2010)),"FAIL - 2000-10 class, year "&amp;$H186,"OK")))))</f>
      </c>
      <c r="BF186" s="45">
        <f>IF($AD186="","",IF(ROUND($AO186+$AP186+$AQ186-$AD186,2)=0,"OK","FAIL - out by "&amp;TEXT($AO186+$AP186+$AQ186-$AD186,"$0.00")))</f>
      </c>
    </row>
    <row r="187" spans="1:58" ht="18.75" customHeight="1" x14ac:dyDescent="0.25">
      <c r="A187" s="30" t="inlineStr">
        <is>
          <t xml:space="preserve">CANON-202508-000241</t>
        </is>
      </c>
      <c r="B187" s="30" t="inlineStr">
        <is>
          <t xml:space="preserve">Leopold Rourke</t>
        </is>
      </c>
      <c r="C187" s="31">
        <v>45881</v>
      </c>
      <c r="D187" s="32" t="inlineStr">
        <is>
          <t xml:space="preserve">Bound - within authority</t>
        </is>
      </c>
      <c r="E187" s="32" t="inlineStr">
        <is>
          <t xml:space="preserve">New business</t>
        </is>
      </c>
      <c r="F187" s="30" t="inlineStr">
        <is>
          <t xml:space="preserve">B1234EXOTIC26</t>
        </is>
      </c>
      <c r="G187" s="33">
        <f>IF($A187="","",IF($C187="","",YEAR($C187)))</f>
      </c>
      <c r="H187" s="34">
        <v>1987</v>
      </c>
      <c r="I187" s="30" t="inlineStr">
        <is>
          <t xml:space="preserve">Maserati</t>
        </is>
      </c>
      <c r="J187" s="30" t="inlineStr">
        <is>
          <t xml:space="preserve">GranTurismo</t>
        </is>
      </c>
      <c r="K187" s="30" t="inlineStr">
        <is>
          <t xml:space="preserve">4W4JSAVVZB4JN423B</t>
        </is>
      </c>
      <c r="L187" s="32" t="inlineStr">
        <is>
          <t xml:space="preserve">02 - Sports / GT</t>
        </is>
      </c>
      <c r="M187" s="35">
        <v>265000</v>
      </c>
      <c r="N187" s="32" t="inlineStr">
        <is>
          <t xml:space="preserve">Personal</t>
        </is>
      </c>
      <c r="O187" s="30" t="inlineStr">
        <is>
          <t xml:space="preserve">Personal - regular use</t>
        </is>
      </c>
      <c r="P187" s="30" t="inlineStr">
        <is>
          <t xml:space="preserve">1,000 - 2,500</t>
        </is>
      </c>
      <c r="Q187" s="30" t="inlineStr">
        <is>
          <t xml:space="preserve">New York</t>
        </is>
      </c>
      <c r="R187" s="30" t="inlineStr">
        <is>
          <t xml:space="preserve">10022</t>
        </is>
      </c>
      <c r="S187" s="32" t="inlineStr">
        <is>
          <t xml:space="preserve">Tier 3 - Coastal wind (25-100 miles)</t>
        </is>
      </c>
      <c r="T187" s="36">
        <f>IF($A187="","",IF($S187="","",IFERROR(INDEX('[1]natural catastrophe'!$D$6:$D$17,MATCH($S187,'[1]natural catastrophe'!$B$6:$B$17,0)),"?")))</f>
      </c>
      <c r="U187" s="30" t="inlineStr">
        <is>
          <t xml:space="preserve">2% of agreed value, minimum $10,000</t>
        </is>
      </c>
      <c r="V187" s="32" t="inlineStr">
        <is>
          <t xml:space="preserve">Agreed Value</t>
        </is>
      </c>
      <c r="W187" s="30" t="inlineStr">
        <is>
          <t xml:space="preserve">$1,000</t>
        </is>
      </c>
      <c r="X187" s="32" t="inlineStr">
        <is>
          <t xml:space="preserve">$1,000,000 CSL</t>
        </is>
      </c>
      <c r="Y187" s="30"/>
      <c r="Z187" s="30"/>
      <c r="AA187" s="32" t="inlineStr">
        <is>
          <t xml:space="preserve">Surplus Lines</t>
        </is>
      </c>
      <c r="AB187" s="35">
        <v>4800</v>
      </c>
      <c r="AC187" s="37">
        <v>0</v>
      </c>
      <c r="AD187" s="38">
        <f>IF(ISNUMBER($AB187),$AB187*(1+N($AC187)),"")</f>
      </c>
      <c r="AE187" s="35">
        <v>350</v>
      </c>
      <c r="AF187" s="35">
        <v>0</v>
      </c>
      <c r="AG187" s="37"/>
      <c r="AH187" s="39">
        <f>IF(ISNUMBER($AD187),($AD187+$AE187+$AF187)*$AG187,"")</f>
      </c>
      <c r="AI187" s="35"/>
      <c r="AJ187" s="38">
        <f>IF(ISNUMBER($AD187),SUM($AD187:$AH187),"")</f>
      </c>
      <c r="AK187" s="40">
        <f>IF(AND(ISNUMBER($AB187),ISNUMBER($AD187)),IF($AB187&gt;0,$AD187/$AB187,""),"")</f>
      </c>
      <c r="AL187" s="32" t="inlineStr">
        <is>
          <t xml:space="preserve">At technical</t>
        </is>
      </c>
      <c r="AM187" s="41">
        <f>IF(ISNUMBER($AD187),Header!$I$3,"")</f>
      </c>
      <c r="AN187" s="39">
        <f>IF(ISNUMBER($AD187),$AO187+$AP187,"")</f>
      </c>
      <c r="AO187" s="39">
        <f>IF(ISNUMBER($AD187),ROUND($AD187*Header!$K$3,2),"")</f>
      </c>
      <c r="AP187" s="39">
        <f>IF(ISNUMBER($AD187),ROUND($AD187*Header!$M$3,2),"")</f>
      </c>
      <c r="AQ187" s="38">
        <f>IF(ISNUMBER($AD187),ROUND($AD187,2)-$AO187-$AP187,"")</f>
      </c>
      <c r="AR187" s="39">
        <f>IF(ISNUMBER($AD187),IF(Header!$D$34="","?",$AD187*Header!$D$34),"")</f>
      </c>
      <c r="AS187" s="39">
        <f>IF(ISNUMBER($AB187),IF(Header!$D$34="","?",$AB187*Header!$D$34),"")</f>
      </c>
      <c r="AT187" s="42">
        <f>IF(AND(ISNUMBER($AB187),$M187&gt;0),$AB187/$M187*100,"")</f>
      </c>
      <c r="AU187" s="42">
        <f>IF(AND(ISNUMBER($AD187),$M187&gt;0),$AD187/$M187*100,"")</f>
      </c>
      <c r="AV187" s="40">
        <f>IF(AND(ISNUMBER($AB187),ISNUMBER($AD187),ABS($AB187)&gt;0),$AD187/$AB187,"")</f>
      </c>
      <c r="AW187" s="39">
        <f>IF(ISNUMBER($AD187),MAX(0,(1-0.55-Header!$O$3)*Header!$Q$3*$AQ187),"")</f>
      </c>
      <c r="AX187" s="43">
        <f>IF($A187="","",IF(TRIM(IF($A187="","Missing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",""))="","PASS","FAIL: "&amp;TRIM(IF($A187="","Missing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f>
      </c>
      <c r="AY187" s="44">
        <f>IF($M187="","",IF(ISNUMBER($M187),IF($M187&gt;=Header!$C$18,"YES — refer","No"),""))</f>
      </c>
      <c r="AZ187" s="44">
        <f>IF($AD187="","",IF(ISNUMBER($AD187),IF($AD187&lt;Header!$C$20,"BELOW MIN PREMIUM","OK"),""))</f>
      </c>
      <c r="BA187" s="32" t="inlineStr">
        <is>
          <t xml:space="preserve">Yes</t>
        </is>
      </c>
      <c r="BB187" s="32" t="inlineStr">
        <is>
          <t xml:space="preserve">Yes</t>
        </is>
      </c>
      <c r="BC187" s="30" t="inlineStr">
        <is>
          <t xml:space="preserve">Synthetic demo data</t>
        </is>
      </c>
      <c r="BE187" s="45">
        <f>IF(OR($A187="",$L187="",$H187=""),"",IF(AND(LEFT($L187,2)="06",$H187&gt;1945),"FAIL - pre-war class, year "&amp;$H187,IF(AND(LEFT($L187,2)="07",OR($H187&lt;1946,$H187&gt;1972)),"FAIL - 1946-72 class, year "&amp;$H187,IF(AND(LEFT($L187,2)="08",OR($H187&lt;1973,$H187&gt;1999)),"FAIL - 1973-99 class, year "&amp;$H187,IF(AND(LEFT($L187,2)="09",OR($H187&lt;2000,$H187&gt;2010)),"FAIL - 2000-10 class, year "&amp;$H187,"OK")))))</f>
      </c>
      <c r="BF187" s="45">
        <f>IF($AD187="","",IF(ROUND($AO187+$AP187+$AQ187-$AD187,2)=0,"OK","FAIL - out by "&amp;TEXT($AO187+$AP187+$AQ187-$AD187,"$0.00")))</f>
      </c>
    </row>
    <row r="188" spans="1:58" ht="18.75" customHeight="1" x14ac:dyDescent="0.25">
      <c r="A188" s="46" t="inlineStr">
        <is>
          <t xml:space="preserve">CANON-202508-000243</t>
        </is>
      </c>
      <c r="B188" s="46" t="inlineStr">
        <is>
          <t xml:space="preserve">Wilhelmina Harrington</t>
        </is>
      </c>
      <c r="C188" s="47">
        <v>45899</v>
      </c>
      <c r="D188" s="48" t="inlineStr">
        <is>
          <t xml:space="preserve">Bound - within authority</t>
        </is>
      </c>
      <c r="E188" s="48" t="inlineStr">
        <is>
          <t xml:space="preserve">New business</t>
        </is>
      </c>
      <c r="F188" s="46" t="inlineStr">
        <is>
          <t xml:space="preserve">B1234EXOTIC26</t>
        </is>
      </c>
      <c r="G188" s="33">
        <f>IF($A188="","",IF($C188="","",YEAR($C188)))</f>
      </c>
      <c r="H188" s="49">
        <v>1998</v>
      </c>
      <c r="I188" s="46" t="inlineStr">
        <is>
          <t xml:space="preserve">Aston Martin</t>
        </is>
      </c>
      <c r="J188" s="46" t="inlineStr">
        <is>
          <t xml:space="preserve">DB12</t>
        </is>
      </c>
      <c r="K188" s="46" t="inlineStr">
        <is>
          <t xml:space="preserve">4W7XDNN85MBXCNAWG</t>
        </is>
      </c>
      <c r="L188" s="48" t="inlineStr">
        <is>
          <t xml:space="preserve">02 - Sports / GT</t>
        </is>
      </c>
      <c r="M188" s="50">
        <v>765000</v>
      </c>
      <c r="N188" s="48" t="inlineStr">
        <is>
          <t xml:space="preserve">Personal</t>
        </is>
      </c>
      <c r="O188" s="46" t="inlineStr">
        <is>
          <t xml:space="preserve">Personal - regular use</t>
        </is>
      </c>
      <c r="P188" s="46" t="inlineStr">
        <is>
          <t xml:space="preserve">Under 1,000</t>
        </is>
      </c>
      <c r="Q188" s="46" t="inlineStr">
        <is>
          <t xml:space="preserve">Delaware</t>
        </is>
      </c>
      <c r="R188" s="46" t="inlineStr">
        <is>
          <t xml:space="preserve">19801</t>
        </is>
      </c>
      <c r="S188" s="48" t="inlineStr">
        <is>
          <t xml:space="preserve">Tier 3 - Coastal wind (25-100 miles)</t>
        </is>
      </c>
      <c r="T188" s="36">
        <f>IF($A188="","",IF($S188="","",IFERROR(INDEX('[1]natural catastrophe'!$D$6:$D$17,MATCH($S188,'[1]natural catastrophe'!$B$6:$B$17,0)),"?")))</f>
      </c>
      <c r="U188" s="46" t="inlineStr">
        <is>
          <t xml:space="preserve">2% of agreed value, minimum $10,000</t>
        </is>
      </c>
      <c r="V188" s="48" t="inlineStr">
        <is>
          <t xml:space="preserve">Agreed Value</t>
        </is>
      </c>
      <c r="W188" s="46" t="inlineStr">
        <is>
          <t xml:space="preserve">$1,000</t>
        </is>
      </c>
      <c r="X188" s="48" t="inlineStr">
        <is>
          <t xml:space="preserve">$1,000,000 CSL</t>
        </is>
      </c>
      <c r="Y188" s="46"/>
      <c r="Z188" s="46"/>
      <c r="AA188" s="48" t="inlineStr">
        <is>
          <t xml:space="preserve">Surplus Lines</t>
        </is>
      </c>
      <c r="AB188" s="50">
        <v>11727.59</v>
      </c>
      <c r="AC188" s="51">
        <v>0</v>
      </c>
      <c r="AD188" s="38">
        <f>IF(ISNUMBER($AB188),$AB188*(1+N($AC188)),"")</f>
      </c>
      <c r="AE188" s="50">
        <v>350</v>
      </c>
      <c r="AF188" s="50">
        <v>0</v>
      </c>
      <c r="AG188" s="51"/>
      <c r="AH188" s="39">
        <f>IF(ISNUMBER($AD188),($AD188+$AE188+$AF188)*$AG188,"")</f>
      </c>
      <c r="AI188" s="50"/>
      <c r="AJ188" s="38">
        <f>IF(ISNUMBER($AD188),SUM($AD188:$AH188),"")</f>
      </c>
      <c r="AK188" s="40">
        <f>IF(AND(ISNUMBER($AB188),ISNUMBER($AD188)),IF($AB188&gt;0,$AD188/$AB188,""),"")</f>
      </c>
      <c r="AL188" s="48" t="inlineStr">
        <is>
          <t xml:space="preserve">At technical</t>
        </is>
      </c>
      <c r="AM188" s="41">
        <f>IF(ISNUMBER($AD188),Header!$I$3,"")</f>
      </c>
      <c r="AN188" s="39">
        <f>IF(ISNUMBER($AD188),$AO188+$AP188,"")</f>
      </c>
      <c r="AO188" s="39">
        <f>IF(ISNUMBER($AD188),ROUND($AD188*Header!$K$3,2),"")</f>
      </c>
      <c r="AP188" s="39">
        <f>IF(ISNUMBER($AD188),ROUND($AD188*Header!$M$3,2),"")</f>
      </c>
      <c r="AQ188" s="38">
        <f>IF(ISNUMBER($AD188),ROUND($AD188,2)-$AO188-$AP188,"")</f>
      </c>
      <c r="AR188" s="39">
        <f>IF(ISNUMBER($AD188),IF(Header!$D$34="","?",$AD188*Header!$D$34),"")</f>
      </c>
      <c r="AS188" s="39">
        <f>IF(ISNUMBER($AB188),IF(Header!$D$34="","?",$AB188*Header!$D$34),"")</f>
      </c>
      <c r="AT188" s="42">
        <f>IF(AND(ISNUMBER($AB188),$M188&gt;0),$AB188/$M188*100,"")</f>
      </c>
      <c r="AU188" s="42">
        <f>IF(AND(ISNUMBER($AD188),$M188&gt;0),$AD188/$M188*100,"")</f>
      </c>
      <c r="AV188" s="40">
        <f>IF(AND(ISNUMBER($AB188),ISNUMBER($AD188),ABS($AB188)&gt;0),$AD188/$AB188,"")</f>
      </c>
      <c r="AW188" s="39">
        <f>IF(ISNUMBER($AD188),MAX(0,(1-0.55-Header!$O$3)*Header!$Q$3*$AQ188),"")</f>
      </c>
      <c r="AX188" s="43">
        <f>IF($A188="","",IF(TRIM(IF($A188="","Missing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",""))="","PASS","FAIL: "&amp;TRIM(IF($A188="","Missing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f>
      </c>
      <c r="AY188" s="44">
        <f>IF($M188="","",IF(ISNUMBER($M188),IF($M188&gt;=Header!$C$18,"YES — refer","No"),""))</f>
      </c>
      <c r="AZ188" s="44">
        <f>IF($AD188="","",IF(ISNUMBER($AD188),IF($AD188&lt;Header!$C$20,"BELOW MIN PREMIUM","OK"),""))</f>
      </c>
      <c r="BA188" s="48" t="inlineStr">
        <is>
          <t xml:space="preserve">Yes</t>
        </is>
      </c>
      <c r="BB188" s="48" t="inlineStr">
        <is>
          <t xml:space="preserve">Yes</t>
        </is>
      </c>
      <c r="BC188" s="46" t="inlineStr">
        <is>
          <t xml:space="preserve">Synthetic demo data</t>
        </is>
      </c>
      <c r="BE188" s="45">
        <f>IF(OR($A188="",$L188="",$H188=""),"",IF(AND(LEFT($L188,2)="06",$H188&gt;1945),"FAIL - pre-war class, year "&amp;$H188,IF(AND(LEFT($L188,2)="07",OR($H188&lt;1946,$H188&gt;1972)),"FAIL - 1946-72 class, year "&amp;$H188,IF(AND(LEFT($L188,2)="08",OR($H188&lt;1973,$H188&gt;1999)),"FAIL - 1973-99 class, year "&amp;$H188,IF(AND(LEFT($L188,2)="09",OR($H188&lt;2000,$H188&gt;2010)),"FAIL - 2000-10 class, year "&amp;$H188,"OK")))))</f>
      </c>
      <c r="BF188" s="45">
        <f>IF($AD188="","",IF(ROUND($AO188+$AP188+$AQ188-$AD188,2)=0,"OK","FAIL - out by "&amp;TEXT($AO188+$AP188+$AQ188-$AD188,"$0.00")))</f>
      </c>
    </row>
    <row r="189" spans="1:58" ht="18.75" customHeight="1" x14ac:dyDescent="0.25">
      <c r="A189" s="30" t="inlineStr">
        <is>
          <t xml:space="preserve">CANON-202508-000244</t>
        </is>
      </c>
      <c r="B189" s="30" t="inlineStr">
        <is>
          <t xml:space="preserve">Wilhelmina Delacroix</t>
        </is>
      </c>
      <c r="C189" s="31">
        <v>45879</v>
      </c>
      <c r="D189" s="32" t="inlineStr">
        <is>
          <t xml:space="preserve">Bound - within authority</t>
        </is>
      </c>
      <c r="E189" s="32" t="inlineStr">
        <is>
          <t xml:space="preserve">New business</t>
        </is>
      </c>
      <c r="F189" s="30" t="inlineStr">
        <is>
          <t xml:space="preserve">B1234EXOTIC26</t>
        </is>
      </c>
      <c r="G189" s="33">
        <f>IF($A189="","",IF($C189="","",YEAR($C189)))</f>
      </c>
      <c r="H189" s="34">
        <v>1997</v>
      </c>
      <c r="I189" s="30" t="inlineStr">
        <is>
          <t xml:space="preserve">BMW</t>
        </is>
      </c>
      <c r="J189" s="30" t="inlineStr">
        <is>
          <t xml:space="preserve">M8 Competition</t>
        </is>
      </c>
      <c r="K189" s="30" t="inlineStr">
        <is>
          <t xml:space="preserve">M8Y7Z966CYAFRP64Z</t>
        </is>
      </c>
      <c r="L189" s="32" t="inlineStr">
        <is>
          <t xml:space="preserve">02 - Sports / GT</t>
        </is>
      </c>
      <c r="M189" s="35">
        <v>640000</v>
      </c>
      <c r="N189" s="32" t="inlineStr">
        <is>
          <t xml:space="preserve">Personal</t>
        </is>
      </c>
      <c r="O189" s="30" t="inlineStr">
        <is>
          <t xml:space="preserve">Personal - regular use</t>
        </is>
      </c>
      <c r="P189" s="30" t="inlineStr">
        <is>
          <t xml:space="preserve">2,500 - 5,000</t>
        </is>
      </c>
      <c r="Q189" s="30" t="inlineStr">
        <is>
          <t xml:space="preserve">Louisiana</t>
        </is>
      </c>
      <c r="R189" s="30" t="inlineStr">
        <is>
          <t xml:space="preserve">70112</t>
        </is>
      </c>
      <c r="S189" s="32" t="inlineStr">
        <is>
          <t xml:space="preserve">Tier 2 - Coastal wind (1-25 miles)</t>
        </is>
      </c>
      <c r="T189" s="36">
        <f>IF($A189="","",IF($S189="","",IFERROR(INDEX('[1]natural catastrophe'!$D$6:$D$17,MATCH($S189,'[1]natural catastrophe'!$B$6:$B$17,0)),"?")))</f>
      </c>
      <c r="U189" s="30" t="inlineStr">
        <is>
          <t xml:space="preserve">2% of agreed value, minimum $10,000</t>
        </is>
      </c>
      <c r="V189" s="32" t="inlineStr">
        <is>
          <t xml:space="preserve">Agreed Value</t>
        </is>
      </c>
      <c r="W189" s="30" t="inlineStr">
        <is>
          <t xml:space="preserve">$1,000</t>
        </is>
      </c>
      <c r="X189" s="32" t="inlineStr">
        <is>
          <t xml:space="preserve">$1,000,000 CSL</t>
        </is>
      </c>
      <c r="Y189" s="30"/>
      <c r="Z189" s="30"/>
      <c r="AA189" s="32" t="inlineStr">
        <is>
          <t xml:space="preserve">Surplus Lines</t>
        </is>
      </c>
      <c r="AB189" s="35">
        <v>9497.36</v>
      </c>
      <c r="AC189" s="37">
        <v>0</v>
      </c>
      <c r="AD189" s="38">
        <f>IF(ISNUMBER($AB189),$AB189*(1+N($AC189)),"")</f>
      </c>
      <c r="AE189" s="35">
        <v>350</v>
      </c>
      <c r="AF189" s="35">
        <v>0</v>
      </c>
      <c r="AG189" s="37"/>
      <c r="AH189" s="39">
        <f>IF(ISNUMBER($AD189),($AD189+$AE189+$AF189)*$AG189,"")</f>
      </c>
      <c r="AI189" s="35"/>
      <c r="AJ189" s="38">
        <f>IF(ISNUMBER($AD189),SUM($AD189:$AH189),"")</f>
      </c>
      <c r="AK189" s="40">
        <f>IF(AND(ISNUMBER($AB189),ISNUMBER($AD189)),IF($AB189&gt;0,$AD189/$AB189,""),"")</f>
      </c>
      <c r="AL189" s="32" t="inlineStr">
        <is>
          <t xml:space="preserve">At technical</t>
        </is>
      </c>
      <c r="AM189" s="41">
        <f>IF(ISNUMBER($AD189),Header!$I$3,"")</f>
      </c>
      <c r="AN189" s="39">
        <f>IF(ISNUMBER($AD189),$AO189+$AP189,"")</f>
      </c>
      <c r="AO189" s="39">
        <f>IF(ISNUMBER($AD189),ROUND($AD189*Header!$K$3,2),"")</f>
      </c>
      <c r="AP189" s="39">
        <f>IF(ISNUMBER($AD189),ROUND($AD189*Header!$M$3,2),"")</f>
      </c>
      <c r="AQ189" s="38">
        <f>IF(ISNUMBER($AD189),ROUND($AD189,2)-$AO189-$AP189,"")</f>
      </c>
      <c r="AR189" s="39">
        <f>IF(ISNUMBER($AD189),IF(Header!$D$34="","?",$AD189*Header!$D$34),"")</f>
      </c>
      <c r="AS189" s="39">
        <f>IF(ISNUMBER($AB189),IF(Header!$D$34="","?",$AB189*Header!$D$34),"")</f>
      </c>
      <c r="AT189" s="42">
        <f>IF(AND(ISNUMBER($AB189),$M189&gt;0),$AB189/$M189*100,"")</f>
      </c>
      <c r="AU189" s="42">
        <f>IF(AND(ISNUMBER($AD189),$M189&gt;0),$AD189/$M189*100,"")</f>
      </c>
      <c r="AV189" s="40">
        <f>IF(AND(ISNUMBER($AB189),ISNUMBER($AD189),ABS($AB189)&gt;0),$AD189/$AB189,"")</f>
      </c>
      <c r="AW189" s="39">
        <f>IF(ISNUMBER($AD189),MAX(0,(1-0.55-Header!$O$3)*Header!$Q$3*$AQ189),"")</f>
      </c>
      <c r="AX189" s="43">
        <f>IF($A189="","",IF(TRIM(IF($A189="","Missing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",""))="","PASS","FAIL: "&amp;TRIM(IF($A189="","Missing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f>
      </c>
      <c r="AY189" s="44">
        <f>IF($M189="","",IF(ISNUMBER($M189),IF($M189&gt;=Header!$C$18,"YES — refer","No"),""))</f>
      </c>
      <c r="AZ189" s="44">
        <f>IF($AD189="","",IF(ISNUMBER($AD189),IF($AD189&lt;Header!$C$20,"BELOW MIN PREMIUM","OK"),""))</f>
      </c>
      <c r="BA189" s="32" t="inlineStr">
        <is>
          <t xml:space="preserve">Yes</t>
        </is>
      </c>
      <c r="BB189" s="32" t="inlineStr">
        <is>
          <t xml:space="preserve">Yes</t>
        </is>
      </c>
      <c r="BC189" s="30" t="inlineStr">
        <is>
          <t xml:space="preserve">Synthetic demo data</t>
        </is>
      </c>
      <c r="BE189" s="45">
        <f>IF(OR($A189="",$L189="",$H189=""),"",IF(AND(LEFT($L189,2)="06",$H189&gt;1945),"FAIL - pre-war class, year "&amp;$H189,IF(AND(LEFT($L189,2)="07",OR($H189&lt;1946,$H189&gt;1972)),"FAIL - 1946-72 class, year "&amp;$H189,IF(AND(LEFT($L189,2)="08",OR($H189&lt;1973,$H189&gt;1999)),"FAIL - 1973-99 class, year "&amp;$H189,IF(AND(LEFT($L189,2)="09",OR($H189&lt;2000,$H189&gt;2010)),"FAIL - 2000-10 class, year "&amp;$H189,"OK")))))</f>
      </c>
      <c r="BF189" s="45">
        <f>IF($AD189="","",IF(ROUND($AO189+$AP189+$AQ189-$AD189,2)=0,"OK","FAIL - out by "&amp;TEXT($AO189+$AP189+$AQ189-$AD189,"$0.00")))</f>
      </c>
    </row>
    <row r="190" spans="1:58" ht="18.75" customHeight="1" x14ac:dyDescent="0.25">
      <c r="A190" s="46" t="inlineStr">
        <is>
          <t xml:space="preserve">CANON-202508-000245</t>
        </is>
      </c>
      <c r="B190" s="46" t="inlineStr">
        <is>
          <t xml:space="preserve">Ottilie Thistlewood</t>
        </is>
      </c>
      <c r="C190" s="47">
        <v>45885</v>
      </c>
      <c r="D190" s="48" t="inlineStr">
        <is>
          <t xml:space="preserve">Bound - within authority</t>
        </is>
      </c>
      <c r="E190" s="48" t="inlineStr">
        <is>
          <t xml:space="preserve">New business</t>
        </is>
      </c>
      <c r="F190" s="46" t="inlineStr">
        <is>
          <t xml:space="preserve">B1234EXOTIC26</t>
        </is>
      </c>
      <c r="G190" s="33">
        <f>IF($A190="","",IF($C190="","",YEAR($C190)))</f>
      </c>
      <c r="H190" s="49">
        <v>2017</v>
      </c>
      <c r="I190" s="46" t="inlineStr">
        <is>
          <t xml:space="preserve">Bentley</t>
        </is>
      </c>
      <c r="J190" s="46" t="inlineStr">
        <is>
          <t xml:space="preserve">Continental GT</t>
        </is>
      </c>
      <c r="K190" s="46" t="inlineStr">
        <is>
          <t xml:space="preserve">ANZ2SD2RLTVUPCUMG</t>
        </is>
      </c>
      <c r="L190" s="48" t="inlineStr">
        <is>
          <t xml:space="preserve">02 - Sports / GT</t>
        </is>
      </c>
      <c r="M190" s="50">
        <v>450000</v>
      </c>
      <c r="N190" s="48" t="inlineStr">
        <is>
          <t xml:space="preserve">Personal</t>
        </is>
      </c>
      <c r="O190" s="46" t="inlineStr">
        <is>
          <t xml:space="preserve">Personal - regular use</t>
        </is>
      </c>
      <c r="P190" s="46" t="inlineStr">
        <is>
          <t xml:space="preserve">Under 1,000</t>
        </is>
      </c>
      <c r="Q190" s="46" t="inlineStr">
        <is>
          <t xml:space="preserve">New Jersey</t>
        </is>
      </c>
      <c r="R190" s="46" t="inlineStr">
        <is>
          <t xml:space="preserve">07102</t>
        </is>
      </c>
      <c r="S190" s="48" t="inlineStr">
        <is>
          <t xml:space="preserve">Tier 3 - Coastal wind (25-100 miles)</t>
        </is>
      </c>
      <c r="T190" s="36">
        <f>IF($A190="","",IF($S190="","",IFERROR(INDEX('[1]natural catastrophe'!$D$6:$D$17,MATCH($S190,'[1]natural catastrophe'!$B$6:$B$17,0)),"?")))</f>
      </c>
      <c r="U190" s="46" t="inlineStr">
        <is>
          <t xml:space="preserve">2% of agreed value, minimum $10,000</t>
        </is>
      </c>
      <c r="V190" s="48" t="inlineStr">
        <is>
          <t xml:space="preserve">Agreed Value</t>
        </is>
      </c>
      <c r="W190" s="46" t="inlineStr">
        <is>
          <t xml:space="preserve">$1,000</t>
        </is>
      </c>
      <c r="X190" s="48" t="inlineStr">
        <is>
          <t xml:space="preserve">$1,000,000 CSL</t>
        </is>
      </c>
      <c r="Y190" s="46"/>
      <c r="Z190" s="46"/>
      <c r="AA190" s="48" t="inlineStr">
        <is>
          <t xml:space="preserve">Surplus Lines</t>
        </is>
      </c>
      <c r="AB190" s="50">
        <v>5794.81</v>
      </c>
      <c r="AC190" s="51">
        <v>0</v>
      </c>
      <c r="AD190" s="38">
        <f>IF(ISNUMBER($AB190),$AB190*(1+N($AC190)),"")</f>
      </c>
      <c r="AE190" s="50">
        <v>350</v>
      </c>
      <c r="AF190" s="50">
        <v>0</v>
      </c>
      <c r="AG190" s="51"/>
      <c r="AH190" s="39">
        <f>IF(ISNUMBER($AD190),($AD190+$AE190+$AF190)*$AG190,"")</f>
      </c>
      <c r="AI190" s="50"/>
      <c r="AJ190" s="38">
        <f>IF(ISNUMBER($AD190),SUM($AD190:$AH190),"")</f>
      </c>
      <c r="AK190" s="40">
        <f>IF(AND(ISNUMBER($AB190),ISNUMBER($AD190)),IF($AB190&gt;0,$AD190/$AB190,""),"")</f>
      </c>
      <c r="AL190" s="48" t="inlineStr">
        <is>
          <t xml:space="preserve">At technical</t>
        </is>
      </c>
      <c r="AM190" s="41">
        <f>IF(ISNUMBER($AD190),Header!$I$3,"")</f>
      </c>
      <c r="AN190" s="39">
        <f>IF(ISNUMBER($AD190),$AO190+$AP190,"")</f>
      </c>
      <c r="AO190" s="39">
        <f>IF(ISNUMBER($AD190),ROUND($AD190*Header!$K$3,2),"")</f>
      </c>
      <c r="AP190" s="39">
        <f>IF(ISNUMBER($AD190),ROUND($AD190*Header!$M$3,2),"")</f>
      </c>
      <c r="AQ190" s="38">
        <f>IF(ISNUMBER($AD190),ROUND($AD190,2)-$AO190-$AP190,"")</f>
      </c>
      <c r="AR190" s="39">
        <f>IF(ISNUMBER($AD190),IF(Header!$D$34="","?",$AD190*Header!$D$34),"")</f>
      </c>
      <c r="AS190" s="39">
        <f>IF(ISNUMBER($AB190),IF(Header!$D$34="","?",$AB190*Header!$D$34),"")</f>
      </c>
      <c r="AT190" s="42">
        <f>IF(AND(ISNUMBER($AB190),$M190&gt;0),$AB190/$M190*100,"")</f>
      </c>
      <c r="AU190" s="42">
        <f>IF(AND(ISNUMBER($AD190),$M190&gt;0),$AD190/$M190*100,"")</f>
      </c>
      <c r="AV190" s="40">
        <f>IF(AND(ISNUMBER($AB190),ISNUMBER($AD190),ABS($AB190)&gt;0),$AD190/$AB190,"")</f>
      </c>
      <c r="AW190" s="39">
        <f>IF(ISNUMBER($AD190),MAX(0,(1-0.55-Header!$O$3)*Header!$Q$3*$AQ190),"")</f>
      </c>
      <c r="AX190" s="43">
        <f>IF($A190="","",IF(TRIM(IF($A190="","Missing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",""))="","PASS","FAIL: "&amp;TRIM(IF($A190="","Missing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f>
      </c>
      <c r="AY190" s="44">
        <f>IF($M190="","",IF(ISNUMBER($M190),IF($M190&gt;=Header!$C$18,"YES — refer","No"),""))</f>
      </c>
      <c r="AZ190" s="44">
        <f>IF($AD190="","",IF(ISNUMBER($AD190),IF($AD190&lt;Header!$C$20,"BELOW MIN PREMIUM","OK"),""))</f>
      </c>
      <c r="BA190" s="48" t="inlineStr">
        <is>
          <t xml:space="preserve">Yes</t>
        </is>
      </c>
      <c r="BB190" s="48" t="inlineStr">
        <is>
          <t xml:space="preserve">Yes</t>
        </is>
      </c>
      <c r="BC190" s="46" t="inlineStr">
        <is>
          <t xml:space="preserve">Synthetic demo data</t>
        </is>
      </c>
      <c r="BE190" s="45">
        <f>IF(OR($A190="",$L190="",$H190=""),"",IF(AND(LEFT($L190,2)="06",$H190&gt;1945),"FAIL - pre-war class, year "&amp;$H190,IF(AND(LEFT($L190,2)="07",OR($H190&lt;1946,$H190&gt;1972)),"FAIL - 1946-72 class, year "&amp;$H190,IF(AND(LEFT($L190,2)="08",OR($H190&lt;1973,$H190&gt;1999)),"FAIL - 1973-99 class, year "&amp;$H190,IF(AND(LEFT($L190,2)="09",OR($H190&lt;2000,$H190&gt;2010)),"FAIL - 2000-10 class, year "&amp;$H190,"OK")))))</f>
      </c>
      <c r="BF190" s="45">
        <f>IF($AD190="","",IF(ROUND($AO190+$AP190+$AQ190-$AD190,2)=0,"OK","FAIL - out by "&amp;TEXT($AO190+$AP190+$AQ190-$AD190,"$0.00")))</f>
      </c>
    </row>
    <row r="191" spans="1:58" ht="18.75" customHeight="1" x14ac:dyDescent="0.25">
      <c r="A191" s="30" t="inlineStr">
        <is>
          <t xml:space="preserve">CANON-202508-000246</t>
        </is>
      </c>
      <c r="B191" s="30" t="inlineStr">
        <is>
          <t xml:space="preserve">Cassius Castellanos</t>
        </is>
      </c>
      <c r="C191" s="31">
        <v>45900</v>
      </c>
      <c r="D191" s="32" t="inlineStr">
        <is>
          <t xml:space="preserve">Bound - within authority</t>
        </is>
      </c>
      <c r="E191" s="32" t="inlineStr">
        <is>
          <t xml:space="preserve">New business</t>
        </is>
      </c>
      <c r="F191" s="30" t="inlineStr">
        <is>
          <t xml:space="preserve">B1234EXOTIC26</t>
        </is>
      </c>
      <c r="G191" s="33">
        <f>IF($A191="","",IF($C191="","",YEAR($C191)))</f>
      </c>
      <c r="H191" s="34">
        <v>1987</v>
      </c>
      <c r="I191" s="30" t="inlineStr">
        <is>
          <t xml:space="preserve">BMW</t>
        </is>
      </c>
      <c r="J191" s="30" t="inlineStr">
        <is>
          <t xml:space="preserve">M8 Competition</t>
        </is>
      </c>
      <c r="K191" s="30" t="inlineStr">
        <is>
          <t xml:space="preserve">JHJSP1ZCUB0RF33C4</t>
        </is>
      </c>
      <c r="L191" s="32" t="inlineStr">
        <is>
          <t xml:space="preserve">02 - Sports / GT</t>
        </is>
      </c>
      <c r="M191" s="35">
        <v>385000</v>
      </c>
      <c r="N191" s="32" t="inlineStr">
        <is>
          <t xml:space="preserve">Personal</t>
        </is>
      </c>
      <c r="O191" s="30" t="inlineStr">
        <is>
          <t xml:space="preserve">Personal - regular use</t>
        </is>
      </c>
      <c r="P191" s="30" t="inlineStr">
        <is>
          <t xml:space="preserve">2,500 - 5,000</t>
        </is>
      </c>
      <c r="Q191" s="30" t="inlineStr">
        <is>
          <t xml:space="preserve">New York</t>
        </is>
      </c>
      <c r="R191" s="30" t="inlineStr">
        <is>
          <t xml:space="preserve">10022</t>
        </is>
      </c>
      <c r="S191" s="32" t="inlineStr">
        <is>
          <t xml:space="preserve">Tier 3 - Coastal wind (25-100 miles)</t>
        </is>
      </c>
      <c r="T191" s="36">
        <f>IF($A191="","",IF($S191="","",IFERROR(INDEX('[1]natural catastrophe'!$D$6:$D$17,MATCH($S191,'[1]natural catastrophe'!$B$6:$B$17,0)),"?")))</f>
      </c>
      <c r="U191" s="30" t="inlineStr">
        <is>
          <t xml:space="preserve">2% of agreed value, minimum $10,000</t>
        </is>
      </c>
      <c r="V191" s="32" t="inlineStr">
        <is>
          <t xml:space="preserve">Agreed Value</t>
        </is>
      </c>
      <c r="W191" s="30" t="inlineStr">
        <is>
          <t xml:space="preserve">$1,000</t>
        </is>
      </c>
      <c r="X191" s="32" t="inlineStr">
        <is>
          <t xml:space="preserve">$1,000,000 CSL</t>
        </is>
      </c>
      <c r="Y191" s="30"/>
      <c r="Z191" s="30"/>
      <c r="AA191" s="32" t="inlineStr">
        <is>
          <t xml:space="preserve">Surplus Lines</t>
        </is>
      </c>
      <c r="AB191" s="35">
        <v>6973.58</v>
      </c>
      <c r="AC191" s="37">
        <v>0</v>
      </c>
      <c r="AD191" s="38">
        <f>IF(ISNUMBER($AB191),$AB191*(1+N($AC191)),"")</f>
      </c>
      <c r="AE191" s="35">
        <v>350</v>
      </c>
      <c r="AF191" s="35">
        <v>0</v>
      </c>
      <c r="AG191" s="37"/>
      <c r="AH191" s="39">
        <f>IF(ISNUMBER($AD191),($AD191+$AE191+$AF191)*$AG191,"")</f>
      </c>
      <c r="AI191" s="35"/>
      <c r="AJ191" s="38">
        <f>IF(ISNUMBER($AD191),SUM($AD191:$AH191),"")</f>
      </c>
      <c r="AK191" s="40">
        <f>IF(AND(ISNUMBER($AB191),ISNUMBER($AD191)),IF($AB191&gt;0,$AD191/$AB191,""),"")</f>
      </c>
      <c r="AL191" s="32" t="inlineStr">
        <is>
          <t xml:space="preserve">At technical</t>
        </is>
      </c>
      <c r="AM191" s="41">
        <f>IF(ISNUMBER($AD191),Header!$I$3,"")</f>
      </c>
      <c r="AN191" s="39">
        <f>IF(ISNUMBER($AD191),$AO191+$AP191,"")</f>
      </c>
      <c r="AO191" s="39">
        <f>IF(ISNUMBER($AD191),ROUND($AD191*Header!$K$3,2),"")</f>
      </c>
      <c r="AP191" s="39">
        <f>IF(ISNUMBER($AD191),ROUND($AD191*Header!$M$3,2),"")</f>
      </c>
      <c r="AQ191" s="38">
        <f>IF(ISNUMBER($AD191),ROUND($AD191,2)-$AO191-$AP191,"")</f>
      </c>
      <c r="AR191" s="39">
        <f>IF(ISNUMBER($AD191),IF(Header!$D$34="","?",$AD191*Header!$D$34),"")</f>
      </c>
      <c r="AS191" s="39">
        <f>IF(ISNUMBER($AB191),IF(Header!$D$34="","?",$AB191*Header!$D$34),"")</f>
      </c>
      <c r="AT191" s="42">
        <f>IF(AND(ISNUMBER($AB191),$M191&gt;0),$AB191/$M191*100,"")</f>
      </c>
      <c r="AU191" s="42">
        <f>IF(AND(ISNUMBER($AD191),$M191&gt;0),$AD191/$M191*100,"")</f>
      </c>
      <c r="AV191" s="40">
        <f>IF(AND(ISNUMBER($AB191),ISNUMBER($AD191),ABS($AB191)&gt;0),$AD191/$AB191,"")</f>
      </c>
      <c r="AW191" s="39">
        <f>IF(ISNUMBER($AD191),MAX(0,(1-0.55-Header!$O$3)*Header!$Q$3*$AQ191),"")</f>
      </c>
      <c r="AX191" s="43">
        <f>IF($A191="","",IF(TRIM(IF($A191="","Missing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",""))="","PASS","FAIL: "&amp;TRIM(IF($A191="","Missing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f>
      </c>
      <c r="AY191" s="44">
        <f>IF($M191="","",IF(ISNUMBER($M191),IF($M191&gt;=Header!$C$18,"YES — refer","No"),""))</f>
      </c>
      <c r="AZ191" s="44">
        <f>IF($AD191="","",IF(ISNUMBER($AD191),IF($AD191&lt;Header!$C$20,"BELOW MIN PREMIUM","OK"),""))</f>
      </c>
      <c r="BA191" s="32" t="inlineStr">
        <is>
          <t xml:space="preserve">Yes</t>
        </is>
      </c>
      <c r="BB191" s="32" t="inlineStr">
        <is>
          <t xml:space="preserve">Yes</t>
        </is>
      </c>
      <c r="BC191" s="30" t="inlineStr">
        <is>
          <t xml:space="preserve">Synthetic demo data</t>
        </is>
      </c>
      <c r="BE191" s="45">
        <f>IF(OR($A191="",$L191="",$H191=""),"",IF(AND(LEFT($L191,2)="06",$H191&gt;1945),"FAIL - pre-war class, year "&amp;$H191,IF(AND(LEFT($L191,2)="07",OR($H191&lt;1946,$H191&gt;1972)),"FAIL - 1946-72 class, year "&amp;$H191,IF(AND(LEFT($L191,2)="08",OR($H191&lt;1973,$H191&gt;1999)),"FAIL - 1973-99 class, year "&amp;$H191,IF(AND(LEFT($L191,2)="09",OR($H191&lt;2000,$H191&gt;2010)),"FAIL - 2000-10 class, year "&amp;$H191,"OK")))))</f>
      </c>
      <c r="BF191" s="45">
        <f>IF($AD191="","",IF(ROUND($AO191+$AP191+$AQ191-$AD191,2)=0,"OK","FAIL - out by "&amp;TEXT($AO191+$AP191+$AQ191-$AD191,"$0.00")))</f>
      </c>
    </row>
    <row r="192" spans="1:58" ht="18.75" customHeight="1" x14ac:dyDescent="0.25">
      <c r="A192" s="46" t="inlineStr">
        <is>
          <t xml:space="preserve">CANON-202508-000247</t>
        </is>
      </c>
      <c r="B192" s="46" t="inlineStr">
        <is>
          <t xml:space="preserve">Leopold Fairweather</t>
        </is>
      </c>
      <c r="C192" s="47">
        <v>45883</v>
      </c>
      <c r="D192" s="48" t="inlineStr">
        <is>
          <t xml:space="preserve">Bound - within authority</t>
        </is>
      </c>
      <c r="E192" s="48" t="inlineStr">
        <is>
          <t xml:space="preserve">New business</t>
        </is>
      </c>
      <c r="F192" s="46" t="inlineStr">
        <is>
          <t xml:space="preserve">B1234EXOTIC26</t>
        </is>
      </c>
      <c r="G192" s="33">
        <f>IF($A192="","",IF($C192="","",YEAR($C192)))</f>
      </c>
      <c r="H192" s="49">
        <v>1966</v>
      </c>
      <c r="I192" s="46" t="inlineStr">
        <is>
          <t xml:space="preserve">Aston Martin</t>
        </is>
      </c>
      <c r="J192" s="46" t="inlineStr">
        <is>
          <t xml:space="preserve">DB12</t>
        </is>
      </c>
      <c r="K192" s="46" t="inlineStr">
        <is>
          <t xml:space="preserve">6SPFWH6GNRSUGKVDA</t>
        </is>
      </c>
      <c r="L192" s="48" t="inlineStr">
        <is>
          <t xml:space="preserve">02 - Sports / GT</t>
        </is>
      </c>
      <c r="M192" s="50">
        <v>395000</v>
      </c>
      <c r="N192" s="48" t="inlineStr">
        <is>
          <t xml:space="preserve">Personal</t>
        </is>
      </c>
      <c r="O192" s="46" t="inlineStr">
        <is>
          <t xml:space="preserve">Personal - regular use</t>
        </is>
      </c>
      <c r="P192" s="46" t="inlineStr">
        <is>
          <t xml:space="preserve">1,000 - 2,500</t>
        </is>
      </c>
      <c r="Q192" s="46" t="inlineStr">
        <is>
          <t xml:space="preserve">Texas</t>
        </is>
      </c>
      <c r="R192" s="46" t="inlineStr">
        <is>
          <t xml:space="preserve">75201</t>
        </is>
      </c>
      <c r="S192" s="48" t="inlineStr">
        <is>
          <t xml:space="preserve">Tier 2 - Coastal wind (1-25 miles)</t>
        </is>
      </c>
      <c r="T192" s="36">
        <f>IF($A192="","",IF($S192="","",IFERROR(INDEX('[1]natural catastrophe'!$D$6:$D$17,MATCH($S192,'[1]natural catastrophe'!$B$6:$B$17,0)),"?")))</f>
      </c>
      <c r="U192" s="46" t="inlineStr">
        <is>
          <t xml:space="preserve">2% of agreed value, minimum $10,000</t>
        </is>
      </c>
      <c r="V192" s="48" t="inlineStr">
        <is>
          <t xml:space="preserve">Agreed Value</t>
        </is>
      </c>
      <c r="W192" s="46" t="inlineStr">
        <is>
          <t xml:space="preserve">$1,000</t>
        </is>
      </c>
      <c r="X192" s="48" t="inlineStr">
        <is>
          <t xml:space="preserve">$1,000,000 CSL</t>
        </is>
      </c>
      <c r="Y192" s="46"/>
      <c r="Z192" s="46"/>
      <c r="AA192" s="48" t="inlineStr">
        <is>
          <t xml:space="preserve">Surplus Lines</t>
        </is>
      </c>
      <c r="AB192" s="50">
        <v>6428.07</v>
      </c>
      <c r="AC192" s="51">
        <v>0</v>
      </c>
      <c r="AD192" s="38">
        <f>IF(ISNUMBER($AB192),$AB192*(1+N($AC192)),"")</f>
      </c>
      <c r="AE192" s="50">
        <v>350</v>
      </c>
      <c r="AF192" s="50">
        <v>0</v>
      </c>
      <c r="AG192" s="51"/>
      <c r="AH192" s="39">
        <f>IF(ISNUMBER($AD192),($AD192+$AE192+$AF192)*$AG192,"")</f>
      </c>
      <c r="AI192" s="50"/>
      <c r="AJ192" s="38">
        <f>IF(ISNUMBER($AD192),SUM($AD192:$AH192),"")</f>
      </c>
      <c r="AK192" s="40">
        <f>IF(AND(ISNUMBER($AB192),ISNUMBER($AD192)),IF($AB192&gt;0,$AD192/$AB192,""),"")</f>
      </c>
      <c r="AL192" s="48" t="inlineStr">
        <is>
          <t xml:space="preserve">At technical</t>
        </is>
      </c>
      <c r="AM192" s="41">
        <f>IF(ISNUMBER($AD192),Header!$I$3,"")</f>
      </c>
      <c r="AN192" s="39">
        <f>IF(ISNUMBER($AD192),$AO192+$AP192,"")</f>
      </c>
      <c r="AO192" s="39">
        <f>IF(ISNUMBER($AD192),ROUND($AD192*Header!$K$3,2),"")</f>
      </c>
      <c r="AP192" s="39">
        <f>IF(ISNUMBER($AD192),ROUND($AD192*Header!$M$3,2),"")</f>
      </c>
      <c r="AQ192" s="38">
        <f>IF(ISNUMBER($AD192),ROUND($AD192,2)-$AO192-$AP192,"")</f>
      </c>
      <c r="AR192" s="39">
        <f>IF(ISNUMBER($AD192),IF(Header!$D$34="","?",$AD192*Header!$D$34),"")</f>
      </c>
      <c r="AS192" s="39">
        <f>IF(ISNUMBER($AB192),IF(Header!$D$34="","?",$AB192*Header!$D$34),"")</f>
      </c>
      <c r="AT192" s="42">
        <f>IF(AND(ISNUMBER($AB192),$M192&gt;0),$AB192/$M192*100,"")</f>
      </c>
      <c r="AU192" s="42">
        <f>IF(AND(ISNUMBER($AD192),$M192&gt;0),$AD192/$M192*100,"")</f>
      </c>
      <c r="AV192" s="40">
        <f>IF(AND(ISNUMBER($AB192),ISNUMBER($AD192),ABS($AB192)&gt;0),$AD192/$AB192,"")</f>
      </c>
      <c r="AW192" s="39">
        <f>IF(ISNUMBER($AD192),MAX(0,(1-0.55-Header!$O$3)*Header!$Q$3*$AQ192),"")</f>
      </c>
      <c r="AX192" s="43">
        <f>IF($A192="","",IF(TRIM(IF($A192="","Missing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",""))="","PASS","FAIL: "&amp;TRIM(IF($A192="","Missing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f>
      </c>
      <c r="AY192" s="44">
        <f>IF($M192="","",IF(ISNUMBER($M192),IF($M192&gt;=Header!$C$18,"YES — refer","No"),""))</f>
      </c>
      <c r="AZ192" s="44">
        <f>IF($AD192="","",IF(ISNUMBER($AD192),IF($AD192&lt;Header!$C$20,"BELOW MIN PREMIUM","OK"),""))</f>
      </c>
      <c r="BA192" s="48" t="inlineStr">
        <is>
          <t xml:space="preserve">Yes</t>
        </is>
      </c>
      <c r="BB192" s="48" t="inlineStr">
        <is>
          <t xml:space="preserve">Yes</t>
        </is>
      </c>
      <c r="BC192" s="46" t="inlineStr">
        <is>
          <t xml:space="preserve">Synthetic demo data</t>
        </is>
      </c>
      <c r="BE192" s="45">
        <f>IF(OR($A192="",$L192="",$H192=""),"",IF(AND(LEFT($L192,2)="06",$H192&gt;1945),"FAIL - pre-war class, year "&amp;$H192,IF(AND(LEFT($L192,2)="07",OR($H192&lt;1946,$H192&gt;1972)),"FAIL - 1946-72 class, year "&amp;$H192,IF(AND(LEFT($L192,2)="08",OR($H192&lt;1973,$H192&gt;1999)),"FAIL - 1973-99 class, year "&amp;$H192,IF(AND(LEFT($L192,2)="09",OR($H192&lt;2000,$H192&gt;2010)),"FAIL - 2000-10 class, year "&amp;$H192,"OK")))))</f>
      </c>
      <c r="BF192" s="45">
        <f>IF($AD192="","",IF(ROUND($AO192+$AP192+$AQ192-$AD192,2)=0,"OK","FAIL - out by "&amp;TEXT($AO192+$AP192+$AQ192-$AD192,"$0.00")))</f>
      </c>
    </row>
    <row r="193" spans="1:58" ht="18.75" customHeight="1" x14ac:dyDescent="0.25">
      <c r="A193" s="30" t="inlineStr">
        <is>
          <t xml:space="preserve">CANON-202508-000248</t>
        </is>
      </c>
      <c r="B193" s="30" t="inlineStr">
        <is>
          <t xml:space="preserve">Fenwick Larsson</t>
        </is>
      </c>
      <c r="C193" s="31">
        <v>45870</v>
      </c>
      <c r="D193" s="32" t="inlineStr">
        <is>
          <t xml:space="preserve">Bound - within authority</t>
        </is>
      </c>
      <c r="E193" s="32" t="inlineStr">
        <is>
          <t xml:space="preserve">New business</t>
        </is>
      </c>
      <c r="F193" s="30" t="inlineStr">
        <is>
          <t xml:space="preserve">B1234EXOTIC26</t>
        </is>
      </c>
      <c r="G193" s="33">
        <f>IF($A193="","",IF($C193="","",YEAR($C193)))</f>
      </c>
      <c r="H193" s="34">
        <v>1981</v>
      </c>
      <c r="I193" s="30" t="inlineStr">
        <is>
          <t xml:space="preserve">Bentley</t>
        </is>
      </c>
      <c r="J193" s="30" t="inlineStr">
        <is>
          <t xml:space="preserve">Continental GT</t>
        </is>
      </c>
      <c r="K193" s="30" t="inlineStr">
        <is>
          <t xml:space="preserve">PFPZ3ZE9MP99DDF2C</t>
        </is>
      </c>
      <c r="L193" s="32" t="inlineStr">
        <is>
          <t xml:space="preserve">02 - Sports / GT</t>
        </is>
      </c>
      <c r="M193" s="35">
        <v>155000</v>
      </c>
      <c r="N193" s="32" t="inlineStr">
        <is>
          <t xml:space="preserve">Personal</t>
        </is>
      </c>
      <c r="O193" s="30" t="inlineStr">
        <is>
          <t xml:space="preserve">Personal - regular use</t>
        </is>
      </c>
      <c r="P193" s="30" t="inlineStr">
        <is>
          <t xml:space="preserve">2,500 - 5,000</t>
        </is>
      </c>
      <c r="Q193" s="30" t="inlineStr">
        <is>
          <t xml:space="preserve">Louisiana</t>
        </is>
      </c>
      <c r="R193" s="30" t="inlineStr">
        <is>
          <t xml:space="preserve">70112</t>
        </is>
      </c>
      <c r="S193" s="32" t="inlineStr">
        <is>
          <t xml:space="preserve">Tier 2 - Coastal wind (1-25 miles)</t>
        </is>
      </c>
      <c r="T193" s="36">
        <f>IF($A193="","",IF($S193="","",IFERROR(INDEX('[1]natural catastrophe'!$D$6:$D$17,MATCH($S193,'[1]natural catastrophe'!$B$6:$B$17,0)),"?")))</f>
      </c>
      <c r="U193" s="30" t="inlineStr">
        <is>
          <t xml:space="preserve">2% of agreed value, minimum $10,000</t>
        </is>
      </c>
      <c r="V193" s="32" t="inlineStr">
        <is>
          <t xml:space="preserve">Agreed Value</t>
        </is>
      </c>
      <c r="W193" s="30" t="inlineStr">
        <is>
          <t xml:space="preserve">$1,000</t>
        </is>
      </c>
      <c r="X193" s="32" t="inlineStr">
        <is>
          <t xml:space="preserve">$1,000,000 CSL</t>
        </is>
      </c>
      <c r="Y193" s="30"/>
      <c r="Z193" s="30"/>
      <c r="AA193" s="32" t="inlineStr">
        <is>
          <t xml:space="preserve">Surplus Lines</t>
        </is>
      </c>
      <c r="AB193" s="35">
        <v>3255.58</v>
      </c>
      <c r="AC193" s="37">
        <v>0</v>
      </c>
      <c r="AD193" s="38">
        <f>IF(ISNUMBER($AB193),$AB193*(1+N($AC193)),"")</f>
      </c>
      <c r="AE193" s="35">
        <v>350</v>
      </c>
      <c r="AF193" s="35">
        <v>0</v>
      </c>
      <c r="AG193" s="37"/>
      <c r="AH193" s="39">
        <f>IF(ISNUMBER($AD193),($AD193+$AE193+$AF193)*$AG193,"")</f>
      </c>
      <c r="AI193" s="35"/>
      <c r="AJ193" s="38">
        <f>IF(ISNUMBER($AD193),SUM($AD193:$AH193),"")</f>
      </c>
      <c r="AK193" s="40">
        <f>IF(AND(ISNUMBER($AB193),ISNUMBER($AD193)),IF($AB193&gt;0,$AD193/$AB193,""),"")</f>
      </c>
      <c r="AL193" s="32" t="inlineStr">
        <is>
          <t xml:space="preserve">At technical</t>
        </is>
      </c>
      <c r="AM193" s="41">
        <f>IF(ISNUMBER($AD193),Header!$I$3,"")</f>
      </c>
      <c r="AN193" s="39">
        <f>IF(ISNUMBER($AD193),$AO193+$AP193,"")</f>
      </c>
      <c r="AO193" s="39">
        <f>IF(ISNUMBER($AD193),ROUND($AD193*Header!$K$3,2),"")</f>
      </c>
      <c r="AP193" s="39">
        <f>IF(ISNUMBER($AD193),ROUND($AD193*Header!$M$3,2),"")</f>
      </c>
      <c r="AQ193" s="38">
        <f>IF(ISNUMBER($AD193),ROUND($AD193,2)-$AO193-$AP193,"")</f>
      </c>
      <c r="AR193" s="39">
        <f>IF(ISNUMBER($AD193),IF(Header!$D$34="","?",$AD193*Header!$D$34),"")</f>
      </c>
      <c r="AS193" s="39">
        <f>IF(ISNUMBER($AB193),IF(Header!$D$34="","?",$AB193*Header!$D$34),"")</f>
      </c>
      <c r="AT193" s="42">
        <f>IF(AND(ISNUMBER($AB193),$M193&gt;0),$AB193/$M193*100,"")</f>
      </c>
      <c r="AU193" s="42">
        <f>IF(AND(ISNUMBER($AD193),$M193&gt;0),$AD193/$M193*100,"")</f>
      </c>
      <c r="AV193" s="40">
        <f>IF(AND(ISNUMBER($AB193),ISNUMBER($AD193),ABS($AB193)&gt;0),$AD193/$AB193,"")</f>
      </c>
      <c r="AW193" s="39">
        <f>IF(ISNUMBER($AD193),MAX(0,(1-0.55-Header!$O$3)*Header!$Q$3*$AQ193),"")</f>
      </c>
      <c r="AX193" s="43">
        <f>IF($A193="","",IF(TRIM(IF($A193="","Missing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",""))="","PASS","FAIL: "&amp;TRIM(IF($A193="","Missing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f>
      </c>
      <c r="AY193" s="44">
        <f>IF($M193="","",IF(ISNUMBER($M193),IF($M193&gt;=Header!$C$18,"YES — refer","No"),""))</f>
      </c>
      <c r="AZ193" s="44">
        <f>IF($AD193="","",IF(ISNUMBER($AD193),IF($AD193&lt;Header!$C$20,"BELOW MIN PREMIUM","OK"),""))</f>
      </c>
      <c r="BA193" s="32" t="inlineStr">
        <is>
          <t xml:space="preserve">Yes</t>
        </is>
      </c>
      <c r="BB193" s="32" t="inlineStr">
        <is>
          <t xml:space="preserve">Yes</t>
        </is>
      </c>
      <c r="BC193" s="30" t="inlineStr">
        <is>
          <t xml:space="preserve">Synthetic demo data</t>
        </is>
      </c>
      <c r="BE193" s="45">
        <f>IF(OR($A193="",$L193="",$H193=""),"",IF(AND(LEFT($L193,2)="06",$H193&gt;1945),"FAIL - pre-war class, year "&amp;$H193,IF(AND(LEFT($L193,2)="07",OR($H193&lt;1946,$H193&gt;1972)),"FAIL - 1946-72 class, year "&amp;$H193,IF(AND(LEFT($L193,2)="08",OR($H193&lt;1973,$H193&gt;1999)),"FAIL - 1973-99 class, year "&amp;$H193,IF(AND(LEFT($L193,2)="09",OR($H193&lt;2000,$H193&gt;2010)),"FAIL - 2000-10 class, year "&amp;$H193,"OK")))))</f>
      </c>
      <c r="BF193" s="45">
        <f>IF($AD193="","",IF(ROUND($AO193+$AP193+$AQ193-$AD193,2)=0,"OK","FAIL - out by "&amp;TEXT($AO193+$AP193+$AQ193-$AD193,"$0.00")))</f>
      </c>
    </row>
    <row r="194" spans="1:58" ht="18.75" customHeight="1" x14ac:dyDescent="0.25">
      <c r="A194" s="46" t="inlineStr">
        <is>
          <t xml:space="preserve">CANON-202508-000249</t>
        </is>
      </c>
      <c r="B194" s="46" t="inlineStr">
        <is>
          <t xml:space="preserve">Saoirse Nakashima</t>
        </is>
      </c>
      <c r="C194" s="47">
        <v>45897</v>
      </c>
      <c r="D194" s="48" t="inlineStr">
        <is>
          <t xml:space="preserve">Bound - within authority</t>
        </is>
      </c>
      <c r="E194" s="48" t="inlineStr">
        <is>
          <t xml:space="preserve">New business</t>
        </is>
      </c>
      <c r="F194" s="46" t="inlineStr">
        <is>
          <t xml:space="preserve">B1234EXOTIC26</t>
        </is>
      </c>
      <c r="G194" s="33">
        <f>IF($A194="","",IF($C194="","",YEAR($C194)))</f>
      </c>
      <c r="H194" s="49">
        <v>2022</v>
      </c>
      <c r="I194" s="46" t="inlineStr">
        <is>
          <t xml:space="preserve">Jaguar</t>
        </is>
      </c>
      <c r="J194" s="46" t="inlineStr">
        <is>
          <t xml:space="preserve">E-Type Series 1</t>
        </is>
      </c>
      <c r="K194" s="46" t="inlineStr">
        <is>
          <t xml:space="preserve">3S7T1ZAVFS5KR3DU3</t>
        </is>
      </c>
      <c r="L194" s="48" t="inlineStr">
        <is>
          <t xml:space="preserve">02 - Sports / GT</t>
        </is>
      </c>
      <c r="M194" s="50">
        <v>250000</v>
      </c>
      <c r="N194" s="48" t="inlineStr">
        <is>
          <t xml:space="preserve">Personal</t>
        </is>
      </c>
      <c r="O194" s="46" t="inlineStr">
        <is>
          <t xml:space="preserve">Personal - regular use</t>
        </is>
      </c>
      <c r="P194" s="46" t="inlineStr">
        <is>
          <t xml:space="preserve">1,000 - 2,500</t>
        </is>
      </c>
      <c r="Q194" s="46" t="inlineStr">
        <is>
          <t xml:space="preserve">New York</t>
        </is>
      </c>
      <c r="R194" s="46" t="inlineStr">
        <is>
          <t xml:space="preserve">10022</t>
        </is>
      </c>
      <c r="S194" s="48" t="inlineStr">
        <is>
          <t xml:space="preserve">Tier 3 - Coastal wind (25-100 miles)</t>
        </is>
      </c>
      <c r="T194" s="36">
        <f>IF($A194="","",IF($S194="","",IFERROR(INDEX('[1]natural catastrophe'!$D$6:$D$17,MATCH($S194,'[1]natural catastrophe'!$B$6:$B$17,0)),"?")))</f>
      </c>
      <c r="U194" s="46" t="inlineStr">
        <is>
          <t xml:space="preserve">2% of agreed value, minimum $10,000</t>
        </is>
      </c>
      <c r="V194" s="48" t="inlineStr">
        <is>
          <t xml:space="preserve">Agreed Value</t>
        </is>
      </c>
      <c r="W194" s="46" t="inlineStr">
        <is>
          <t xml:space="preserve">$1,000</t>
        </is>
      </c>
      <c r="X194" s="48" t="inlineStr">
        <is>
          <t xml:space="preserve">$1,000,000 CSL</t>
        </is>
      </c>
      <c r="Y194" s="46"/>
      <c r="Z194" s="46"/>
      <c r="AA194" s="48" t="inlineStr">
        <is>
          <t xml:space="preserve">Surplus Lines</t>
        </is>
      </c>
      <c r="AB194" s="50">
        <v>2898.11</v>
      </c>
      <c r="AC194" s="51">
        <v>0</v>
      </c>
      <c r="AD194" s="38">
        <f>IF(ISNUMBER($AB194),$AB194*(1+N($AC194)),"")</f>
      </c>
      <c r="AE194" s="50">
        <v>350</v>
      </c>
      <c r="AF194" s="50">
        <v>0</v>
      </c>
      <c r="AG194" s="51"/>
      <c r="AH194" s="39">
        <f>IF(ISNUMBER($AD194),($AD194+$AE194+$AF194)*$AG194,"")</f>
      </c>
      <c r="AI194" s="50"/>
      <c r="AJ194" s="38">
        <f>IF(ISNUMBER($AD194),SUM($AD194:$AH194),"")</f>
      </c>
      <c r="AK194" s="40">
        <f>IF(AND(ISNUMBER($AB194),ISNUMBER($AD194)),IF($AB194&gt;0,$AD194/$AB194,""),"")</f>
      </c>
      <c r="AL194" s="48" t="inlineStr">
        <is>
          <t xml:space="preserve">At technical</t>
        </is>
      </c>
      <c r="AM194" s="41">
        <f>IF(ISNUMBER($AD194),Header!$I$3,"")</f>
      </c>
      <c r="AN194" s="39">
        <f>IF(ISNUMBER($AD194),$AO194+$AP194,"")</f>
      </c>
      <c r="AO194" s="39">
        <f>IF(ISNUMBER($AD194),ROUND($AD194*Header!$K$3,2),"")</f>
      </c>
      <c r="AP194" s="39">
        <f>IF(ISNUMBER($AD194),ROUND($AD194*Header!$M$3,2),"")</f>
      </c>
      <c r="AQ194" s="38">
        <f>IF(ISNUMBER($AD194),ROUND($AD194,2)-$AO194-$AP194,"")</f>
      </c>
      <c r="AR194" s="39">
        <f>IF(ISNUMBER($AD194),IF(Header!$D$34="","?",$AD194*Header!$D$34),"")</f>
      </c>
      <c r="AS194" s="39">
        <f>IF(ISNUMBER($AB194),IF(Header!$D$34="","?",$AB194*Header!$D$34),"")</f>
      </c>
      <c r="AT194" s="42">
        <f>IF(AND(ISNUMBER($AB194),$M194&gt;0),$AB194/$M194*100,"")</f>
      </c>
      <c r="AU194" s="42">
        <f>IF(AND(ISNUMBER($AD194),$M194&gt;0),$AD194/$M194*100,"")</f>
      </c>
      <c r="AV194" s="40">
        <f>IF(AND(ISNUMBER($AB194),ISNUMBER($AD194),ABS($AB194)&gt;0),$AD194/$AB194,"")</f>
      </c>
      <c r="AW194" s="39">
        <f>IF(ISNUMBER($AD194),MAX(0,(1-0.55-Header!$O$3)*Header!$Q$3*$AQ194),"")</f>
      </c>
      <c r="AX194" s="43">
        <f>IF($A194="","",IF(TRIM(IF($A194="","Missing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",""))="","PASS","FAIL: "&amp;TRIM(IF($A194="","Missing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f>
      </c>
      <c r="AY194" s="44">
        <f>IF($M194="","",IF(ISNUMBER($M194),IF($M194&gt;=Header!$C$18,"YES — refer","No"),""))</f>
      </c>
      <c r="AZ194" s="44">
        <f>IF($AD194="","",IF(ISNUMBER($AD194),IF($AD194&lt;Header!$C$20,"BELOW MIN PREMIUM","OK"),""))</f>
      </c>
      <c r="BA194" s="48" t="inlineStr">
        <is>
          <t xml:space="preserve">Yes</t>
        </is>
      </c>
      <c r="BB194" s="48" t="inlineStr">
        <is>
          <t xml:space="preserve">Yes</t>
        </is>
      </c>
      <c r="BC194" s="46" t="inlineStr">
        <is>
          <t xml:space="preserve">Synthetic demo data</t>
        </is>
      </c>
      <c r="BE194" s="45">
        <f>IF(OR($A194="",$L194="",$H194=""),"",IF(AND(LEFT($L194,2)="06",$H194&gt;1945),"FAIL - pre-war class, year "&amp;$H194,IF(AND(LEFT($L194,2)="07",OR($H194&lt;1946,$H194&gt;1972)),"FAIL - 1946-72 class, year "&amp;$H194,IF(AND(LEFT($L194,2)="08",OR($H194&lt;1973,$H194&gt;1999)),"FAIL - 1973-99 class, year "&amp;$H194,IF(AND(LEFT($L194,2)="09",OR($H194&lt;2000,$H194&gt;2010)),"FAIL - 2000-10 class, year "&amp;$H194,"OK")))))</f>
      </c>
      <c r="BF194" s="45">
        <f>IF($AD194="","",IF(ROUND($AO194+$AP194+$AQ194-$AD194,2)=0,"OK","FAIL - out by "&amp;TEXT($AO194+$AP194+$AQ194-$AD194,"$0.00")))</f>
      </c>
    </row>
    <row r="195" spans="1:58" ht="18.75" customHeight="1" x14ac:dyDescent="0.25">
      <c r="A195" s="30" t="inlineStr">
        <is>
          <t xml:space="preserve">CANON-202508-000250</t>
        </is>
      </c>
      <c r="B195" s="30" t="inlineStr">
        <is>
          <t xml:space="preserve">Saoirse Okonkwo</t>
        </is>
      </c>
      <c r="C195" s="31">
        <v>45892</v>
      </c>
      <c r="D195" s="32" t="inlineStr">
        <is>
          <t xml:space="preserve">Bound - within authority</t>
        </is>
      </c>
      <c r="E195" s="32" t="inlineStr">
        <is>
          <t xml:space="preserve">New business</t>
        </is>
      </c>
      <c r="F195" s="30" t="inlineStr">
        <is>
          <t xml:space="preserve">B1234EXOTIC26</t>
        </is>
      </c>
      <c r="G195" s="33">
        <f>IF($A195="","",IF($C195="","",YEAR($C195)))</f>
      </c>
      <c r="H195" s="34">
        <v>1981</v>
      </c>
      <c r="I195" s="30" t="inlineStr">
        <is>
          <t xml:space="preserve">Aston Martin</t>
        </is>
      </c>
      <c r="J195" s="30" t="inlineStr">
        <is>
          <t xml:space="preserve">DB12</t>
        </is>
      </c>
      <c r="K195" s="30" t="inlineStr">
        <is>
          <t xml:space="preserve">MGPLM0DG2A2W3YBJ9</t>
        </is>
      </c>
      <c r="L195" s="32" t="inlineStr">
        <is>
          <t xml:space="preserve">02 - Sports / GT</t>
        </is>
      </c>
      <c r="M195" s="35">
        <v>220000</v>
      </c>
      <c r="N195" s="32" t="inlineStr">
        <is>
          <t xml:space="preserve">Personal</t>
        </is>
      </c>
      <c r="O195" s="30" t="inlineStr">
        <is>
          <t xml:space="preserve">Personal - regular use</t>
        </is>
      </c>
      <c r="P195" s="30" t="inlineStr">
        <is>
          <t xml:space="preserve">Under 1,000</t>
        </is>
      </c>
      <c r="Q195" s="30" t="inlineStr">
        <is>
          <t xml:space="preserve">Oregon</t>
        </is>
      </c>
      <c r="R195" s="30" t="inlineStr">
        <is>
          <t xml:space="preserve">97204</t>
        </is>
      </c>
      <c r="S195" s="32" t="inlineStr">
        <is>
          <t xml:space="preserve">Earthquake - high (CA, Cascadia, New Madrid)</t>
        </is>
      </c>
      <c r="T195" s="36">
        <f>IF($A195="","",IF($S195="","",IFERROR(INDEX('[1]natural catastrophe'!$D$6:$D$17,MATCH($S195,'[1]natural catastrophe'!$B$6:$B$17,0)),"?")))</f>
      </c>
      <c r="U195" s="30" t="inlineStr">
        <is>
          <t xml:space="preserve">$5,000</t>
        </is>
      </c>
      <c r="V195" s="32" t="inlineStr">
        <is>
          <t xml:space="preserve">Agreed Value</t>
        </is>
      </c>
      <c r="W195" s="30" t="inlineStr">
        <is>
          <t xml:space="preserve">$1,000</t>
        </is>
      </c>
      <c r="X195" s="32" t="inlineStr">
        <is>
          <t xml:space="preserve">$1,000,000 CSL</t>
        </is>
      </c>
      <c r="Y195" s="30"/>
      <c r="Z195" s="30"/>
      <c r="AA195" s="32" t="inlineStr">
        <is>
          <t xml:space="preserve">Surplus Lines</t>
        </is>
      </c>
      <c r="AB195" s="35">
        <v>4315.32</v>
      </c>
      <c r="AC195" s="37">
        <v>0</v>
      </c>
      <c r="AD195" s="38">
        <f>IF(ISNUMBER($AB195),$AB195*(1+N($AC195)),"")</f>
      </c>
      <c r="AE195" s="35">
        <v>350</v>
      </c>
      <c r="AF195" s="35">
        <v>0</v>
      </c>
      <c r="AG195" s="37"/>
      <c r="AH195" s="39">
        <f>IF(ISNUMBER($AD195),($AD195+$AE195+$AF195)*$AG195,"")</f>
      </c>
      <c r="AI195" s="35"/>
      <c r="AJ195" s="38">
        <f>IF(ISNUMBER($AD195),SUM($AD195:$AH195),"")</f>
      </c>
      <c r="AK195" s="40">
        <f>IF(AND(ISNUMBER($AB195),ISNUMBER($AD195)),IF($AB195&gt;0,$AD195/$AB195,""),"")</f>
      </c>
      <c r="AL195" s="32" t="inlineStr">
        <is>
          <t xml:space="preserve">At technical</t>
        </is>
      </c>
      <c r="AM195" s="41">
        <f>IF(ISNUMBER($AD195),Header!$I$3,"")</f>
      </c>
      <c r="AN195" s="39">
        <f>IF(ISNUMBER($AD195),$AO195+$AP195,"")</f>
      </c>
      <c r="AO195" s="39">
        <f>IF(ISNUMBER($AD195),ROUND($AD195*Header!$K$3,2),"")</f>
      </c>
      <c r="AP195" s="39">
        <f>IF(ISNUMBER($AD195),ROUND($AD195*Header!$M$3,2),"")</f>
      </c>
      <c r="AQ195" s="38">
        <f>IF(ISNUMBER($AD195),ROUND($AD195,2)-$AO195-$AP195,"")</f>
      </c>
      <c r="AR195" s="39">
        <f>IF(ISNUMBER($AD195),IF(Header!$D$34="","?",$AD195*Header!$D$34),"")</f>
      </c>
      <c r="AS195" s="39">
        <f>IF(ISNUMBER($AB195),IF(Header!$D$34="","?",$AB195*Header!$D$34),"")</f>
      </c>
      <c r="AT195" s="42">
        <f>IF(AND(ISNUMBER($AB195),$M195&gt;0),$AB195/$M195*100,"")</f>
      </c>
      <c r="AU195" s="42">
        <f>IF(AND(ISNUMBER($AD195),$M195&gt;0),$AD195/$M195*100,"")</f>
      </c>
      <c r="AV195" s="40">
        <f>IF(AND(ISNUMBER($AB195),ISNUMBER($AD195),ABS($AB195)&gt;0),$AD195/$AB195,"")</f>
      </c>
      <c r="AW195" s="39">
        <f>IF(ISNUMBER($AD195),MAX(0,(1-0.55-Header!$O$3)*Header!$Q$3*$AQ195),"")</f>
      </c>
      <c r="AX195" s="43">
        <f>IF($A195="","",IF(TRIM(IF($A195="","Missing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",""))="","PASS","FAIL: "&amp;TRIM(IF($A195="","Missing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f>
      </c>
      <c r="AY195" s="44">
        <f>IF($M195="","",IF(ISNUMBER($M195),IF($M195&gt;=Header!$C$18,"YES — refer","No"),""))</f>
      </c>
      <c r="AZ195" s="44">
        <f>IF($AD195="","",IF(ISNUMBER($AD195),IF($AD195&lt;Header!$C$20,"BELOW MIN PREMIUM","OK"),""))</f>
      </c>
      <c r="BA195" s="32" t="inlineStr">
        <is>
          <t xml:space="preserve">Yes</t>
        </is>
      </c>
      <c r="BB195" s="32" t="inlineStr">
        <is>
          <t xml:space="preserve">Yes</t>
        </is>
      </c>
      <c r="BC195" s="30" t="inlineStr">
        <is>
          <t xml:space="preserve">Synthetic demo data</t>
        </is>
      </c>
      <c r="BE195" s="45">
        <f>IF(OR($A195="",$L195="",$H195=""),"",IF(AND(LEFT($L195,2)="06",$H195&gt;1945),"FAIL - pre-war class, year "&amp;$H195,IF(AND(LEFT($L195,2)="07",OR($H195&lt;1946,$H195&gt;1972)),"FAIL - 1946-72 class, year "&amp;$H195,IF(AND(LEFT($L195,2)="08",OR($H195&lt;1973,$H195&gt;1999)),"FAIL - 1973-99 class, year "&amp;$H195,IF(AND(LEFT($L195,2)="09",OR($H195&lt;2000,$H195&gt;2010)),"FAIL - 2000-10 class, year "&amp;$H195,"OK")))))</f>
      </c>
      <c r="BF195" s="45">
        <f>IF($AD195="","",IF(ROUND($AO195+$AP195+$AQ195-$AD195,2)=0,"OK","FAIL - out by "&amp;TEXT($AO195+$AP195+$AQ195-$AD195,"$0.00")))</f>
      </c>
    </row>
    <row r="196" spans="1:58" ht="18.75" customHeight="1" x14ac:dyDescent="0.25">
      <c r="A196" s="46" t="inlineStr">
        <is>
          <t xml:space="preserve">CANON-202508-000251</t>
        </is>
      </c>
      <c r="B196" s="46" t="inlineStr">
        <is>
          <t xml:space="preserve">Fenwick Underwood</t>
        </is>
      </c>
      <c r="C196" s="47">
        <v>45871</v>
      </c>
      <c r="D196" s="48" t="inlineStr">
        <is>
          <t xml:space="preserve">Bound - within authority</t>
        </is>
      </c>
      <c r="E196" s="48" t="inlineStr">
        <is>
          <t xml:space="preserve">New business</t>
        </is>
      </c>
      <c r="F196" s="46" t="inlineStr">
        <is>
          <t xml:space="preserve">B1234EXOTIC26</t>
        </is>
      </c>
      <c r="G196" s="33">
        <f>IF($A196="","",IF($C196="","",YEAR($C196)))</f>
      </c>
      <c r="H196" s="49">
        <v>1986</v>
      </c>
      <c r="I196" s="46" t="inlineStr">
        <is>
          <t xml:space="preserve">Bentley</t>
        </is>
      </c>
      <c r="J196" s="46" t="inlineStr">
        <is>
          <t xml:space="preserve">Continental GT</t>
        </is>
      </c>
      <c r="K196" s="46" t="inlineStr">
        <is>
          <t xml:space="preserve">FKM9Z9VP325DBB7V8</t>
        </is>
      </c>
      <c r="L196" s="48" t="inlineStr">
        <is>
          <t xml:space="preserve">02 - Sports / GT</t>
        </is>
      </c>
      <c r="M196" s="50">
        <v>700000</v>
      </c>
      <c r="N196" s="48" t="inlineStr">
        <is>
          <t xml:space="preserve">Personal</t>
        </is>
      </c>
      <c r="O196" s="46" t="inlineStr">
        <is>
          <t xml:space="preserve">Personal - regular use</t>
        </is>
      </c>
      <c r="P196" s="46" t="inlineStr">
        <is>
          <t xml:space="preserve">1,000 - 2,500</t>
        </is>
      </c>
      <c r="Q196" s="46" t="inlineStr">
        <is>
          <t xml:space="preserve">Florida</t>
        </is>
      </c>
      <c r="R196" s="46" t="inlineStr">
        <is>
          <t xml:space="preserve">33139</t>
        </is>
      </c>
      <c r="S196" s="48" t="inlineStr">
        <is>
          <t xml:space="preserve">Tier 2 - Coastal wind (1-25 miles)</t>
        </is>
      </c>
      <c r="T196" s="36">
        <f>IF($A196="","",IF($S196="","",IFERROR(INDEX('[1]natural catastrophe'!$D$6:$D$17,MATCH($S196,'[1]natural catastrophe'!$B$6:$B$17,0)),"?")))</f>
      </c>
      <c r="U196" s="46" t="inlineStr">
        <is>
          <t xml:space="preserve">2% of agreed value, minimum $10,000</t>
        </is>
      </c>
      <c r="V196" s="48" t="inlineStr">
        <is>
          <t xml:space="preserve">Agreed Value</t>
        </is>
      </c>
      <c r="W196" s="46" t="inlineStr">
        <is>
          <t xml:space="preserve">$1,000</t>
        </is>
      </c>
      <c r="X196" s="48" t="inlineStr">
        <is>
          <t xml:space="preserve">$1,000,000 CSL</t>
        </is>
      </c>
      <c r="Y196" s="46"/>
      <c r="Z196" s="46"/>
      <c r="AA196" s="48" t="inlineStr">
        <is>
          <t xml:space="preserve">Surplus Lines</t>
        </is>
      </c>
      <c r="AB196" s="50">
        <v>12190.57</v>
      </c>
      <c r="AC196" s="51">
        <v>0</v>
      </c>
      <c r="AD196" s="38">
        <f>IF(ISNUMBER($AB196),$AB196*(1+N($AC196)),"")</f>
      </c>
      <c r="AE196" s="50">
        <v>350</v>
      </c>
      <c r="AF196" s="50">
        <v>0</v>
      </c>
      <c r="AG196" s="51"/>
      <c r="AH196" s="39">
        <f>IF(ISNUMBER($AD196),($AD196+$AE196+$AF196)*$AG196,"")</f>
      </c>
      <c r="AI196" s="50"/>
      <c r="AJ196" s="38">
        <f>IF(ISNUMBER($AD196),SUM($AD196:$AH196),"")</f>
      </c>
      <c r="AK196" s="40">
        <f>IF(AND(ISNUMBER($AB196),ISNUMBER($AD196)),IF($AB196&gt;0,$AD196/$AB196,""),"")</f>
      </c>
      <c r="AL196" s="48" t="inlineStr">
        <is>
          <t xml:space="preserve">At technical</t>
        </is>
      </c>
      <c r="AM196" s="41">
        <f>IF(ISNUMBER($AD196),Header!$I$3,"")</f>
      </c>
      <c r="AN196" s="39">
        <f>IF(ISNUMBER($AD196),$AO196+$AP196,"")</f>
      </c>
      <c r="AO196" s="39">
        <f>IF(ISNUMBER($AD196),ROUND($AD196*Header!$K$3,2),"")</f>
      </c>
      <c r="AP196" s="39">
        <f>IF(ISNUMBER($AD196),ROUND($AD196*Header!$M$3,2),"")</f>
      </c>
      <c r="AQ196" s="38">
        <f>IF(ISNUMBER($AD196),ROUND($AD196,2)-$AO196-$AP196,"")</f>
      </c>
      <c r="AR196" s="39">
        <f>IF(ISNUMBER($AD196),IF(Header!$D$34="","?",$AD196*Header!$D$34),"")</f>
      </c>
      <c r="AS196" s="39">
        <f>IF(ISNUMBER($AB196),IF(Header!$D$34="","?",$AB196*Header!$D$34),"")</f>
      </c>
      <c r="AT196" s="42">
        <f>IF(AND(ISNUMBER($AB196),$M196&gt;0),$AB196/$M196*100,"")</f>
      </c>
      <c r="AU196" s="42">
        <f>IF(AND(ISNUMBER($AD196),$M196&gt;0),$AD196/$M196*100,"")</f>
      </c>
      <c r="AV196" s="40">
        <f>IF(AND(ISNUMBER($AB196),ISNUMBER($AD196),ABS($AB196)&gt;0),$AD196/$AB196,"")</f>
      </c>
      <c r="AW196" s="39">
        <f>IF(ISNUMBER($AD196),MAX(0,(1-0.55-Header!$O$3)*Header!$Q$3*$AQ196),"")</f>
      </c>
      <c r="AX196" s="43">
        <f>IF($A196="","",IF(TRIM(IF($A196="","Missing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",""))="","PASS","FAIL: "&amp;TRIM(IF($A196="","Missing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f>
      </c>
      <c r="AY196" s="44">
        <f>IF($M196="","",IF(ISNUMBER($M196),IF($M196&gt;=Header!$C$18,"YES — refer","No"),""))</f>
      </c>
      <c r="AZ196" s="44">
        <f>IF($AD196="","",IF(ISNUMBER($AD196),IF($AD196&lt;Header!$C$20,"BELOW MIN PREMIUM","OK"),""))</f>
      </c>
      <c r="BA196" s="48" t="inlineStr">
        <is>
          <t xml:space="preserve">Yes</t>
        </is>
      </c>
      <c r="BB196" s="48" t="inlineStr">
        <is>
          <t xml:space="preserve">Yes</t>
        </is>
      </c>
      <c r="BC196" s="46" t="inlineStr">
        <is>
          <t xml:space="preserve">Synthetic demo data</t>
        </is>
      </c>
      <c r="BE196" s="45">
        <f>IF(OR($A196="",$L196="",$H196=""),"",IF(AND(LEFT($L196,2)="06",$H196&gt;1945),"FAIL - pre-war class, year "&amp;$H196,IF(AND(LEFT($L196,2)="07",OR($H196&lt;1946,$H196&gt;1972)),"FAIL - 1946-72 class, year "&amp;$H196,IF(AND(LEFT($L196,2)="08",OR($H196&lt;1973,$H196&gt;1999)),"FAIL - 1973-99 class, year "&amp;$H196,IF(AND(LEFT($L196,2)="09",OR($H196&lt;2000,$H196&gt;2010)),"FAIL - 2000-10 class, year "&amp;$H196,"OK")))))</f>
      </c>
      <c r="BF196" s="45">
        <f>IF($AD196="","",IF(ROUND($AO196+$AP196+$AQ196-$AD196,2)=0,"OK","FAIL - out by "&amp;TEXT($AO196+$AP196+$AQ196-$AD196,"$0.00")))</f>
      </c>
    </row>
    <row r="197" spans="1:58" ht="18.75" customHeight="1" x14ac:dyDescent="0.25">
      <c r="A197" s="30" t="inlineStr">
        <is>
          <t xml:space="preserve">CANON-202508-000253</t>
        </is>
      </c>
      <c r="B197" s="30" t="inlineStr">
        <is>
          <t xml:space="preserve">Lorenzo Underwood</t>
        </is>
      </c>
      <c r="C197" s="31">
        <v>45873</v>
      </c>
      <c r="D197" s="32" t="inlineStr">
        <is>
          <t xml:space="preserve">Bound - within authority</t>
        </is>
      </c>
      <c r="E197" s="32" t="inlineStr">
        <is>
          <t xml:space="preserve">New business</t>
        </is>
      </c>
      <c r="F197" s="30" t="inlineStr">
        <is>
          <t xml:space="preserve">B1234EXOTIC26</t>
        </is>
      </c>
      <c r="G197" s="33">
        <f>IF($A197="","",IF($C197="","",YEAR($C197)))</f>
      </c>
      <c r="H197" s="34">
        <v>1957</v>
      </c>
      <c r="I197" s="30" t="inlineStr">
        <is>
          <t xml:space="preserve">Maserati</t>
        </is>
      </c>
      <c r="J197" s="30" t="inlineStr">
        <is>
          <t xml:space="preserve">GranTurismo</t>
        </is>
      </c>
      <c r="K197" s="30" t="inlineStr">
        <is>
          <t xml:space="preserve">BDXRYNSJGWRR8VKEF</t>
        </is>
      </c>
      <c r="L197" s="32" t="inlineStr">
        <is>
          <t xml:space="preserve">02 - Sports / GT</t>
        </is>
      </c>
      <c r="M197" s="35">
        <v>460000</v>
      </c>
      <c r="N197" s="32" t="inlineStr">
        <is>
          <t xml:space="preserve">Personal</t>
        </is>
      </c>
      <c r="O197" s="30" t="inlineStr">
        <is>
          <t xml:space="preserve">Personal - regular use</t>
        </is>
      </c>
      <c r="P197" s="30" t="inlineStr">
        <is>
          <t xml:space="preserve">1,000 - 2,500</t>
        </is>
      </c>
      <c r="Q197" s="30" t="inlineStr">
        <is>
          <t xml:space="preserve">Idaho</t>
        </is>
      </c>
      <c r="R197" s="30" t="inlineStr">
        <is>
          <t xml:space="preserve">83702</t>
        </is>
      </c>
      <c r="S197" s="32" t="inlineStr">
        <is>
          <t xml:space="preserve">Wildfire - WUI high hazard</t>
        </is>
      </c>
      <c r="T197" s="36">
        <f>IF($A197="","",IF($S197="","",IFERROR(INDEX('[1]natural catastrophe'!$D$6:$D$17,MATCH($S197,'[1]natural catastrophe'!$B$6:$B$17,0)),"?")))</f>
      </c>
      <c r="U197" s="30" t="inlineStr">
        <is>
          <t xml:space="preserve">$5,000</t>
        </is>
      </c>
      <c r="V197" s="32" t="inlineStr">
        <is>
          <t xml:space="preserve">Agreed Value</t>
        </is>
      </c>
      <c r="W197" s="30" t="inlineStr">
        <is>
          <t xml:space="preserve">$1,000</t>
        </is>
      </c>
      <c r="X197" s="32" t="inlineStr">
        <is>
          <t xml:space="preserve">$1,000,000 CSL</t>
        </is>
      </c>
      <c r="Y197" s="30"/>
      <c r="Z197" s="30"/>
      <c r="AA197" s="32" t="inlineStr">
        <is>
          <t xml:space="preserve">Surplus Lines</t>
        </is>
      </c>
      <c r="AB197" s="35">
        <v>6444.34</v>
      </c>
      <c r="AC197" s="37">
        <v>0</v>
      </c>
      <c r="AD197" s="38">
        <f>IF(ISNUMBER($AB197),$AB197*(1+N($AC197)),"")</f>
      </c>
      <c r="AE197" s="35">
        <v>350</v>
      </c>
      <c r="AF197" s="35">
        <v>0</v>
      </c>
      <c r="AG197" s="37"/>
      <c r="AH197" s="39">
        <f>IF(ISNUMBER($AD197),($AD197+$AE197+$AF197)*$AG197,"")</f>
      </c>
      <c r="AI197" s="35"/>
      <c r="AJ197" s="38">
        <f>IF(ISNUMBER($AD197),SUM($AD197:$AH197),"")</f>
      </c>
      <c r="AK197" s="40">
        <f>IF(AND(ISNUMBER($AB197),ISNUMBER($AD197)),IF($AB197&gt;0,$AD197/$AB197,""),"")</f>
      </c>
      <c r="AL197" s="32" t="inlineStr">
        <is>
          <t xml:space="preserve">At technical</t>
        </is>
      </c>
      <c r="AM197" s="41">
        <f>IF(ISNUMBER($AD197),Header!$I$3,"")</f>
      </c>
      <c r="AN197" s="39">
        <f>IF(ISNUMBER($AD197),$AO197+$AP197,"")</f>
      </c>
      <c r="AO197" s="39">
        <f>IF(ISNUMBER($AD197),ROUND($AD197*Header!$K$3,2),"")</f>
      </c>
      <c r="AP197" s="39">
        <f>IF(ISNUMBER($AD197),ROUND($AD197*Header!$M$3,2),"")</f>
      </c>
      <c r="AQ197" s="38">
        <f>IF(ISNUMBER($AD197),ROUND($AD197,2)-$AO197-$AP197,"")</f>
      </c>
      <c r="AR197" s="39">
        <f>IF(ISNUMBER($AD197),IF(Header!$D$34="","?",$AD197*Header!$D$34),"")</f>
      </c>
      <c r="AS197" s="39">
        <f>IF(ISNUMBER($AB197),IF(Header!$D$34="","?",$AB197*Header!$D$34),"")</f>
      </c>
      <c r="AT197" s="42">
        <f>IF(AND(ISNUMBER($AB197),$M197&gt;0),$AB197/$M197*100,"")</f>
      </c>
      <c r="AU197" s="42">
        <f>IF(AND(ISNUMBER($AD197),$M197&gt;0),$AD197/$M197*100,"")</f>
      </c>
      <c r="AV197" s="40">
        <f>IF(AND(ISNUMBER($AB197),ISNUMBER($AD197),ABS($AB197)&gt;0),$AD197/$AB197,"")</f>
      </c>
      <c r="AW197" s="39">
        <f>IF(ISNUMBER($AD197),MAX(0,(1-0.55-Header!$O$3)*Header!$Q$3*$AQ197),"")</f>
      </c>
      <c r="AX197" s="43">
        <f>IF($A197="","",IF(TRIM(IF($A197="","Missing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",""))="","PASS","FAIL: "&amp;TRIM(IF($A197="","Missing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f>
      </c>
      <c r="AY197" s="44">
        <f>IF($M197="","",IF(ISNUMBER($M197),IF($M197&gt;=Header!$C$18,"YES — refer","No"),""))</f>
      </c>
      <c r="AZ197" s="44">
        <f>IF($AD197="","",IF(ISNUMBER($AD197),IF($AD197&lt;Header!$C$20,"BELOW MIN PREMIUM","OK"),""))</f>
      </c>
      <c r="BA197" s="32" t="inlineStr">
        <is>
          <t xml:space="preserve">Yes</t>
        </is>
      </c>
      <c r="BB197" s="32" t="inlineStr">
        <is>
          <t xml:space="preserve">Yes</t>
        </is>
      </c>
      <c r="BC197" s="30" t="inlineStr">
        <is>
          <t xml:space="preserve">Synthetic demo data</t>
        </is>
      </c>
      <c r="BE197" s="45">
        <f>IF(OR($A197="",$L197="",$H197=""),"",IF(AND(LEFT($L197,2)="06",$H197&gt;1945),"FAIL - pre-war class, year "&amp;$H197,IF(AND(LEFT($L197,2)="07",OR($H197&lt;1946,$H197&gt;1972)),"FAIL - 1946-72 class, year "&amp;$H197,IF(AND(LEFT($L197,2)="08",OR($H197&lt;1973,$H197&gt;1999)),"FAIL - 1973-99 class, year "&amp;$H197,IF(AND(LEFT($L197,2)="09",OR($H197&lt;2000,$H197&gt;2010)),"FAIL - 2000-10 class, year "&amp;$H197,"OK")))))</f>
      </c>
      <c r="BF197" s="45">
        <f>IF($AD197="","",IF(ROUND($AO197+$AP197+$AQ197-$AD197,2)=0,"OK","FAIL - out by "&amp;TEXT($AO197+$AP197+$AQ197-$AD197,"$0.00")))</f>
      </c>
    </row>
    <row r="198" spans="1:58" ht="18.75" customHeight="1" x14ac:dyDescent="0.25">
      <c r="A198" s="46" t="inlineStr">
        <is>
          <t xml:space="preserve">CANON-202508-000254</t>
        </is>
      </c>
      <c r="B198" s="46" t="inlineStr">
        <is>
          <t xml:space="preserve">Mireille Rourke</t>
        </is>
      </c>
      <c r="C198" s="47">
        <v>45882</v>
      </c>
      <c r="D198" s="48" t="inlineStr">
        <is>
          <t xml:space="preserve">Bound - within authority</t>
        </is>
      </c>
      <c r="E198" s="48" t="inlineStr">
        <is>
          <t xml:space="preserve">New business</t>
        </is>
      </c>
      <c r="F198" s="46" t="inlineStr">
        <is>
          <t xml:space="preserve">B1234EXOTIC26</t>
        </is>
      </c>
      <c r="G198" s="33">
        <f>IF($A198="","",IF($C198="","",YEAR($C198)))</f>
      </c>
      <c r="H198" s="49">
        <v>2015</v>
      </c>
      <c r="I198" s="46" t="inlineStr">
        <is>
          <t xml:space="preserve">Ringbrothers</t>
        </is>
      </c>
      <c r="J198" s="46" t="inlineStr">
        <is>
          <t xml:space="preserve">Mustang</t>
        </is>
      </c>
      <c r="K198" s="46" t="inlineStr">
        <is>
          <t xml:space="preserve">K99FBFAEEB2FLRGNA</t>
        </is>
      </c>
      <c r="L198" s="48" t="inlineStr">
        <is>
          <t xml:space="preserve">11 - Restomod / Coachbuilt / Bespoke</t>
        </is>
      </c>
      <c r="M198" s="50">
        <v>520000</v>
      </c>
      <c r="N198" s="48" t="inlineStr">
        <is>
          <t xml:space="preserve">Personal</t>
        </is>
      </c>
      <c r="O198" s="46" t="inlineStr">
        <is>
          <t xml:space="preserve">Personal - regular use</t>
        </is>
      </c>
      <c r="P198" s="46" t="inlineStr">
        <is>
          <t xml:space="preserve">Under 1,000</t>
        </is>
      </c>
      <c r="Q198" s="46" t="inlineStr">
        <is>
          <t xml:space="preserve">Hawaii</t>
        </is>
      </c>
      <c r="R198" s="46" t="inlineStr">
        <is>
          <t xml:space="preserve">96813</t>
        </is>
      </c>
      <c r="S198" s="48" t="inlineStr">
        <is>
          <t xml:space="preserve">Earthquake - high (CA, Cascadia, New Madrid)</t>
        </is>
      </c>
      <c r="T198" s="36">
        <f>IF($A198="","",IF($S198="","",IFERROR(INDEX('[1]natural catastrophe'!$D$6:$D$17,MATCH($S198,'[1]natural catastrophe'!$B$6:$B$17,0)),"?")))</f>
      </c>
      <c r="U198" s="46" t="inlineStr">
        <is>
          <t xml:space="preserve">$5,000</t>
        </is>
      </c>
      <c r="V198" s="48" t="inlineStr">
        <is>
          <t xml:space="preserve">Agreed Value</t>
        </is>
      </c>
      <c r="W198" s="46" t="inlineStr">
        <is>
          <t xml:space="preserve">$1,000</t>
        </is>
      </c>
      <c r="X198" s="48" t="inlineStr">
        <is>
          <t xml:space="preserve">$1,000,000 CSL</t>
        </is>
      </c>
      <c r="Y198" s="46"/>
      <c r="Z198" s="46"/>
      <c r="AA198" s="48" t="inlineStr">
        <is>
          <t xml:space="preserve">Surplus Lines</t>
        </is>
      </c>
      <c r="AB198" s="50">
        <v>9948.68</v>
      </c>
      <c r="AC198" s="51">
        <v>0</v>
      </c>
      <c r="AD198" s="38">
        <f>IF(ISNUMBER($AB198),$AB198*(1+N($AC198)),"")</f>
      </c>
      <c r="AE198" s="50">
        <v>350</v>
      </c>
      <c r="AF198" s="50">
        <v>0</v>
      </c>
      <c r="AG198" s="51"/>
      <c r="AH198" s="39">
        <f>IF(ISNUMBER($AD198),($AD198+$AE198+$AF198)*$AG198,"")</f>
      </c>
      <c r="AI198" s="50"/>
      <c r="AJ198" s="38">
        <f>IF(ISNUMBER($AD198),SUM($AD198:$AH198),"")</f>
      </c>
      <c r="AK198" s="40">
        <f>IF(AND(ISNUMBER($AB198),ISNUMBER($AD198)),IF($AB198&gt;0,$AD198/$AB198,""),"")</f>
      </c>
      <c r="AL198" s="48" t="inlineStr">
        <is>
          <t xml:space="preserve">At technical</t>
        </is>
      </c>
      <c r="AM198" s="41">
        <f>IF(ISNUMBER($AD198),Header!$I$3,"")</f>
      </c>
      <c r="AN198" s="39">
        <f>IF(ISNUMBER($AD198),$AO198+$AP198,"")</f>
      </c>
      <c r="AO198" s="39">
        <f>IF(ISNUMBER($AD198),ROUND($AD198*Header!$K$3,2),"")</f>
      </c>
      <c r="AP198" s="39">
        <f>IF(ISNUMBER($AD198),ROUND($AD198*Header!$M$3,2),"")</f>
      </c>
      <c r="AQ198" s="38">
        <f>IF(ISNUMBER($AD198),ROUND($AD198,2)-$AO198-$AP198,"")</f>
      </c>
      <c r="AR198" s="39">
        <f>IF(ISNUMBER($AD198),IF(Header!$D$34="","?",$AD198*Header!$D$34),"")</f>
      </c>
      <c r="AS198" s="39">
        <f>IF(ISNUMBER($AB198),IF(Header!$D$34="","?",$AB198*Header!$D$34),"")</f>
      </c>
      <c r="AT198" s="42">
        <f>IF(AND(ISNUMBER($AB198),$M198&gt;0),$AB198/$M198*100,"")</f>
      </c>
      <c r="AU198" s="42">
        <f>IF(AND(ISNUMBER($AD198),$M198&gt;0),$AD198/$M198*100,"")</f>
      </c>
      <c r="AV198" s="40">
        <f>IF(AND(ISNUMBER($AB198),ISNUMBER($AD198),ABS($AB198)&gt;0),$AD198/$AB198,"")</f>
      </c>
      <c r="AW198" s="39">
        <f>IF(ISNUMBER($AD198),MAX(0,(1-0.55-Header!$O$3)*Header!$Q$3*$AQ198),"")</f>
      </c>
      <c r="AX198" s="43">
        <f>IF($A198="","",IF(TRIM(IF($A198="","Missing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",""))="","PASS","FAIL: "&amp;TRIM(IF($A198="","Missing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f>
      </c>
      <c r="AY198" s="44">
        <f>IF($M198="","",IF(ISNUMBER($M198),IF($M198&gt;=Header!$C$18,"YES — refer","No"),""))</f>
      </c>
      <c r="AZ198" s="44">
        <f>IF($AD198="","",IF(ISNUMBER($AD198),IF($AD198&lt;Header!$C$20,"BELOW MIN PREMIUM","OK"),""))</f>
      </c>
      <c r="BA198" s="48" t="inlineStr">
        <is>
          <t xml:space="preserve">Yes</t>
        </is>
      </c>
      <c r="BB198" s="48" t="inlineStr">
        <is>
          <t xml:space="preserve">Yes</t>
        </is>
      </c>
      <c r="BC198" s="46" t="inlineStr">
        <is>
          <t xml:space="preserve">Synthetic demo data</t>
        </is>
      </c>
      <c r="BE198" s="45">
        <f>IF(OR($A198="",$L198="",$H198=""),"",IF(AND(LEFT($L198,2)="06",$H198&gt;1945),"FAIL - pre-war class, year "&amp;$H198,IF(AND(LEFT($L198,2)="07",OR($H198&lt;1946,$H198&gt;1972)),"FAIL - 1946-72 class, year "&amp;$H198,IF(AND(LEFT($L198,2)="08",OR($H198&lt;1973,$H198&gt;1999)),"FAIL - 1973-99 class, year "&amp;$H198,IF(AND(LEFT($L198,2)="09",OR($H198&lt;2000,$H198&gt;2010)),"FAIL - 2000-10 class, year "&amp;$H198,"OK")))))</f>
      </c>
      <c r="BF198" s="45">
        <f>IF($AD198="","",IF(ROUND($AO198+$AP198+$AQ198-$AD198,2)=0,"OK","FAIL - out by "&amp;TEXT($AO198+$AP198+$AQ198-$AD198,"$0.00")))</f>
      </c>
    </row>
    <row r="199" spans="1:58" ht="18.75" customHeight="1" x14ac:dyDescent="0.25">
      <c r="A199" s="30" t="inlineStr">
        <is>
          <t xml:space="preserve">CANON-202508-000255</t>
        </is>
      </c>
      <c r="B199" s="30" t="inlineStr">
        <is>
          <t xml:space="preserve">Cassius Thistlewood</t>
        </is>
      </c>
      <c r="C199" s="31">
        <v>45878</v>
      </c>
      <c r="D199" s="32" t="inlineStr">
        <is>
          <t xml:space="preserve">Bound - within authority</t>
        </is>
      </c>
      <c r="E199" s="32" t="inlineStr">
        <is>
          <t xml:space="preserve">New business</t>
        </is>
      </c>
      <c r="F199" s="30" t="inlineStr">
        <is>
          <t xml:space="preserve">B1234EXOTIC26</t>
        </is>
      </c>
      <c r="G199" s="33">
        <f>IF($A199="","",IF($C199="","",YEAR($C199)))</f>
      </c>
      <c r="H199" s="34">
        <v>1970</v>
      </c>
      <c r="I199" s="30" t="inlineStr">
        <is>
          <t xml:space="preserve">Mercedes-Benz</t>
        </is>
      </c>
      <c r="J199" s="30" t="inlineStr">
        <is>
          <t xml:space="preserve">AMG GT</t>
        </is>
      </c>
      <c r="K199" s="30" t="inlineStr">
        <is>
          <t xml:space="preserve">YE4RE1MDTPYUT6XFR</t>
        </is>
      </c>
      <c r="L199" s="32" t="inlineStr">
        <is>
          <t xml:space="preserve">02 - Sports / GT</t>
        </is>
      </c>
      <c r="M199" s="35">
        <v>1345000</v>
      </c>
      <c r="N199" s="32" t="inlineStr">
        <is>
          <t xml:space="preserve">Personal</t>
        </is>
      </c>
      <c r="O199" s="30" t="inlineStr">
        <is>
          <t xml:space="preserve">Personal - regular use</t>
        </is>
      </c>
      <c r="P199" s="30" t="inlineStr">
        <is>
          <t xml:space="preserve">1,000 - 2,500</t>
        </is>
      </c>
      <c r="Q199" s="30" t="inlineStr">
        <is>
          <t xml:space="preserve">Tennessee</t>
        </is>
      </c>
      <c r="R199" s="30" t="inlineStr">
        <is>
          <t xml:space="preserve">37203</t>
        </is>
      </c>
      <c r="S199" s="32" t="inlineStr">
        <is>
          <t xml:space="preserve">Severe convective - hail / tornado (moderate)</t>
        </is>
      </c>
      <c r="T199" s="36">
        <f>IF($A199="","",IF($S199="","",IFERROR(INDEX('[1]natural catastrophe'!$D$6:$D$17,MATCH($S199,'[1]natural catastrophe'!$B$6:$B$17,0)),"?")))</f>
      </c>
      <c r="U199" s="30" t="inlineStr">
        <is>
          <t xml:space="preserve">$5,000</t>
        </is>
      </c>
      <c r="V199" s="32" t="inlineStr">
        <is>
          <t xml:space="preserve">Agreed Value</t>
        </is>
      </c>
      <c r="W199" s="30" t="inlineStr">
        <is>
          <t xml:space="preserve">$1,000</t>
        </is>
      </c>
      <c r="X199" s="32" t="inlineStr">
        <is>
          <t xml:space="preserve">$1,000,000 CSL</t>
        </is>
      </c>
      <c r="Y199" s="30"/>
      <c r="Z199" s="30"/>
      <c r="AA199" s="32" t="inlineStr">
        <is>
          <t xml:space="preserve">Surplus Lines</t>
        </is>
      </c>
      <c r="AB199" s="35">
        <v>13678.4</v>
      </c>
      <c r="AC199" s="37">
        <v>0</v>
      </c>
      <c r="AD199" s="38">
        <f>IF(ISNUMBER($AB199),$AB199*(1+N($AC199)),"")</f>
      </c>
      <c r="AE199" s="35">
        <v>350</v>
      </c>
      <c r="AF199" s="35">
        <v>250</v>
      </c>
      <c r="AG199" s="37"/>
      <c r="AH199" s="39">
        <f>IF(ISNUMBER($AD199),($AD199+$AE199+$AF199)*$AG199,"")</f>
      </c>
      <c r="AI199" s="35"/>
      <c r="AJ199" s="38">
        <f>IF(ISNUMBER($AD199),SUM($AD199:$AH199),"")</f>
      </c>
      <c r="AK199" s="40">
        <f>IF(AND(ISNUMBER($AB199),ISNUMBER($AD199)),IF($AB199&gt;0,$AD199/$AB199,""),"")</f>
      </c>
      <c r="AL199" s="32" t="inlineStr">
        <is>
          <t xml:space="preserve">At technical</t>
        </is>
      </c>
      <c r="AM199" s="41">
        <f>IF(ISNUMBER($AD199),Header!$I$3,"")</f>
      </c>
      <c r="AN199" s="39">
        <f>IF(ISNUMBER($AD199),$AO199+$AP199,"")</f>
      </c>
      <c r="AO199" s="39">
        <f>IF(ISNUMBER($AD199),ROUND($AD199*Header!$K$3,2),"")</f>
      </c>
      <c r="AP199" s="39">
        <f>IF(ISNUMBER($AD199),ROUND($AD199*Header!$M$3,2),"")</f>
      </c>
      <c r="AQ199" s="38">
        <f>IF(ISNUMBER($AD199),ROUND($AD199,2)-$AO199-$AP199,"")</f>
      </c>
      <c r="AR199" s="39">
        <f>IF(ISNUMBER($AD199),IF(Header!$D$34="","?",$AD199*Header!$D$34),"")</f>
      </c>
      <c r="AS199" s="39">
        <f>IF(ISNUMBER($AB199),IF(Header!$D$34="","?",$AB199*Header!$D$34),"")</f>
      </c>
      <c r="AT199" s="42">
        <f>IF(AND(ISNUMBER($AB199),$M199&gt;0),$AB199/$M199*100,"")</f>
      </c>
      <c r="AU199" s="42">
        <f>IF(AND(ISNUMBER($AD199),$M199&gt;0),$AD199/$M199*100,"")</f>
      </c>
      <c r="AV199" s="40">
        <f>IF(AND(ISNUMBER($AB199),ISNUMBER($AD199),ABS($AB199)&gt;0),$AD199/$AB199,"")</f>
      </c>
      <c r="AW199" s="39">
        <f>IF(ISNUMBER($AD199),MAX(0,(1-0.55-Header!$O$3)*Header!$Q$3*$AQ199),"")</f>
      </c>
      <c r="AX199" s="43">
        <f>IF($A199="","",IF(TRIM(IF($A199="","Missing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",""))="","PASS","FAIL: "&amp;TRIM(IF($A199="","Missing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f>
      </c>
      <c r="AY199" s="44">
        <f>IF($M199="","",IF(ISNUMBER($M199),IF($M199&gt;=Header!$C$18,"YES — refer","No"),""))</f>
      </c>
      <c r="AZ199" s="44">
        <f>IF($AD199="","",IF(ISNUMBER($AD199),IF($AD199&lt;Header!$C$20,"BELOW MIN PREMIUM","OK"),""))</f>
      </c>
      <c r="BA199" s="32" t="inlineStr">
        <is>
          <t xml:space="preserve">Yes</t>
        </is>
      </c>
      <c r="BB199" s="32" t="inlineStr">
        <is>
          <t xml:space="preserve">Yes</t>
        </is>
      </c>
      <c r="BC199" s="30" t="inlineStr">
        <is>
          <t xml:space="preserve">Synthetic demo data</t>
        </is>
      </c>
      <c r="BE199" s="45">
        <f>IF(OR($A199="",$L199="",$H199=""),"",IF(AND(LEFT($L199,2)="06",$H199&gt;1945),"FAIL - pre-war class, year "&amp;$H199,IF(AND(LEFT($L199,2)="07",OR($H199&lt;1946,$H199&gt;1972)),"FAIL - 1946-72 class, year "&amp;$H199,IF(AND(LEFT($L199,2)="08",OR($H199&lt;1973,$H199&gt;1999)),"FAIL - 1973-99 class, year "&amp;$H199,IF(AND(LEFT($L199,2)="09",OR($H199&lt;2000,$H199&gt;2010)),"FAIL - 2000-10 class, year "&amp;$H199,"OK")))))</f>
      </c>
      <c r="BF199" s="45">
        <f>IF($AD199="","",IF(ROUND($AO199+$AP199+$AQ199-$AD199,2)=0,"OK","FAIL - out by "&amp;TEXT($AO199+$AP199+$AQ199-$AD199,"$0.00")))</f>
      </c>
    </row>
    <row r="200" spans="1:58" ht="18.75" customHeight="1" x14ac:dyDescent="0.25">
      <c r="A200" s="46" t="inlineStr">
        <is>
          <t xml:space="preserve">CANON-202508-000256</t>
        </is>
      </c>
      <c r="B200" s="46" t="inlineStr">
        <is>
          <t xml:space="preserve">Cassius Castellanos</t>
        </is>
      </c>
      <c r="C200" s="47">
        <v>45894</v>
      </c>
      <c r="D200" s="48" t="inlineStr">
        <is>
          <t xml:space="preserve">Bound - within authority</t>
        </is>
      </c>
      <c r="E200" s="48" t="inlineStr">
        <is>
          <t xml:space="preserve">New business</t>
        </is>
      </c>
      <c r="F200" s="46" t="inlineStr">
        <is>
          <t xml:space="preserve">B1234EXOTIC26</t>
        </is>
      </c>
      <c r="G200" s="33">
        <f>IF($A200="","",IF($C200="","",YEAR($C200)))</f>
      </c>
      <c r="H200" s="49">
        <v>1990</v>
      </c>
      <c r="I200" s="46" t="inlineStr">
        <is>
          <t xml:space="preserve">Bentley</t>
        </is>
      </c>
      <c r="J200" s="46" t="inlineStr">
        <is>
          <t xml:space="preserve">Continental GT</t>
        </is>
      </c>
      <c r="K200" s="46" t="inlineStr">
        <is>
          <t xml:space="preserve">HMKDDLMNH3G8BHFKH</t>
        </is>
      </c>
      <c r="L200" s="48" t="inlineStr">
        <is>
          <t xml:space="preserve">02 - Sports / GT</t>
        </is>
      </c>
      <c r="M200" s="50">
        <v>205000</v>
      </c>
      <c r="N200" s="48" t="inlineStr">
        <is>
          <t xml:space="preserve">Personal</t>
        </is>
      </c>
      <c r="O200" s="46" t="inlineStr">
        <is>
          <t xml:space="preserve">Personal - regular use</t>
        </is>
      </c>
      <c r="P200" s="46" t="inlineStr">
        <is>
          <t xml:space="preserve">Under 1,000</t>
        </is>
      </c>
      <c r="Q200" s="46" t="inlineStr">
        <is>
          <t xml:space="preserve">New York</t>
        </is>
      </c>
      <c r="R200" s="46" t="inlineStr">
        <is>
          <t xml:space="preserve">10022</t>
        </is>
      </c>
      <c r="S200" s="48" t="inlineStr">
        <is>
          <t xml:space="preserve">Tier 3 - Coastal wind (25-100 miles)</t>
        </is>
      </c>
      <c r="T200" s="36">
        <f>IF($A200="","",IF($S200="","",IFERROR(INDEX('[1]natural catastrophe'!$D$6:$D$17,MATCH($S200,'[1]natural catastrophe'!$B$6:$B$17,0)),"?")))</f>
      </c>
      <c r="U200" s="46" t="inlineStr">
        <is>
          <t xml:space="preserve">2% of agreed value, minimum $10,000</t>
        </is>
      </c>
      <c r="V200" s="48" t="inlineStr">
        <is>
          <t xml:space="preserve">Agreed Value</t>
        </is>
      </c>
      <c r="W200" s="46" t="inlineStr">
        <is>
          <t xml:space="preserve">$1,000</t>
        </is>
      </c>
      <c r="X200" s="48" t="inlineStr">
        <is>
          <t xml:space="preserve">$1,000,000 CSL</t>
        </is>
      </c>
      <c r="Y200" s="46"/>
      <c r="Z200" s="46"/>
      <c r="AA200" s="48" t="inlineStr">
        <is>
          <t xml:space="preserve">Surplus Lines</t>
        </is>
      </c>
      <c r="AB200" s="50">
        <v>4554.87</v>
      </c>
      <c r="AC200" s="51">
        <v>0</v>
      </c>
      <c r="AD200" s="38">
        <f>IF(ISNUMBER($AB200),$AB200*(1+N($AC200)),"")</f>
      </c>
      <c r="AE200" s="50">
        <v>350</v>
      </c>
      <c r="AF200" s="50">
        <v>0</v>
      </c>
      <c r="AG200" s="51"/>
      <c r="AH200" s="39">
        <f>IF(ISNUMBER($AD200),($AD200+$AE200+$AF200)*$AG200,"")</f>
      </c>
      <c r="AI200" s="50"/>
      <c r="AJ200" s="38">
        <f>IF(ISNUMBER($AD200),SUM($AD200:$AH200),"")</f>
      </c>
      <c r="AK200" s="40">
        <f>IF(AND(ISNUMBER($AB200),ISNUMBER($AD200)),IF($AB200&gt;0,$AD200/$AB200,""),"")</f>
      </c>
      <c r="AL200" s="48" t="inlineStr">
        <is>
          <t xml:space="preserve">At technical</t>
        </is>
      </c>
      <c r="AM200" s="41">
        <f>IF(ISNUMBER($AD200),Header!$I$3,"")</f>
      </c>
      <c r="AN200" s="39">
        <f>IF(ISNUMBER($AD200),$AO200+$AP200,"")</f>
      </c>
      <c r="AO200" s="39">
        <f>IF(ISNUMBER($AD200),ROUND($AD200*Header!$K$3,2),"")</f>
      </c>
      <c r="AP200" s="39">
        <f>IF(ISNUMBER($AD200),ROUND($AD200*Header!$M$3,2),"")</f>
      </c>
      <c r="AQ200" s="38">
        <f>IF(ISNUMBER($AD200),ROUND($AD200,2)-$AO200-$AP200,"")</f>
      </c>
      <c r="AR200" s="39">
        <f>IF(ISNUMBER($AD200),IF(Header!$D$34="","?",$AD200*Header!$D$34),"")</f>
      </c>
      <c r="AS200" s="39">
        <f>IF(ISNUMBER($AB200),IF(Header!$D$34="","?",$AB200*Header!$D$34),"")</f>
      </c>
      <c r="AT200" s="42">
        <f>IF(AND(ISNUMBER($AB200),$M200&gt;0),$AB200/$M200*100,"")</f>
      </c>
      <c r="AU200" s="42">
        <f>IF(AND(ISNUMBER($AD200),$M200&gt;0),$AD200/$M200*100,"")</f>
      </c>
      <c r="AV200" s="40">
        <f>IF(AND(ISNUMBER($AB200),ISNUMBER($AD200),ABS($AB200)&gt;0),$AD200/$AB200,"")</f>
      </c>
      <c r="AW200" s="39">
        <f>IF(ISNUMBER($AD200),MAX(0,(1-0.55-Header!$O$3)*Header!$Q$3*$AQ200),"")</f>
      </c>
      <c r="AX200" s="43">
        <f>IF($A200="","",IF(TRIM(IF($A200="","Missing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",""))="","PASS","FAIL: "&amp;TRIM(IF($A200="","Missing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f>
      </c>
      <c r="AY200" s="44">
        <f>IF($M200="","",IF(ISNUMBER($M200),IF($M200&gt;=Header!$C$18,"YES — refer","No"),""))</f>
      </c>
      <c r="AZ200" s="44">
        <f>IF($AD200="","",IF(ISNUMBER($AD200),IF($AD200&lt;Header!$C$20,"BELOW MIN PREMIUM","OK"),""))</f>
      </c>
      <c r="BA200" s="48" t="inlineStr">
        <is>
          <t xml:space="preserve">Yes</t>
        </is>
      </c>
      <c r="BB200" s="48" t="inlineStr">
        <is>
          <t xml:space="preserve">Yes</t>
        </is>
      </c>
      <c r="BC200" s="46" t="inlineStr">
        <is>
          <t xml:space="preserve">Synthetic demo data</t>
        </is>
      </c>
      <c r="BE200" s="45">
        <f>IF(OR($A200="",$L200="",$H200=""),"",IF(AND(LEFT($L200,2)="06",$H200&gt;1945),"FAIL - pre-war class, year "&amp;$H200,IF(AND(LEFT($L200,2)="07",OR($H200&lt;1946,$H200&gt;1972)),"FAIL - 1946-72 class, year "&amp;$H200,IF(AND(LEFT($L200,2)="08",OR($H200&lt;1973,$H200&gt;1999)),"FAIL - 1973-99 class, year "&amp;$H200,IF(AND(LEFT($L200,2)="09",OR($H200&lt;2000,$H200&gt;2010)),"FAIL - 2000-10 class, year "&amp;$H200,"OK")))))</f>
      </c>
      <c r="BF200" s="45">
        <f>IF($AD200="","",IF(ROUND($AO200+$AP200+$AQ200-$AD200,2)=0,"OK","FAIL - out by "&amp;TEXT($AO200+$AP200+$AQ200-$AD200,"$0.00")))</f>
      </c>
    </row>
    <row r="201" spans="1:58" ht="18.75" customHeight="1" x14ac:dyDescent="0.25">
      <c r="A201" s="30" t="inlineStr">
        <is>
          <t xml:space="preserve">CANON-202508-000258</t>
        </is>
      </c>
      <c r="B201" s="30" t="inlineStr">
        <is>
          <t xml:space="preserve">Ingrid Nakashima</t>
        </is>
      </c>
      <c r="C201" s="31">
        <v>45884</v>
      </c>
      <c r="D201" s="32" t="inlineStr">
        <is>
          <t xml:space="preserve">Bound - within authority</t>
        </is>
      </c>
      <c r="E201" s="32" t="inlineStr">
        <is>
          <t xml:space="preserve">New business</t>
        </is>
      </c>
      <c r="F201" s="30" t="inlineStr">
        <is>
          <t xml:space="preserve">B1234EXOTIC26</t>
        </is>
      </c>
      <c r="G201" s="33">
        <f>IF($A201="","",IF($C201="","",YEAR($C201)))</f>
      </c>
      <c r="H201" s="34">
        <v>1968</v>
      </c>
      <c r="I201" s="30" t="inlineStr">
        <is>
          <t xml:space="preserve">Bentley</t>
        </is>
      </c>
      <c r="J201" s="30" t="inlineStr">
        <is>
          <t xml:space="preserve">Continental GT</t>
        </is>
      </c>
      <c r="K201" s="30" t="inlineStr">
        <is>
          <t xml:space="preserve">EBPPKL4DMKA1TLXBS</t>
        </is>
      </c>
      <c r="L201" s="32" t="inlineStr">
        <is>
          <t xml:space="preserve">02 - Sports / GT</t>
        </is>
      </c>
      <c r="M201" s="35">
        <v>415000</v>
      </c>
      <c r="N201" s="32" t="inlineStr">
        <is>
          <t xml:space="preserve">Personal</t>
        </is>
      </c>
      <c r="O201" s="30" t="inlineStr">
        <is>
          <t xml:space="preserve">Personal - regular use</t>
        </is>
      </c>
      <c r="P201" s="30" t="inlineStr">
        <is>
          <t xml:space="preserve">Under 1,000</t>
        </is>
      </c>
      <c r="Q201" s="30" t="inlineStr">
        <is>
          <t xml:space="preserve">Maryland</t>
        </is>
      </c>
      <c r="R201" s="30" t="inlineStr">
        <is>
          <t xml:space="preserve">21201</t>
        </is>
      </c>
      <c r="S201" s="32" t="inlineStr">
        <is>
          <t xml:space="preserve">Tier 3 - Coastal wind (25-100 miles)</t>
        </is>
      </c>
      <c r="T201" s="36">
        <f>IF($A201="","",IF($S201="","",IFERROR(INDEX('[1]natural catastrophe'!$D$6:$D$17,MATCH($S201,'[1]natural catastrophe'!$B$6:$B$17,0)),"?")))</f>
      </c>
      <c r="U201" s="30" t="inlineStr">
        <is>
          <t xml:space="preserve">2% of agreed value, minimum $10,000</t>
        </is>
      </c>
      <c r="V201" s="32" t="inlineStr">
        <is>
          <t xml:space="preserve">Agreed Value</t>
        </is>
      </c>
      <c r="W201" s="30" t="inlineStr">
        <is>
          <t xml:space="preserve">$1,000</t>
        </is>
      </c>
      <c r="X201" s="32" t="inlineStr">
        <is>
          <t xml:space="preserve">$1,000,000 CSL</t>
        </is>
      </c>
      <c r="Y201" s="30"/>
      <c r="Z201" s="30"/>
      <c r="AA201" s="32" t="inlineStr">
        <is>
          <t xml:space="preserve">Surplus Lines</t>
        </is>
      </c>
      <c r="AB201" s="35">
        <v>5579.01</v>
      </c>
      <c r="AC201" s="37">
        <v>0</v>
      </c>
      <c r="AD201" s="38">
        <f>IF(ISNUMBER($AB201),$AB201*(1+N($AC201)),"")</f>
      </c>
      <c r="AE201" s="35">
        <v>350</v>
      </c>
      <c r="AF201" s="35">
        <v>0</v>
      </c>
      <c r="AG201" s="37"/>
      <c r="AH201" s="39">
        <f>IF(ISNUMBER($AD201),($AD201+$AE201+$AF201)*$AG201,"")</f>
      </c>
      <c r="AI201" s="35"/>
      <c r="AJ201" s="38">
        <f>IF(ISNUMBER($AD201),SUM($AD201:$AH201),"")</f>
      </c>
      <c r="AK201" s="40">
        <f>IF(AND(ISNUMBER($AB201),ISNUMBER($AD201)),IF($AB201&gt;0,$AD201/$AB201,""),"")</f>
      </c>
      <c r="AL201" s="32" t="inlineStr">
        <is>
          <t xml:space="preserve">At technical</t>
        </is>
      </c>
      <c r="AM201" s="41">
        <f>IF(ISNUMBER($AD201),Header!$I$3,"")</f>
      </c>
      <c r="AN201" s="39">
        <f>IF(ISNUMBER($AD201),$AO201+$AP201,"")</f>
      </c>
      <c r="AO201" s="39">
        <f>IF(ISNUMBER($AD201),ROUND($AD201*Header!$K$3,2),"")</f>
      </c>
      <c r="AP201" s="39">
        <f>IF(ISNUMBER($AD201),ROUND($AD201*Header!$M$3,2),"")</f>
      </c>
      <c r="AQ201" s="38">
        <f>IF(ISNUMBER($AD201),ROUND($AD201,2)-$AO201-$AP201,"")</f>
      </c>
      <c r="AR201" s="39">
        <f>IF(ISNUMBER($AD201),IF(Header!$D$34="","?",$AD201*Header!$D$34),"")</f>
      </c>
      <c r="AS201" s="39">
        <f>IF(ISNUMBER($AB201),IF(Header!$D$34="","?",$AB201*Header!$D$34),"")</f>
      </c>
      <c r="AT201" s="42">
        <f>IF(AND(ISNUMBER($AB201),$M201&gt;0),$AB201/$M201*100,"")</f>
      </c>
      <c r="AU201" s="42">
        <f>IF(AND(ISNUMBER($AD201),$M201&gt;0),$AD201/$M201*100,"")</f>
      </c>
      <c r="AV201" s="40">
        <f>IF(AND(ISNUMBER($AB201),ISNUMBER($AD201),ABS($AB201)&gt;0),$AD201/$AB201,"")</f>
      </c>
      <c r="AW201" s="39">
        <f>IF(ISNUMBER($AD201),MAX(0,(1-0.55-Header!$O$3)*Header!$Q$3*$AQ201),"")</f>
      </c>
      <c r="AX201" s="43">
        <f>IF($A201="","",IF(TRIM(IF($A201="","Missing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",""))="","PASS","FAIL: "&amp;TRIM(IF($A201="","Missing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f>
      </c>
      <c r="AY201" s="44">
        <f>IF($M201="","",IF(ISNUMBER($M201),IF($M201&gt;=Header!$C$18,"YES — refer","No"),""))</f>
      </c>
      <c r="AZ201" s="44">
        <f>IF($AD201="","",IF(ISNUMBER($AD201),IF($AD201&lt;Header!$C$20,"BELOW MIN PREMIUM","OK"),""))</f>
      </c>
      <c r="BA201" s="32" t="inlineStr">
        <is>
          <t xml:space="preserve">Yes</t>
        </is>
      </c>
      <c r="BB201" s="32" t="inlineStr">
        <is>
          <t xml:space="preserve">Yes</t>
        </is>
      </c>
      <c r="BC201" s="30" t="inlineStr">
        <is>
          <t xml:space="preserve">Synthetic demo data</t>
        </is>
      </c>
      <c r="BE201" s="45">
        <f>IF(OR($A201="",$L201="",$H201=""),"",IF(AND(LEFT($L201,2)="06",$H201&gt;1945),"FAIL - pre-war class, year "&amp;$H201,IF(AND(LEFT($L201,2)="07",OR($H201&lt;1946,$H201&gt;1972)),"FAIL - 1946-72 class, year "&amp;$H201,IF(AND(LEFT($L201,2)="08",OR($H201&lt;1973,$H201&gt;1999)),"FAIL - 1973-99 class, year "&amp;$H201,IF(AND(LEFT($L201,2)="09",OR($H201&lt;2000,$H201&gt;2010)),"FAIL - 2000-10 class, year "&amp;$H201,"OK")))))</f>
      </c>
      <c r="BF201" s="45">
        <f>IF($AD201="","",IF(ROUND($AO201+$AP201+$AQ201-$AD201,2)=0,"OK","FAIL - out by "&amp;TEXT($AO201+$AP201+$AQ201-$AD201,"$0.00")))</f>
      </c>
    </row>
    <row r="202" spans="1:58" ht="18.75" customHeight="1" x14ac:dyDescent="0.25">
      <c r="A202" s="46" t="inlineStr">
        <is>
          <t xml:space="preserve">CANON-202508-000260</t>
        </is>
      </c>
      <c r="B202" s="46" t="inlineStr">
        <is>
          <t xml:space="preserve">Anouk Larsson</t>
        </is>
      </c>
      <c r="C202" s="47">
        <v>45894</v>
      </c>
      <c r="D202" s="48" t="inlineStr">
        <is>
          <t xml:space="preserve">Bound - within authority</t>
        </is>
      </c>
      <c r="E202" s="48" t="inlineStr">
        <is>
          <t xml:space="preserve">New business</t>
        </is>
      </c>
      <c r="F202" s="46" t="inlineStr">
        <is>
          <t xml:space="preserve">B1234EXOTIC26</t>
        </is>
      </c>
      <c r="G202" s="33">
        <f>IF($A202="","",IF($C202="","",YEAR($C202)))</f>
      </c>
      <c r="H202" s="49">
        <v>1989</v>
      </c>
      <c r="I202" s="46" t="inlineStr">
        <is>
          <t xml:space="preserve">McLaren</t>
        </is>
      </c>
      <c r="J202" s="46" t="inlineStr">
        <is>
          <t xml:space="preserve">750S</t>
        </is>
      </c>
      <c r="K202" s="46" t="inlineStr">
        <is>
          <t xml:space="preserve">WXM1KPFFFP35KZ2TM</t>
        </is>
      </c>
      <c r="L202" s="48" t="inlineStr">
        <is>
          <t xml:space="preserve">03 - Supercar</t>
        </is>
      </c>
      <c r="M202" s="50">
        <v>1000000</v>
      </c>
      <c r="N202" s="48" t="inlineStr">
        <is>
          <t xml:space="preserve">Personal</t>
        </is>
      </c>
      <c r="O202" s="46" t="inlineStr">
        <is>
          <t xml:space="preserve">Personal - regular use</t>
        </is>
      </c>
      <c r="P202" s="46" t="inlineStr">
        <is>
          <t xml:space="preserve">Under 1,000</t>
        </is>
      </c>
      <c r="Q202" s="46" t="inlineStr">
        <is>
          <t xml:space="preserve">Nevada</t>
        </is>
      </c>
      <c r="R202" s="46" t="inlineStr">
        <is>
          <t xml:space="preserve">89101</t>
        </is>
      </c>
      <c r="S202" s="48" t="inlineStr">
        <is>
          <t xml:space="preserve">Wildfire - WUI high hazard</t>
        </is>
      </c>
      <c r="T202" s="36">
        <f>IF($A202="","",IF($S202="","",IFERROR(INDEX('[1]natural catastrophe'!$D$6:$D$17,MATCH($S202,'[1]natural catastrophe'!$B$6:$B$17,0)),"?")))</f>
      </c>
      <c r="U202" s="46" t="inlineStr">
        <is>
          <t xml:space="preserve">$5,000</t>
        </is>
      </c>
      <c r="V202" s="48" t="inlineStr">
        <is>
          <t xml:space="preserve">Agreed Value</t>
        </is>
      </c>
      <c r="W202" s="46" t="inlineStr">
        <is>
          <t xml:space="preserve">$1,000</t>
        </is>
      </c>
      <c r="X202" s="48" t="inlineStr">
        <is>
          <t xml:space="preserve">$1,000,000 CSL</t>
        </is>
      </c>
      <c r="Y202" s="46"/>
      <c r="Z202" s="46"/>
      <c r="AA202" s="48" t="inlineStr">
        <is>
          <t xml:space="preserve">Surplus Lines</t>
        </is>
      </c>
      <c r="AB202" s="50">
        <v>17660.38</v>
      </c>
      <c r="AC202" s="51">
        <v>0</v>
      </c>
      <c r="AD202" s="38">
        <f>IF(ISNUMBER($AB202),$AB202*(1+N($AC202)),"")</f>
      </c>
      <c r="AE202" s="50">
        <v>350</v>
      </c>
      <c r="AF202" s="50">
        <v>250</v>
      </c>
      <c r="AG202" s="51"/>
      <c r="AH202" s="39">
        <f>IF(ISNUMBER($AD202),($AD202+$AE202+$AF202)*$AG202,"")</f>
      </c>
      <c r="AI202" s="50"/>
      <c r="AJ202" s="38">
        <f>IF(ISNUMBER($AD202),SUM($AD202:$AH202),"")</f>
      </c>
      <c r="AK202" s="40">
        <f>IF(AND(ISNUMBER($AB202),ISNUMBER($AD202)),IF($AB202&gt;0,$AD202/$AB202,""),"")</f>
      </c>
      <c r="AL202" s="48" t="inlineStr">
        <is>
          <t xml:space="preserve">At technical</t>
        </is>
      </c>
      <c r="AM202" s="41">
        <f>IF(ISNUMBER($AD202),Header!$I$3,"")</f>
      </c>
      <c r="AN202" s="39">
        <f>IF(ISNUMBER($AD202),$AO202+$AP202,"")</f>
      </c>
      <c r="AO202" s="39">
        <f>IF(ISNUMBER($AD202),ROUND($AD202*Header!$K$3,2),"")</f>
      </c>
      <c r="AP202" s="39">
        <f>IF(ISNUMBER($AD202),ROUND($AD202*Header!$M$3,2),"")</f>
      </c>
      <c r="AQ202" s="38">
        <f>IF(ISNUMBER($AD202),ROUND($AD202,2)-$AO202-$AP202,"")</f>
      </c>
      <c r="AR202" s="39">
        <f>IF(ISNUMBER($AD202),IF(Header!$D$34="","?",$AD202*Header!$D$34),"")</f>
      </c>
      <c r="AS202" s="39">
        <f>IF(ISNUMBER($AB202),IF(Header!$D$34="","?",$AB202*Header!$D$34),"")</f>
      </c>
      <c r="AT202" s="42">
        <f>IF(AND(ISNUMBER($AB202),$M202&gt;0),$AB202/$M202*100,"")</f>
      </c>
      <c r="AU202" s="42">
        <f>IF(AND(ISNUMBER($AD202),$M202&gt;0),$AD202/$M202*100,"")</f>
      </c>
      <c r="AV202" s="40">
        <f>IF(AND(ISNUMBER($AB202),ISNUMBER($AD202),ABS($AB202)&gt;0),$AD202/$AB202,"")</f>
      </c>
      <c r="AW202" s="39">
        <f>IF(ISNUMBER($AD202),MAX(0,(1-0.55-Header!$O$3)*Header!$Q$3*$AQ202),"")</f>
      </c>
      <c r="AX202" s="43">
        <f>IF($A202="","",IF(TRIM(IF($A202="","Missing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",""))="","PASS","FAIL: "&amp;TRIM(IF($A202="","Missing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f>
      </c>
      <c r="AY202" s="44">
        <f>IF($M202="","",IF(ISNUMBER($M202),IF($M202&gt;=Header!$C$18,"YES — refer","No"),""))</f>
      </c>
      <c r="AZ202" s="44">
        <f>IF($AD202="","",IF(ISNUMBER($AD202),IF($AD202&lt;Header!$C$20,"BELOW MIN PREMIUM","OK"),""))</f>
      </c>
      <c r="BA202" s="48" t="inlineStr">
        <is>
          <t xml:space="preserve">Yes</t>
        </is>
      </c>
      <c r="BB202" s="48" t="inlineStr">
        <is>
          <t xml:space="preserve">Yes</t>
        </is>
      </c>
      <c r="BC202" s="46" t="inlineStr">
        <is>
          <t xml:space="preserve">Synthetic demo data</t>
        </is>
      </c>
      <c r="BE202" s="45">
        <f>IF(OR($A202="",$L202="",$H202=""),"",IF(AND(LEFT($L202,2)="06",$H202&gt;1945),"FAIL - pre-war class, year "&amp;$H202,IF(AND(LEFT($L202,2)="07",OR($H202&lt;1946,$H202&gt;1972)),"FAIL - 1946-72 class, year "&amp;$H202,IF(AND(LEFT($L202,2)="08",OR($H202&lt;1973,$H202&gt;1999)),"FAIL - 1973-99 class, year "&amp;$H202,IF(AND(LEFT($L202,2)="09",OR($H202&lt;2000,$H202&gt;2010)),"FAIL - 2000-10 class, year "&amp;$H202,"OK")))))</f>
      </c>
      <c r="BF202" s="45">
        <f>IF($AD202="","",IF(ROUND($AO202+$AP202+$AQ202-$AD202,2)=0,"OK","FAIL - out by "&amp;TEXT($AO202+$AP202+$AQ202-$AD202,"$0.00")))</f>
      </c>
    </row>
    <row r="203" spans="1:58" ht="18.75" customHeight="1" x14ac:dyDescent="0.25">
      <c r="A203" s="30" t="inlineStr">
        <is>
          <t xml:space="preserve">CANON-202508-000261</t>
        </is>
      </c>
      <c r="B203" s="30" t="inlineStr">
        <is>
          <t xml:space="preserve">Callum Vasquez</t>
        </is>
      </c>
      <c r="C203" s="31">
        <v>45879</v>
      </c>
      <c r="D203" s="32" t="inlineStr">
        <is>
          <t xml:space="preserve">Bound - within authority</t>
        </is>
      </c>
      <c r="E203" s="32" t="inlineStr">
        <is>
          <t xml:space="preserve">New business</t>
        </is>
      </c>
      <c r="F203" s="30" t="inlineStr">
        <is>
          <t xml:space="preserve">B1234EXOTIC26</t>
        </is>
      </c>
      <c r="G203" s="33">
        <f>IF($A203="","",IF($C203="","",YEAR($C203)))</f>
      </c>
      <c r="H203" s="34">
        <v>1966</v>
      </c>
      <c r="I203" s="30" t="inlineStr">
        <is>
          <t xml:space="preserve">Aston Martin</t>
        </is>
      </c>
      <c r="J203" s="30" t="inlineStr">
        <is>
          <t xml:space="preserve">DB12</t>
        </is>
      </c>
      <c r="K203" s="30" t="inlineStr">
        <is>
          <t xml:space="preserve">91NG7R4SH1S6LEM9R</t>
        </is>
      </c>
      <c r="L203" s="32" t="inlineStr">
        <is>
          <t xml:space="preserve">02 - Sports / GT</t>
        </is>
      </c>
      <c r="M203" s="35">
        <v>695000</v>
      </c>
      <c r="N203" s="32" t="inlineStr">
        <is>
          <t xml:space="preserve">Personal</t>
        </is>
      </c>
      <c r="O203" s="30" t="inlineStr">
        <is>
          <t xml:space="preserve">Personal - regular use</t>
        </is>
      </c>
      <c r="P203" s="30" t="inlineStr">
        <is>
          <t xml:space="preserve">2,500 - 5,000</t>
        </is>
      </c>
      <c r="Q203" s="30" t="inlineStr">
        <is>
          <t xml:space="preserve">New Hampshire</t>
        </is>
      </c>
      <c r="R203" s="30" t="inlineStr">
        <is>
          <t xml:space="preserve">03301</t>
        </is>
      </c>
      <c r="S203" s="32" t="inlineStr">
        <is>
          <t xml:space="preserve">Tier 3 - Coastal wind (25-100 miles)</t>
        </is>
      </c>
      <c r="T203" s="36">
        <f>IF($A203="","",IF($S203="","",IFERROR(INDEX('[1]natural catastrophe'!$D$6:$D$17,MATCH($S203,'[1]natural catastrophe'!$B$6:$B$17,0)),"?")))</f>
      </c>
      <c r="U203" s="30" t="inlineStr">
        <is>
          <t xml:space="preserve">2% of agreed value, minimum $10,000</t>
        </is>
      </c>
      <c r="V203" s="32" t="inlineStr">
        <is>
          <t xml:space="preserve">Agreed Value</t>
        </is>
      </c>
      <c r="W203" s="30" t="inlineStr">
        <is>
          <t xml:space="preserve">$1,000</t>
        </is>
      </c>
      <c r="X203" s="32" t="inlineStr">
        <is>
          <t xml:space="preserve">$1,000,000 CSL</t>
        </is>
      </c>
      <c r="Y203" s="30"/>
      <c r="Z203" s="30"/>
      <c r="AA203" s="32" t="inlineStr">
        <is>
          <t xml:space="preserve">Surplus Lines</t>
        </is>
      </c>
      <c r="AB203" s="35">
        <v>8864.53</v>
      </c>
      <c r="AC203" s="37">
        <v>0</v>
      </c>
      <c r="AD203" s="38">
        <f>IF(ISNUMBER($AB203),$AB203*(1+N($AC203)),"")</f>
      </c>
      <c r="AE203" s="35">
        <v>350</v>
      </c>
      <c r="AF203" s="35">
        <v>0</v>
      </c>
      <c r="AG203" s="37"/>
      <c r="AH203" s="39">
        <f>IF(ISNUMBER($AD203),($AD203+$AE203+$AF203)*$AG203,"")</f>
      </c>
      <c r="AI203" s="35"/>
      <c r="AJ203" s="38">
        <f>IF(ISNUMBER($AD203),SUM($AD203:$AH203),"")</f>
      </c>
      <c r="AK203" s="40">
        <f>IF(AND(ISNUMBER($AB203),ISNUMBER($AD203)),IF($AB203&gt;0,$AD203/$AB203,""),"")</f>
      </c>
      <c r="AL203" s="32" t="inlineStr">
        <is>
          <t xml:space="preserve">At technical</t>
        </is>
      </c>
      <c r="AM203" s="41">
        <f>IF(ISNUMBER($AD203),Header!$I$3,"")</f>
      </c>
      <c r="AN203" s="39">
        <f>IF(ISNUMBER($AD203),$AO203+$AP203,"")</f>
      </c>
      <c r="AO203" s="39">
        <f>IF(ISNUMBER($AD203),ROUND($AD203*Header!$K$3,2),"")</f>
      </c>
      <c r="AP203" s="39">
        <f>IF(ISNUMBER($AD203),ROUND($AD203*Header!$M$3,2),"")</f>
      </c>
      <c r="AQ203" s="38">
        <f>IF(ISNUMBER($AD203),ROUND($AD203,2)-$AO203-$AP203,"")</f>
      </c>
      <c r="AR203" s="39">
        <f>IF(ISNUMBER($AD203),IF(Header!$D$34="","?",$AD203*Header!$D$34),"")</f>
      </c>
      <c r="AS203" s="39">
        <f>IF(ISNUMBER($AB203),IF(Header!$D$34="","?",$AB203*Header!$D$34),"")</f>
      </c>
      <c r="AT203" s="42">
        <f>IF(AND(ISNUMBER($AB203),$M203&gt;0),$AB203/$M203*100,"")</f>
      </c>
      <c r="AU203" s="42">
        <f>IF(AND(ISNUMBER($AD203),$M203&gt;0),$AD203/$M203*100,"")</f>
      </c>
      <c r="AV203" s="40">
        <f>IF(AND(ISNUMBER($AB203),ISNUMBER($AD203),ABS($AB203)&gt;0),$AD203/$AB203,"")</f>
      </c>
      <c r="AW203" s="39">
        <f>IF(ISNUMBER($AD203),MAX(0,(1-0.55-Header!$O$3)*Header!$Q$3*$AQ203),"")</f>
      </c>
      <c r="AX203" s="43">
        <f>IF($A203="","",IF(TRIM(IF($A203="","Missing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",""))="","PASS","FAIL: "&amp;TRIM(IF($A203="","Missing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f>
      </c>
      <c r="AY203" s="44">
        <f>IF($M203="","",IF(ISNUMBER($M203),IF($M203&gt;=Header!$C$18,"YES — refer","No"),""))</f>
      </c>
      <c r="AZ203" s="44">
        <f>IF($AD203="","",IF(ISNUMBER($AD203),IF($AD203&lt;Header!$C$20,"BELOW MIN PREMIUM","OK"),""))</f>
      </c>
      <c r="BA203" s="32" t="inlineStr">
        <is>
          <t xml:space="preserve">Yes</t>
        </is>
      </c>
      <c r="BB203" s="32" t="inlineStr">
        <is>
          <t xml:space="preserve">Yes</t>
        </is>
      </c>
      <c r="BC203" s="30" t="inlineStr">
        <is>
          <t xml:space="preserve">Synthetic demo data</t>
        </is>
      </c>
      <c r="BE203" s="45">
        <f>IF(OR($A203="",$L203="",$H203=""),"",IF(AND(LEFT($L203,2)="06",$H203&gt;1945),"FAIL - pre-war class, year "&amp;$H203,IF(AND(LEFT($L203,2)="07",OR($H203&lt;1946,$H203&gt;1972)),"FAIL - 1946-72 class, year "&amp;$H203,IF(AND(LEFT($L203,2)="08",OR($H203&lt;1973,$H203&gt;1999)),"FAIL - 1973-99 class, year "&amp;$H203,IF(AND(LEFT($L203,2)="09",OR($H203&lt;2000,$H203&gt;2010)),"FAIL - 2000-10 class, year "&amp;$H203,"OK")))))</f>
      </c>
      <c r="BF203" s="45">
        <f>IF($AD203="","",IF(ROUND($AO203+$AP203+$AQ203-$AD203,2)=0,"OK","FAIL - out by "&amp;TEXT($AO203+$AP203+$AQ203-$AD203,"$0.00")))</f>
      </c>
    </row>
    <row r="204" spans="1:58" ht="18.75" customHeight="1" x14ac:dyDescent="0.25">
      <c r="A204" s="46" t="inlineStr">
        <is>
          <t xml:space="preserve">CANON-202508-000262</t>
        </is>
      </c>
      <c r="B204" s="46" t="inlineStr">
        <is>
          <t xml:space="preserve">Ingrid Whitlock</t>
        </is>
      </c>
      <c r="C204" s="47">
        <v>45897</v>
      </c>
      <c r="D204" s="48" t="inlineStr">
        <is>
          <t xml:space="preserve">Bound - within authority</t>
        </is>
      </c>
      <c r="E204" s="48" t="inlineStr">
        <is>
          <t xml:space="preserve">New business</t>
        </is>
      </c>
      <c r="F204" s="46" t="inlineStr">
        <is>
          <t xml:space="preserve">B1234EXOTIC26</t>
        </is>
      </c>
      <c r="G204" s="33">
        <f>IF($A204="","",IF($C204="","",YEAR($C204)))</f>
      </c>
      <c r="H204" s="49">
        <v>1964</v>
      </c>
      <c r="I204" s="46" t="inlineStr">
        <is>
          <t xml:space="preserve">BMW</t>
        </is>
      </c>
      <c r="J204" s="46" t="inlineStr">
        <is>
          <t xml:space="preserve">M8 Competition</t>
        </is>
      </c>
      <c r="K204" s="46" t="inlineStr">
        <is>
          <t xml:space="preserve">RFW2Z34F4C3VMHLE1</t>
        </is>
      </c>
      <c r="L204" s="48" t="inlineStr">
        <is>
          <t xml:space="preserve">02 - Sports / GT</t>
        </is>
      </c>
      <c r="M204" s="50">
        <v>105000</v>
      </c>
      <c r="N204" s="48" t="inlineStr">
        <is>
          <t xml:space="preserve">Personal</t>
        </is>
      </c>
      <c r="O204" s="46" t="inlineStr">
        <is>
          <t xml:space="preserve">Personal - regular use</t>
        </is>
      </c>
      <c r="P204" s="46" t="inlineStr">
        <is>
          <t xml:space="preserve">1,000 - 2,500</t>
        </is>
      </c>
      <c r="Q204" s="46" t="inlineStr">
        <is>
          <t xml:space="preserve">Florida</t>
        </is>
      </c>
      <c r="R204" s="46" t="inlineStr">
        <is>
          <t xml:space="preserve">33139</t>
        </is>
      </c>
      <c r="S204" s="48" t="inlineStr">
        <is>
          <t xml:space="preserve">Tier 2 - Coastal wind (1-25 miles)</t>
        </is>
      </c>
      <c r="T204" s="36">
        <f>IF($A204="","",IF($S204="","",IFERROR(INDEX('[1]natural catastrophe'!$D$6:$D$17,MATCH($S204,'[1]natural catastrophe'!$B$6:$B$17,0)),"?")))</f>
      </c>
      <c r="U204" s="46" t="inlineStr">
        <is>
          <t xml:space="preserve">2% of agreed value, minimum $10,000</t>
        </is>
      </c>
      <c r="V204" s="48" t="inlineStr">
        <is>
          <t xml:space="preserve">Agreed Value</t>
        </is>
      </c>
      <c r="W204" s="46" t="inlineStr">
        <is>
          <t xml:space="preserve">$1,000</t>
        </is>
      </c>
      <c r="X204" s="48" t="inlineStr">
        <is>
          <t xml:space="preserve">$1,000,000 CSL</t>
        </is>
      </c>
      <c r="Y204" s="46"/>
      <c r="Z204" s="46"/>
      <c r="AA204" s="48" t="inlineStr">
        <is>
          <t xml:space="preserve">Surplus Lines</t>
        </is>
      </c>
      <c r="AB204" s="50">
        <v>2588.15</v>
      </c>
      <c r="AC204" s="51">
        <v>0</v>
      </c>
      <c r="AD204" s="38">
        <f>IF(ISNUMBER($AB204),$AB204*(1+N($AC204)),"")</f>
      </c>
      <c r="AE204" s="50">
        <v>350</v>
      </c>
      <c r="AF204" s="50">
        <v>0</v>
      </c>
      <c r="AG204" s="51"/>
      <c r="AH204" s="39">
        <f>IF(ISNUMBER($AD204),($AD204+$AE204+$AF204)*$AG204,"")</f>
      </c>
      <c r="AI204" s="50"/>
      <c r="AJ204" s="38">
        <f>IF(ISNUMBER($AD204),SUM($AD204:$AH204),"")</f>
      </c>
      <c r="AK204" s="40">
        <f>IF(AND(ISNUMBER($AB204),ISNUMBER($AD204)),IF($AB204&gt;0,$AD204/$AB204,""),"")</f>
      </c>
      <c r="AL204" s="48" t="inlineStr">
        <is>
          <t xml:space="preserve">At technical</t>
        </is>
      </c>
      <c r="AM204" s="41">
        <f>IF(ISNUMBER($AD204),Header!$I$3,"")</f>
      </c>
      <c r="AN204" s="39">
        <f>IF(ISNUMBER($AD204),$AO204+$AP204,"")</f>
      </c>
      <c r="AO204" s="39">
        <f>IF(ISNUMBER($AD204),ROUND($AD204*Header!$K$3,2),"")</f>
      </c>
      <c r="AP204" s="39">
        <f>IF(ISNUMBER($AD204),ROUND($AD204*Header!$M$3,2),"")</f>
      </c>
      <c r="AQ204" s="38">
        <f>IF(ISNUMBER($AD204),ROUND($AD204,2)-$AO204-$AP204,"")</f>
      </c>
      <c r="AR204" s="39">
        <f>IF(ISNUMBER($AD204),IF(Header!$D$34="","?",$AD204*Header!$D$34),"")</f>
      </c>
      <c r="AS204" s="39">
        <f>IF(ISNUMBER($AB204),IF(Header!$D$34="","?",$AB204*Header!$D$34),"")</f>
      </c>
      <c r="AT204" s="42">
        <f>IF(AND(ISNUMBER($AB204),$M204&gt;0),$AB204/$M204*100,"")</f>
      </c>
      <c r="AU204" s="42">
        <f>IF(AND(ISNUMBER($AD204),$M204&gt;0),$AD204/$M204*100,"")</f>
      </c>
      <c r="AV204" s="40">
        <f>IF(AND(ISNUMBER($AB204),ISNUMBER($AD204),ABS($AB204)&gt;0),$AD204/$AB204,"")</f>
      </c>
      <c r="AW204" s="39">
        <f>IF(ISNUMBER($AD204),MAX(0,(1-0.55-Header!$O$3)*Header!$Q$3*$AQ204),"")</f>
      </c>
      <c r="AX204" s="43">
        <f>IF($A204="","",IF(TRIM(IF($A204="","Missing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",""))="","PASS","FAIL: "&amp;TRIM(IF($A204="","Missing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f>
      </c>
      <c r="AY204" s="44">
        <f>IF($M204="","",IF(ISNUMBER($M204),IF($M204&gt;=Header!$C$18,"YES — refer","No"),""))</f>
      </c>
      <c r="AZ204" s="44">
        <f>IF($AD204="","",IF(ISNUMBER($AD204),IF($AD204&lt;Header!$C$20,"BELOW MIN PREMIUM","OK"),""))</f>
      </c>
      <c r="BA204" s="48" t="inlineStr">
        <is>
          <t xml:space="preserve">Yes</t>
        </is>
      </c>
      <c r="BB204" s="48" t="inlineStr">
        <is>
          <t xml:space="preserve">Yes</t>
        </is>
      </c>
      <c r="BC204" s="46" t="inlineStr">
        <is>
          <t xml:space="preserve">Synthetic demo data</t>
        </is>
      </c>
      <c r="BE204" s="45">
        <f>IF(OR($A204="",$L204="",$H204=""),"",IF(AND(LEFT($L204,2)="06",$H204&gt;1945),"FAIL - pre-war class, year "&amp;$H204,IF(AND(LEFT($L204,2)="07",OR($H204&lt;1946,$H204&gt;1972)),"FAIL - 1946-72 class, year "&amp;$H204,IF(AND(LEFT($L204,2)="08",OR($H204&lt;1973,$H204&gt;1999)),"FAIL - 1973-99 class, year "&amp;$H204,IF(AND(LEFT($L204,2)="09",OR($H204&lt;2000,$H204&gt;2010)),"FAIL - 2000-10 class, year "&amp;$H204,"OK")))))</f>
      </c>
      <c r="BF204" s="45">
        <f>IF($AD204="","",IF(ROUND($AO204+$AP204+$AQ204-$AD204,2)=0,"OK","FAIL - out by "&amp;TEXT($AO204+$AP204+$AQ204-$AD204,"$0.00")))</f>
      </c>
    </row>
    <row r="205" spans="1:58" ht="18.75" customHeight="1" x14ac:dyDescent="0.25">
      <c r="A205" s="30" t="inlineStr">
        <is>
          <t xml:space="preserve">CANON-202508-000263</t>
        </is>
      </c>
      <c r="B205" s="30" t="inlineStr">
        <is>
          <t xml:space="preserve">Fenwick Okonkwo</t>
        </is>
      </c>
      <c r="C205" s="31">
        <v>45899</v>
      </c>
      <c r="D205" s="32" t="inlineStr">
        <is>
          <t xml:space="preserve">Bound - within authority</t>
        </is>
      </c>
      <c r="E205" s="32" t="inlineStr">
        <is>
          <t xml:space="preserve">New business</t>
        </is>
      </c>
      <c r="F205" s="30" t="inlineStr">
        <is>
          <t xml:space="preserve">B1234EXOTIC26</t>
        </is>
      </c>
      <c r="G205" s="33">
        <f>IF($A205="","",IF($C205="","",YEAR($C205)))</f>
      </c>
      <c r="H205" s="34">
        <v>1990</v>
      </c>
      <c r="I205" s="30" t="inlineStr">
        <is>
          <t xml:space="preserve">Aston Martin</t>
        </is>
      </c>
      <c r="J205" s="30" t="inlineStr">
        <is>
          <t xml:space="preserve">DB5</t>
        </is>
      </c>
      <c r="K205" s="30" t="inlineStr">
        <is>
          <t xml:space="preserve">MF56NVURKHT6HAH48</t>
        </is>
      </c>
      <c r="L205" s="32" t="inlineStr">
        <is>
          <t xml:space="preserve">08 - Modern Classic (1973-1999)</t>
        </is>
      </c>
      <c r="M205" s="35">
        <v>645000</v>
      </c>
      <c r="N205" s="32" t="inlineStr">
        <is>
          <t xml:space="preserve">Personal</t>
        </is>
      </c>
      <c r="O205" s="30" t="inlineStr">
        <is>
          <t xml:space="preserve">Personal - regular use</t>
        </is>
      </c>
      <c r="P205" s="30" t="inlineStr">
        <is>
          <t xml:space="preserve">2,500 - 5,000</t>
        </is>
      </c>
      <c r="Q205" s="30" t="inlineStr">
        <is>
          <t xml:space="preserve">Nebraska</t>
        </is>
      </c>
      <c r="R205" s="30" t="inlineStr">
        <is>
          <t xml:space="preserve">68102</t>
        </is>
      </c>
      <c r="S205" s="32" t="inlineStr">
        <is>
          <t xml:space="preserve">Severe convective - hail alley (high)</t>
        </is>
      </c>
      <c r="T205" s="36">
        <f>IF($A205="","",IF($S205="","",IFERROR(INDEX('[1]natural catastrophe'!$D$6:$D$17,MATCH($S205,'[1]natural catastrophe'!$B$6:$B$17,0)),"?")))</f>
      </c>
      <c r="U205" s="30" t="inlineStr">
        <is>
          <t xml:space="preserve">$5,000</t>
        </is>
      </c>
      <c r="V205" s="32" t="inlineStr">
        <is>
          <t xml:space="preserve">Agreed Value</t>
        </is>
      </c>
      <c r="W205" s="30" t="inlineStr">
        <is>
          <t xml:space="preserve">$1,000</t>
        </is>
      </c>
      <c r="X205" s="32" t="inlineStr">
        <is>
          <t xml:space="preserve">$1,000,000 CSL</t>
        </is>
      </c>
      <c r="Y205" s="30"/>
      <c r="Z205" s="30"/>
      <c r="AA205" s="32" t="inlineStr">
        <is>
          <t xml:space="preserve">Surplus Lines</t>
        </is>
      </c>
      <c r="AB205" s="35">
        <v>6802.92</v>
      </c>
      <c r="AC205" s="37">
        <v>0</v>
      </c>
      <c r="AD205" s="38">
        <f>IF(ISNUMBER($AB205),$AB205*(1+N($AC205)),"")</f>
      </c>
      <c r="AE205" s="35">
        <v>350</v>
      </c>
      <c r="AF205" s="35">
        <v>0</v>
      </c>
      <c r="AG205" s="37"/>
      <c r="AH205" s="39">
        <f>IF(ISNUMBER($AD205),($AD205+$AE205+$AF205)*$AG205,"")</f>
      </c>
      <c r="AI205" s="35"/>
      <c r="AJ205" s="38">
        <f>IF(ISNUMBER($AD205),SUM($AD205:$AH205),"")</f>
      </c>
      <c r="AK205" s="40">
        <f>IF(AND(ISNUMBER($AB205),ISNUMBER($AD205)),IF($AB205&gt;0,$AD205/$AB205,""),"")</f>
      </c>
      <c r="AL205" s="32" t="inlineStr">
        <is>
          <t xml:space="preserve">At technical</t>
        </is>
      </c>
      <c r="AM205" s="41">
        <f>IF(ISNUMBER($AD205),Header!$I$3,"")</f>
      </c>
      <c r="AN205" s="39">
        <f>IF(ISNUMBER($AD205),$AO205+$AP205,"")</f>
      </c>
      <c r="AO205" s="39">
        <f>IF(ISNUMBER($AD205),ROUND($AD205*Header!$K$3,2),"")</f>
      </c>
      <c r="AP205" s="39">
        <f>IF(ISNUMBER($AD205),ROUND($AD205*Header!$M$3,2),"")</f>
      </c>
      <c r="AQ205" s="38">
        <f>IF(ISNUMBER($AD205),ROUND($AD205,2)-$AO205-$AP205,"")</f>
      </c>
      <c r="AR205" s="39">
        <f>IF(ISNUMBER($AD205),IF(Header!$D$34="","?",$AD205*Header!$D$34),"")</f>
      </c>
      <c r="AS205" s="39">
        <f>IF(ISNUMBER($AB205),IF(Header!$D$34="","?",$AB205*Header!$D$34),"")</f>
      </c>
      <c r="AT205" s="42">
        <f>IF(AND(ISNUMBER($AB205),$M205&gt;0),$AB205/$M205*100,"")</f>
      </c>
      <c r="AU205" s="42">
        <f>IF(AND(ISNUMBER($AD205),$M205&gt;0),$AD205/$M205*100,"")</f>
      </c>
      <c r="AV205" s="40">
        <f>IF(AND(ISNUMBER($AB205),ISNUMBER($AD205),ABS($AB205)&gt;0),$AD205/$AB205,"")</f>
      </c>
      <c r="AW205" s="39">
        <f>IF(ISNUMBER($AD205),MAX(0,(1-0.55-Header!$O$3)*Header!$Q$3*$AQ205),"")</f>
      </c>
      <c r="AX205" s="43">
        <f>IF($A205="","",IF(TRIM(IF($A205="","Missing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",""))="","PASS","FAIL: "&amp;TRIM(IF($A205="","Missing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f>
      </c>
      <c r="AY205" s="44">
        <f>IF($M205="","",IF(ISNUMBER($M205),IF($M205&gt;=Header!$C$18,"YES — refer","No"),""))</f>
      </c>
      <c r="AZ205" s="44">
        <f>IF($AD205="","",IF(ISNUMBER($AD205),IF($AD205&lt;Header!$C$20,"BELOW MIN PREMIUM","OK"),""))</f>
      </c>
      <c r="BA205" s="32" t="inlineStr">
        <is>
          <t xml:space="preserve">Yes</t>
        </is>
      </c>
      <c r="BB205" s="32" t="inlineStr">
        <is>
          <t xml:space="preserve">Yes</t>
        </is>
      </c>
      <c r="BC205" s="30" t="inlineStr">
        <is>
          <t xml:space="preserve">Synthetic demo data</t>
        </is>
      </c>
      <c r="BE205" s="45">
        <f>IF(OR($A205="",$L205="",$H205=""),"",IF(AND(LEFT($L205,2)="06",$H205&gt;1945),"FAIL - pre-war class, year "&amp;$H205,IF(AND(LEFT($L205,2)="07",OR($H205&lt;1946,$H205&gt;1972)),"FAIL - 1946-72 class, year "&amp;$H205,IF(AND(LEFT($L205,2)="08",OR($H205&lt;1973,$H205&gt;1999)),"FAIL - 1973-99 class, year "&amp;$H205,IF(AND(LEFT($L205,2)="09",OR($H205&lt;2000,$H205&gt;2010)),"FAIL - 2000-10 class, year "&amp;$H205,"OK")))))</f>
      </c>
      <c r="BF205" s="45">
        <f>IF($AD205="","",IF(ROUND($AO205+$AP205+$AQ205-$AD205,2)=0,"OK","FAIL - out by "&amp;TEXT($AO205+$AP205+$AQ205-$AD205,"$0.00")))</f>
      </c>
    </row>
    <row r="206" spans="1:58" ht="18.75" customHeight="1" x14ac:dyDescent="0.25">
      <c r="A206" s="46" t="inlineStr">
        <is>
          <t xml:space="preserve">CANON-202508-000266</t>
        </is>
      </c>
      <c r="B206" s="46" t="inlineStr">
        <is>
          <t xml:space="preserve">Fenwick Castellanos</t>
        </is>
      </c>
      <c r="C206" s="47">
        <v>45888</v>
      </c>
      <c r="D206" s="48" t="inlineStr">
        <is>
          <t xml:space="preserve">Bound - within authority</t>
        </is>
      </c>
      <c r="E206" s="48" t="inlineStr">
        <is>
          <t xml:space="preserve">New business</t>
        </is>
      </c>
      <c r="F206" s="46" t="inlineStr">
        <is>
          <t xml:space="preserve">B1234EXOTIC26</t>
        </is>
      </c>
      <c r="G206" s="33">
        <f>IF($A206="","",IF($C206="","",YEAR($C206)))</f>
      </c>
      <c r="H206" s="49">
        <v>2024</v>
      </c>
      <c r="I206" s="46" t="inlineStr">
        <is>
          <t xml:space="preserve">Bentley</t>
        </is>
      </c>
      <c r="J206" s="46" t="inlineStr">
        <is>
          <t xml:space="preserve">Continental GT</t>
        </is>
      </c>
      <c r="K206" s="46" t="inlineStr">
        <is>
          <t xml:space="preserve">PM2C2ZP4HH67W6J5B</t>
        </is>
      </c>
      <c r="L206" s="48" t="inlineStr">
        <is>
          <t xml:space="preserve">02 - Sports / GT</t>
        </is>
      </c>
      <c r="M206" s="50">
        <v>655000</v>
      </c>
      <c r="N206" s="48" t="inlineStr">
        <is>
          <t xml:space="preserve">Personal</t>
        </is>
      </c>
      <c r="O206" s="46" t="inlineStr">
        <is>
          <t xml:space="preserve">Personal - regular use</t>
        </is>
      </c>
      <c r="P206" s="46" t="inlineStr">
        <is>
          <t xml:space="preserve">1,000 - 2,500</t>
        </is>
      </c>
      <c r="Q206" s="46" t="inlineStr">
        <is>
          <t xml:space="preserve">Utah</t>
        </is>
      </c>
      <c r="R206" s="46" t="inlineStr">
        <is>
          <t xml:space="preserve">84101</t>
        </is>
      </c>
      <c r="S206" s="48" t="inlineStr">
        <is>
          <t xml:space="preserve">Wildfire - WUI high hazard</t>
        </is>
      </c>
      <c r="T206" s="36">
        <f>IF($A206="","",IF($S206="","",IFERROR(INDEX('[1]natural catastrophe'!$D$6:$D$17,MATCH($S206,'[1]natural catastrophe'!$B$6:$B$17,0)),"?")))</f>
      </c>
      <c r="U206" s="46" t="inlineStr">
        <is>
          <t xml:space="preserve">$5,000</t>
        </is>
      </c>
      <c r="V206" s="48" t="inlineStr">
        <is>
          <t xml:space="preserve">Agreed Value</t>
        </is>
      </c>
      <c r="W206" s="46" t="inlineStr">
        <is>
          <t xml:space="preserve">$1,000</t>
        </is>
      </c>
      <c r="X206" s="48" t="inlineStr">
        <is>
          <t xml:space="preserve">$1,000,000 CSL</t>
        </is>
      </c>
      <c r="Y206" s="46"/>
      <c r="Z206" s="46"/>
      <c r="AA206" s="48" t="inlineStr">
        <is>
          <t xml:space="preserve">Surplus Lines</t>
        </is>
      </c>
      <c r="AB206" s="50">
        <v>10844.58</v>
      </c>
      <c r="AC206" s="51">
        <v>0</v>
      </c>
      <c r="AD206" s="38">
        <f>IF(ISNUMBER($AB206),$AB206*(1+N($AC206)),"")</f>
      </c>
      <c r="AE206" s="50">
        <v>350</v>
      </c>
      <c r="AF206" s="50">
        <v>0</v>
      </c>
      <c r="AG206" s="51"/>
      <c r="AH206" s="39">
        <f>IF(ISNUMBER($AD206),($AD206+$AE206+$AF206)*$AG206,"")</f>
      </c>
      <c r="AI206" s="50"/>
      <c r="AJ206" s="38">
        <f>IF(ISNUMBER($AD206),SUM($AD206:$AH206),"")</f>
      </c>
      <c r="AK206" s="40">
        <f>IF(AND(ISNUMBER($AB206),ISNUMBER($AD206)),IF($AB206&gt;0,$AD206/$AB206,""),"")</f>
      </c>
      <c r="AL206" s="48" t="inlineStr">
        <is>
          <t xml:space="preserve">At technical</t>
        </is>
      </c>
      <c r="AM206" s="41">
        <f>IF(ISNUMBER($AD206),Header!$I$3,"")</f>
      </c>
      <c r="AN206" s="39">
        <f>IF(ISNUMBER($AD206),$AO206+$AP206,"")</f>
      </c>
      <c r="AO206" s="39">
        <f>IF(ISNUMBER($AD206),ROUND($AD206*Header!$K$3,2),"")</f>
      </c>
      <c r="AP206" s="39">
        <f>IF(ISNUMBER($AD206),ROUND($AD206*Header!$M$3,2),"")</f>
      </c>
      <c r="AQ206" s="38">
        <f>IF(ISNUMBER($AD206),ROUND($AD206,2)-$AO206-$AP206,"")</f>
      </c>
      <c r="AR206" s="39">
        <f>IF(ISNUMBER($AD206),IF(Header!$D$34="","?",$AD206*Header!$D$34),"")</f>
      </c>
      <c r="AS206" s="39">
        <f>IF(ISNUMBER($AB206),IF(Header!$D$34="","?",$AB206*Header!$D$34),"")</f>
      </c>
      <c r="AT206" s="42">
        <f>IF(AND(ISNUMBER($AB206),$M206&gt;0),$AB206/$M206*100,"")</f>
      </c>
      <c r="AU206" s="42">
        <f>IF(AND(ISNUMBER($AD206),$M206&gt;0),$AD206/$M206*100,"")</f>
      </c>
      <c r="AV206" s="40">
        <f>IF(AND(ISNUMBER($AB206),ISNUMBER($AD206),ABS($AB206)&gt;0),$AD206/$AB206,"")</f>
      </c>
      <c r="AW206" s="39">
        <f>IF(ISNUMBER($AD206),MAX(0,(1-0.55-Header!$O$3)*Header!$Q$3*$AQ206),"")</f>
      </c>
      <c r="AX206" s="43">
        <f>IF($A206="","",IF(TRIM(IF($A206="","Missing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",""))="","PASS","FAIL: "&amp;TRIM(IF($A206="","Missing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f>
      </c>
      <c r="AY206" s="44">
        <f>IF($M206="","",IF(ISNUMBER($M206),IF($M206&gt;=Header!$C$18,"YES — refer","No"),""))</f>
      </c>
      <c r="AZ206" s="44">
        <f>IF($AD206="","",IF(ISNUMBER($AD206),IF($AD206&lt;Header!$C$20,"BELOW MIN PREMIUM","OK"),""))</f>
      </c>
      <c r="BA206" s="48" t="inlineStr">
        <is>
          <t xml:space="preserve">Yes</t>
        </is>
      </c>
      <c r="BB206" s="48" t="inlineStr">
        <is>
          <t xml:space="preserve">Yes</t>
        </is>
      </c>
      <c r="BC206" s="46" t="inlineStr">
        <is>
          <t xml:space="preserve">Synthetic demo data</t>
        </is>
      </c>
      <c r="BE206" s="45">
        <f>IF(OR($A206="",$L206="",$H206=""),"",IF(AND(LEFT($L206,2)="06",$H206&gt;1945),"FAIL - pre-war class, year "&amp;$H206,IF(AND(LEFT($L206,2)="07",OR($H206&lt;1946,$H206&gt;1972)),"FAIL - 1946-72 class, year "&amp;$H206,IF(AND(LEFT($L206,2)="08",OR($H206&lt;1973,$H206&gt;1999)),"FAIL - 1973-99 class, year "&amp;$H206,IF(AND(LEFT($L206,2)="09",OR($H206&lt;2000,$H206&gt;2010)),"FAIL - 2000-10 class, year "&amp;$H206,"OK")))))</f>
      </c>
      <c r="BF206" s="45">
        <f>IF($AD206="","",IF(ROUND($AO206+$AP206+$AQ206-$AD206,2)=0,"OK","FAIL - out by "&amp;TEXT($AO206+$AP206+$AQ206-$AD206,"$0.00")))</f>
      </c>
    </row>
    <row r="207" spans="1:58" ht="18.75" customHeight="1" x14ac:dyDescent="0.25">
      <c r="A207" s="30" t="inlineStr">
        <is>
          <t xml:space="preserve">CANON-202508-000267</t>
        </is>
      </c>
      <c r="B207" s="30" t="inlineStr">
        <is>
          <t xml:space="preserve">Mireille Farkas</t>
        </is>
      </c>
      <c r="C207" s="31">
        <v>45881</v>
      </c>
      <c r="D207" s="32" t="inlineStr">
        <is>
          <t xml:space="preserve">Bound - within authority</t>
        </is>
      </c>
      <c r="E207" s="32" t="inlineStr">
        <is>
          <t xml:space="preserve">New business</t>
        </is>
      </c>
      <c r="F207" s="30" t="inlineStr">
        <is>
          <t xml:space="preserve">B1234EXOTIC26</t>
        </is>
      </c>
      <c r="G207" s="33">
        <f>IF($A207="","",IF($C207="","",YEAR($C207)))</f>
      </c>
      <c r="H207" s="34">
        <v>1968</v>
      </c>
      <c r="I207" s="30" t="inlineStr">
        <is>
          <t xml:space="preserve">BMW</t>
        </is>
      </c>
      <c r="J207" s="30" t="inlineStr">
        <is>
          <t xml:space="preserve">M8 Competition</t>
        </is>
      </c>
      <c r="K207" s="30" t="inlineStr">
        <is>
          <t xml:space="preserve">1ZVVCLZ5YMPVN8ADC</t>
        </is>
      </c>
      <c r="L207" s="32" t="inlineStr">
        <is>
          <t xml:space="preserve">02 - Sports / GT</t>
        </is>
      </c>
      <c r="M207" s="35">
        <v>500000</v>
      </c>
      <c r="N207" s="32" t="inlineStr">
        <is>
          <t xml:space="preserve">Personal</t>
        </is>
      </c>
      <c r="O207" s="30" t="inlineStr">
        <is>
          <t xml:space="preserve">Personal - regular use</t>
        </is>
      </c>
      <c r="P207" s="30" t="inlineStr">
        <is>
          <t xml:space="preserve">1,000 - 2,500</t>
        </is>
      </c>
      <c r="Q207" s="30" t="inlineStr">
        <is>
          <t xml:space="preserve">Ohio</t>
        </is>
      </c>
      <c r="R207" s="30" t="inlineStr">
        <is>
          <t xml:space="preserve">43215</t>
        </is>
      </c>
      <c r="S207" s="32" t="inlineStr">
        <is>
          <t xml:space="preserve">Severe convective - hail / tornado (moderate)</t>
        </is>
      </c>
      <c r="T207" s="36">
        <f>IF($A207="","",IF($S207="","",IFERROR(INDEX('[1]natural catastrophe'!$D$6:$D$17,MATCH($S207,'[1]natural catastrophe'!$B$6:$B$17,0)),"?")))</f>
      </c>
      <c r="U207" s="30" t="inlineStr">
        <is>
          <t xml:space="preserve">$5,000</t>
        </is>
      </c>
      <c r="V207" s="32" t="inlineStr">
        <is>
          <t xml:space="preserve">Agreed Value</t>
        </is>
      </c>
      <c r="W207" s="30" t="inlineStr">
        <is>
          <t xml:space="preserve">$1,000</t>
        </is>
      </c>
      <c r="X207" s="32" t="inlineStr">
        <is>
          <t xml:space="preserve">$1,000,000 CSL</t>
        </is>
      </c>
      <c r="Y207" s="30"/>
      <c r="Z207" s="30"/>
      <c r="AA207" s="32" t="inlineStr">
        <is>
          <t xml:space="preserve">Surplus Lines</t>
        </is>
      </c>
      <c r="AB207" s="35">
        <v>8523.58</v>
      </c>
      <c r="AC207" s="37">
        <v>0</v>
      </c>
      <c r="AD207" s="38">
        <f>IF(ISNUMBER($AB207),$AB207*(1+N($AC207)),"")</f>
      </c>
      <c r="AE207" s="35">
        <v>350</v>
      </c>
      <c r="AF207" s="35">
        <v>0</v>
      </c>
      <c r="AG207" s="37"/>
      <c r="AH207" s="39">
        <f>IF(ISNUMBER($AD207),($AD207+$AE207+$AF207)*$AG207,"")</f>
      </c>
      <c r="AI207" s="35"/>
      <c r="AJ207" s="38">
        <f>IF(ISNUMBER($AD207),SUM($AD207:$AH207),"")</f>
      </c>
      <c r="AK207" s="40">
        <f>IF(AND(ISNUMBER($AB207),ISNUMBER($AD207)),IF($AB207&gt;0,$AD207/$AB207,""),"")</f>
      </c>
      <c r="AL207" s="32" t="inlineStr">
        <is>
          <t xml:space="preserve">At technical</t>
        </is>
      </c>
      <c r="AM207" s="41">
        <f>IF(ISNUMBER($AD207),Header!$I$3,"")</f>
      </c>
      <c r="AN207" s="39">
        <f>IF(ISNUMBER($AD207),$AO207+$AP207,"")</f>
      </c>
      <c r="AO207" s="39">
        <f>IF(ISNUMBER($AD207),ROUND($AD207*Header!$K$3,2),"")</f>
      </c>
      <c r="AP207" s="39">
        <f>IF(ISNUMBER($AD207),ROUND($AD207*Header!$M$3,2),"")</f>
      </c>
      <c r="AQ207" s="38">
        <f>IF(ISNUMBER($AD207),ROUND($AD207,2)-$AO207-$AP207,"")</f>
      </c>
      <c r="AR207" s="39">
        <f>IF(ISNUMBER($AD207),IF(Header!$D$34="","?",$AD207*Header!$D$34),"")</f>
      </c>
      <c r="AS207" s="39">
        <f>IF(ISNUMBER($AB207),IF(Header!$D$34="","?",$AB207*Header!$D$34),"")</f>
      </c>
      <c r="AT207" s="42">
        <f>IF(AND(ISNUMBER($AB207),$M207&gt;0),$AB207/$M207*100,"")</f>
      </c>
      <c r="AU207" s="42">
        <f>IF(AND(ISNUMBER($AD207),$M207&gt;0),$AD207/$M207*100,"")</f>
      </c>
      <c r="AV207" s="40">
        <f>IF(AND(ISNUMBER($AB207),ISNUMBER($AD207),ABS($AB207)&gt;0),$AD207/$AB207,"")</f>
      </c>
      <c r="AW207" s="39">
        <f>IF(ISNUMBER($AD207),MAX(0,(1-0.55-Header!$O$3)*Header!$Q$3*$AQ207),"")</f>
      </c>
      <c r="AX207" s="43">
        <f>IF($A207="","",IF(TRIM(IF($A207="","Missing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",""))="","PASS","FAIL: "&amp;TRIM(IF($A207="","Missing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f>
      </c>
      <c r="AY207" s="44">
        <f>IF($M207="","",IF(ISNUMBER($M207),IF($M207&gt;=Header!$C$18,"YES — refer","No"),""))</f>
      </c>
      <c r="AZ207" s="44">
        <f>IF($AD207="","",IF(ISNUMBER($AD207),IF($AD207&lt;Header!$C$20,"BELOW MIN PREMIUM","OK"),""))</f>
      </c>
      <c r="BA207" s="32" t="inlineStr">
        <is>
          <t xml:space="preserve">Yes</t>
        </is>
      </c>
      <c r="BB207" s="32" t="inlineStr">
        <is>
          <t xml:space="preserve">Yes</t>
        </is>
      </c>
      <c r="BC207" s="30" t="inlineStr">
        <is>
          <t xml:space="preserve">Synthetic demo data</t>
        </is>
      </c>
      <c r="BE207" s="45">
        <f>IF(OR($A207="",$L207="",$H207=""),"",IF(AND(LEFT($L207,2)="06",$H207&gt;1945),"FAIL - pre-war class, year "&amp;$H207,IF(AND(LEFT($L207,2)="07",OR($H207&lt;1946,$H207&gt;1972)),"FAIL - 1946-72 class, year "&amp;$H207,IF(AND(LEFT($L207,2)="08",OR($H207&lt;1973,$H207&gt;1999)),"FAIL - 1973-99 class, year "&amp;$H207,IF(AND(LEFT($L207,2)="09",OR($H207&lt;2000,$H207&gt;2010)),"FAIL - 2000-10 class, year "&amp;$H207,"OK")))))</f>
      </c>
      <c r="BF207" s="45">
        <f>IF($AD207="","",IF(ROUND($AO207+$AP207+$AQ207-$AD207,2)=0,"OK","FAIL - out by "&amp;TEXT($AO207+$AP207+$AQ207-$AD207,"$0.00")))</f>
      </c>
    </row>
    <row r="208" spans="1:58" ht="18.75" customHeight="1" x14ac:dyDescent="0.25">
      <c r="A208" s="46" t="inlineStr">
        <is>
          <t xml:space="preserve">CANON-202508-000268</t>
        </is>
      </c>
      <c r="B208" s="46" t="inlineStr">
        <is>
          <t xml:space="preserve">Leopold Castellanos</t>
        </is>
      </c>
      <c r="C208" s="47">
        <v>45883</v>
      </c>
      <c r="D208" s="48" t="inlineStr">
        <is>
          <t xml:space="preserve">Bound - within authority</t>
        </is>
      </c>
      <c r="E208" s="48" t="inlineStr">
        <is>
          <t xml:space="preserve">New business</t>
        </is>
      </c>
      <c r="F208" s="46" t="inlineStr">
        <is>
          <t xml:space="preserve">B1234EXOTIC26</t>
        </is>
      </c>
      <c r="G208" s="33">
        <f>IF($A208="","",IF($C208="","",YEAR($C208)))</f>
      </c>
      <c r="H208" s="49">
        <v>2001</v>
      </c>
      <c r="I208" s="46" t="inlineStr">
        <is>
          <t xml:space="preserve">Ferrari</t>
        </is>
      </c>
      <c r="J208" s="46" t="inlineStr">
        <is>
          <t xml:space="preserve">296 GTB</t>
        </is>
      </c>
      <c r="K208" s="46" t="inlineStr">
        <is>
          <t xml:space="preserve">718SS7LB6F4SKXS7J</t>
        </is>
      </c>
      <c r="L208" s="48" t="inlineStr">
        <is>
          <t xml:space="preserve">03 - Supercar</t>
        </is>
      </c>
      <c r="M208" s="50">
        <v>1740000</v>
      </c>
      <c r="N208" s="48" t="inlineStr">
        <is>
          <t xml:space="preserve">Personal</t>
        </is>
      </c>
      <c r="O208" s="46" t="inlineStr">
        <is>
          <t xml:space="preserve">Personal - regular use</t>
        </is>
      </c>
      <c r="P208" s="46" t="inlineStr">
        <is>
          <t xml:space="preserve">Under 1,000</t>
        </is>
      </c>
      <c r="Q208" s="46" t="inlineStr">
        <is>
          <t xml:space="preserve">Alabama</t>
        </is>
      </c>
      <c r="R208" s="46" t="inlineStr">
        <is>
          <t xml:space="preserve">35203</t>
        </is>
      </c>
      <c r="S208" s="48" t="inlineStr">
        <is>
          <t xml:space="preserve">Tier 2 - Coastal wind (1-25 miles)</t>
        </is>
      </c>
      <c r="T208" s="36">
        <f>IF($A208="","",IF($S208="","",IFERROR(INDEX('[1]natural catastrophe'!$D$6:$D$17,MATCH($S208,'[1]natural catastrophe'!$B$6:$B$17,0)),"?")))</f>
      </c>
      <c r="U208" s="46" t="inlineStr">
        <is>
          <t xml:space="preserve">2% of agreed value, minimum $10,000</t>
        </is>
      </c>
      <c r="V208" s="48" t="inlineStr">
        <is>
          <t xml:space="preserve">Agreed Value</t>
        </is>
      </c>
      <c r="W208" s="46" t="inlineStr">
        <is>
          <t xml:space="preserve">$1,000</t>
        </is>
      </c>
      <c r="X208" s="48" t="inlineStr">
        <is>
          <t xml:space="preserve">$1,000,000 CSL</t>
        </is>
      </c>
      <c r="Y208" s="46"/>
      <c r="Z208" s="46"/>
      <c r="AA208" s="48" t="inlineStr">
        <is>
          <t xml:space="preserve">Surplus Lines</t>
        </is>
      </c>
      <c r="AB208" s="50">
        <v>33355.47</v>
      </c>
      <c r="AC208" s="51">
        <v>0</v>
      </c>
      <c r="AD208" s="38">
        <f>IF(ISNUMBER($AB208),$AB208*(1+N($AC208)),"")</f>
      </c>
      <c r="AE208" s="50">
        <v>350</v>
      </c>
      <c r="AF208" s="50">
        <v>250</v>
      </c>
      <c r="AG208" s="51"/>
      <c r="AH208" s="39">
        <f>IF(ISNUMBER($AD208),($AD208+$AE208+$AF208)*$AG208,"")</f>
      </c>
      <c r="AI208" s="50"/>
      <c r="AJ208" s="38">
        <f>IF(ISNUMBER($AD208),SUM($AD208:$AH208),"")</f>
      </c>
      <c r="AK208" s="40">
        <f>IF(AND(ISNUMBER($AB208),ISNUMBER($AD208)),IF($AB208&gt;0,$AD208/$AB208,""),"")</f>
      </c>
      <c r="AL208" s="48" t="inlineStr">
        <is>
          <t xml:space="preserve">At technical</t>
        </is>
      </c>
      <c r="AM208" s="41">
        <f>IF(ISNUMBER($AD208),Header!$I$3,"")</f>
      </c>
      <c r="AN208" s="39">
        <f>IF(ISNUMBER($AD208),$AO208+$AP208,"")</f>
      </c>
      <c r="AO208" s="39">
        <f>IF(ISNUMBER($AD208),ROUND($AD208*Header!$K$3,2),"")</f>
      </c>
      <c r="AP208" s="39">
        <f>IF(ISNUMBER($AD208),ROUND($AD208*Header!$M$3,2),"")</f>
      </c>
      <c r="AQ208" s="38">
        <f>IF(ISNUMBER($AD208),ROUND($AD208,2)-$AO208-$AP208,"")</f>
      </c>
      <c r="AR208" s="39">
        <f>IF(ISNUMBER($AD208),IF(Header!$D$34="","?",$AD208*Header!$D$34),"")</f>
      </c>
      <c r="AS208" s="39">
        <f>IF(ISNUMBER($AB208),IF(Header!$D$34="","?",$AB208*Header!$D$34),"")</f>
      </c>
      <c r="AT208" s="42">
        <f>IF(AND(ISNUMBER($AB208),$M208&gt;0),$AB208/$M208*100,"")</f>
      </c>
      <c r="AU208" s="42">
        <f>IF(AND(ISNUMBER($AD208),$M208&gt;0),$AD208/$M208*100,"")</f>
      </c>
      <c r="AV208" s="40">
        <f>IF(AND(ISNUMBER($AB208),ISNUMBER($AD208),ABS($AB208)&gt;0),$AD208/$AB208,"")</f>
      </c>
      <c r="AW208" s="39">
        <f>IF(ISNUMBER($AD208),MAX(0,(1-0.55-Header!$O$3)*Header!$Q$3*$AQ208),"")</f>
      </c>
      <c r="AX208" s="43">
        <f>IF($A208="","",IF(TRIM(IF($A208="","Missing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",""))="","PASS","FAIL: "&amp;TRIM(IF($A208="","Missing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f>
      </c>
      <c r="AY208" s="44">
        <f>IF($M208="","",IF(ISNUMBER($M208),IF($M208&gt;=Header!$C$18,"YES — refer","No"),""))</f>
      </c>
      <c r="AZ208" s="44">
        <f>IF($AD208="","",IF(ISNUMBER($AD208),IF($AD208&lt;Header!$C$20,"BELOW MIN PREMIUM","OK"),""))</f>
      </c>
      <c r="BA208" s="48" t="inlineStr">
        <is>
          <t xml:space="preserve">Yes</t>
        </is>
      </c>
      <c r="BB208" s="48" t="inlineStr">
        <is>
          <t xml:space="preserve">Yes</t>
        </is>
      </c>
      <c r="BC208" s="46" t="inlineStr">
        <is>
          <t xml:space="preserve">Synthetic demo data</t>
        </is>
      </c>
      <c r="BE208" s="45">
        <f>IF(OR($A208="",$L208="",$H208=""),"",IF(AND(LEFT($L208,2)="06",$H208&gt;1945),"FAIL - pre-war class, year "&amp;$H208,IF(AND(LEFT($L208,2)="07",OR($H208&lt;1946,$H208&gt;1972)),"FAIL - 1946-72 class, year "&amp;$H208,IF(AND(LEFT($L208,2)="08",OR($H208&lt;1973,$H208&gt;1999)),"FAIL - 1973-99 class, year "&amp;$H208,IF(AND(LEFT($L208,2)="09",OR($H208&lt;2000,$H208&gt;2010)),"FAIL - 2000-10 class, year "&amp;$H208,"OK")))))</f>
      </c>
      <c r="BF208" s="45">
        <f>IF($AD208="","",IF(ROUND($AO208+$AP208+$AQ208-$AD208,2)=0,"OK","FAIL - out by "&amp;TEXT($AO208+$AP208+$AQ208-$AD208,"$0.00")))</f>
      </c>
    </row>
    <row r="209" spans="1:58" ht="18.75" customHeight="1" x14ac:dyDescent="0.25">
      <c r="A209" s="30" t="inlineStr">
        <is>
          <t xml:space="preserve">CANON-202508-000269</t>
        </is>
      </c>
      <c r="B209" s="30" t="inlineStr">
        <is>
          <t xml:space="preserve">Anouk Okonkwo</t>
        </is>
      </c>
      <c r="C209" s="31">
        <v>45900</v>
      </c>
      <c r="D209" s="32" t="inlineStr">
        <is>
          <t xml:space="preserve">Bound - within authority</t>
        </is>
      </c>
      <c r="E209" s="32" t="inlineStr">
        <is>
          <t xml:space="preserve">New business</t>
        </is>
      </c>
      <c r="F209" s="30" t="inlineStr">
        <is>
          <t xml:space="preserve">B1234EXOTIC26</t>
        </is>
      </c>
      <c r="G209" s="33">
        <f>IF($A209="","",IF($C209="","",YEAR($C209)))</f>
      </c>
      <c r="H209" s="34">
        <v>1974</v>
      </c>
      <c r="I209" s="30" t="inlineStr">
        <is>
          <t xml:space="preserve">Porsche</t>
        </is>
      </c>
      <c r="J209" s="30" t="inlineStr">
        <is>
          <t xml:space="preserve">911 Turbo S</t>
        </is>
      </c>
      <c r="K209" s="30" t="inlineStr">
        <is>
          <t xml:space="preserve">3DUGTEPEF1PD0U3PS</t>
        </is>
      </c>
      <c r="L209" s="32" t="inlineStr">
        <is>
          <t xml:space="preserve">02 - Sports / GT</t>
        </is>
      </c>
      <c r="M209" s="35">
        <v>715000</v>
      </c>
      <c r="N209" s="32" t="inlineStr">
        <is>
          <t xml:space="preserve">Personal</t>
        </is>
      </c>
      <c r="O209" s="30" t="inlineStr">
        <is>
          <t xml:space="preserve">Personal - regular use</t>
        </is>
      </c>
      <c r="P209" s="30" t="inlineStr">
        <is>
          <t xml:space="preserve">1,000 - 2,500</t>
        </is>
      </c>
      <c r="Q209" s="30" t="inlineStr">
        <is>
          <t xml:space="preserve">Florida</t>
        </is>
      </c>
      <c r="R209" s="30" t="inlineStr">
        <is>
          <t xml:space="preserve">33139</t>
        </is>
      </c>
      <c r="S209" s="32" t="inlineStr">
        <is>
          <t xml:space="preserve">Tier 2 - Coastal wind (1-25 miles)</t>
        </is>
      </c>
      <c r="T209" s="36">
        <f>IF($A209="","",IF($S209="","",IFERROR(INDEX('[1]natural catastrophe'!$D$6:$D$17,MATCH($S209,'[1]natural catastrophe'!$B$6:$B$17,0)),"?")))</f>
      </c>
      <c r="U209" s="30" t="inlineStr">
        <is>
          <t xml:space="preserve">2% of agreed value, minimum $10,000</t>
        </is>
      </c>
      <c r="V209" s="32" t="inlineStr">
        <is>
          <t xml:space="preserve">Agreed Value</t>
        </is>
      </c>
      <c r="W209" s="30" t="inlineStr">
        <is>
          <t xml:space="preserve">$1,000</t>
        </is>
      </c>
      <c r="X209" s="32" t="inlineStr">
        <is>
          <t xml:space="preserve">$1,000,000 CSL</t>
        </is>
      </c>
      <c r="Y209" s="30"/>
      <c r="Z209" s="30"/>
      <c r="AA209" s="32" t="inlineStr">
        <is>
          <t xml:space="preserve">Surplus Lines</t>
        </is>
      </c>
      <c r="AB209" s="35">
        <v>12451.79</v>
      </c>
      <c r="AC209" s="37">
        <v>0</v>
      </c>
      <c r="AD209" s="38">
        <f>IF(ISNUMBER($AB209),$AB209*(1+N($AC209)),"")</f>
      </c>
      <c r="AE209" s="35">
        <v>350</v>
      </c>
      <c r="AF209" s="35">
        <v>0</v>
      </c>
      <c r="AG209" s="37"/>
      <c r="AH209" s="39">
        <f>IF(ISNUMBER($AD209),($AD209+$AE209+$AF209)*$AG209,"")</f>
      </c>
      <c r="AI209" s="35"/>
      <c r="AJ209" s="38">
        <f>IF(ISNUMBER($AD209),SUM($AD209:$AH209),"")</f>
      </c>
      <c r="AK209" s="40">
        <f>IF(AND(ISNUMBER($AB209),ISNUMBER($AD209)),IF($AB209&gt;0,$AD209/$AB209,""),"")</f>
      </c>
      <c r="AL209" s="32" t="inlineStr">
        <is>
          <t xml:space="preserve">At technical</t>
        </is>
      </c>
      <c r="AM209" s="41">
        <f>IF(ISNUMBER($AD209),Header!$I$3,"")</f>
      </c>
      <c r="AN209" s="39">
        <f>IF(ISNUMBER($AD209),$AO209+$AP209,"")</f>
      </c>
      <c r="AO209" s="39">
        <f>IF(ISNUMBER($AD209),ROUND($AD209*Header!$K$3,2),"")</f>
      </c>
      <c r="AP209" s="39">
        <f>IF(ISNUMBER($AD209),ROUND($AD209*Header!$M$3,2),"")</f>
      </c>
      <c r="AQ209" s="38">
        <f>IF(ISNUMBER($AD209),ROUND($AD209,2)-$AO209-$AP209,"")</f>
      </c>
      <c r="AR209" s="39">
        <f>IF(ISNUMBER($AD209),IF(Header!$D$34="","?",$AD209*Header!$D$34),"")</f>
      </c>
      <c r="AS209" s="39">
        <f>IF(ISNUMBER($AB209),IF(Header!$D$34="","?",$AB209*Header!$D$34),"")</f>
      </c>
      <c r="AT209" s="42">
        <f>IF(AND(ISNUMBER($AB209),$M209&gt;0),$AB209/$M209*100,"")</f>
      </c>
      <c r="AU209" s="42">
        <f>IF(AND(ISNUMBER($AD209),$M209&gt;0),$AD209/$M209*100,"")</f>
      </c>
      <c r="AV209" s="40">
        <f>IF(AND(ISNUMBER($AB209),ISNUMBER($AD209),ABS($AB209)&gt;0),$AD209/$AB209,"")</f>
      </c>
      <c r="AW209" s="39">
        <f>IF(ISNUMBER($AD209),MAX(0,(1-0.55-Header!$O$3)*Header!$Q$3*$AQ209),"")</f>
      </c>
      <c r="AX209" s="43">
        <f>IF($A209="","",IF(TRIM(IF($A209="","Missing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",""))="","PASS","FAIL: "&amp;TRIM(IF($A209="","Missing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f>
      </c>
      <c r="AY209" s="44">
        <f>IF($M209="","",IF(ISNUMBER($M209),IF($M209&gt;=Header!$C$18,"YES — refer","No"),""))</f>
      </c>
      <c r="AZ209" s="44">
        <f>IF($AD209="","",IF(ISNUMBER($AD209),IF($AD209&lt;Header!$C$20,"BELOW MIN PREMIUM","OK"),""))</f>
      </c>
      <c r="BA209" s="32" t="inlineStr">
        <is>
          <t xml:space="preserve">Yes</t>
        </is>
      </c>
      <c r="BB209" s="32" t="inlineStr">
        <is>
          <t xml:space="preserve">Yes</t>
        </is>
      </c>
      <c r="BC209" s="30" t="inlineStr">
        <is>
          <t xml:space="preserve">Synthetic demo data</t>
        </is>
      </c>
      <c r="BE209" s="45">
        <f>IF(OR($A209="",$L209="",$H209=""),"",IF(AND(LEFT($L209,2)="06",$H209&gt;1945),"FAIL - pre-war class, year "&amp;$H209,IF(AND(LEFT($L209,2)="07",OR($H209&lt;1946,$H209&gt;1972)),"FAIL - 1946-72 class, year "&amp;$H209,IF(AND(LEFT($L209,2)="08",OR($H209&lt;1973,$H209&gt;1999)),"FAIL - 1973-99 class, year "&amp;$H209,IF(AND(LEFT($L209,2)="09",OR($H209&lt;2000,$H209&gt;2010)),"FAIL - 2000-10 class, year "&amp;$H209,"OK")))))</f>
      </c>
      <c r="BF209" s="45">
        <f>IF($AD209="","",IF(ROUND($AO209+$AP209+$AQ209-$AD209,2)=0,"OK","FAIL - out by "&amp;TEXT($AO209+$AP209+$AQ209-$AD209,"$0.00")))</f>
      </c>
    </row>
    <row r="210" spans="1:58" ht="18.75" customHeight="1" x14ac:dyDescent="0.25">
      <c r="A210" s="46" t="inlineStr">
        <is>
          <t xml:space="preserve">CANON-202508-000270</t>
        </is>
      </c>
      <c r="B210" s="46" t="inlineStr">
        <is>
          <t xml:space="preserve">Leopold Nakashima</t>
        </is>
      </c>
      <c r="C210" s="47">
        <v>45891</v>
      </c>
      <c r="D210" s="48" t="inlineStr">
        <is>
          <t xml:space="preserve">Bound - within authority</t>
        </is>
      </c>
      <c r="E210" s="48" t="inlineStr">
        <is>
          <t xml:space="preserve">New business</t>
        </is>
      </c>
      <c r="F210" s="46" t="inlineStr">
        <is>
          <t xml:space="preserve">B1234EXOTIC26</t>
        </is>
      </c>
      <c r="G210" s="33">
        <f>IF($A210="","",IF($C210="","",YEAR($C210)))</f>
      </c>
      <c r="H210" s="49">
        <v>2012</v>
      </c>
      <c r="I210" s="46" t="inlineStr">
        <is>
          <t xml:space="preserve">Maserati</t>
        </is>
      </c>
      <c r="J210" s="46" t="inlineStr">
        <is>
          <t xml:space="preserve">GranTurismo</t>
        </is>
      </c>
      <c r="K210" s="46" t="inlineStr">
        <is>
          <t xml:space="preserve">YZACJAKGUZ3U5CF12</t>
        </is>
      </c>
      <c r="L210" s="48" t="inlineStr">
        <is>
          <t xml:space="preserve">02 - Sports / GT</t>
        </is>
      </c>
      <c r="M210" s="50">
        <v>170000</v>
      </c>
      <c r="N210" s="48" t="inlineStr">
        <is>
          <t xml:space="preserve">Personal</t>
        </is>
      </c>
      <c r="O210" s="46" t="inlineStr">
        <is>
          <t xml:space="preserve">Personal - regular use</t>
        </is>
      </c>
      <c r="P210" s="46" t="inlineStr">
        <is>
          <t xml:space="preserve">2,500 - 5,000</t>
        </is>
      </c>
      <c r="Q210" s="46" t="inlineStr">
        <is>
          <t xml:space="preserve">New Jersey</t>
        </is>
      </c>
      <c r="R210" s="46" t="inlineStr">
        <is>
          <t xml:space="preserve">07102</t>
        </is>
      </c>
      <c r="S210" s="48" t="inlineStr">
        <is>
          <t xml:space="preserve">Tier 3 - Coastal wind (25-100 miles)</t>
        </is>
      </c>
      <c r="T210" s="36">
        <f>IF($A210="","",IF($S210="","",IFERROR(INDEX('[1]natural catastrophe'!$D$6:$D$17,MATCH($S210,'[1]natural catastrophe'!$B$6:$B$17,0)),"?")))</f>
      </c>
      <c r="U210" s="46" t="inlineStr">
        <is>
          <t xml:space="preserve">2% of agreed value, minimum $10,000</t>
        </is>
      </c>
      <c r="V210" s="48" t="inlineStr">
        <is>
          <t xml:space="preserve">Agreed Value</t>
        </is>
      </c>
      <c r="W210" s="46" t="inlineStr">
        <is>
          <t xml:space="preserve">$1,000</t>
        </is>
      </c>
      <c r="X210" s="48" t="inlineStr">
        <is>
          <t xml:space="preserve">$1,000,000 CSL</t>
        </is>
      </c>
      <c r="Y210" s="46"/>
      <c r="Z210" s="46"/>
      <c r="AA210" s="48" t="inlineStr">
        <is>
          <t xml:space="preserve">Surplus Lines</t>
        </is>
      </c>
      <c r="AB210" s="50">
        <v>2685.36</v>
      </c>
      <c r="AC210" s="51">
        <v>0</v>
      </c>
      <c r="AD210" s="38">
        <f>IF(ISNUMBER($AB210),$AB210*(1+N($AC210)),"")</f>
      </c>
      <c r="AE210" s="50">
        <v>350</v>
      </c>
      <c r="AF210" s="50">
        <v>0</v>
      </c>
      <c r="AG210" s="51"/>
      <c r="AH210" s="39">
        <f>IF(ISNUMBER($AD210),($AD210+$AE210+$AF210)*$AG210,"")</f>
      </c>
      <c r="AI210" s="50"/>
      <c r="AJ210" s="38">
        <f>IF(ISNUMBER($AD210),SUM($AD210:$AH210),"")</f>
      </c>
      <c r="AK210" s="40">
        <f>IF(AND(ISNUMBER($AB210),ISNUMBER($AD210)),IF($AB210&gt;0,$AD210/$AB210,""),"")</f>
      </c>
      <c r="AL210" s="48" t="inlineStr">
        <is>
          <t xml:space="preserve">At technical</t>
        </is>
      </c>
      <c r="AM210" s="41">
        <f>IF(ISNUMBER($AD210),Header!$I$3,"")</f>
      </c>
      <c r="AN210" s="39">
        <f>IF(ISNUMBER($AD210),$AO210+$AP210,"")</f>
      </c>
      <c r="AO210" s="39">
        <f>IF(ISNUMBER($AD210),ROUND($AD210*Header!$K$3,2),"")</f>
      </c>
      <c r="AP210" s="39">
        <f>IF(ISNUMBER($AD210),ROUND($AD210*Header!$M$3,2),"")</f>
      </c>
      <c r="AQ210" s="38">
        <f>IF(ISNUMBER($AD210),ROUND($AD210,2)-$AO210-$AP210,"")</f>
      </c>
      <c r="AR210" s="39">
        <f>IF(ISNUMBER($AD210),IF(Header!$D$34="","?",$AD210*Header!$D$34),"")</f>
      </c>
      <c r="AS210" s="39">
        <f>IF(ISNUMBER($AB210),IF(Header!$D$34="","?",$AB210*Header!$D$34),"")</f>
      </c>
      <c r="AT210" s="42">
        <f>IF(AND(ISNUMBER($AB210),$M210&gt;0),$AB210/$M210*100,"")</f>
      </c>
      <c r="AU210" s="42">
        <f>IF(AND(ISNUMBER($AD210),$M210&gt;0),$AD210/$M210*100,"")</f>
      </c>
      <c r="AV210" s="40">
        <f>IF(AND(ISNUMBER($AB210),ISNUMBER($AD210),ABS($AB210)&gt;0),$AD210/$AB210,"")</f>
      </c>
      <c r="AW210" s="39">
        <f>IF(ISNUMBER($AD210),MAX(0,(1-0.55-Header!$O$3)*Header!$Q$3*$AQ210),"")</f>
      </c>
      <c r="AX210" s="43">
        <f>IF($A210="","",IF(TRIM(IF($A210="","Missing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",""))="","PASS","FAIL: "&amp;TRIM(IF($A210="","Missing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f>
      </c>
      <c r="AY210" s="44">
        <f>IF($M210="","",IF(ISNUMBER($M210),IF($M210&gt;=Header!$C$18,"YES — refer","No"),""))</f>
      </c>
      <c r="AZ210" s="44">
        <f>IF($AD210="","",IF(ISNUMBER($AD210),IF($AD210&lt;Header!$C$20,"BELOW MIN PREMIUM","OK"),""))</f>
      </c>
      <c r="BA210" s="48" t="inlineStr">
        <is>
          <t xml:space="preserve">Yes</t>
        </is>
      </c>
      <c r="BB210" s="48" t="inlineStr">
        <is>
          <t xml:space="preserve">Yes</t>
        </is>
      </c>
      <c r="BC210" s="46" t="inlineStr">
        <is>
          <t xml:space="preserve">Synthetic demo data</t>
        </is>
      </c>
      <c r="BE210" s="45">
        <f>IF(OR($A210="",$L210="",$H210=""),"",IF(AND(LEFT($L210,2)="06",$H210&gt;1945),"FAIL - pre-war class, year "&amp;$H210,IF(AND(LEFT($L210,2)="07",OR($H210&lt;1946,$H210&gt;1972)),"FAIL - 1946-72 class, year "&amp;$H210,IF(AND(LEFT($L210,2)="08",OR($H210&lt;1973,$H210&gt;1999)),"FAIL - 1973-99 class, year "&amp;$H210,IF(AND(LEFT($L210,2)="09",OR($H210&lt;2000,$H210&gt;2010)),"FAIL - 2000-10 class, year "&amp;$H210,"OK")))))</f>
      </c>
      <c r="BF210" s="45">
        <f>IF($AD210="","",IF(ROUND($AO210+$AP210+$AQ210-$AD210,2)=0,"OK","FAIL - out by "&amp;TEXT($AO210+$AP210+$AQ210-$AD210,"$0.00")))</f>
      </c>
    </row>
    <row r="211" spans="1:58" ht="18.75" customHeight="1" x14ac:dyDescent="0.25">
      <c r="A211" s="30" t="inlineStr">
        <is>
          <t xml:space="preserve">CANON-202508-000271</t>
        </is>
      </c>
      <c r="B211" s="30" t="inlineStr">
        <is>
          <t xml:space="preserve">Ottilie Vasquez</t>
        </is>
      </c>
      <c r="C211" s="31">
        <v>45880</v>
      </c>
      <c r="D211" s="32" t="inlineStr">
        <is>
          <t xml:space="preserve">Bound - within authority</t>
        </is>
      </c>
      <c r="E211" s="32" t="inlineStr">
        <is>
          <t xml:space="preserve">New business</t>
        </is>
      </c>
      <c r="F211" s="30" t="inlineStr">
        <is>
          <t xml:space="preserve">B1234EXOTIC26</t>
        </is>
      </c>
      <c r="G211" s="33">
        <f>IF($A211="","",IF($C211="","",YEAR($C211)))</f>
      </c>
      <c r="H211" s="34">
        <v>1975</v>
      </c>
      <c r="I211" s="30" t="inlineStr">
        <is>
          <t xml:space="preserve">BMW</t>
        </is>
      </c>
      <c r="J211" s="30" t="inlineStr">
        <is>
          <t xml:space="preserve">M8 Competition</t>
        </is>
      </c>
      <c r="K211" s="30" t="inlineStr">
        <is>
          <t xml:space="preserve">0X9BN4UTGUT74KCPB</t>
        </is>
      </c>
      <c r="L211" s="32" t="inlineStr">
        <is>
          <t xml:space="preserve">02 - Sports / GT</t>
        </is>
      </c>
      <c r="M211" s="35">
        <v>280000</v>
      </c>
      <c r="N211" s="32" t="inlineStr">
        <is>
          <t xml:space="preserve">Personal</t>
        </is>
      </c>
      <c r="O211" s="30" t="inlineStr">
        <is>
          <t xml:space="preserve">Personal - regular use</t>
        </is>
      </c>
      <c r="P211" s="30" t="inlineStr">
        <is>
          <t xml:space="preserve">1,000 - 2,500</t>
        </is>
      </c>
      <c r="Q211" s="30" t="inlineStr">
        <is>
          <t xml:space="preserve">Minnesota</t>
        </is>
      </c>
      <c r="R211" s="30" t="inlineStr">
        <is>
          <t xml:space="preserve">55401</t>
        </is>
      </c>
      <c r="S211" s="32" t="inlineStr">
        <is>
          <t xml:space="preserve">Severe convective - hail / tornado (moderate)</t>
        </is>
      </c>
      <c r="T211" s="36">
        <f>IF($A211="","",IF($S211="","",IFERROR(INDEX('[1]natural catastrophe'!$D$6:$D$17,MATCH($S211,'[1]natural catastrophe'!$B$6:$B$17,0)),"?")))</f>
      </c>
      <c r="U211" s="30" t="inlineStr">
        <is>
          <t xml:space="preserve">$5,000</t>
        </is>
      </c>
      <c r="V211" s="32" t="inlineStr">
        <is>
          <t xml:space="preserve">Agreed Value</t>
        </is>
      </c>
      <c r="W211" s="30" t="inlineStr">
        <is>
          <t xml:space="preserve">$1,000</t>
        </is>
      </c>
      <c r="X211" s="32" t="inlineStr">
        <is>
          <t xml:space="preserve">$1,000,000 CSL</t>
        </is>
      </c>
      <c r="Y211" s="30"/>
      <c r="Z211" s="30"/>
      <c r="AA211" s="32" t="inlineStr">
        <is>
          <t xml:space="preserve">Surplus Lines</t>
        </is>
      </c>
      <c r="AB211" s="35">
        <v>5230.19</v>
      </c>
      <c r="AC211" s="37">
        <v>0</v>
      </c>
      <c r="AD211" s="38">
        <f>IF(ISNUMBER($AB211),$AB211*(1+N($AC211)),"")</f>
      </c>
      <c r="AE211" s="35">
        <v>350</v>
      </c>
      <c r="AF211" s="35">
        <v>0</v>
      </c>
      <c r="AG211" s="37"/>
      <c r="AH211" s="39">
        <f>IF(ISNUMBER($AD211),($AD211+$AE211+$AF211)*$AG211,"")</f>
      </c>
      <c r="AI211" s="35"/>
      <c r="AJ211" s="38">
        <f>IF(ISNUMBER($AD211),SUM($AD211:$AH211),"")</f>
      </c>
      <c r="AK211" s="40">
        <f>IF(AND(ISNUMBER($AB211),ISNUMBER($AD211)),IF($AB211&gt;0,$AD211/$AB211,""),"")</f>
      </c>
      <c r="AL211" s="32" t="inlineStr">
        <is>
          <t xml:space="preserve">At technical</t>
        </is>
      </c>
      <c r="AM211" s="41">
        <f>IF(ISNUMBER($AD211),Header!$I$3,"")</f>
      </c>
      <c r="AN211" s="39">
        <f>IF(ISNUMBER($AD211),$AO211+$AP211,"")</f>
      </c>
      <c r="AO211" s="39">
        <f>IF(ISNUMBER($AD211),ROUND($AD211*Header!$K$3,2),"")</f>
      </c>
      <c r="AP211" s="39">
        <f>IF(ISNUMBER($AD211),ROUND($AD211*Header!$M$3,2),"")</f>
      </c>
      <c r="AQ211" s="38">
        <f>IF(ISNUMBER($AD211),ROUND($AD211,2)-$AO211-$AP211,"")</f>
      </c>
      <c r="AR211" s="39">
        <f>IF(ISNUMBER($AD211),IF(Header!$D$34="","?",$AD211*Header!$D$34),"")</f>
      </c>
      <c r="AS211" s="39">
        <f>IF(ISNUMBER($AB211),IF(Header!$D$34="","?",$AB211*Header!$D$34),"")</f>
      </c>
      <c r="AT211" s="42">
        <f>IF(AND(ISNUMBER($AB211),$M211&gt;0),$AB211/$M211*100,"")</f>
      </c>
      <c r="AU211" s="42">
        <f>IF(AND(ISNUMBER($AD211),$M211&gt;0),$AD211/$M211*100,"")</f>
      </c>
      <c r="AV211" s="40">
        <f>IF(AND(ISNUMBER($AB211),ISNUMBER($AD211),ABS($AB211)&gt;0),$AD211/$AB211,"")</f>
      </c>
      <c r="AW211" s="39">
        <f>IF(ISNUMBER($AD211),MAX(0,(1-0.55-Header!$O$3)*Header!$Q$3*$AQ211),"")</f>
      </c>
      <c r="AX211" s="43">
        <f>IF($A211="","",IF(TRIM(IF($A211="","Missing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",""))="","PASS","FAIL: "&amp;TRIM(IF($A211="","Missing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f>
      </c>
      <c r="AY211" s="44">
        <f>IF($M211="","",IF(ISNUMBER($M211),IF($M211&gt;=Header!$C$18,"YES — refer","No"),""))</f>
      </c>
      <c r="AZ211" s="44">
        <f>IF($AD211="","",IF(ISNUMBER($AD211),IF($AD211&lt;Header!$C$20,"BELOW MIN PREMIUM","OK"),""))</f>
      </c>
      <c r="BA211" s="32" t="inlineStr">
        <is>
          <t xml:space="preserve">Yes</t>
        </is>
      </c>
      <c r="BB211" s="32" t="inlineStr">
        <is>
          <t xml:space="preserve">Yes</t>
        </is>
      </c>
      <c r="BC211" s="30" t="inlineStr">
        <is>
          <t xml:space="preserve">Synthetic demo data</t>
        </is>
      </c>
      <c r="BE211" s="45">
        <f>IF(OR($A211="",$L211="",$H211=""),"",IF(AND(LEFT($L211,2)="06",$H211&gt;1945),"FAIL - pre-war class, year "&amp;$H211,IF(AND(LEFT($L211,2)="07",OR($H211&lt;1946,$H211&gt;1972)),"FAIL - 1946-72 class, year "&amp;$H211,IF(AND(LEFT($L211,2)="08",OR($H211&lt;1973,$H211&gt;1999)),"FAIL - 1973-99 class, year "&amp;$H211,IF(AND(LEFT($L211,2)="09",OR($H211&lt;2000,$H211&gt;2010)),"FAIL - 2000-10 class, year "&amp;$H211,"OK")))))</f>
      </c>
      <c r="BF211" s="45">
        <f>IF($AD211="","",IF(ROUND($AO211+$AP211+$AQ211-$AD211,2)=0,"OK","FAIL - out by "&amp;TEXT($AO211+$AP211+$AQ211-$AD211,"$0.00")))</f>
      </c>
    </row>
    <row r="212" spans="1:58" ht="18.75" customHeight="1" x14ac:dyDescent="0.25">
      <c r="A212" s="46" t="inlineStr">
        <is>
          <t xml:space="preserve">CANON-202508-000274</t>
        </is>
      </c>
      <c r="B212" s="46" t="inlineStr">
        <is>
          <t xml:space="preserve">Saoirse Chattopadhyay</t>
        </is>
      </c>
      <c r="C212" s="47">
        <v>45872</v>
      </c>
      <c r="D212" s="48" t="inlineStr">
        <is>
          <t xml:space="preserve">Bound - within authority</t>
        </is>
      </c>
      <c r="E212" s="48" t="inlineStr">
        <is>
          <t xml:space="preserve">New business</t>
        </is>
      </c>
      <c r="F212" s="46" t="inlineStr">
        <is>
          <t xml:space="preserve">B1234EXOTIC26</t>
        </is>
      </c>
      <c r="G212" s="33">
        <f>IF($A212="","",IF($C212="","",YEAR($C212)))</f>
      </c>
      <c r="H212" s="49">
        <v>1978</v>
      </c>
      <c r="I212" s="46" t="inlineStr">
        <is>
          <t xml:space="preserve">Maserati</t>
        </is>
      </c>
      <c r="J212" s="46" t="inlineStr">
        <is>
          <t xml:space="preserve">GranTurismo</t>
        </is>
      </c>
      <c r="K212" s="46" t="inlineStr">
        <is>
          <t xml:space="preserve">4NY4NBBF8VS36B0DE</t>
        </is>
      </c>
      <c r="L212" s="48" t="inlineStr">
        <is>
          <t xml:space="preserve">02 - Sports / GT</t>
        </is>
      </c>
      <c r="M212" s="50">
        <v>480000</v>
      </c>
      <c r="N212" s="48" t="inlineStr">
        <is>
          <t xml:space="preserve">Personal</t>
        </is>
      </c>
      <c r="O212" s="46" t="inlineStr">
        <is>
          <t xml:space="preserve">Personal - regular use</t>
        </is>
      </c>
      <c r="P212" s="46" t="inlineStr">
        <is>
          <t xml:space="preserve">1,000 - 2,500</t>
        </is>
      </c>
      <c r="Q212" s="46" t="inlineStr">
        <is>
          <t xml:space="preserve">Georgia</t>
        </is>
      </c>
      <c r="R212" s="46" t="inlineStr">
        <is>
          <t xml:space="preserve">30303</t>
        </is>
      </c>
      <c r="S212" s="48" t="inlineStr">
        <is>
          <t xml:space="preserve">Tier 2 - Coastal wind (1-25 miles)</t>
        </is>
      </c>
      <c r="T212" s="36">
        <f>IF($A212="","",IF($S212="","",IFERROR(INDEX('[1]natural catastrophe'!$D$6:$D$17,MATCH($S212,'[1]natural catastrophe'!$B$6:$B$17,0)),"?")))</f>
      </c>
      <c r="U212" s="46" t="inlineStr">
        <is>
          <t xml:space="preserve">2% of agreed value, minimum $10,000</t>
        </is>
      </c>
      <c r="V212" s="48" t="inlineStr">
        <is>
          <t xml:space="preserve">Agreed Value</t>
        </is>
      </c>
      <c r="W212" s="46" t="inlineStr">
        <is>
          <t xml:space="preserve">$1,000</t>
        </is>
      </c>
      <c r="X212" s="48" t="inlineStr">
        <is>
          <t xml:space="preserve">$1,000,000 CSL</t>
        </is>
      </c>
      <c r="Y212" s="46"/>
      <c r="Z212" s="46"/>
      <c r="AA212" s="48" t="inlineStr">
        <is>
          <t xml:space="preserve">Surplus Lines</t>
        </is>
      </c>
      <c r="AB212" s="50">
        <v>7607.55</v>
      </c>
      <c r="AC212" s="51">
        <v>0</v>
      </c>
      <c r="AD212" s="38">
        <f>IF(ISNUMBER($AB212),$AB212*(1+N($AC212)),"")</f>
      </c>
      <c r="AE212" s="50">
        <v>350</v>
      </c>
      <c r="AF212" s="50">
        <v>0</v>
      </c>
      <c r="AG212" s="51"/>
      <c r="AH212" s="39">
        <f>IF(ISNUMBER($AD212),($AD212+$AE212+$AF212)*$AG212,"")</f>
      </c>
      <c r="AI212" s="50"/>
      <c r="AJ212" s="38">
        <f>IF(ISNUMBER($AD212),SUM($AD212:$AH212),"")</f>
      </c>
      <c r="AK212" s="40">
        <f>IF(AND(ISNUMBER($AB212),ISNUMBER($AD212)),IF($AB212&gt;0,$AD212/$AB212,""),"")</f>
      </c>
      <c r="AL212" s="48" t="inlineStr">
        <is>
          <t xml:space="preserve">At technical</t>
        </is>
      </c>
      <c r="AM212" s="41">
        <f>IF(ISNUMBER($AD212),Header!$I$3,"")</f>
      </c>
      <c r="AN212" s="39">
        <f>IF(ISNUMBER($AD212),$AO212+$AP212,"")</f>
      </c>
      <c r="AO212" s="39">
        <f>IF(ISNUMBER($AD212),ROUND($AD212*Header!$K$3,2),"")</f>
      </c>
      <c r="AP212" s="39">
        <f>IF(ISNUMBER($AD212),ROUND($AD212*Header!$M$3,2),"")</f>
      </c>
      <c r="AQ212" s="38">
        <f>IF(ISNUMBER($AD212),ROUND($AD212,2)-$AO212-$AP212,"")</f>
      </c>
      <c r="AR212" s="39">
        <f>IF(ISNUMBER($AD212),IF(Header!$D$34="","?",$AD212*Header!$D$34),"")</f>
      </c>
      <c r="AS212" s="39">
        <f>IF(ISNUMBER($AB212),IF(Header!$D$34="","?",$AB212*Header!$D$34),"")</f>
      </c>
      <c r="AT212" s="42">
        <f>IF(AND(ISNUMBER($AB212),$M212&gt;0),$AB212/$M212*100,"")</f>
      </c>
      <c r="AU212" s="42">
        <f>IF(AND(ISNUMBER($AD212),$M212&gt;0),$AD212/$M212*100,"")</f>
      </c>
      <c r="AV212" s="40">
        <f>IF(AND(ISNUMBER($AB212),ISNUMBER($AD212),ABS($AB212)&gt;0),$AD212/$AB212,"")</f>
      </c>
      <c r="AW212" s="39">
        <f>IF(ISNUMBER($AD212),MAX(0,(1-0.55-Header!$O$3)*Header!$Q$3*$AQ212),"")</f>
      </c>
      <c r="AX212" s="43">
        <f>IF($A212="","",IF(TRIM(IF($A212="","Missing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",""))="","PASS","FAIL: "&amp;TRIM(IF($A212="","Missing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f>
      </c>
      <c r="AY212" s="44">
        <f>IF($M212="","",IF(ISNUMBER($M212),IF($M212&gt;=Header!$C$18,"YES — refer","No"),""))</f>
      </c>
      <c r="AZ212" s="44">
        <f>IF($AD212="","",IF(ISNUMBER($AD212),IF($AD212&lt;Header!$C$20,"BELOW MIN PREMIUM","OK"),""))</f>
      </c>
      <c r="BA212" s="48" t="inlineStr">
        <is>
          <t xml:space="preserve">Yes</t>
        </is>
      </c>
      <c r="BB212" s="48" t="inlineStr">
        <is>
          <t xml:space="preserve">Yes</t>
        </is>
      </c>
      <c r="BC212" s="46" t="inlineStr">
        <is>
          <t xml:space="preserve">Synthetic demo data</t>
        </is>
      </c>
      <c r="BE212" s="45">
        <f>IF(OR($A212="",$L212="",$H212=""),"",IF(AND(LEFT($L212,2)="06",$H212&gt;1945),"FAIL - pre-war class, year "&amp;$H212,IF(AND(LEFT($L212,2)="07",OR($H212&lt;1946,$H212&gt;1972)),"FAIL - 1946-72 class, year "&amp;$H212,IF(AND(LEFT($L212,2)="08",OR($H212&lt;1973,$H212&gt;1999)),"FAIL - 1973-99 class, year "&amp;$H212,IF(AND(LEFT($L212,2)="09",OR($H212&lt;2000,$H212&gt;2010)),"FAIL - 2000-10 class, year "&amp;$H212,"OK")))))</f>
      </c>
      <c r="BF212" s="45">
        <f>IF($AD212="","",IF(ROUND($AO212+$AP212+$AQ212-$AD212,2)=0,"OK","FAIL - out by "&amp;TEXT($AO212+$AP212+$AQ212-$AD212,"$0.00")))</f>
      </c>
    </row>
    <row r="213" spans="1:58" ht="18.75" customHeight="1" x14ac:dyDescent="0.25">
      <c r="A213" s="30" t="inlineStr">
        <is>
          <t xml:space="preserve">CANON-202508-000275</t>
        </is>
      </c>
      <c r="B213" s="30" t="inlineStr">
        <is>
          <t xml:space="preserve">Cassius Rourke</t>
        </is>
      </c>
      <c r="C213" s="31">
        <v>45871</v>
      </c>
      <c r="D213" s="32" t="inlineStr">
        <is>
          <t xml:space="preserve">Bound - within authority</t>
        </is>
      </c>
      <c r="E213" s="32" t="inlineStr">
        <is>
          <t xml:space="preserve">New business</t>
        </is>
      </c>
      <c r="F213" s="30" t="inlineStr">
        <is>
          <t xml:space="preserve">B1234EXOTIC26</t>
        </is>
      </c>
      <c r="G213" s="33">
        <f>IF($A213="","",IF($C213="","",YEAR($C213)))</f>
      </c>
      <c r="H213" s="34">
        <v>2000</v>
      </c>
      <c r="I213" s="30" t="inlineStr">
        <is>
          <t xml:space="preserve">Porsche</t>
        </is>
      </c>
      <c r="J213" s="30" t="inlineStr">
        <is>
          <t xml:space="preserve">911 Turbo S</t>
        </is>
      </c>
      <c r="K213" s="30" t="inlineStr">
        <is>
          <t xml:space="preserve">SGB7R19A4X8DFEZ78</t>
        </is>
      </c>
      <c r="L213" s="32" t="inlineStr">
        <is>
          <t xml:space="preserve">02 - Sports / GT</t>
        </is>
      </c>
      <c r="M213" s="35">
        <v>815000</v>
      </c>
      <c r="N213" s="32" t="inlineStr">
        <is>
          <t xml:space="preserve">Personal</t>
        </is>
      </c>
      <c r="O213" s="30" t="inlineStr">
        <is>
          <t xml:space="preserve">Personal - regular use</t>
        </is>
      </c>
      <c r="P213" s="30" t="inlineStr">
        <is>
          <t xml:space="preserve">1,000 - 2,500</t>
        </is>
      </c>
      <c r="Q213" s="30" t="inlineStr">
        <is>
          <t xml:space="preserve">California</t>
        </is>
      </c>
      <c r="R213" s="30" t="inlineStr">
        <is>
          <t xml:space="preserve">90012</t>
        </is>
      </c>
      <c r="S213" s="32" t="inlineStr">
        <is>
          <t xml:space="preserve">Earthquake - high (CA, Cascadia, New Madrid)</t>
        </is>
      </c>
      <c r="T213" s="36">
        <f>IF($A213="","",IF($S213="","",IFERROR(INDEX('[1]natural catastrophe'!$D$6:$D$17,MATCH($S213,'[1]natural catastrophe'!$B$6:$B$17,0)),"?")))</f>
      </c>
      <c r="U213" s="30" t="inlineStr">
        <is>
          <t xml:space="preserve">$5,000</t>
        </is>
      </c>
      <c r="V213" s="32" t="inlineStr">
        <is>
          <t xml:space="preserve">Agreed Value</t>
        </is>
      </c>
      <c r="W213" s="30" t="inlineStr">
        <is>
          <t xml:space="preserve">$1,000</t>
        </is>
      </c>
      <c r="X213" s="32" t="inlineStr">
        <is>
          <t xml:space="preserve">$1,000,000 CSL</t>
        </is>
      </c>
      <c r="Y213" s="30"/>
      <c r="Z213" s="30"/>
      <c r="AA213" s="32" t="inlineStr">
        <is>
          <t xml:space="preserve">Surplus Lines</t>
        </is>
      </c>
      <c r="AB213" s="35">
        <v>13493.63</v>
      </c>
      <c r="AC213" s="37">
        <v>0</v>
      </c>
      <c r="AD213" s="38">
        <f>IF(ISNUMBER($AB213),$AB213*(1+N($AC213)),"")</f>
      </c>
      <c r="AE213" s="35">
        <v>350</v>
      </c>
      <c r="AF213" s="35">
        <v>0</v>
      </c>
      <c r="AG213" s="37"/>
      <c r="AH213" s="39">
        <f>IF(ISNUMBER($AD213),($AD213+$AE213+$AF213)*$AG213,"")</f>
      </c>
      <c r="AI213" s="35"/>
      <c r="AJ213" s="38">
        <f>IF(ISNUMBER($AD213),SUM($AD213:$AH213),"")</f>
      </c>
      <c r="AK213" s="40">
        <f>IF(AND(ISNUMBER($AB213),ISNUMBER($AD213)),IF($AB213&gt;0,$AD213/$AB213,""),"")</f>
      </c>
      <c r="AL213" s="32" t="inlineStr">
        <is>
          <t xml:space="preserve">At technical</t>
        </is>
      </c>
      <c r="AM213" s="41">
        <f>IF(ISNUMBER($AD213),Header!$I$3,"")</f>
      </c>
      <c r="AN213" s="39">
        <f>IF(ISNUMBER($AD213),$AO213+$AP213,"")</f>
      </c>
      <c r="AO213" s="39">
        <f>IF(ISNUMBER($AD213),ROUND($AD213*Header!$K$3,2),"")</f>
      </c>
      <c r="AP213" s="39">
        <f>IF(ISNUMBER($AD213),ROUND($AD213*Header!$M$3,2),"")</f>
      </c>
      <c r="AQ213" s="38">
        <f>IF(ISNUMBER($AD213),ROUND($AD213,2)-$AO213-$AP213,"")</f>
      </c>
      <c r="AR213" s="39">
        <f>IF(ISNUMBER($AD213),IF(Header!$D$34="","?",$AD213*Header!$D$34),"")</f>
      </c>
      <c r="AS213" s="39">
        <f>IF(ISNUMBER($AB213),IF(Header!$D$34="","?",$AB213*Header!$D$34),"")</f>
      </c>
      <c r="AT213" s="42">
        <f>IF(AND(ISNUMBER($AB213),$M213&gt;0),$AB213/$M213*100,"")</f>
      </c>
      <c r="AU213" s="42">
        <f>IF(AND(ISNUMBER($AD213),$M213&gt;0),$AD213/$M213*100,"")</f>
      </c>
      <c r="AV213" s="40">
        <f>IF(AND(ISNUMBER($AB213),ISNUMBER($AD213),ABS($AB213)&gt;0),$AD213/$AB213,"")</f>
      </c>
      <c r="AW213" s="39">
        <f>IF(ISNUMBER($AD213),MAX(0,(1-0.55-Header!$O$3)*Header!$Q$3*$AQ213),"")</f>
      </c>
      <c r="AX213" s="43">
        <f>IF($A213="","",IF(TRIM(IF($A213="","Missing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",""))="","PASS","FAIL: "&amp;TRIM(IF($A213="","Missing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f>
      </c>
      <c r="AY213" s="44">
        <f>IF($M213="","",IF(ISNUMBER($M213),IF($M213&gt;=Header!$C$18,"YES — refer","No"),""))</f>
      </c>
      <c r="AZ213" s="44">
        <f>IF($AD213="","",IF(ISNUMBER($AD213),IF($AD213&lt;Header!$C$20,"BELOW MIN PREMIUM","OK"),""))</f>
      </c>
      <c r="BA213" s="32" t="inlineStr">
        <is>
          <t xml:space="preserve">Yes</t>
        </is>
      </c>
      <c r="BB213" s="32" t="inlineStr">
        <is>
          <t xml:space="preserve">Yes</t>
        </is>
      </c>
      <c r="BC213" s="30" t="inlineStr">
        <is>
          <t xml:space="preserve">Synthetic demo data</t>
        </is>
      </c>
      <c r="BE213" s="45">
        <f>IF(OR($A213="",$L213="",$H213=""),"",IF(AND(LEFT($L213,2)="06",$H213&gt;1945),"FAIL - pre-war class, year "&amp;$H213,IF(AND(LEFT($L213,2)="07",OR($H213&lt;1946,$H213&gt;1972)),"FAIL - 1946-72 class, year "&amp;$H213,IF(AND(LEFT($L213,2)="08",OR($H213&lt;1973,$H213&gt;1999)),"FAIL - 1973-99 class, year "&amp;$H213,IF(AND(LEFT($L213,2)="09",OR($H213&lt;2000,$H213&gt;2010)),"FAIL - 2000-10 class, year "&amp;$H213,"OK")))))</f>
      </c>
      <c r="BF213" s="45">
        <f>IF($AD213="","",IF(ROUND($AO213+$AP213+$AQ213-$AD213,2)=0,"OK","FAIL - out by "&amp;TEXT($AO213+$AP213+$AQ213-$AD213,"$0.00")))</f>
      </c>
    </row>
    <row r="214" spans="1:58" ht="18.75" customHeight="1" x14ac:dyDescent="0.25">
      <c r="A214" s="46" t="inlineStr">
        <is>
          <t xml:space="preserve">CANON-202508-000276</t>
        </is>
      </c>
      <c r="B214" s="46" t="inlineStr">
        <is>
          <t xml:space="preserve">Priya Chattopadhyay</t>
        </is>
      </c>
      <c r="C214" s="47">
        <v>45892</v>
      </c>
      <c r="D214" s="48" t="inlineStr">
        <is>
          <t xml:space="preserve">Bound - within authority</t>
        </is>
      </c>
      <c r="E214" s="48" t="inlineStr">
        <is>
          <t xml:space="preserve">New business</t>
        </is>
      </c>
      <c r="F214" s="46" t="inlineStr">
        <is>
          <t xml:space="preserve">B1234EXOTIC26</t>
        </is>
      </c>
      <c r="G214" s="33">
        <f>IF($A214="","",IF($C214="","",YEAR($C214)))</f>
      </c>
      <c r="H214" s="49">
        <v>2005</v>
      </c>
      <c r="I214" s="46" t="inlineStr">
        <is>
          <t xml:space="preserve">Maserati</t>
        </is>
      </c>
      <c r="J214" s="46" t="inlineStr">
        <is>
          <t xml:space="preserve">GranTurismo</t>
        </is>
      </c>
      <c r="K214" s="46" t="inlineStr">
        <is>
          <t xml:space="preserve">JZC829LXJMB0W76BW</t>
        </is>
      </c>
      <c r="L214" s="48" t="inlineStr">
        <is>
          <t xml:space="preserve">02 - Sports / GT</t>
        </is>
      </c>
      <c r="M214" s="50">
        <v>1280000</v>
      </c>
      <c r="N214" s="48" t="inlineStr">
        <is>
          <t xml:space="preserve">Personal</t>
        </is>
      </c>
      <c r="O214" s="46" t="inlineStr">
        <is>
          <t xml:space="preserve">Personal - regular use</t>
        </is>
      </c>
      <c r="P214" s="46" t="inlineStr">
        <is>
          <t xml:space="preserve">2,500 - 5,000</t>
        </is>
      </c>
      <c r="Q214" s="46" t="inlineStr">
        <is>
          <t xml:space="preserve">Delaware</t>
        </is>
      </c>
      <c r="R214" s="46" t="inlineStr">
        <is>
          <t xml:space="preserve">19801</t>
        </is>
      </c>
      <c r="S214" s="48" t="inlineStr">
        <is>
          <t xml:space="preserve">Tier 3 - Coastal wind (25-100 miles)</t>
        </is>
      </c>
      <c r="T214" s="36">
        <f>IF($A214="","",IF($S214="","",IFERROR(INDEX('[1]natural catastrophe'!$D$6:$D$17,MATCH($S214,'[1]natural catastrophe'!$B$6:$B$17,0)),"?")))</f>
      </c>
      <c r="U214" s="46" t="inlineStr">
        <is>
          <t xml:space="preserve">2% of agreed value, minimum $10,000</t>
        </is>
      </c>
      <c r="V214" s="48" t="inlineStr">
        <is>
          <t xml:space="preserve">Agreed Value</t>
        </is>
      </c>
      <c r="W214" s="46" t="inlineStr">
        <is>
          <t xml:space="preserve">$1,000</t>
        </is>
      </c>
      <c r="X214" s="48" t="inlineStr">
        <is>
          <t xml:space="preserve">$1,000,000 CSL</t>
        </is>
      </c>
      <c r="Y214" s="46"/>
      <c r="Z214" s="46"/>
      <c r="AA214" s="48" t="inlineStr">
        <is>
          <t xml:space="preserve">Surplus Lines</t>
        </is>
      </c>
      <c r="AB214" s="50">
        <v>16603.77</v>
      </c>
      <c r="AC214" s="51">
        <v>0</v>
      </c>
      <c r="AD214" s="38">
        <f>IF(ISNUMBER($AB214),$AB214*(1+N($AC214)),"")</f>
      </c>
      <c r="AE214" s="50">
        <v>350</v>
      </c>
      <c r="AF214" s="50">
        <v>250</v>
      </c>
      <c r="AG214" s="51"/>
      <c r="AH214" s="39">
        <f>IF(ISNUMBER($AD214),($AD214+$AE214+$AF214)*$AG214,"")</f>
      </c>
      <c r="AI214" s="50"/>
      <c r="AJ214" s="38">
        <f>IF(ISNUMBER($AD214),SUM($AD214:$AH214),"")</f>
      </c>
      <c r="AK214" s="40">
        <f>IF(AND(ISNUMBER($AB214),ISNUMBER($AD214)),IF($AB214&gt;0,$AD214/$AB214,""),"")</f>
      </c>
      <c r="AL214" s="48" t="inlineStr">
        <is>
          <t xml:space="preserve">At technical</t>
        </is>
      </c>
      <c r="AM214" s="41">
        <f>IF(ISNUMBER($AD214),Header!$I$3,"")</f>
      </c>
      <c r="AN214" s="39">
        <f>IF(ISNUMBER($AD214),$AO214+$AP214,"")</f>
      </c>
      <c r="AO214" s="39">
        <f>IF(ISNUMBER($AD214),ROUND($AD214*Header!$K$3,2),"")</f>
      </c>
      <c r="AP214" s="39">
        <f>IF(ISNUMBER($AD214),ROUND($AD214*Header!$M$3,2),"")</f>
      </c>
      <c r="AQ214" s="38">
        <f>IF(ISNUMBER($AD214),ROUND($AD214,2)-$AO214-$AP214,"")</f>
      </c>
      <c r="AR214" s="39">
        <f>IF(ISNUMBER($AD214),IF(Header!$D$34="","?",$AD214*Header!$D$34),"")</f>
      </c>
      <c r="AS214" s="39">
        <f>IF(ISNUMBER($AB214),IF(Header!$D$34="","?",$AB214*Header!$D$34),"")</f>
      </c>
      <c r="AT214" s="42">
        <f>IF(AND(ISNUMBER($AB214),$M214&gt;0),$AB214/$M214*100,"")</f>
      </c>
      <c r="AU214" s="42">
        <f>IF(AND(ISNUMBER($AD214),$M214&gt;0),$AD214/$M214*100,"")</f>
      </c>
      <c r="AV214" s="40">
        <f>IF(AND(ISNUMBER($AB214),ISNUMBER($AD214),ABS($AB214)&gt;0),$AD214/$AB214,"")</f>
      </c>
      <c r="AW214" s="39">
        <f>IF(ISNUMBER($AD214),MAX(0,(1-0.55-Header!$O$3)*Header!$Q$3*$AQ214),"")</f>
      </c>
      <c r="AX214" s="43">
        <f>IF($A214="","",IF(TRIM(IF($A214="","Missing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",""))="","PASS","FAIL: "&amp;TRIM(IF($A214="","Missing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f>
      </c>
      <c r="AY214" s="44">
        <f>IF($M214="","",IF(ISNUMBER($M214),IF($M214&gt;=Header!$C$18,"YES — refer","No"),""))</f>
      </c>
      <c r="AZ214" s="44">
        <f>IF($AD214="","",IF(ISNUMBER($AD214),IF($AD214&lt;Header!$C$20,"BELOW MIN PREMIUM","OK"),""))</f>
      </c>
      <c r="BA214" s="48" t="inlineStr">
        <is>
          <t xml:space="preserve">Yes</t>
        </is>
      </c>
      <c r="BB214" s="48" t="inlineStr">
        <is>
          <t xml:space="preserve">Yes</t>
        </is>
      </c>
      <c r="BC214" s="46" t="inlineStr">
        <is>
          <t xml:space="preserve">Synthetic demo data</t>
        </is>
      </c>
      <c r="BE214" s="45">
        <f>IF(OR($A214="",$L214="",$H214=""),"",IF(AND(LEFT($L214,2)="06",$H214&gt;1945),"FAIL - pre-war class, year "&amp;$H214,IF(AND(LEFT($L214,2)="07",OR($H214&lt;1946,$H214&gt;1972)),"FAIL - 1946-72 class, year "&amp;$H214,IF(AND(LEFT($L214,2)="08",OR($H214&lt;1973,$H214&gt;1999)),"FAIL - 1973-99 class, year "&amp;$H214,IF(AND(LEFT($L214,2)="09",OR($H214&lt;2000,$H214&gt;2010)),"FAIL - 2000-10 class, year "&amp;$H214,"OK")))))</f>
      </c>
      <c r="BF214" s="45">
        <f>IF($AD214="","",IF(ROUND($AO214+$AP214+$AQ214-$AD214,2)=0,"OK","FAIL - out by "&amp;TEXT($AO214+$AP214+$AQ214-$AD214,"$0.00")))</f>
      </c>
    </row>
    <row r="215" spans="1:58" ht="18.75" customHeight="1" x14ac:dyDescent="0.25">
      <c r="A215" s="30" t="inlineStr">
        <is>
          <t xml:space="preserve">CANON-202508-000277</t>
        </is>
      </c>
      <c r="B215" s="30" t="inlineStr">
        <is>
          <t xml:space="preserve">Ramona Rourke</t>
        </is>
      </c>
      <c r="C215" s="31">
        <v>45877</v>
      </c>
      <c r="D215" s="32" t="inlineStr">
        <is>
          <t xml:space="preserve">Bound - within authority</t>
        </is>
      </c>
      <c r="E215" s="32" t="inlineStr">
        <is>
          <t xml:space="preserve">New business</t>
        </is>
      </c>
      <c r="F215" s="30" t="inlineStr">
        <is>
          <t xml:space="preserve">B1234EXOTIC26</t>
        </is>
      </c>
      <c r="G215" s="33">
        <f>IF($A215="","",IF($C215="","",YEAR($C215)))</f>
      </c>
      <c r="H215" s="34">
        <v>1958</v>
      </c>
      <c r="I215" s="30" t="inlineStr">
        <is>
          <t xml:space="preserve">Jaguar</t>
        </is>
      </c>
      <c r="J215" s="30" t="inlineStr">
        <is>
          <t xml:space="preserve">E-Type Series 1</t>
        </is>
      </c>
      <c r="K215" s="30" t="inlineStr">
        <is>
          <t xml:space="preserve">P0UM59MJDJB3WNMTA</t>
        </is>
      </c>
      <c r="L215" s="32" t="inlineStr">
        <is>
          <t xml:space="preserve">07 - Post-War Classic (1946-1972)</t>
        </is>
      </c>
      <c r="M215" s="35">
        <v>1515000</v>
      </c>
      <c r="N215" s="32" t="inlineStr">
        <is>
          <t xml:space="preserve">Personal</t>
        </is>
      </c>
      <c r="O215" s="30" t="inlineStr">
        <is>
          <t xml:space="preserve">Personal - regular use</t>
        </is>
      </c>
      <c r="P215" s="30" t="inlineStr">
        <is>
          <t xml:space="preserve">2,500 - 5,000</t>
        </is>
      </c>
      <c r="Q215" s="30" t="inlineStr">
        <is>
          <t xml:space="preserve">Delaware</t>
        </is>
      </c>
      <c r="R215" s="30" t="inlineStr">
        <is>
          <t xml:space="preserve">19801</t>
        </is>
      </c>
      <c r="S215" s="32" t="inlineStr">
        <is>
          <t xml:space="preserve">Tier 3 - Coastal wind (25-100 miles)</t>
        </is>
      </c>
      <c r="T215" s="36">
        <f>IF($A215="","",IF($S215="","",IFERROR(INDEX('[1]natural catastrophe'!$D$6:$D$17,MATCH($S215,'[1]natural catastrophe'!$B$6:$B$17,0)),"?")))</f>
      </c>
      <c r="U215" s="30" t="inlineStr">
        <is>
          <t xml:space="preserve">2% of agreed value, minimum $10,000</t>
        </is>
      </c>
      <c r="V215" s="32" t="inlineStr">
        <is>
          <t xml:space="preserve">Agreed Value</t>
        </is>
      </c>
      <c r="W215" s="30" t="inlineStr">
        <is>
          <t xml:space="preserve">$1,000</t>
        </is>
      </c>
      <c r="X215" s="32" t="inlineStr">
        <is>
          <t xml:space="preserve">$1,000,000 CSL</t>
        </is>
      </c>
      <c r="Y215" s="30"/>
      <c r="Z215" s="30"/>
      <c r="AA215" s="32" t="inlineStr">
        <is>
          <t xml:space="preserve">Surplus Lines</t>
        </is>
      </c>
      <c r="AB215" s="35">
        <v>13577.83</v>
      </c>
      <c r="AC215" s="37">
        <v>0</v>
      </c>
      <c r="AD215" s="38">
        <f>IF(ISNUMBER($AB215),$AB215*(1+N($AC215)),"")</f>
      </c>
      <c r="AE215" s="35">
        <v>350</v>
      </c>
      <c r="AF215" s="35">
        <v>250</v>
      </c>
      <c r="AG215" s="37"/>
      <c r="AH215" s="39">
        <f>IF(ISNUMBER($AD215),($AD215+$AE215+$AF215)*$AG215,"")</f>
      </c>
      <c r="AI215" s="35"/>
      <c r="AJ215" s="38">
        <f>IF(ISNUMBER($AD215),SUM($AD215:$AH215),"")</f>
      </c>
      <c r="AK215" s="40">
        <f>IF(AND(ISNUMBER($AB215),ISNUMBER($AD215)),IF($AB215&gt;0,$AD215/$AB215,""),"")</f>
      </c>
      <c r="AL215" s="32" t="inlineStr">
        <is>
          <t xml:space="preserve">At technical</t>
        </is>
      </c>
      <c r="AM215" s="41">
        <f>IF(ISNUMBER($AD215),Header!$I$3,"")</f>
      </c>
      <c r="AN215" s="39">
        <f>IF(ISNUMBER($AD215),$AO215+$AP215,"")</f>
      </c>
      <c r="AO215" s="39">
        <f>IF(ISNUMBER($AD215),ROUND($AD215*Header!$K$3,2),"")</f>
      </c>
      <c r="AP215" s="39">
        <f>IF(ISNUMBER($AD215),ROUND($AD215*Header!$M$3,2),"")</f>
      </c>
      <c r="AQ215" s="38">
        <f>IF(ISNUMBER($AD215),ROUND($AD215,2)-$AO215-$AP215,"")</f>
      </c>
      <c r="AR215" s="39">
        <f>IF(ISNUMBER($AD215),IF(Header!$D$34="","?",$AD215*Header!$D$34),"")</f>
      </c>
      <c r="AS215" s="39">
        <f>IF(ISNUMBER($AB215),IF(Header!$D$34="","?",$AB215*Header!$D$34),"")</f>
      </c>
      <c r="AT215" s="42">
        <f>IF(AND(ISNUMBER($AB215),$M215&gt;0),$AB215/$M215*100,"")</f>
      </c>
      <c r="AU215" s="42">
        <f>IF(AND(ISNUMBER($AD215),$M215&gt;0),$AD215/$M215*100,"")</f>
      </c>
      <c r="AV215" s="40">
        <f>IF(AND(ISNUMBER($AB215),ISNUMBER($AD215),ABS($AB215)&gt;0),$AD215/$AB215,"")</f>
      </c>
      <c r="AW215" s="39">
        <f>IF(ISNUMBER($AD215),MAX(0,(1-0.55-Header!$O$3)*Header!$Q$3*$AQ215),"")</f>
      </c>
      <c r="AX215" s="43">
        <f>IF($A215="","",IF(TRIM(IF($A215="","Missing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",""))="","PASS","FAIL: "&amp;TRIM(IF($A215="","Missing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f>
      </c>
      <c r="AY215" s="44">
        <f>IF($M215="","",IF(ISNUMBER($M215),IF($M215&gt;=Header!$C$18,"YES — refer","No"),""))</f>
      </c>
      <c r="AZ215" s="44">
        <f>IF($AD215="","",IF(ISNUMBER($AD215),IF($AD215&lt;Header!$C$20,"BELOW MIN PREMIUM","OK"),""))</f>
      </c>
      <c r="BA215" s="32" t="inlineStr">
        <is>
          <t xml:space="preserve">Yes</t>
        </is>
      </c>
      <c r="BB215" s="32" t="inlineStr">
        <is>
          <t xml:space="preserve">Yes</t>
        </is>
      </c>
      <c r="BC215" s="30" t="inlineStr">
        <is>
          <t xml:space="preserve">Synthetic demo data</t>
        </is>
      </c>
      <c r="BE215" s="45">
        <f>IF(OR($A215="",$L215="",$H215=""),"",IF(AND(LEFT($L215,2)="06",$H215&gt;1945),"FAIL - pre-war class, year "&amp;$H215,IF(AND(LEFT($L215,2)="07",OR($H215&lt;1946,$H215&gt;1972)),"FAIL - 1946-72 class, year "&amp;$H215,IF(AND(LEFT($L215,2)="08",OR($H215&lt;1973,$H215&gt;1999)),"FAIL - 1973-99 class, year "&amp;$H215,IF(AND(LEFT($L215,2)="09",OR($H215&lt;2000,$H215&gt;2010)),"FAIL - 2000-10 class, year "&amp;$H215,"OK")))))</f>
      </c>
      <c r="BF215" s="45">
        <f>IF($AD215="","",IF(ROUND($AO215+$AP215+$AQ215-$AD215,2)=0,"OK","FAIL - out by "&amp;TEXT($AO215+$AP215+$AQ215-$AD215,"$0.00")))</f>
      </c>
    </row>
    <row r="216" spans="1:58" ht="18.75" customHeight="1" x14ac:dyDescent="0.25">
      <c r="A216" s="46" t="inlineStr">
        <is>
          <t xml:space="preserve">CANON-202508-000281</t>
        </is>
      </c>
      <c r="B216" s="46" t="inlineStr">
        <is>
          <t xml:space="preserve">Leopold Nakashima</t>
        </is>
      </c>
      <c r="C216" s="47">
        <v>45873</v>
      </c>
      <c r="D216" s="48" t="inlineStr">
        <is>
          <t xml:space="preserve">Bound - within authority</t>
        </is>
      </c>
      <c r="E216" s="48" t="inlineStr">
        <is>
          <t xml:space="preserve">New business</t>
        </is>
      </c>
      <c r="F216" s="46" t="inlineStr">
        <is>
          <t xml:space="preserve">B1234EXOTIC26</t>
        </is>
      </c>
      <c r="G216" s="33">
        <f>IF($A216="","",IF($C216="","",YEAR($C216)))</f>
      </c>
      <c r="H216" s="49">
        <v>2011</v>
      </c>
      <c r="I216" s="46" t="inlineStr">
        <is>
          <t xml:space="preserve">Mercedes-Benz</t>
        </is>
      </c>
      <c r="J216" s="46" t="inlineStr">
        <is>
          <t xml:space="preserve">280SL Pagoda</t>
        </is>
      </c>
      <c r="K216" s="46" t="inlineStr">
        <is>
          <t xml:space="preserve">E73ADJ0WCAVB756XP</t>
        </is>
      </c>
      <c r="L216" s="48" t="inlineStr">
        <is>
          <t xml:space="preserve">02 - Sports / GT</t>
        </is>
      </c>
      <c r="M216" s="50">
        <v>850000</v>
      </c>
      <c r="N216" s="48" t="inlineStr">
        <is>
          <t xml:space="preserve">Personal</t>
        </is>
      </c>
      <c r="O216" s="46" t="inlineStr">
        <is>
          <t xml:space="preserve">Personal - regular use</t>
        </is>
      </c>
      <c r="P216" s="46" t="inlineStr">
        <is>
          <t xml:space="preserve">Under 1,000</t>
        </is>
      </c>
      <c r="Q216" s="46" t="inlineStr">
        <is>
          <t xml:space="preserve">California</t>
        </is>
      </c>
      <c r="R216" s="46" t="inlineStr">
        <is>
          <t xml:space="preserve">90012</t>
        </is>
      </c>
      <c r="S216" s="48" t="inlineStr">
        <is>
          <t xml:space="preserve">Earthquake - high (CA, Cascadia, New Madrid)</t>
        </is>
      </c>
      <c r="T216" s="36">
        <f>IF($A216="","",IF($S216="","",IFERROR(INDEX('[1]natural catastrophe'!$D$6:$D$17,MATCH($S216,'[1]natural catastrophe'!$B$6:$B$17,0)),"?")))</f>
      </c>
      <c r="U216" s="46" t="inlineStr">
        <is>
          <t xml:space="preserve">$5,000</t>
        </is>
      </c>
      <c r="V216" s="48" t="inlineStr">
        <is>
          <t xml:space="preserve">Agreed Value</t>
        </is>
      </c>
      <c r="W216" s="46" t="inlineStr">
        <is>
          <t xml:space="preserve">$1,000</t>
        </is>
      </c>
      <c r="X216" s="48" t="inlineStr">
        <is>
          <t xml:space="preserve">$1,000,000 CSL</t>
        </is>
      </c>
      <c r="Y216" s="46"/>
      <c r="Z216" s="46"/>
      <c r="AA216" s="48" t="inlineStr">
        <is>
          <t xml:space="preserve">Surplus Lines</t>
        </is>
      </c>
      <c r="AB216" s="50">
        <v>9309.91</v>
      </c>
      <c r="AC216" s="51">
        <v>0</v>
      </c>
      <c r="AD216" s="38">
        <f>IF(ISNUMBER($AB216),$AB216*(1+N($AC216)),"")</f>
      </c>
      <c r="AE216" s="50">
        <v>350</v>
      </c>
      <c r="AF216" s="50">
        <v>0</v>
      </c>
      <c r="AG216" s="51"/>
      <c r="AH216" s="39">
        <f>IF(ISNUMBER($AD216),($AD216+$AE216+$AF216)*$AG216,"")</f>
      </c>
      <c r="AI216" s="50"/>
      <c r="AJ216" s="38">
        <f>IF(ISNUMBER($AD216),SUM($AD216:$AH216),"")</f>
      </c>
      <c r="AK216" s="40">
        <f>IF(AND(ISNUMBER($AB216),ISNUMBER($AD216)),IF($AB216&gt;0,$AD216/$AB216,""),"")</f>
      </c>
      <c r="AL216" s="48" t="inlineStr">
        <is>
          <t xml:space="preserve">At technical</t>
        </is>
      </c>
      <c r="AM216" s="41">
        <f>IF(ISNUMBER($AD216),Header!$I$3,"")</f>
      </c>
      <c r="AN216" s="39">
        <f>IF(ISNUMBER($AD216),$AO216+$AP216,"")</f>
      </c>
      <c r="AO216" s="39">
        <f>IF(ISNUMBER($AD216),ROUND($AD216*Header!$K$3,2),"")</f>
      </c>
      <c r="AP216" s="39">
        <f>IF(ISNUMBER($AD216),ROUND($AD216*Header!$M$3,2),"")</f>
      </c>
      <c r="AQ216" s="38">
        <f>IF(ISNUMBER($AD216),ROUND($AD216,2)-$AO216-$AP216,"")</f>
      </c>
      <c r="AR216" s="39">
        <f>IF(ISNUMBER($AD216),IF(Header!$D$34="","?",$AD216*Header!$D$34),"")</f>
      </c>
      <c r="AS216" s="39">
        <f>IF(ISNUMBER($AB216),IF(Header!$D$34="","?",$AB216*Header!$D$34),"")</f>
      </c>
      <c r="AT216" s="42">
        <f>IF(AND(ISNUMBER($AB216),$M216&gt;0),$AB216/$M216*100,"")</f>
      </c>
      <c r="AU216" s="42">
        <f>IF(AND(ISNUMBER($AD216),$M216&gt;0),$AD216/$M216*100,"")</f>
      </c>
      <c r="AV216" s="40">
        <f>IF(AND(ISNUMBER($AB216),ISNUMBER($AD216),ABS($AB216)&gt;0),$AD216/$AB216,"")</f>
      </c>
      <c r="AW216" s="39">
        <f>IF(ISNUMBER($AD216),MAX(0,(1-0.55-Header!$O$3)*Header!$Q$3*$AQ216),"")</f>
      </c>
      <c r="AX216" s="43">
        <f>IF($A216="","",IF(TRIM(IF($A216="","Missing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",""))="","PASS","FAIL: "&amp;TRIM(IF($A216="","Missing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f>
      </c>
      <c r="AY216" s="44">
        <f>IF($M216="","",IF(ISNUMBER($M216),IF($M216&gt;=Header!$C$18,"YES — refer","No"),""))</f>
      </c>
      <c r="AZ216" s="44">
        <f>IF($AD216="","",IF(ISNUMBER($AD216),IF($AD216&lt;Header!$C$20,"BELOW MIN PREMIUM","OK"),""))</f>
      </c>
      <c r="BA216" s="48" t="inlineStr">
        <is>
          <t xml:space="preserve">Yes</t>
        </is>
      </c>
      <c r="BB216" s="48" t="inlineStr">
        <is>
          <t xml:space="preserve">Yes</t>
        </is>
      </c>
      <c r="BC216" s="46" t="inlineStr">
        <is>
          <t xml:space="preserve">Synthetic demo data</t>
        </is>
      </c>
      <c r="BE216" s="45">
        <f>IF(OR($A216="",$L216="",$H216=""),"",IF(AND(LEFT($L216,2)="06",$H216&gt;1945),"FAIL - pre-war class, year "&amp;$H216,IF(AND(LEFT($L216,2)="07",OR($H216&lt;1946,$H216&gt;1972)),"FAIL - 1946-72 class, year "&amp;$H216,IF(AND(LEFT($L216,2)="08",OR($H216&lt;1973,$H216&gt;1999)),"FAIL - 1973-99 class, year "&amp;$H216,IF(AND(LEFT($L216,2)="09",OR($H216&lt;2000,$H216&gt;2010)),"FAIL - 2000-10 class, year "&amp;$H216,"OK")))))</f>
      </c>
      <c r="BF216" s="45">
        <f>IF($AD216="","",IF(ROUND($AO216+$AP216+$AQ216-$AD216,2)=0,"OK","FAIL - out by "&amp;TEXT($AO216+$AP216+$AQ216-$AD216,"$0.00")))</f>
      </c>
    </row>
    <row r="217" spans="1:58" ht="18.75" customHeight="1" x14ac:dyDescent="0.25">
      <c r="A217" s="30" t="inlineStr">
        <is>
          <t xml:space="preserve">CANON-202508-000282</t>
        </is>
      </c>
      <c r="B217" s="30" t="inlineStr">
        <is>
          <t xml:space="preserve">Wilhelmina Pennington</t>
        </is>
      </c>
      <c r="C217" s="31">
        <v>45883</v>
      </c>
      <c r="D217" s="32" t="inlineStr">
        <is>
          <t xml:space="preserve">Bound - within authority</t>
        </is>
      </c>
      <c r="E217" s="32" t="inlineStr">
        <is>
          <t xml:space="preserve">New business</t>
        </is>
      </c>
      <c r="F217" s="30" t="inlineStr">
        <is>
          <t xml:space="preserve">B1234EXOTIC26</t>
        </is>
      </c>
      <c r="G217" s="33">
        <f>IF($A217="","",IF($C217="","",YEAR($C217)))</f>
      </c>
      <c r="H217" s="34">
        <v>1961</v>
      </c>
      <c r="I217" s="30" t="inlineStr">
        <is>
          <t xml:space="preserve">BMW</t>
        </is>
      </c>
      <c r="J217" s="30" t="inlineStr">
        <is>
          <t xml:space="preserve">M8 Competition</t>
        </is>
      </c>
      <c r="K217" s="30" t="inlineStr">
        <is>
          <t xml:space="preserve">TWHG9BU49L2RP7TWB</t>
        </is>
      </c>
      <c r="L217" s="32" t="inlineStr">
        <is>
          <t xml:space="preserve">02 - Sports / GT</t>
        </is>
      </c>
      <c r="M217" s="35">
        <v>365000</v>
      </c>
      <c r="N217" s="32" t="inlineStr">
        <is>
          <t xml:space="preserve">Personal</t>
        </is>
      </c>
      <c r="O217" s="30" t="inlineStr">
        <is>
          <t xml:space="preserve">Personal - regular use</t>
        </is>
      </c>
      <c r="P217" s="30" t="inlineStr">
        <is>
          <t xml:space="preserve">1,000 - 2,500</t>
        </is>
      </c>
      <c r="Q217" s="30" t="inlineStr">
        <is>
          <t xml:space="preserve">North Carolina</t>
        </is>
      </c>
      <c r="R217" s="30" t="inlineStr">
        <is>
          <t xml:space="preserve">28202</t>
        </is>
      </c>
      <c r="S217" s="32" t="inlineStr">
        <is>
          <t xml:space="preserve">Tier 2 - Coastal wind (1-25 miles)</t>
        </is>
      </c>
      <c r="T217" s="36">
        <f>IF($A217="","",IF($S217="","",IFERROR(INDEX('[1]natural catastrophe'!$D$6:$D$17,MATCH($S217,'[1]natural catastrophe'!$B$6:$B$17,0)),"?")))</f>
      </c>
      <c r="U217" s="30" t="inlineStr">
        <is>
          <t xml:space="preserve">2% of agreed value, minimum $10,000</t>
        </is>
      </c>
      <c r="V217" s="32" t="inlineStr">
        <is>
          <t xml:space="preserve">Agreed Value</t>
        </is>
      </c>
      <c r="W217" s="30" t="inlineStr">
        <is>
          <t xml:space="preserve">$1,000</t>
        </is>
      </c>
      <c r="X217" s="32" t="inlineStr">
        <is>
          <t xml:space="preserve">$1,000,000 CSL</t>
        </is>
      </c>
      <c r="Y217" s="30"/>
      <c r="Z217" s="30"/>
      <c r="AA217" s="32" t="inlineStr">
        <is>
          <t xml:space="preserve">Surplus Lines</t>
        </is>
      </c>
      <c r="AB217" s="35">
        <v>5939.86</v>
      </c>
      <c r="AC217" s="37">
        <v>0</v>
      </c>
      <c r="AD217" s="38">
        <f>IF(ISNUMBER($AB217),$AB217*(1+N($AC217)),"")</f>
      </c>
      <c r="AE217" s="35">
        <v>350</v>
      </c>
      <c r="AF217" s="35">
        <v>0</v>
      </c>
      <c r="AG217" s="37"/>
      <c r="AH217" s="39">
        <f>IF(ISNUMBER($AD217),($AD217+$AE217+$AF217)*$AG217,"")</f>
      </c>
      <c r="AI217" s="35"/>
      <c r="AJ217" s="38">
        <f>IF(ISNUMBER($AD217),SUM($AD217:$AH217),"")</f>
      </c>
      <c r="AK217" s="40">
        <f>IF(AND(ISNUMBER($AB217),ISNUMBER($AD217)),IF($AB217&gt;0,$AD217/$AB217,""),"")</f>
      </c>
      <c r="AL217" s="32" t="inlineStr">
        <is>
          <t xml:space="preserve">At technical</t>
        </is>
      </c>
      <c r="AM217" s="41">
        <f>IF(ISNUMBER($AD217),Header!$I$3,"")</f>
      </c>
      <c r="AN217" s="39">
        <f>IF(ISNUMBER($AD217),$AO217+$AP217,"")</f>
      </c>
      <c r="AO217" s="39">
        <f>IF(ISNUMBER($AD217),ROUND($AD217*Header!$K$3,2),"")</f>
      </c>
      <c r="AP217" s="39">
        <f>IF(ISNUMBER($AD217),ROUND($AD217*Header!$M$3,2),"")</f>
      </c>
      <c r="AQ217" s="38">
        <f>IF(ISNUMBER($AD217),ROUND($AD217,2)-$AO217-$AP217,"")</f>
      </c>
      <c r="AR217" s="39">
        <f>IF(ISNUMBER($AD217),IF(Header!$D$34="","?",$AD217*Header!$D$34),"")</f>
      </c>
      <c r="AS217" s="39">
        <f>IF(ISNUMBER($AB217),IF(Header!$D$34="","?",$AB217*Header!$D$34),"")</f>
      </c>
      <c r="AT217" s="42">
        <f>IF(AND(ISNUMBER($AB217),$M217&gt;0),$AB217/$M217*100,"")</f>
      </c>
      <c r="AU217" s="42">
        <f>IF(AND(ISNUMBER($AD217),$M217&gt;0),$AD217/$M217*100,"")</f>
      </c>
      <c r="AV217" s="40">
        <f>IF(AND(ISNUMBER($AB217),ISNUMBER($AD217),ABS($AB217)&gt;0),$AD217/$AB217,"")</f>
      </c>
      <c r="AW217" s="39">
        <f>IF(ISNUMBER($AD217),MAX(0,(1-0.55-Header!$O$3)*Header!$Q$3*$AQ217),"")</f>
      </c>
      <c r="AX217" s="43">
        <f>IF($A217="","",IF(TRIM(IF($A217="","Missing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",""))="","PASS","FAIL: "&amp;TRIM(IF($A217="","Missing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f>
      </c>
      <c r="AY217" s="44">
        <f>IF($M217="","",IF(ISNUMBER($M217),IF($M217&gt;=Header!$C$18,"YES — refer","No"),""))</f>
      </c>
      <c r="AZ217" s="44">
        <f>IF($AD217="","",IF(ISNUMBER($AD217),IF($AD217&lt;Header!$C$20,"BELOW MIN PREMIUM","OK"),""))</f>
      </c>
      <c r="BA217" s="32" t="inlineStr">
        <is>
          <t xml:space="preserve">Yes</t>
        </is>
      </c>
      <c r="BB217" s="32" t="inlineStr">
        <is>
          <t xml:space="preserve">Yes</t>
        </is>
      </c>
      <c r="BC217" s="30" t="inlineStr">
        <is>
          <t xml:space="preserve">Synthetic demo data</t>
        </is>
      </c>
      <c r="BE217" s="45">
        <f>IF(OR($A217="",$L217="",$H217=""),"",IF(AND(LEFT($L217,2)="06",$H217&gt;1945),"FAIL - pre-war class, year "&amp;$H217,IF(AND(LEFT($L217,2)="07",OR($H217&lt;1946,$H217&gt;1972)),"FAIL - 1946-72 class, year "&amp;$H217,IF(AND(LEFT($L217,2)="08",OR($H217&lt;1973,$H217&gt;1999)),"FAIL - 1973-99 class, year "&amp;$H217,IF(AND(LEFT($L217,2)="09",OR($H217&lt;2000,$H217&gt;2010)),"FAIL - 2000-10 class, year "&amp;$H217,"OK")))))</f>
      </c>
      <c r="BF217" s="45">
        <f>IF($AD217="","",IF(ROUND($AO217+$AP217+$AQ217-$AD217,2)=0,"OK","FAIL - out by "&amp;TEXT($AO217+$AP217+$AQ217-$AD217,"$0.00")))</f>
      </c>
    </row>
    <row r="218" spans="1:58" ht="18.75" customHeight="1" x14ac:dyDescent="0.25">
      <c r="A218" s="46" t="inlineStr">
        <is>
          <t xml:space="preserve">CANON-202508-000283</t>
        </is>
      </c>
      <c r="B218" s="46" t="inlineStr">
        <is>
          <t xml:space="preserve">Ramona Pennington</t>
        </is>
      </c>
      <c r="C218" s="47">
        <v>45899</v>
      </c>
      <c r="D218" s="48" t="inlineStr">
        <is>
          <t xml:space="preserve">Bound - within authority</t>
        </is>
      </c>
      <c r="E218" s="48" t="inlineStr">
        <is>
          <t xml:space="preserve">New business</t>
        </is>
      </c>
      <c r="F218" s="46" t="inlineStr">
        <is>
          <t xml:space="preserve">B1234EXOTIC26</t>
        </is>
      </c>
      <c r="G218" s="33">
        <f>IF($A218="","",IF($C218="","",YEAR($C218)))</f>
      </c>
      <c r="H218" s="49">
        <v>1992</v>
      </c>
      <c r="I218" s="46" t="inlineStr">
        <is>
          <t xml:space="preserve">Mercedes-Benz</t>
        </is>
      </c>
      <c r="J218" s="46" t="inlineStr">
        <is>
          <t xml:space="preserve">AMG GT</t>
        </is>
      </c>
      <c r="K218" s="46" t="inlineStr">
        <is>
          <t xml:space="preserve">96GJ6YWZ4NFBCFEHK</t>
        </is>
      </c>
      <c r="L218" s="48" t="inlineStr">
        <is>
          <t xml:space="preserve">02 - Sports / GT</t>
        </is>
      </c>
      <c r="M218" s="50">
        <v>580000</v>
      </c>
      <c r="N218" s="48" t="inlineStr">
        <is>
          <t xml:space="preserve">Personal</t>
        </is>
      </c>
      <c r="O218" s="46" t="inlineStr">
        <is>
          <t xml:space="preserve">Personal - regular use</t>
        </is>
      </c>
      <c r="P218" s="46" t="inlineStr">
        <is>
          <t xml:space="preserve">2,500 - 5,000</t>
        </is>
      </c>
      <c r="Q218" s="46" t="inlineStr">
        <is>
          <t xml:space="preserve">North Dakota</t>
        </is>
      </c>
      <c r="R218" s="46" t="inlineStr">
        <is>
          <t xml:space="preserve">58501</t>
        </is>
      </c>
      <c r="S218" s="48" t="inlineStr">
        <is>
          <t xml:space="preserve">Severe convective - hail alley (high)</t>
        </is>
      </c>
      <c r="T218" s="36">
        <f>IF($A218="","",IF($S218="","",IFERROR(INDEX('[1]natural catastrophe'!$D$6:$D$17,MATCH($S218,'[1]natural catastrophe'!$B$6:$B$17,0)),"?")))</f>
      </c>
      <c r="U218" s="46" t="inlineStr">
        <is>
          <t xml:space="preserve">$5,000</t>
        </is>
      </c>
      <c r="V218" s="48" t="inlineStr">
        <is>
          <t xml:space="preserve">Agreed Value</t>
        </is>
      </c>
      <c r="W218" s="46" t="inlineStr">
        <is>
          <t xml:space="preserve">$1,000</t>
        </is>
      </c>
      <c r="X218" s="48" t="inlineStr">
        <is>
          <t xml:space="preserve">$1,000,000 CSL</t>
        </is>
      </c>
      <c r="Y218" s="46"/>
      <c r="Z218" s="46"/>
      <c r="AA218" s="48" t="inlineStr">
        <is>
          <t xml:space="preserve">Surplus Lines</t>
        </is>
      </c>
      <c r="AB218" s="50">
        <v>7255.47</v>
      </c>
      <c r="AC218" s="51">
        <v>0</v>
      </c>
      <c r="AD218" s="38">
        <f>IF(ISNUMBER($AB218),$AB218*(1+N($AC218)),"")</f>
      </c>
      <c r="AE218" s="50">
        <v>350</v>
      </c>
      <c r="AF218" s="50">
        <v>0</v>
      </c>
      <c r="AG218" s="51"/>
      <c r="AH218" s="39">
        <f>IF(ISNUMBER($AD218),($AD218+$AE218+$AF218)*$AG218,"")</f>
      </c>
      <c r="AI218" s="50"/>
      <c r="AJ218" s="38">
        <f>IF(ISNUMBER($AD218),SUM($AD218:$AH218),"")</f>
      </c>
      <c r="AK218" s="40">
        <f>IF(AND(ISNUMBER($AB218),ISNUMBER($AD218)),IF($AB218&gt;0,$AD218/$AB218,""),"")</f>
      </c>
      <c r="AL218" s="48" t="inlineStr">
        <is>
          <t xml:space="preserve">At technical</t>
        </is>
      </c>
      <c r="AM218" s="41">
        <f>IF(ISNUMBER($AD218),Header!$I$3,"")</f>
      </c>
      <c r="AN218" s="39">
        <f>IF(ISNUMBER($AD218),$AO218+$AP218,"")</f>
      </c>
      <c r="AO218" s="39">
        <f>IF(ISNUMBER($AD218),ROUND($AD218*Header!$K$3,2),"")</f>
      </c>
      <c r="AP218" s="39">
        <f>IF(ISNUMBER($AD218),ROUND($AD218*Header!$M$3,2),"")</f>
      </c>
      <c r="AQ218" s="38">
        <f>IF(ISNUMBER($AD218),ROUND($AD218,2)-$AO218-$AP218,"")</f>
      </c>
      <c r="AR218" s="39">
        <f>IF(ISNUMBER($AD218),IF(Header!$D$34="","?",$AD218*Header!$D$34),"")</f>
      </c>
      <c r="AS218" s="39">
        <f>IF(ISNUMBER($AB218),IF(Header!$D$34="","?",$AB218*Header!$D$34),"")</f>
      </c>
      <c r="AT218" s="42">
        <f>IF(AND(ISNUMBER($AB218),$M218&gt;0),$AB218/$M218*100,"")</f>
      </c>
      <c r="AU218" s="42">
        <f>IF(AND(ISNUMBER($AD218),$M218&gt;0),$AD218/$M218*100,"")</f>
      </c>
      <c r="AV218" s="40">
        <f>IF(AND(ISNUMBER($AB218),ISNUMBER($AD218),ABS($AB218)&gt;0),$AD218/$AB218,"")</f>
      </c>
      <c r="AW218" s="39">
        <f>IF(ISNUMBER($AD218),MAX(0,(1-0.55-Header!$O$3)*Header!$Q$3*$AQ218),"")</f>
      </c>
      <c r="AX218" s="43">
        <f>IF($A218="","",IF(TRIM(IF($A218="","Missing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",""))="","PASS","FAIL: "&amp;TRIM(IF($A218="","Missing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f>
      </c>
      <c r="AY218" s="44">
        <f>IF($M218="","",IF(ISNUMBER($M218),IF($M218&gt;=Header!$C$18,"YES — refer","No"),""))</f>
      </c>
      <c r="AZ218" s="44">
        <f>IF($AD218="","",IF(ISNUMBER($AD218),IF($AD218&lt;Header!$C$20,"BELOW MIN PREMIUM","OK"),""))</f>
      </c>
      <c r="BA218" s="48" t="inlineStr">
        <is>
          <t xml:space="preserve">Yes</t>
        </is>
      </c>
      <c r="BB218" s="48" t="inlineStr">
        <is>
          <t xml:space="preserve">Yes</t>
        </is>
      </c>
      <c r="BC218" s="46" t="inlineStr">
        <is>
          <t xml:space="preserve">Synthetic demo data</t>
        </is>
      </c>
      <c r="BE218" s="45">
        <f>IF(OR($A218="",$L218="",$H218=""),"",IF(AND(LEFT($L218,2)="06",$H218&gt;1945),"FAIL - pre-war class, year "&amp;$H218,IF(AND(LEFT($L218,2)="07",OR($H218&lt;1946,$H218&gt;1972)),"FAIL - 1946-72 class, year "&amp;$H218,IF(AND(LEFT($L218,2)="08",OR($H218&lt;1973,$H218&gt;1999)),"FAIL - 1973-99 class, year "&amp;$H218,IF(AND(LEFT($L218,2)="09",OR($H218&lt;2000,$H218&gt;2010)),"FAIL - 2000-10 class, year "&amp;$H218,"OK")))))</f>
      </c>
      <c r="BF218" s="45">
        <f>IF($AD218="","",IF(ROUND($AO218+$AP218+$AQ218-$AD218,2)=0,"OK","FAIL - out by "&amp;TEXT($AO218+$AP218+$AQ218-$AD218,"$0.00")))</f>
      </c>
    </row>
    <row r="219" spans="1:58" ht="18.75" customHeight="1" x14ac:dyDescent="0.25">
      <c r="A219" s="30" t="inlineStr">
        <is>
          <t xml:space="preserve">CANON-202508-000285</t>
        </is>
      </c>
      <c r="B219" s="30" t="inlineStr">
        <is>
          <t xml:space="preserve">Everett Montoya</t>
        </is>
      </c>
      <c r="C219" s="31">
        <v>45881</v>
      </c>
      <c r="D219" s="32" t="inlineStr">
        <is>
          <t xml:space="preserve">Bound - within authority</t>
        </is>
      </c>
      <c r="E219" s="32" t="inlineStr">
        <is>
          <t xml:space="preserve">New business</t>
        </is>
      </c>
      <c r="F219" s="30" t="inlineStr">
        <is>
          <t xml:space="preserve">B1234EXOTIC26</t>
        </is>
      </c>
      <c r="G219" s="33">
        <f>IF($A219="","",IF($C219="","",YEAR($C219)))</f>
      </c>
      <c r="H219" s="34">
        <v>1986</v>
      </c>
      <c r="I219" s="30" t="inlineStr">
        <is>
          <t xml:space="preserve">Jaguar</t>
        </is>
      </c>
      <c r="J219" s="30" t="inlineStr">
        <is>
          <t xml:space="preserve">E-Type Series 1</t>
        </is>
      </c>
      <c r="K219" s="30" t="inlineStr">
        <is>
          <t xml:space="preserve">MKSR4146KVEDTN4K8</t>
        </is>
      </c>
      <c r="L219" s="32" t="inlineStr">
        <is>
          <t xml:space="preserve">08 - Modern Classic (1973-1999)</t>
        </is>
      </c>
      <c r="M219" s="35">
        <v>180000</v>
      </c>
      <c r="N219" s="32" t="inlineStr">
        <is>
          <t xml:space="preserve">Personal</t>
        </is>
      </c>
      <c r="O219" s="30" t="inlineStr">
        <is>
          <t xml:space="preserve">Personal - regular use</t>
        </is>
      </c>
      <c r="P219" s="30" t="inlineStr">
        <is>
          <t xml:space="preserve">1,000 - 2,500</t>
        </is>
      </c>
      <c r="Q219" s="30" t="inlineStr">
        <is>
          <t xml:space="preserve">Missouri</t>
        </is>
      </c>
      <c r="R219" s="30" t="inlineStr">
        <is>
          <t xml:space="preserve">63101</t>
        </is>
      </c>
      <c r="S219" s="32" t="inlineStr">
        <is>
          <t xml:space="preserve">Severe convective - hail / tornado (moderate)</t>
        </is>
      </c>
      <c r="T219" s="36">
        <f>IF($A219="","",IF($S219="","",IFERROR(INDEX('[1]natural catastrophe'!$D$6:$D$17,MATCH($S219,'[1]natural catastrophe'!$B$6:$B$17,0)),"?")))</f>
      </c>
      <c r="U219" s="30" t="inlineStr">
        <is>
          <t xml:space="preserve">$5,000</t>
        </is>
      </c>
      <c r="V219" s="32" t="inlineStr">
        <is>
          <t xml:space="preserve">Agreed Value</t>
        </is>
      </c>
      <c r="W219" s="30" t="inlineStr">
        <is>
          <t xml:space="preserve">$1,000</t>
        </is>
      </c>
      <c r="X219" s="32" t="inlineStr">
        <is>
          <t xml:space="preserve">$1,000,000 CSL</t>
        </is>
      </c>
      <c r="Y219" s="30"/>
      <c r="Z219" s="30"/>
      <c r="AA219" s="32" t="inlineStr">
        <is>
          <t xml:space="preserve">Surplus Lines</t>
        </is>
      </c>
      <c r="AB219" s="35">
        <v>2052</v>
      </c>
      <c r="AC219" s="37">
        <v>0</v>
      </c>
      <c r="AD219" s="38">
        <f>IF(ISNUMBER($AB219),$AB219*(1+N($AC219)),"")</f>
      </c>
      <c r="AE219" s="35">
        <v>350</v>
      </c>
      <c r="AF219" s="35">
        <v>0</v>
      </c>
      <c r="AG219" s="37"/>
      <c r="AH219" s="39">
        <f>IF(ISNUMBER($AD219),($AD219+$AE219+$AF219)*$AG219,"")</f>
      </c>
      <c r="AI219" s="35"/>
      <c r="AJ219" s="38">
        <f>IF(ISNUMBER($AD219),SUM($AD219:$AH219),"")</f>
      </c>
      <c r="AK219" s="40">
        <f>IF(AND(ISNUMBER($AB219),ISNUMBER($AD219)),IF($AB219&gt;0,$AD219/$AB219,""),"")</f>
      </c>
      <c r="AL219" s="32" t="inlineStr">
        <is>
          <t xml:space="preserve">At technical</t>
        </is>
      </c>
      <c r="AM219" s="41">
        <f>IF(ISNUMBER($AD219),Header!$I$3,"")</f>
      </c>
      <c r="AN219" s="39">
        <f>IF(ISNUMBER($AD219),$AO219+$AP219,"")</f>
      </c>
      <c r="AO219" s="39">
        <f>IF(ISNUMBER($AD219),ROUND($AD219*Header!$K$3,2),"")</f>
      </c>
      <c r="AP219" s="39">
        <f>IF(ISNUMBER($AD219),ROUND($AD219*Header!$M$3,2),"")</f>
      </c>
      <c r="AQ219" s="38">
        <f>IF(ISNUMBER($AD219),ROUND($AD219,2)-$AO219-$AP219,"")</f>
      </c>
      <c r="AR219" s="39">
        <f>IF(ISNUMBER($AD219),IF(Header!$D$34="","?",$AD219*Header!$D$34),"")</f>
      </c>
      <c r="AS219" s="39">
        <f>IF(ISNUMBER($AB219),IF(Header!$D$34="","?",$AB219*Header!$D$34),"")</f>
      </c>
      <c r="AT219" s="42">
        <f>IF(AND(ISNUMBER($AB219),$M219&gt;0),$AB219/$M219*100,"")</f>
      </c>
      <c r="AU219" s="42">
        <f>IF(AND(ISNUMBER($AD219),$M219&gt;0),$AD219/$M219*100,"")</f>
      </c>
      <c r="AV219" s="40">
        <f>IF(AND(ISNUMBER($AB219),ISNUMBER($AD219),ABS($AB219)&gt;0),$AD219/$AB219,"")</f>
      </c>
      <c r="AW219" s="39">
        <f>IF(ISNUMBER($AD219),MAX(0,(1-0.55-Header!$O$3)*Header!$Q$3*$AQ219),"")</f>
      </c>
      <c r="AX219" s="43">
        <f>IF($A219="","",IF(TRIM(IF($A219="","Missing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",""))="","PASS","FAIL: "&amp;TRIM(IF($A219="","Missing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f>
      </c>
      <c r="AY219" s="44">
        <f>IF($M219="","",IF(ISNUMBER($M219),IF($M219&gt;=Header!$C$18,"YES — refer","No"),""))</f>
      </c>
      <c r="AZ219" s="44">
        <f>IF($AD219="","",IF(ISNUMBER($AD219),IF($AD219&lt;Header!$C$20,"BELOW MIN PREMIUM","OK"),""))</f>
      </c>
      <c r="BA219" s="32" t="inlineStr">
        <is>
          <t xml:space="preserve">Yes</t>
        </is>
      </c>
      <c r="BB219" s="32" t="inlineStr">
        <is>
          <t xml:space="preserve">Yes</t>
        </is>
      </c>
      <c r="BC219" s="30" t="inlineStr">
        <is>
          <t xml:space="preserve">Synthetic demo data</t>
        </is>
      </c>
      <c r="BE219" s="45">
        <f>IF(OR($A219="",$L219="",$H219=""),"",IF(AND(LEFT($L219,2)="06",$H219&gt;1945),"FAIL - pre-war class, year "&amp;$H219,IF(AND(LEFT($L219,2)="07",OR($H219&lt;1946,$H219&gt;1972)),"FAIL - 1946-72 class, year "&amp;$H219,IF(AND(LEFT($L219,2)="08",OR($H219&lt;1973,$H219&gt;1999)),"FAIL - 1973-99 class, year "&amp;$H219,IF(AND(LEFT($L219,2)="09",OR($H219&lt;2000,$H219&gt;2010)),"FAIL - 2000-10 class, year "&amp;$H219,"OK")))))</f>
      </c>
      <c r="BF219" s="45">
        <f>IF($AD219="","",IF(ROUND($AO219+$AP219+$AQ219-$AD219,2)=0,"OK","FAIL - out by "&amp;TEXT($AO219+$AP219+$AQ219-$AD219,"$0.00")))</f>
      </c>
    </row>
    <row r="220" spans="1:58" ht="18.75" customHeight="1" x14ac:dyDescent="0.25">
      <c r="A220" s="46" t="inlineStr">
        <is>
          <t xml:space="preserve">CANON-202508-000286</t>
        </is>
      </c>
      <c r="B220" s="46" t="inlineStr">
        <is>
          <t xml:space="preserve">Desmond Harrington</t>
        </is>
      </c>
      <c r="C220" s="47">
        <v>45884</v>
      </c>
      <c r="D220" s="48" t="inlineStr">
        <is>
          <t xml:space="preserve">Bound - within authority</t>
        </is>
      </c>
      <c r="E220" s="48" t="inlineStr">
        <is>
          <t xml:space="preserve">New business</t>
        </is>
      </c>
      <c r="F220" s="46" t="inlineStr">
        <is>
          <t xml:space="preserve">B1234EXOTIC26</t>
        </is>
      </c>
      <c r="G220" s="33">
        <f>IF($A220="","",IF($C220="","",YEAR($C220)))</f>
      </c>
      <c r="H220" s="49">
        <v>2012</v>
      </c>
      <c r="I220" s="46" t="inlineStr">
        <is>
          <t xml:space="preserve">Maserati</t>
        </is>
      </c>
      <c r="J220" s="46" t="inlineStr">
        <is>
          <t xml:space="preserve">GranTurismo</t>
        </is>
      </c>
      <c r="K220" s="46" t="inlineStr">
        <is>
          <t xml:space="preserve">XRU4R8JV3TP3R2JKU</t>
        </is>
      </c>
      <c r="L220" s="48" t="inlineStr">
        <is>
          <t xml:space="preserve">02 - Sports / GT</t>
        </is>
      </c>
      <c r="M220" s="50">
        <v>355000</v>
      </c>
      <c r="N220" s="48" t="inlineStr">
        <is>
          <t xml:space="preserve">Personal</t>
        </is>
      </c>
      <c r="O220" s="46" t="inlineStr">
        <is>
          <t xml:space="preserve">Personal - regular use</t>
        </is>
      </c>
      <c r="P220" s="46" t="inlineStr">
        <is>
          <t xml:space="preserve">2,500 - 5,000</t>
        </is>
      </c>
      <c r="Q220" s="46" t="inlineStr">
        <is>
          <t xml:space="preserve">Massachusetts</t>
        </is>
      </c>
      <c r="R220" s="46" t="inlineStr">
        <is>
          <t xml:space="preserve">02108</t>
        </is>
      </c>
      <c r="S220" s="48" t="inlineStr">
        <is>
          <t xml:space="preserve">Tier 3 - Coastal wind (25-100 miles)</t>
        </is>
      </c>
      <c r="T220" s="36">
        <f>IF($A220="","",IF($S220="","",IFERROR(INDEX('[1]natural catastrophe'!$D$6:$D$17,MATCH($S220,'[1]natural catastrophe'!$B$6:$B$17,0)),"?")))</f>
      </c>
      <c r="U220" s="46" t="inlineStr">
        <is>
          <t xml:space="preserve">2% of agreed value, minimum $10,000</t>
        </is>
      </c>
      <c r="V220" s="48" t="inlineStr">
        <is>
          <t xml:space="preserve">Agreed Value</t>
        </is>
      </c>
      <c r="W220" s="46" t="inlineStr">
        <is>
          <t xml:space="preserve">$1,000</t>
        </is>
      </c>
      <c r="X220" s="48" t="inlineStr">
        <is>
          <t xml:space="preserve">$1,000,000 CSL</t>
        </is>
      </c>
      <c r="Y220" s="46"/>
      <c r="Z220" s="46"/>
      <c r="AA220" s="48" t="inlineStr">
        <is>
          <t xml:space="preserve">Surplus Lines</t>
        </is>
      </c>
      <c r="AB220" s="50">
        <v>6279.48</v>
      </c>
      <c r="AC220" s="51">
        <v>0</v>
      </c>
      <c r="AD220" s="38">
        <f>IF(ISNUMBER($AB220),$AB220*(1+N($AC220)),"")</f>
      </c>
      <c r="AE220" s="50">
        <v>350</v>
      </c>
      <c r="AF220" s="50">
        <v>0</v>
      </c>
      <c r="AG220" s="51"/>
      <c r="AH220" s="39">
        <f>IF(ISNUMBER($AD220),($AD220+$AE220+$AF220)*$AG220,"")</f>
      </c>
      <c r="AI220" s="50"/>
      <c r="AJ220" s="38">
        <f>IF(ISNUMBER($AD220),SUM($AD220:$AH220),"")</f>
      </c>
      <c r="AK220" s="40">
        <f>IF(AND(ISNUMBER($AB220),ISNUMBER($AD220)),IF($AB220&gt;0,$AD220/$AB220,""),"")</f>
      </c>
      <c r="AL220" s="48" t="inlineStr">
        <is>
          <t xml:space="preserve">At technical</t>
        </is>
      </c>
      <c r="AM220" s="41">
        <f>IF(ISNUMBER($AD220),Header!$I$3,"")</f>
      </c>
      <c r="AN220" s="39">
        <f>IF(ISNUMBER($AD220),$AO220+$AP220,"")</f>
      </c>
      <c r="AO220" s="39">
        <f>IF(ISNUMBER($AD220),ROUND($AD220*Header!$K$3,2),"")</f>
      </c>
      <c r="AP220" s="39">
        <f>IF(ISNUMBER($AD220),ROUND($AD220*Header!$M$3,2),"")</f>
      </c>
      <c r="AQ220" s="38">
        <f>IF(ISNUMBER($AD220),ROUND($AD220,2)-$AO220-$AP220,"")</f>
      </c>
      <c r="AR220" s="39">
        <f>IF(ISNUMBER($AD220),IF(Header!$D$34="","?",$AD220*Header!$D$34),"")</f>
      </c>
      <c r="AS220" s="39">
        <f>IF(ISNUMBER($AB220),IF(Header!$D$34="","?",$AB220*Header!$D$34),"")</f>
      </c>
      <c r="AT220" s="42">
        <f>IF(AND(ISNUMBER($AB220),$M220&gt;0),$AB220/$M220*100,"")</f>
      </c>
      <c r="AU220" s="42">
        <f>IF(AND(ISNUMBER($AD220),$M220&gt;0),$AD220/$M220*100,"")</f>
      </c>
      <c r="AV220" s="40">
        <f>IF(AND(ISNUMBER($AB220),ISNUMBER($AD220),ABS($AB220)&gt;0),$AD220/$AB220,"")</f>
      </c>
      <c r="AW220" s="39">
        <f>IF(ISNUMBER($AD220),MAX(0,(1-0.55-Header!$O$3)*Header!$Q$3*$AQ220),"")</f>
      </c>
      <c r="AX220" s="43">
        <f>IF($A220="","",IF(TRIM(IF($A220="","Missing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",""))="","PASS","FAIL: "&amp;TRIM(IF($A220="","Missing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f>
      </c>
      <c r="AY220" s="44">
        <f>IF($M220="","",IF(ISNUMBER($M220),IF($M220&gt;=Header!$C$18,"YES — refer","No"),""))</f>
      </c>
      <c r="AZ220" s="44">
        <f>IF($AD220="","",IF(ISNUMBER($AD220),IF($AD220&lt;Header!$C$20,"BELOW MIN PREMIUM","OK"),""))</f>
      </c>
      <c r="BA220" s="48" t="inlineStr">
        <is>
          <t xml:space="preserve">Yes</t>
        </is>
      </c>
      <c r="BB220" s="48" t="inlineStr">
        <is>
          <t xml:space="preserve">Yes</t>
        </is>
      </c>
      <c r="BC220" s="46" t="inlineStr">
        <is>
          <t xml:space="preserve">Synthetic demo data</t>
        </is>
      </c>
      <c r="BE220" s="45">
        <f>IF(OR($A220="",$L220="",$H220=""),"",IF(AND(LEFT($L220,2)="06",$H220&gt;1945),"FAIL - pre-war class, year "&amp;$H220,IF(AND(LEFT($L220,2)="07",OR($H220&lt;1946,$H220&gt;1972)),"FAIL - 1946-72 class, year "&amp;$H220,IF(AND(LEFT($L220,2)="08",OR($H220&lt;1973,$H220&gt;1999)),"FAIL - 1973-99 class, year "&amp;$H220,IF(AND(LEFT($L220,2)="09",OR($H220&lt;2000,$H220&gt;2010)),"FAIL - 2000-10 class, year "&amp;$H220,"OK")))))</f>
      </c>
      <c r="BF220" s="45">
        <f>IF($AD220="","",IF(ROUND($AO220+$AP220+$AQ220-$AD220,2)=0,"OK","FAIL - out by "&amp;TEXT($AO220+$AP220+$AQ220-$AD220,"$0.00")))</f>
      </c>
    </row>
    <row r="221" spans="1:58" ht="18.75" customHeight="1" x14ac:dyDescent="0.25">
      <c r="A221" s="30" t="inlineStr">
        <is>
          <t xml:space="preserve">CANON-202508-000288</t>
        </is>
      </c>
      <c r="B221" s="30" t="inlineStr">
        <is>
          <t xml:space="preserve">Delphine Castellanos</t>
        </is>
      </c>
      <c r="C221" s="31">
        <v>45894</v>
      </c>
      <c r="D221" s="32" t="inlineStr">
        <is>
          <t xml:space="preserve">Bound - within authority</t>
        </is>
      </c>
      <c r="E221" s="32" t="inlineStr">
        <is>
          <t xml:space="preserve">New business</t>
        </is>
      </c>
      <c r="F221" s="30" t="inlineStr">
        <is>
          <t xml:space="preserve">B1234EXOTIC26</t>
        </is>
      </c>
      <c r="G221" s="33">
        <f>IF($A221="","",IF($C221="","",YEAR($C221)))</f>
      </c>
      <c r="H221" s="34">
        <v>1971</v>
      </c>
      <c r="I221" s="30" t="inlineStr">
        <is>
          <t xml:space="preserve">Aston Martin</t>
        </is>
      </c>
      <c r="J221" s="30" t="inlineStr">
        <is>
          <t xml:space="preserve">DB12</t>
        </is>
      </c>
      <c r="K221" s="30" t="inlineStr">
        <is>
          <t xml:space="preserve">HWXDHGRLHYWGG74D4</t>
        </is>
      </c>
      <c r="L221" s="32" t="inlineStr">
        <is>
          <t xml:space="preserve">02 - Sports / GT</t>
        </is>
      </c>
      <c r="M221" s="35">
        <v>345000</v>
      </c>
      <c r="N221" s="32" t="inlineStr">
        <is>
          <t xml:space="preserve">Personal</t>
        </is>
      </c>
      <c r="O221" s="30" t="inlineStr">
        <is>
          <t xml:space="preserve">Personal - regular use</t>
        </is>
      </c>
      <c r="P221" s="30" t="inlineStr">
        <is>
          <t xml:space="preserve">Under 1,000</t>
        </is>
      </c>
      <c r="Q221" s="30" t="inlineStr">
        <is>
          <t xml:space="preserve">Virginia</t>
        </is>
      </c>
      <c r="R221" s="30" t="inlineStr">
        <is>
          <t xml:space="preserve">23219</t>
        </is>
      </c>
      <c r="S221" s="32" t="inlineStr">
        <is>
          <t xml:space="preserve">Tier 3 - Coastal wind (25-100 miles)</t>
        </is>
      </c>
      <c r="T221" s="36">
        <f>IF($A221="","",IF($S221="","",IFERROR(INDEX('[1]natural catastrophe'!$D$6:$D$17,MATCH($S221,'[1]natural catastrophe'!$B$6:$B$17,0)),"?")))</f>
      </c>
      <c r="U221" s="30" t="inlineStr">
        <is>
          <t xml:space="preserve">2% of agreed value, minimum $10,000</t>
        </is>
      </c>
      <c r="V221" s="32" t="inlineStr">
        <is>
          <t xml:space="preserve">Agreed Value</t>
        </is>
      </c>
      <c r="W221" s="30" t="inlineStr">
        <is>
          <t xml:space="preserve">$1,000</t>
        </is>
      </c>
      <c r="X221" s="32" t="inlineStr">
        <is>
          <t xml:space="preserve">$1,000,000 CSL</t>
        </is>
      </c>
      <c r="Y221" s="30"/>
      <c r="Z221" s="30"/>
      <c r="AA221" s="32" t="inlineStr">
        <is>
          <t xml:space="preserve">Surplus Lines</t>
        </is>
      </c>
      <c r="AB221" s="35">
        <v>5321.46</v>
      </c>
      <c r="AC221" s="37">
        <v>0</v>
      </c>
      <c r="AD221" s="38">
        <f>IF(ISNUMBER($AB221),$AB221*(1+N($AC221)),"")</f>
      </c>
      <c r="AE221" s="35">
        <v>350</v>
      </c>
      <c r="AF221" s="35">
        <v>0</v>
      </c>
      <c r="AG221" s="37"/>
      <c r="AH221" s="39">
        <f>IF(ISNUMBER($AD221),($AD221+$AE221+$AF221)*$AG221,"")</f>
      </c>
      <c r="AI221" s="35"/>
      <c r="AJ221" s="38">
        <f>IF(ISNUMBER($AD221),SUM($AD221:$AH221),"")</f>
      </c>
      <c r="AK221" s="40">
        <f>IF(AND(ISNUMBER($AB221),ISNUMBER($AD221)),IF($AB221&gt;0,$AD221/$AB221,""),"")</f>
      </c>
      <c r="AL221" s="32" t="inlineStr">
        <is>
          <t xml:space="preserve">At technical</t>
        </is>
      </c>
      <c r="AM221" s="41">
        <f>IF(ISNUMBER($AD221),Header!$I$3,"")</f>
      </c>
      <c r="AN221" s="39">
        <f>IF(ISNUMBER($AD221),$AO221+$AP221,"")</f>
      </c>
      <c r="AO221" s="39">
        <f>IF(ISNUMBER($AD221),ROUND($AD221*Header!$K$3,2),"")</f>
      </c>
      <c r="AP221" s="39">
        <f>IF(ISNUMBER($AD221),ROUND($AD221*Header!$M$3,2),"")</f>
      </c>
      <c r="AQ221" s="38">
        <f>IF(ISNUMBER($AD221),ROUND($AD221,2)-$AO221-$AP221,"")</f>
      </c>
      <c r="AR221" s="39">
        <f>IF(ISNUMBER($AD221),IF(Header!$D$34="","?",$AD221*Header!$D$34),"")</f>
      </c>
      <c r="AS221" s="39">
        <f>IF(ISNUMBER($AB221),IF(Header!$D$34="","?",$AB221*Header!$D$34),"")</f>
      </c>
      <c r="AT221" s="42">
        <f>IF(AND(ISNUMBER($AB221),$M221&gt;0),$AB221/$M221*100,"")</f>
      </c>
      <c r="AU221" s="42">
        <f>IF(AND(ISNUMBER($AD221),$M221&gt;0),$AD221/$M221*100,"")</f>
      </c>
      <c r="AV221" s="40">
        <f>IF(AND(ISNUMBER($AB221),ISNUMBER($AD221),ABS($AB221)&gt;0),$AD221/$AB221,"")</f>
      </c>
      <c r="AW221" s="39">
        <f>IF(ISNUMBER($AD221),MAX(0,(1-0.55-Header!$O$3)*Header!$Q$3*$AQ221),"")</f>
      </c>
      <c r="AX221" s="43">
        <f>IF($A221="","",IF(TRIM(IF($A221="","Missing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",""))="","PASS","FAIL: "&amp;TRIM(IF($A221="","Missing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f>
      </c>
      <c r="AY221" s="44">
        <f>IF($M221="","",IF(ISNUMBER($M221),IF($M221&gt;=Header!$C$18,"YES — refer","No"),""))</f>
      </c>
      <c r="AZ221" s="44">
        <f>IF($AD221="","",IF(ISNUMBER($AD221),IF($AD221&lt;Header!$C$20,"BELOW MIN PREMIUM","OK"),""))</f>
      </c>
      <c r="BA221" s="32" t="inlineStr">
        <is>
          <t xml:space="preserve">Yes</t>
        </is>
      </c>
      <c r="BB221" s="32" t="inlineStr">
        <is>
          <t xml:space="preserve">Yes</t>
        </is>
      </c>
      <c r="BC221" s="30" t="inlineStr">
        <is>
          <t xml:space="preserve">Synthetic demo data</t>
        </is>
      </c>
      <c r="BE221" s="45">
        <f>IF(OR($A221="",$L221="",$H221=""),"",IF(AND(LEFT($L221,2)="06",$H221&gt;1945),"FAIL - pre-war class, year "&amp;$H221,IF(AND(LEFT($L221,2)="07",OR($H221&lt;1946,$H221&gt;1972)),"FAIL - 1946-72 class, year "&amp;$H221,IF(AND(LEFT($L221,2)="08",OR($H221&lt;1973,$H221&gt;1999)),"FAIL - 1973-99 class, year "&amp;$H221,IF(AND(LEFT($L221,2)="09",OR($H221&lt;2000,$H221&gt;2010)),"FAIL - 2000-10 class, year "&amp;$H221,"OK")))))</f>
      </c>
      <c r="BF221" s="45">
        <f>IF($AD221="","",IF(ROUND($AO221+$AP221+$AQ221-$AD221,2)=0,"OK","FAIL - out by "&amp;TEXT($AO221+$AP221+$AQ221-$AD221,"$0.00")))</f>
      </c>
    </row>
    <row r="222" spans="1:58" ht="18.75" customHeight="1" x14ac:dyDescent="0.25">
      <c r="A222" s="46" t="inlineStr">
        <is>
          <t xml:space="preserve">CANON-202508-000290</t>
        </is>
      </c>
      <c r="B222" s="46" t="inlineStr">
        <is>
          <t xml:space="preserve">Beatrix Fairweather</t>
        </is>
      </c>
      <c r="C222" s="47">
        <v>45893</v>
      </c>
      <c r="D222" s="48" t="inlineStr">
        <is>
          <t xml:space="preserve">Bound - within authority</t>
        </is>
      </c>
      <c r="E222" s="48" t="inlineStr">
        <is>
          <t xml:space="preserve">New business</t>
        </is>
      </c>
      <c r="F222" s="46" t="inlineStr">
        <is>
          <t xml:space="preserve">B1234EXOTIC26</t>
        </is>
      </c>
      <c r="G222" s="33">
        <f>IF($A222="","",IF($C222="","",YEAR($C222)))</f>
      </c>
      <c r="H222" s="49">
        <v>2007</v>
      </c>
      <c r="I222" s="46" t="inlineStr">
        <is>
          <t xml:space="preserve">Mercedes-Benz</t>
        </is>
      </c>
      <c r="J222" s="46" t="inlineStr">
        <is>
          <t xml:space="preserve">AMG GT</t>
        </is>
      </c>
      <c r="K222" s="46" t="inlineStr">
        <is>
          <t xml:space="preserve">B2E8770MUKZFJ27TZ</t>
        </is>
      </c>
      <c r="L222" s="48" t="inlineStr">
        <is>
          <t xml:space="preserve">02 - Sports / GT</t>
        </is>
      </c>
      <c r="M222" s="50">
        <v>625000</v>
      </c>
      <c r="N222" s="48" t="inlineStr">
        <is>
          <t xml:space="preserve">Personal</t>
        </is>
      </c>
      <c r="O222" s="46" t="inlineStr">
        <is>
          <t xml:space="preserve">Personal - regular use</t>
        </is>
      </c>
      <c r="P222" s="46" t="inlineStr">
        <is>
          <t xml:space="preserve">1,000 - 2,500</t>
        </is>
      </c>
      <c r="Q222" s="46" t="inlineStr">
        <is>
          <t xml:space="preserve">Arkansas</t>
        </is>
      </c>
      <c r="R222" s="46" t="inlineStr">
        <is>
          <t xml:space="preserve">72201</t>
        </is>
      </c>
      <c r="S222" s="48" t="inlineStr">
        <is>
          <t xml:space="preserve">Severe convective - hail / tornado (moderate)</t>
        </is>
      </c>
      <c r="T222" s="36">
        <f>IF($A222="","",IF($S222="","",IFERROR(INDEX('[1]natural catastrophe'!$D$6:$D$17,MATCH($S222,'[1]natural catastrophe'!$B$6:$B$17,0)),"?")))</f>
      </c>
      <c r="U222" s="46" t="inlineStr">
        <is>
          <t xml:space="preserve">$5,000</t>
        </is>
      </c>
      <c r="V222" s="48" t="inlineStr">
        <is>
          <t xml:space="preserve">Agreed Value</t>
        </is>
      </c>
      <c r="W222" s="46" t="inlineStr">
        <is>
          <t xml:space="preserve">$1,000</t>
        </is>
      </c>
      <c r="X222" s="48" t="inlineStr">
        <is>
          <t xml:space="preserve">$1,000,000 CSL</t>
        </is>
      </c>
      <c r="Y222" s="46"/>
      <c r="Z222" s="46"/>
      <c r="AA222" s="48" t="inlineStr">
        <is>
          <t xml:space="preserve">Surplus Lines</t>
        </is>
      </c>
      <c r="AB222" s="50">
        <v>10577.83</v>
      </c>
      <c r="AC222" s="51">
        <v>0</v>
      </c>
      <c r="AD222" s="38">
        <f>IF(ISNUMBER($AB222),$AB222*(1+N($AC222)),"")</f>
      </c>
      <c r="AE222" s="50">
        <v>350</v>
      </c>
      <c r="AF222" s="50">
        <v>0</v>
      </c>
      <c r="AG222" s="51"/>
      <c r="AH222" s="39">
        <f>IF(ISNUMBER($AD222),($AD222+$AE222+$AF222)*$AG222,"")</f>
      </c>
      <c r="AI222" s="50"/>
      <c r="AJ222" s="38">
        <f>IF(ISNUMBER($AD222),SUM($AD222:$AH222),"")</f>
      </c>
      <c r="AK222" s="40">
        <f>IF(AND(ISNUMBER($AB222),ISNUMBER($AD222)),IF($AB222&gt;0,$AD222/$AB222,""),"")</f>
      </c>
      <c r="AL222" s="48" t="inlineStr">
        <is>
          <t xml:space="preserve">At technical</t>
        </is>
      </c>
      <c r="AM222" s="41">
        <f>IF(ISNUMBER($AD222),Header!$I$3,"")</f>
      </c>
      <c r="AN222" s="39">
        <f>IF(ISNUMBER($AD222),$AO222+$AP222,"")</f>
      </c>
      <c r="AO222" s="39">
        <f>IF(ISNUMBER($AD222),ROUND($AD222*Header!$K$3,2),"")</f>
      </c>
      <c r="AP222" s="39">
        <f>IF(ISNUMBER($AD222),ROUND($AD222*Header!$M$3,2),"")</f>
      </c>
      <c r="AQ222" s="38">
        <f>IF(ISNUMBER($AD222),ROUND($AD222,2)-$AO222-$AP222,"")</f>
      </c>
      <c r="AR222" s="39">
        <f>IF(ISNUMBER($AD222),IF(Header!$D$34="","?",$AD222*Header!$D$34),"")</f>
      </c>
      <c r="AS222" s="39">
        <f>IF(ISNUMBER($AB222),IF(Header!$D$34="","?",$AB222*Header!$D$34),"")</f>
      </c>
      <c r="AT222" s="42">
        <f>IF(AND(ISNUMBER($AB222),$M222&gt;0),$AB222/$M222*100,"")</f>
      </c>
      <c r="AU222" s="42">
        <f>IF(AND(ISNUMBER($AD222),$M222&gt;0),$AD222/$M222*100,"")</f>
      </c>
      <c r="AV222" s="40">
        <f>IF(AND(ISNUMBER($AB222),ISNUMBER($AD222),ABS($AB222)&gt;0),$AD222/$AB222,"")</f>
      </c>
      <c r="AW222" s="39">
        <f>IF(ISNUMBER($AD222),MAX(0,(1-0.55-Header!$O$3)*Header!$Q$3*$AQ222),"")</f>
      </c>
      <c r="AX222" s="43">
        <f>IF($A222="","",IF(TRIM(IF($A222="","Missing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",""))="","PASS","FAIL: "&amp;TRIM(IF($A222="","Missing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f>
      </c>
      <c r="AY222" s="44">
        <f>IF($M222="","",IF(ISNUMBER($M222),IF($M222&gt;=Header!$C$18,"YES — refer","No"),""))</f>
      </c>
      <c r="AZ222" s="44">
        <f>IF($AD222="","",IF(ISNUMBER($AD222),IF($AD222&lt;Header!$C$20,"BELOW MIN PREMIUM","OK"),""))</f>
      </c>
      <c r="BA222" s="48" t="inlineStr">
        <is>
          <t xml:space="preserve">Yes</t>
        </is>
      </c>
      <c r="BB222" s="48" t="inlineStr">
        <is>
          <t xml:space="preserve">Yes</t>
        </is>
      </c>
      <c r="BC222" s="46" t="inlineStr">
        <is>
          <t xml:space="preserve">Synthetic demo data</t>
        </is>
      </c>
      <c r="BE222" s="45">
        <f>IF(OR($A222="",$L222="",$H222=""),"",IF(AND(LEFT($L222,2)="06",$H222&gt;1945),"FAIL - pre-war class, year "&amp;$H222,IF(AND(LEFT($L222,2)="07",OR($H222&lt;1946,$H222&gt;1972)),"FAIL - 1946-72 class, year "&amp;$H222,IF(AND(LEFT($L222,2)="08",OR($H222&lt;1973,$H222&gt;1999)),"FAIL - 1973-99 class, year "&amp;$H222,IF(AND(LEFT($L222,2)="09",OR($H222&lt;2000,$H222&gt;2010)),"FAIL - 2000-10 class, year "&amp;$H222,"OK")))))</f>
      </c>
      <c r="BF222" s="45">
        <f>IF($AD222="","",IF(ROUND($AO222+$AP222+$AQ222-$AD222,2)=0,"OK","FAIL - out by "&amp;TEXT($AO222+$AP222+$AQ222-$AD222,"$0.00")))</f>
      </c>
    </row>
    <row r="223" spans="1:58" ht="18.75" customHeight="1" x14ac:dyDescent="0.25">
      <c r="A223" s="30" t="inlineStr">
        <is>
          <t xml:space="preserve">CANON-202508-000293</t>
        </is>
      </c>
      <c r="B223" s="30" t="inlineStr">
        <is>
          <t xml:space="preserve">Ramona Farkas</t>
        </is>
      </c>
      <c r="C223" s="31">
        <v>45891</v>
      </c>
      <c r="D223" s="32" t="inlineStr">
        <is>
          <t xml:space="preserve">Bound - within authority</t>
        </is>
      </c>
      <c r="E223" s="32" t="inlineStr">
        <is>
          <t xml:space="preserve">New business</t>
        </is>
      </c>
      <c r="F223" s="30" t="inlineStr">
        <is>
          <t xml:space="preserve">B1234EXOTIC26</t>
        </is>
      </c>
      <c r="G223" s="33">
        <f>IF($A223="","",IF($C223="","",YEAR($C223)))</f>
      </c>
      <c r="H223" s="34">
        <v>1955</v>
      </c>
      <c r="I223" s="30" t="inlineStr">
        <is>
          <t xml:space="preserve">Jaguar</t>
        </is>
      </c>
      <c r="J223" s="30" t="inlineStr">
        <is>
          <t xml:space="preserve">E-Type Series 1</t>
        </is>
      </c>
      <c r="K223" s="30" t="inlineStr">
        <is>
          <t xml:space="preserve">3XG9AJEUEHJ9LA8LA</t>
        </is>
      </c>
      <c r="L223" s="32" t="inlineStr">
        <is>
          <t xml:space="preserve">07 - Post-War Classic (1946-1972)</t>
        </is>
      </c>
      <c r="M223" s="35">
        <v>400000</v>
      </c>
      <c r="N223" s="32" t="inlineStr">
        <is>
          <t xml:space="preserve">Personal</t>
        </is>
      </c>
      <c r="O223" s="30" t="inlineStr">
        <is>
          <t xml:space="preserve">Personal - regular use</t>
        </is>
      </c>
      <c r="P223" s="30" t="inlineStr">
        <is>
          <t xml:space="preserve">1,000 - 2,500</t>
        </is>
      </c>
      <c r="Q223" s="30" t="inlineStr">
        <is>
          <t xml:space="preserve">Pennsylvania</t>
        </is>
      </c>
      <c r="R223" s="30" t="inlineStr">
        <is>
          <t xml:space="preserve">19103</t>
        </is>
      </c>
      <c r="S223" s="32" t="inlineStr">
        <is>
          <t xml:space="preserve">Low hazard - inland benign</t>
        </is>
      </c>
      <c r="T223" s="36">
        <f>IF($A223="","",IF($S223="","",IFERROR(INDEX('[1]natural catastrophe'!$D$6:$D$17,MATCH($S223,'[1]natural catastrophe'!$B$6:$B$17,0)),"?")))</f>
      </c>
      <c r="U223" s="30" t="inlineStr">
        <is>
          <t xml:space="preserve">$5,000</t>
        </is>
      </c>
      <c r="V223" s="32" t="inlineStr">
        <is>
          <t xml:space="preserve">Agreed Value</t>
        </is>
      </c>
      <c r="W223" s="30" t="inlineStr">
        <is>
          <t xml:space="preserve">$1,000</t>
        </is>
      </c>
      <c r="X223" s="32" t="inlineStr">
        <is>
          <t xml:space="preserve">$1,000,000 CSL</t>
        </is>
      </c>
      <c r="Y223" s="30"/>
      <c r="Z223" s="30"/>
      <c r="AA223" s="32" t="inlineStr">
        <is>
          <t xml:space="preserve">Surplus Lines</t>
        </is>
      </c>
      <c r="AB223" s="35">
        <v>3622.64</v>
      </c>
      <c r="AC223" s="37">
        <v>0</v>
      </c>
      <c r="AD223" s="38">
        <f>IF(ISNUMBER($AB223),$AB223*(1+N($AC223)),"")</f>
      </c>
      <c r="AE223" s="35">
        <v>350</v>
      </c>
      <c r="AF223" s="35">
        <v>0</v>
      </c>
      <c r="AG223" s="37"/>
      <c r="AH223" s="39">
        <f>IF(ISNUMBER($AD223),($AD223+$AE223+$AF223)*$AG223,"")</f>
      </c>
      <c r="AI223" s="35"/>
      <c r="AJ223" s="38">
        <f>IF(ISNUMBER($AD223),SUM($AD223:$AH223),"")</f>
      </c>
      <c r="AK223" s="40">
        <f>IF(AND(ISNUMBER($AB223),ISNUMBER($AD223)),IF($AB223&gt;0,$AD223/$AB223,""),"")</f>
      </c>
      <c r="AL223" s="32" t="inlineStr">
        <is>
          <t xml:space="preserve">At technical</t>
        </is>
      </c>
      <c r="AM223" s="41">
        <f>IF(ISNUMBER($AD223),Header!$I$3,"")</f>
      </c>
      <c r="AN223" s="39">
        <f>IF(ISNUMBER($AD223),$AO223+$AP223,"")</f>
      </c>
      <c r="AO223" s="39">
        <f>IF(ISNUMBER($AD223),ROUND($AD223*Header!$K$3,2),"")</f>
      </c>
      <c r="AP223" s="39">
        <f>IF(ISNUMBER($AD223),ROUND($AD223*Header!$M$3,2),"")</f>
      </c>
      <c r="AQ223" s="38">
        <f>IF(ISNUMBER($AD223),ROUND($AD223,2)-$AO223-$AP223,"")</f>
      </c>
      <c r="AR223" s="39">
        <f>IF(ISNUMBER($AD223),IF(Header!$D$34="","?",$AD223*Header!$D$34),"")</f>
      </c>
      <c r="AS223" s="39">
        <f>IF(ISNUMBER($AB223),IF(Header!$D$34="","?",$AB223*Header!$D$34),"")</f>
      </c>
      <c r="AT223" s="42">
        <f>IF(AND(ISNUMBER($AB223),$M223&gt;0),$AB223/$M223*100,"")</f>
      </c>
      <c r="AU223" s="42">
        <f>IF(AND(ISNUMBER($AD223),$M223&gt;0),$AD223/$M223*100,"")</f>
      </c>
      <c r="AV223" s="40">
        <f>IF(AND(ISNUMBER($AB223),ISNUMBER($AD223),ABS($AB223)&gt;0),$AD223/$AB223,"")</f>
      </c>
      <c r="AW223" s="39">
        <f>IF(ISNUMBER($AD223),MAX(0,(1-0.55-Header!$O$3)*Header!$Q$3*$AQ223),"")</f>
      </c>
      <c r="AX223" s="43">
        <f>IF($A223="","",IF(TRIM(IF($A223="","Missing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",""))="","PASS","FAIL: "&amp;TRIM(IF($A223="","Missing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f>
      </c>
      <c r="AY223" s="44">
        <f>IF($M223="","",IF(ISNUMBER($M223),IF($M223&gt;=Header!$C$18,"YES — refer","No"),""))</f>
      </c>
      <c r="AZ223" s="44">
        <f>IF($AD223="","",IF(ISNUMBER($AD223),IF($AD223&lt;Header!$C$20,"BELOW MIN PREMIUM","OK"),""))</f>
      </c>
      <c r="BA223" s="32" t="inlineStr">
        <is>
          <t xml:space="preserve">Yes</t>
        </is>
      </c>
      <c r="BB223" s="32" t="inlineStr">
        <is>
          <t xml:space="preserve">Yes</t>
        </is>
      </c>
      <c r="BC223" s="30" t="inlineStr">
        <is>
          <t xml:space="preserve">Synthetic demo data</t>
        </is>
      </c>
      <c r="BE223" s="45">
        <f>IF(OR($A223="",$L223="",$H223=""),"",IF(AND(LEFT($L223,2)="06",$H223&gt;1945),"FAIL - pre-war class, year "&amp;$H223,IF(AND(LEFT($L223,2)="07",OR($H223&lt;1946,$H223&gt;1972)),"FAIL - 1946-72 class, year "&amp;$H223,IF(AND(LEFT($L223,2)="08",OR($H223&lt;1973,$H223&gt;1999)),"FAIL - 1973-99 class, year "&amp;$H223,IF(AND(LEFT($L223,2)="09",OR($H223&lt;2000,$H223&gt;2010)),"FAIL - 2000-10 class, year "&amp;$H223,"OK")))))</f>
      </c>
      <c r="BF223" s="45">
        <f>IF($AD223="","",IF(ROUND($AO223+$AP223+$AQ223-$AD223,2)=0,"OK","FAIL - out by "&amp;TEXT($AO223+$AP223+$AQ223-$AD223,"$0.00")))</f>
      </c>
    </row>
    <row r="224" spans="1:58" ht="18.75" customHeight="1" x14ac:dyDescent="0.25">
      <c r="A224" s="46" t="inlineStr">
        <is>
          <t xml:space="preserve">CANON-202508-000294</t>
        </is>
      </c>
      <c r="B224" s="46" t="inlineStr">
        <is>
          <t xml:space="preserve">Sunniva Pennington</t>
        </is>
      </c>
      <c r="C224" s="47">
        <v>45891</v>
      </c>
      <c r="D224" s="48" t="inlineStr">
        <is>
          <t xml:space="preserve">Bound - within authority</t>
        </is>
      </c>
      <c r="E224" s="48" t="inlineStr">
        <is>
          <t xml:space="preserve">New business</t>
        </is>
      </c>
      <c r="F224" s="46" t="inlineStr">
        <is>
          <t xml:space="preserve">B1234EXOTIC26</t>
        </is>
      </c>
      <c r="G224" s="33">
        <f>IF($A224="","",IF($C224="","",YEAR($C224)))</f>
      </c>
      <c r="H224" s="49">
        <v>1984</v>
      </c>
      <c r="I224" s="46" t="inlineStr">
        <is>
          <t xml:space="preserve">Mercedes-Benz</t>
        </is>
      </c>
      <c r="J224" s="46" t="inlineStr">
        <is>
          <t xml:space="preserve">AMG GT</t>
        </is>
      </c>
      <c r="K224" s="46" t="inlineStr">
        <is>
          <t xml:space="preserve">HDVEJEBKY9HKLLXNE</t>
        </is>
      </c>
      <c r="L224" s="48" t="inlineStr">
        <is>
          <t xml:space="preserve">02 - Sports / GT</t>
        </is>
      </c>
      <c r="M224" s="50">
        <v>390000</v>
      </c>
      <c r="N224" s="48" t="inlineStr">
        <is>
          <t xml:space="preserve">Personal</t>
        </is>
      </c>
      <c r="O224" s="46" t="inlineStr">
        <is>
          <t xml:space="preserve">Personal - regular use</t>
        </is>
      </c>
      <c r="P224" s="46" t="inlineStr">
        <is>
          <t xml:space="preserve">2,500 - 5,000</t>
        </is>
      </c>
      <c r="Q224" s="46" t="inlineStr">
        <is>
          <t xml:space="preserve">South Dakota</t>
        </is>
      </c>
      <c r="R224" s="46" t="inlineStr">
        <is>
          <t xml:space="preserve">57501</t>
        </is>
      </c>
      <c r="S224" s="48" t="inlineStr">
        <is>
          <t xml:space="preserve">Severe convective - hail alley (high)</t>
        </is>
      </c>
      <c r="T224" s="36">
        <f>IF($A224="","",IF($S224="","",IFERROR(INDEX('[1]natural catastrophe'!$D$6:$D$17,MATCH($S224,'[1]natural catastrophe'!$B$6:$B$17,0)),"?")))</f>
      </c>
      <c r="U224" s="46" t="inlineStr">
        <is>
          <t xml:space="preserve">$5,000</t>
        </is>
      </c>
      <c r="V224" s="48" t="inlineStr">
        <is>
          <t xml:space="preserve">Agreed Value</t>
        </is>
      </c>
      <c r="W224" s="46" t="inlineStr">
        <is>
          <t xml:space="preserve">$1,000</t>
        </is>
      </c>
      <c r="X224" s="48" t="inlineStr">
        <is>
          <t xml:space="preserve">$1,000,000 CSL</t>
        </is>
      </c>
      <c r="Y224" s="46"/>
      <c r="Z224" s="46"/>
      <c r="AA224" s="48" t="inlineStr">
        <is>
          <t xml:space="preserve">Surplus Lines</t>
        </is>
      </c>
      <c r="AB224" s="50">
        <v>6125.94</v>
      </c>
      <c r="AC224" s="51">
        <v>0</v>
      </c>
      <c r="AD224" s="38">
        <f>IF(ISNUMBER($AB224),$AB224*(1+N($AC224)),"")</f>
      </c>
      <c r="AE224" s="50">
        <v>350</v>
      </c>
      <c r="AF224" s="50">
        <v>0</v>
      </c>
      <c r="AG224" s="51"/>
      <c r="AH224" s="39">
        <f>IF(ISNUMBER($AD224),($AD224+$AE224+$AF224)*$AG224,"")</f>
      </c>
      <c r="AI224" s="50"/>
      <c r="AJ224" s="38">
        <f>IF(ISNUMBER($AD224),SUM($AD224:$AH224),"")</f>
      </c>
      <c r="AK224" s="40">
        <f>IF(AND(ISNUMBER($AB224),ISNUMBER($AD224)),IF($AB224&gt;0,$AD224/$AB224,""),"")</f>
      </c>
      <c r="AL224" s="48" t="inlineStr">
        <is>
          <t xml:space="preserve">At technical</t>
        </is>
      </c>
      <c r="AM224" s="41">
        <f>IF(ISNUMBER($AD224),Header!$I$3,"")</f>
      </c>
      <c r="AN224" s="39">
        <f>IF(ISNUMBER($AD224),$AO224+$AP224,"")</f>
      </c>
      <c r="AO224" s="39">
        <f>IF(ISNUMBER($AD224),ROUND($AD224*Header!$K$3,2),"")</f>
      </c>
      <c r="AP224" s="39">
        <f>IF(ISNUMBER($AD224),ROUND($AD224*Header!$M$3,2),"")</f>
      </c>
      <c r="AQ224" s="38">
        <f>IF(ISNUMBER($AD224),ROUND($AD224,2)-$AO224-$AP224,"")</f>
      </c>
      <c r="AR224" s="39">
        <f>IF(ISNUMBER($AD224),IF(Header!$D$34="","?",$AD224*Header!$D$34),"")</f>
      </c>
      <c r="AS224" s="39">
        <f>IF(ISNUMBER($AB224),IF(Header!$D$34="","?",$AB224*Header!$D$34),"")</f>
      </c>
      <c r="AT224" s="42">
        <f>IF(AND(ISNUMBER($AB224),$M224&gt;0),$AB224/$M224*100,"")</f>
      </c>
      <c r="AU224" s="42">
        <f>IF(AND(ISNUMBER($AD224),$M224&gt;0),$AD224/$M224*100,"")</f>
      </c>
      <c r="AV224" s="40">
        <f>IF(AND(ISNUMBER($AB224),ISNUMBER($AD224),ABS($AB224)&gt;0),$AD224/$AB224,"")</f>
      </c>
      <c r="AW224" s="39">
        <f>IF(ISNUMBER($AD224),MAX(0,(1-0.55-Header!$O$3)*Header!$Q$3*$AQ224),"")</f>
      </c>
      <c r="AX224" s="43">
        <f>IF($A224="","",IF(TRIM(IF($A224="","Missing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",""))="","PASS","FAIL: "&amp;TRIM(IF($A224="","Missing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f>
      </c>
      <c r="AY224" s="44">
        <f>IF($M224="","",IF(ISNUMBER($M224),IF($M224&gt;=Header!$C$18,"YES — refer","No"),""))</f>
      </c>
      <c r="AZ224" s="44">
        <f>IF($AD224="","",IF(ISNUMBER($AD224),IF($AD224&lt;Header!$C$20,"BELOW MIN PREMIUM","OK"),""))</f>
      </c>
      <c r="BA224" s="48" t="inlineStr">
        <is>
          <t xml:space="preserve">Yes</t>
        </is>
      </c>
      <c r="BB224" s="48" t="inlineStr">
        <is>
          <t xml:space="preserve">Yes</t>
        </is>
      </c>
      <c r="BC224" s="46" t="inlineStr">
        <is>
          <t xml:space="preserve">Synthetic demo data</t>
        </is>
      </c>
      <c r="BE224" s="45">
        <f>IF(OR($A224="",$L224="",$H224=""),"",IF(AND(LEFT($L224,2)="06",$H224&gt;1945),"FAIL - pre-war class, year "&amp;$H224,IF(AND(LEFT($L224,2)="07",OR($H224&lt;1946,$H224&gt;1972)),"FAIL - 1946-72 class, year "&amp;$H224,IF(AND(LEFT($L224,2)="08",OR($H224&lt;1973,$H224&gt;1999)),"FAIL - 1973-99 class, year "&amp;$H224,IF(AND(LEFT($L224,2)="09",OR($H224&lt;2000,$H224&gt;2010)),"FAIL - 2000-10 class, year "&amp;$H224,"OK")))))</f>
      </c>
      <c r="BF224" s="45">
        <f>IF($AD224="","",IF(ROUND($AO224+$AP224+$AQ224-$AD224,2)=0,"OK","FAIL - out by "&amp;TEXT($AO224+$AP224+$AQ224-$AD224,"$0.00")))</f>
      </c>
    </row>
    <row r="225" spans="1:58" ht="18.75" customHeight="1" x14ac:dyDescent="0.25">
      <c r="A225" s="30" t="inlineStr">
        <is>
          <t xml:space="preserve">CANON-202508-000296</t>
        </is>
      </c>
      <c r="B225" s="30" t="inlineStr">
        <is>
          <t xml:space="preserve">Lorenzo Montoya</t>
        </is>
      </c>
      <c r="C225" s="31">
        <v>45896</v>
      </c>
      <c r="D225" s="32" t="inlineStr">
        <is>
          <t xml:space="preserve">Bound - within authority</t>
        </is>
      </c>
      <c r="E225" s="32" t="inlineStr">
        <is>
          <t xml:space="preserve">New business</t>
        </is>
      </c>
      <c r="F225" s="30" t="inlineStr">
        <is>
          <t xml:space="preserve">B1234EXOTIC26</t>
        </is>
      </c>
      <c r="G225" s="33">
        <f>IF($A225="","",IF($C225="","",YEAR($C225)))</f>
      </c>
      <c r="H225" s="34">
        <v>2010</v>
      </c>
      <c r="I225" s="30" t="inlineStr">
        <is>
          <t xml:space="preserve">Ferrari</t>
        </is>
      </c>
      <c r="J225" s="30" t="inlineStr">
        <is>
          <t xml:space="preserve">SF90 Stradale</t>
        </is>
      </c>
      <c r="K225" s="30" t="inlineStr">
        <is>
          <t xml:space="preserve">FHGSJAVX67VK0XBKD</t>
        </is>
      </c>
      <c r="L225" s="32" t="inlineStr">
        <is>
          <t xml:space="preserve">03 - Supercar</t>
        </is>
      </c>
      <c r="M225" s="35">
        <v>715000</v>
      </c>
      <c r="N225" s="32" t="inlineStr">
        <is>
          <t xml:space="preserve">Personal</t>
        </is>
      </c>
      <c r="O225" s="30" t="inlineStr">
        <is>
          <t xml:space="preserve">Personal - regular use</t>
        </is>
      </c>
      <c r="P225" s="30" t="inlineStr">
        <is>
          <t xml:space="preserve">2,500 - 5,000</t>
        </is>
      </c>
      <c r="Q225" s="30" t="inlineStr">
        <is>
          <t xml:space="preserve">Washington</t>
        </is>
      </c>
      <c r="R225" s="30" t="inlineStr">
        <is>
          <t xml:space="preserve">98101</t>
        </is>
      </c>
      <c r="S225" s="32" t="inlineStr">
        <is>
          <t xml:space="preserve">Earthquake - high (CA, Cascadia, New Madrid)</t>
        </is>
      </c>
      <c r="T225" s="36">
        <f>IF($A225="","",IF($S225="","",IFERROR(INDEX('[1]natural catastrophe'!$D$6:$D$17,MATCH($S225,'[1]natural catastrophe'!$B$6:$B$17,0)),"?")))</f>
      </c>
      <c r="U225" s="30" t="inlineStr">
        <is>
          <t xml:space="preserve">$5,000</t>
        </is>
      </c>
      <c r="V225" s="32" t="inlineStr">
        <is>
          <t xml:space="preserve">Agreed Value</t>
        </is>
      </c>
      <c r="W225" s="30" t="inlineStr">
        <is>
          <t xml:space="preserve">$1,000</t>
        </is>
      </c>
      <c r="X225" s="32" t="inlineStr">
        <is>
          <t xml:space="preserve">$1,000,000 CSL</t>
        </is>
      </c>
      <c r="Y225" s="30"/>
      <c r="Z225" s="30"/>
      <c r="AA225" s="32" t="inlineStr">
        <is>
          <t xml:space="preserve">Surplus Lines</t>
        </is>
      </c>
      <c r="AB225" s="35">
        <v>12303.4</v>
      </c>
      <c r="AC225" s="37">
        <v>0</v>
      </c>
      <c r="AD225" s="38">
        <f>IF(ISNUMBER($AB225),$AB225*(1+N($AC225)),"")</f>
      </c>
      <c r="AE225" s="35">
        <v>350</v>
      </c>
      <c r="AF225" s="35">
        <v>0</v>
      </c>
      <c r="AG225" s="37"/>
      <c r="AH225" s="39">
        <f>IF(ISNUMBER($AD225),($AD225+$AE225+$AF225)*$AG225,"")</f>
      </c>
      <c r="AI225" s="35"/>
      <c r="AJ225" s="38">
        <f>IF(ISNUMBER($AD225),SUM($AD225:$AH225),"")</f>
      </c>
      <c r="AK225" s="40">
        <f>IF(AND(ISNUMBER($AB225),ISNUMBER($AD225)),IF($AB225&gt;0,$AD225/$AB225,""),"")</f>
      </c>
      <c r="AL225" s="32" t="inlineStr">
        <is>
          <t xml:space="preserve">At technical</t>
        </is>
      </c>
      <c r="AM225" s="41">
        <f>IF(ISNUMBER($AD225),Header!$I$3,"")</f>
      </c>
      <c r="AN225" s="39">
        <f>IF(ISNUMBER($AD225),$AO225+$AP225,"")</f>
      </c>
      <c r="AO225" s="39">
        <f>IF(ISNUMBER($AD225),ROUND($AD225*Header!$K$3,2),"")</f>
      </c>
      <c r="AP225" s="39">
        <f>IF(ISNUMBER($AD225),ROUND($AD225*Header!$M$3,2),"")</f>
      </c>
      <c r="AQ225" s="38">
        <f>IF(ISNUMBER($AD225),ROUND($AD225,2)-$AO225-$AP225,"")</f>
      </c>
      <c r="AR225" s="39">
        <f>IF(ISNUMBER($AD225),IF(Header!$D$34="","?",$AD225*Header!$D$34),"")</f>
      </c>
      <c r="AS225" s="39">
        <f>IF(ISNUMBER($AB225),IF(Header!$D$34="","?",$AB225*Header!$D$34),"")</f>
      </c>
      <c r="AT225" s="42">
        <f>IF(AND(ISNUMBER($AB225),$M225&gt;0),$AB225/$M225*100,"")</f>
      </c>
      <c r="AU225" s="42">
        <f>IF(AND(ISNUMBER($AD225),$M225&gt;0),$AD225/$M225*100,"")</f>
      </c>
      <c r="AV225" s="40">
        <f>IF(AND(ISNUMBER($AB225),ISNUMBER($AD225),ABS($AB225)&gt;0),$AD225/$AB225,"")</f>
      </c>
      <c r="AW225" s="39">
        <f>IF(ISNUMBER($AD225),MAX(0,(1-0.55-Header!$O$3)*Header!$Q$3*$AQ225),"")</f>
      </c>
      <c r="AX225" s="43">
        <f>IF($A225="","",IF(TRIM(IF($A225="","Missing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",""))="","PASS","FAIL: "&amp;TRIM(IF($A225="","Missing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f>
      </c>
      <c r="AY225" s="44">
        <f>IF($M225="","",IF(ISNUMBER($M225),IF($M225&gt;=Header!$C$18,"YES — refer","No"),""))</f>
      </c>
      <c r="AZ225" s="44">
        <f>IF($AD225="","",IF(ISNUMBER($AD225),IF($AD225&lt;Header!$C$20,"BELOW MIN PREMIUM","OK"),""))</f>
      </c>
      <c r="BA225" s="32" t="inlineStr">
        <is>
          <t xml:space="preserve">Yes</t>
        </is>
      </c>
      <c r="BB225" s="32" t="inlineStr">
        <is>
          <t xml:space="preserve">Yes</t>
        </is>
      </c>
      <c r="BC225" s="30" t="inlineStr">
        <is>
          <t xml:space="preserve">Synthetic demo data</t>
        </is>
      </c>
      <c r="BE225" s="45">
        <f>IF(OR($A225="",$L225="",$H225=""),"",IF(AND(LEFT($L225,2)="06",$H225&gt;1945),"FAIL - pre-war class, year "&amp;$H225,IF(AND(LEFT($L225,2)="07",OR($H225&lt;1946,$H225&gt;1972)),"FAIL - 1946-72 class, year "&amp;$H225,IF(AND(LEFT($L225,2)="08",OR($H225&lt;1973,$H225&gt;1999)),"FAIL - 1973-99 class, year "&amp;$H225,IF(AND(LEFT($L225,2)="09",OR($H225&lt;2000,$H225&gt;2010)),"FAIL - 2000-10 class, year "&amp;$H225,"OK")))))</f>
      </c>
      <c r="BF225" s="45">
        <f>IF($AD225="","",IF(ROUND($AO225+$AP225+$AQ225-$AD225,2)=0,"OK","FAIL - out by "&amp;TEXT($AO225+$AP225+$AQ225-$AD225,"$0.00")))</f>
      </c>
    </row>
    <row r="226" spans="1:58" ht="18.75" customHeight="1" x14ac:dyDescent="0.25">
      <c r="A226" s="46" t="inlineStr">
        <is>
          <t xml:space="preserve">CANON-202508-000297</t>
        </is>
      </c>
      <c r="B226" s="46" t="inlineStr">
        <is>
          <t xml:space="preserve">Fitzgerald Kingsford</t>
        </is>
      </c>
      <c r="C226" s="47">
        <v>45892</v>
      </c>
      <c r="D226" s="48" t="inlineStr">
        <is>
          <t xml:space="preserve">Bound - within authority</t>
        </is>
      </c>
      <c r="E226" s="48" t="inlineStr">
        <is>
          <t xml:space="preserve">New business</t>
        </is>
      </c>
      <c r="F226" s="46" t="inlineStr">
        <is>
          <t xml:space="preserve">B1234EXOTIC26</t>
        </is>
      </c>
      <c r="G226" s="33">
        <f>IF($A226="","",IF($C226="","",YEAR($C226)))</f>
      </c>
      <c r="H226" s="49">
        <v>1990</v>
      </c>
      <c r="I226" s="46" t="inlineStr">
        <is>
          <t xml:space="preserve">Ferrari</t>
        </is>
      </c>
      <c r="J226" s="46" t="inlineStr">
        <is>
          <t xml:space="preserve">296 GTB</t>
        </is>
      </c>
      <c r="K226" s="46" t="inlineStr">
        <is>
          <t xml:space="preserve">BKE31Y1YLREW7YWP5</t>
        </is>
      </c>
      <c r="L226" s="48" t="inlineStr">
        <is>
          <t xml:space="preserve">03 - Supercar</t>
        </is>
      </c>
      <c r="M226" s="50">
        <v>1950000</v>
      </c>
      <c r="N226" s="48" t="inlineStr">
        <is>
          <t xml:space="preserve">Personal</t>
        </is>
      </c>
      <c r="O226" s="46" t="inlineStr">
        <is>
          <t xml:space="preserve">Personal - regular use</t>
        </is>
      </c>
      <c r="P226" s="46" t="inlineStr">
        <is>
          <t xml:space="preserve">1,000 - 2,500</t>
        </is>
      </c>
      <c r="Q226" s="46" t="inlineStr">
        <is>
          <t xml:space="preserve">New York</t>
        </is>
      </c>
      <c r="R226" s="46" t="inlineStr">
        <is>
          <t xml:space="preserve">10022</t>
        </is>
      </c>
      <c r="S226" s="48" t="inlineStr">
        <is>
          <t xml:space="preserve">Tier 3 - Coastal wind (25-100 miles)</t>
        </is>
      </c>
      <c r="T226" s="36">
        <f>IF($A226="","",IF($S226="","",IFERROR(INDEX('[1]natural catastrophe'!$D$6:$D$17,MATCH($S226,'[1]natural catastrophe'!$B$6:$B$17,0)),"?")))</f>
      </c>
      <c r="U226" s="46" t="inlineStr">
        <is>
          <t xml:space="preserve">2% of agreed value, minimum $10,000</t>
        </is>
      </c>
      <c r="V226" s="48" t="inlineStr">
        <is>
          <t xml:space="preserve">Agreed Value</t>
        </is>
      </c>
      <c r="W226" s="46" t="inlineStr">
        <is>
          <t xml:space="preserve">$1,000</t>
        </is>
      </c>
      <c r="X226" s="48" t="inlineStr">
        <is>
          <t xml:space="preserve">$1,000,000 CSL</t>
        </is>
      </c>
      <c r="Y226" s="46"/>
      <c r="Z226" s="46"/>
      <c r="AA226" s="48" t="inlineStr">
        <is>
          <t xml:space="preserve">Surplus Lines</t>
        </is>
      </c>
      <c r="AB226" s="50">
        <v>37675.47</v>
      </c>
      <c r="AC226" s="51">
        <v>0</v>
      </c>
      <c r="AD226" s="38">
        <f>IF(ISNUMBER($AB226),$AB226*(1+N($AC226)),"")</f>
      </c>
      <c r="AE226" s="50">
        <v>350</v>
      </c>
      <c r="AF226" s="50">
        <v>250</v>
      </c>
      <c r="AG226" s="51"/>
      <c r="AH226" s="39">
        <f>IF(ISNUMBER($AD226),($AD226+$AE226+$AF226)*$AG226,"")</f>
      </c>
      <c r="AI226" s="50"/>
      <c r="AJ226" s="38">
        <f>IF(ISNUMBER($AD226),SUM($AD226:$AH226),"")</f>
      </c>
      <c r="AK226" s="40">
        <f>IF(AND(ISNUMBER($AB226),ISNUMBER($AD226)),IF($AB226&gt;0,$AD226/$AB226,""),"")</f>
      </c>
      <c r="AL226" s="48" t="inlineStr">
        <is>
          <t xml:space="preserve">At technical</t>
        </is>
      </c>
      <c r="AM226" s="41">
        <f>IF(ISNUMBER($AD226),Header!$I$3,"")</f>
      </c>
      <c r="AN226" s="39">
        <f>IF(ISNUMBER($AD226),$AO226+$AP226,"")</f>
      </c>
      <c r="AO226" s="39">
        <f>IF(ISNUMBER($AD226),ROUND($AD226*Header!$K$3,2),"")</f>
      </c>
      <c r="AP226" s="39">
        <f>IF(ISNUMBER($AD226),ROUND($AD226*Header!$M$3,2),"")</f>
      </c>
      <c r="AQ226" s="38">
        <f>IF(ISNUMBER($AD226),ROUND($AD226,2)-$AO226-$AP226,"")</f>
      </c>
      <c r="AR226" s="39">
        <f>IF(ISNUMBER($AD226),IF(Header!$D$34="","?",$AD226*Header!$D$34),"")</f>
      </c>
      <c r="AS226" s="39">
        <f>IF(ISNUMBER($AB226),IF(Header!$D$34="","?",$AB226*Header!$D$34),"")</f>
      </c>
      <c r="AT226" s="42">
        <f>IF(AND(ISNUMBER($AB226),$M226&gt;0),$AB226/$M226*100,"")</f>
      </c>
      <c r="AU226" s="42">
        <f>IF(AND(ISNUMBER($AD226),$M226&gt;0),$AD226/$M226*100,"")</f>
      </c>
      <c r="AV226" s="40">
        <f>IF(AND(ISNUMBER($AB226),ISNUMBER($AD226),ABS($AB226)&gt;0),$AD226/$AB226,"")</f>
      </c>
      <c r="AW226" s="39">
        <f>IF(ISNUMBER($AD226),MAX(0,(1-0.55-Header!$O$3)*Header!$Q$3*$AQ226),"")</f>
      </c>
      <c r="AX226" s="43">
        <f>IF($A226="","",IF(TRIM(IF($A226="","Missing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",""))="","PASS","FAIL: "&amp;TRIM(IF($A226="","Missing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f>
      </c>
      <c r="AY226" s="44">
        <f>IF($M226="","",IF(ISNUMBER($M226),IF($M226&gt;=Header!$C$18,"YES — refer","No"),""))</f>
      </c>
      <c r="AZ226" s="44">
        <f>IF($AD226="","",IF(ISNUMBER($AD226),IF($AD226&lt;Header!$C$20,"BELOW MIN PREMIUM","OK"),""))</f>
      </c>
      <c r="BA226" s="48" t="inlineStr">
        <is>
          <t xml:space="preserve">Yes</t>
        </is>
      </c>
      <c r="BB226" s="48" t="inlineStr">
        <is>
          <t xml:space="preserve">Yes</t>
        </is>
      </c>
      <c r="BC226" s="46" t="inlineStr">
        <is>
          <t xml:space="preserve">Synthetic demo data</t>
        </is>
      </c>
      <c r="BE226" s="45">
        <f>IF(OR($A226="",$L226="",$H226=""),"",IF(AND(LEFT($L226,2)="06",$H226&gt;1945),"FAIL - pre-war class, year "&amp;$H226,IF(AND(LEFT($L226,2)="07",OR($H226&lt;1946,$H226&gt;1972)),"FAIL - 1946-72 class, year "&amp;$H226,IF(AND(LEFT($L226,2)="08",OR($H226&lt;1973,$H226&gt;1999)),"FAIL - 1973-99 class, year "&amp;$H226,IF(AND(LEFT($L226,2)="09",OR($H226&lt;2000,$H226&gt;2010)),"FAIL - 2000-10 class, year "&amp;$H226,"OK")))))</f>
      </c>
      <c r="BF226" s="45">
        <f>IF($AD226="","",IF(ROUND($AO226+$AP226+$AQ226-$AD226,2)=0,"OK","FAIL - out by "&amp;TEXT($AO226+$AP226+$AQ226-$AD226,"$0.00")))</f>
      </c>
    </row>
    <row r="227" spans="1:58" ht="18.75" customHeight="1" x14ac:dyDescent="0.25">
      <c r="A227" s="30" t="inlineStr">
        <is>
          <t xml:space="preserve">CANON-202508-000300</t>
        </is>
      </c>
      <c r="B227" s="30" t="inlineStr">
        <is>
          <t xml:space="preserve">Ramona Vandermeer</t>
        </is>
      </c>
      <c r="C227" s="31">
        <v>45890</v>
      </c>
      <c r="D227" s="32" t="inlineStr">
        <is>
          <t xml:space="preserve">Bound - within authority</t>
        </is>
      </c>
      <c r="E227" s="32" t="inlineStr">
        <is>
          <t xml:space="preserve">New business</t>
        </is>
      </c>
      <c r="F227" s="30" t="inlineStr">
        <is>
          <t xml:space="preserve">B1234EXOTIC26</t>
        </is>
      </c>
      <c r="G227" s="33">
        <f>IF($A227="","",IF($C227="","",YEAR($C227)))</f>
      </c>
      <c r="H227" s="34">
        <v>1956</v>
      </c>
      <c r="I227" s="30" t="inlineStr">
        <is>
          <t xml:space="preserve">BMW</t>
        </is>
      </c>
      <c r="J227" s="30" t="inlineStr">
        <is>
          <t xml:space="preserve">M8 Competition</t>
        </is>
      </c>
      <c r="K227" s="30" t="inlineStr">
        <is>
          <t xml:space="preserve">UA48SZ7859Y1SK1DU</t>
        </is>
      </c>
      <c r="L227" s="32" t="inlineStr">
        <is>
          <t xml:space="preserve">02 - Sports / GT</t>
        </is>
      </c>
      <c r="M227" s="35">
        <v>315000</v>
      </c>
      <c r="N227" s="32" t="inlineStr">
        <is>
          <t xml:space="preserve">Personal</t>
        </is>
      </c>
      <c r="O227" s="30" t="inlineStr">
        <is>
          <t xml:space="preserve">Personal - regular use</t>
        </is>
      </c>
      <c r="P227" s="30" t="inlineStr">
        <is>
          <t xml:space="preserve">2,500 - 5,000</t>
        </is>
      </c>
      <c r="Q227" s="30" t="inlineStr">
        <is>
          <t xml:space="preserve">West Virginia</t>
        </is>
      </c>
      <c r="R227" s="30" t="inlineStr">
        <is>
          <t xml:space="preserve">25301</t>
        </is>
      </c>
      <c r="S227" s="32" t="inlineStr">
        <is>
          <t xml:space="preserve">Low hazard - inland benign</t>
        </is>
      </c>
      <c r="T227" s="36">
        <f>IF($A227="","",IF($S227="","",IFERROR(INDEX('[1]natural catastrophe'!$D$6:$D$17,MATCH($S227,'[1]natural catastrophe'!$B$6:$B$17,0)),"?")))</f>
      </c>
      <c r="U227" s="30" t="inlineStr">
        <is>
          <t xml:space="preserve">$5,000</t>
        </is>
      </c>
      <c r="V227" s="32" t="inlineStr">
        <is>
          <t xml:space="preserve">Agreed Value</t>
        </is>
      </c>
      <c r="W227" s="30" t="inlineStr">
        <is>
          <t xml:space="preserve">$1,000</t>
        </is>
      </c>
      <c r="X227" s="32" t="inlineStr">
        <is>
          <t xml:space="preserve">$1,000,000 CSL</t>
        </is>
      </c>
      <c r="Y227" s="30"/>
      <c r="Z227" s="30"/>
      <c r="AA227" s="32" t="inlineStr">
        <is>
          <t xml:space="preserve">Surplus Lines</t>
        </is>
      </c>
      <c r="AB227" s="35">
        <v>5928.54</v>
      </c>
      <c r="AC227" s="37">
        <v>0</v>
      </c>
      <c r="AD227" s="38">
        <f>IF(ISNUMBER($AB227),$AB227*(1+N($AC227)),"")</f>
      </c>
      <c r="AE227" s="35">
        <v>350</v>
      </c>
      <c r="AF227" s="35">
        <v>0</v>
      </c>
      <c r="AG227" s="37"/>
      <c r="AH227" s="39">
        <f>IF(ISNUMBER($AD227),($AD227+$AE227+$AF227)*$AG227,"")</f>
      </c>
      <c r="AI227" s="35"/>
      <c r="AJ227" s="38">
        <f>IF(ISNUMBER($AD227),SUM($AD227:$AH227),"")</f>
      </c>
      <c r="AK227" s="40">
        <f>IF(AND(ISNUMBER($AB227),ISNUMBER($AD227)),IF($AB227&gt;0,$AD227/$AB227,""),"")</f>
      </c>
      <c r="AL227" s="32" t="inlineStr">
        <is>
          <t xml:space="preserve">At technical</t>
        </is>
      </c>
      <c r="AM227" s="41">
        <f>IF(ISNUMBER($AD227),Header!$I$3,"")</f>
      </c>
      <c r="AN227" s="39">
        <f>IF(ISNUMBER($AD227),$AO227+$AP227,"")</f>
      </c>
      <c r="AO227" s="39">
        <f>IF(ISNUMBER($AD227),ROUND($AD227*Header!$K$3,2),"")</f>
      </c>
      <c r="AP227" s="39">
        <f>IF(ISNUMBER($AD227),ROUND($AD227*Header!$M$3,2),"")</f>
      </c>
      <c r="AQ227" s="38">
        <f>IF(ISNUMBER($AD227),ROUND($AD227,2)-$AO227-$AP227,"")</f>
      </c>
      <c r="AR227" s="39">
        <f>IF(ISNUMBER($AD227),IF(Header!$D$34="","?",$AD227*Header!$D$34),"")</f>
      </c>
      <c r="AS227" s="39">
        <f>IF(ISNUMBER($AB227),IF(Header!$D$34="","?",$AB227*Header!$D$34),"")</f>
      </c>
      <c r="AT227" s="42">
        <f>IF(AND(ISNUMBER($AB227),$M227&gt;0),$AB227/$M227*100,"")</f>
      </c>
      <c r="AU227" s="42">
        <f>IF(AND(ISNUMBER($AD227),$M227&gt;0),$AD227/$M227*100,"")</f>
      </c>
      <c r="AV227" s="40">
        <f>IF(AND(ISNUMBER($AB227),ISNUMBER($AD227),ABS($AB227)&gt;0),$AD227/$AB227,"")</f>
      </c>
      <c r="AW227" s="39">
        <f>IF(ISNUMBER($AD227),MAX(0,(1-0.55-Header!$O$3)*Header!$Q$3*$AQ227),"")</f>
      </c>
      <c r="AX227" s="43">
        <f>IF($A227="","",IF(TRIM(IF($A227="","Missing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",""))="","PASS","FAIL: "&amp;TRIM(IF($A227="","Missing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f>
      </c>
      <c r="AY227" s="44">
        <f>IF($M227="","",IF(ISNUMBER($M227),IF($M227&gt;=Header!$C$18,"YES — refer","No"),""))</f>
      </c>
      <c r="AZ227" s="44">
        <f>IF($AD227="","",IF(ISNUMBER($AD227),IF($AD227&lt;Header!$C$20,"BELOW MIN PREMIUM","OK"),""))</f>
      </c>
      <c r="BA227" s="32" t="inlineStr">
        <is>
          <t xml:space="preserve">Yes</t>
        </is>
      </c>
      <c r="BB227" s="32" t="inlineStr">
        <is>
          <t xml:space="preserve">Yes</t>
        </is>
      </c>
      <c r="BC227" s="30" t="inlineStr">
        <is>
          <t xml:space="preserve">Synthetic demo data</t>
        </is>
      </c>
      <c r="BE227" s="45">
        <f>IF(OR($A227="",$L227="",$H227=""),"",IF(AND(LEFT($L227,2)="06",$H227&gt;1945),"FAIL - pre-war class, year "&amp;$H227,IF(AND(LEFT($L227,2)="07",OR($H227&lt;1946,$H227&gt;1972)),"FAIL - 1946-72 class, year "&amp;$H227,IF(AND(LEFT($L227,2)="08",OR($H227&lt;1973,$H227&gt;1999)),"FAIL - 1973-99 class, year "&amp;$H227,IF(AND(LEFT($L227,2)="09",OR($H227&lt;2000,$H227&gt;2010)),"FAIL - 2000-10 class, year "&amp;$H227,"OK")))))</f>
      </c>
      <c r="BF227" s="45">
        <f>IF($AD227="","",IF(ROUND($AO227+$AP227+$AQ227-$AD227,2)=0,"OK","FAIL - out by "&amp;TEXT($AO227+$AP227+$AQ227-$AD227,"$0.00")))</f>
      </c>
    </row>
    <row r="228" spans="1:58" ht="18.75" customHeight="1" x14ac:dyDescent="0.25">
      <c r="A228" s="46" t="inlineStr">
        <is>
          <t xml:space="preserve">CANON-202508-000301</t>
        </is>
      </c>
      <c r="B228" s="46" t="inlineStr">
        <is>
          <t xml:space="preserve">Leopold Pennington</t>
        </is>
      </c>
      <c r="C228" s="47">
        <v>45892</v>
      </c>
      <c r="D228" s="48" t="inlineStr">
        <is>
          <t xml:space="preserve">Bound - within authority</t>
        </is>
      </c>
      <c r="E228" s="48" t="inlineStr">
        <is>
          <t xml:space="preserve">New business</t>
        </is>
      </c>
      <c r="F228" s="46" t="inlineStr">
        <is>
          <t xml:space="preserve">B1234EXOTIC26</t>
        </is>
      </c>
      <c r="G228" s="33">
        <f>IF($A228="","",IF($C228="","",YEAR($C228)))</f>
      </c>
      <c r="H228" s="49">
        <v>1969</v>
      </c>
      <c r="I228" s="46" t="inlineStr">
        <is>
          <t xml:space="preserve">Porsche</t>
        </is>
      </c>
      <c r="J228" s="46" t="inlineStr">
        <is>
          <t xml:space="preserve">911 Turbo S</t>
        </is>
      </c>
      <c r="K228" s="46" t="inlineStr">
        <is>
          <t xml:space="preserve">WU4TXK16850B609GR</t>
        </is>
      </c>
      <c r="L228" s="48" t="inlineStr">
        <is>
          <t xml:space="preserve">02 - Sports / GT</t>
        </is>
      </c>
      <c r="M228" s="50">
        <v>970000</v>
      </c>
      <c r="N228" s="48" t="inlineStr">
        <is>
          <t xml:space="preserve">Personal</t>
        </is>
      </c>
      <c r="O228" s="46" t="inlineStr">
        <is>
          <t xml:space="preserve">Personal - regular use</t>
        </is>
      </c>
      <c r="P228" s="46" t="inlineStr">
        <is>
          <t xml:space="preserve">1,000 - 2,500</t>
        </is>
      </c>
      <c r="Q228" s="46" t="inlineStr">
        <is>
          <t xml:space="preserve">Vermont</t>
        </is>
      </c>
      <c r="R228" s="46" t="inlineStr">
        <is>
          <t xml:space="preserve">05601</t>
        </is>
      </c>
      <c r="S228" s="48" t="inlineStr">
        <is>
          <t xml:space="preserve">Low hazard - inland benign</t>
        </is>
      </c>
      <c r="T228" s="36">
        <f>IF($A228="","",IF($S228="","",IFERROR(INDEX('[1]natural catastrophe'!$D$6:$D$17,MATCH($S228,'[1]natural catastrophe'!$B$6:$B$17,0)),"?")))</f>
      </c>
      <c r="U228" s="46" t="inlineStr">
        <is>
          <t xml:space="preserve">$5,000</t>
        </is>
      </c>
      <c r="V228" s="48" t="inlineStr">
        <is>
          <t xml:space="preserve">Agreed Value</t>
        </is>
      </c>
      <c r="W228" s="46" t="inlineStr">
        <is>
          <t xml:space="preserve">$1,000</t>
        </is>
      </c>
      <c r="X228" s="48" t="inlineStr">
        <is>
          <t xml:space="preserve">$1,000,000 CSL</t>
        </is>
      </c>
      <c r="Y228" s="46"/>
      <c r="Z228" s="46"/>
      <c r="AA228" s="48" t="inlineStr">
        <is>
          <t xml:space="preserve">Surplus Lines</t>
        </is>
      </c>
      <c r="AB228" s="50">
        <v>14513.4</v>
      </c>
      <c r="AC228" s="51">
        <v>0</v>
      </c>
      <c r="AD228" s="38">
        <f>IF(ISNUMBER($AB228),$AB228*(1+N($AC228)),"")</f>
      </c>
      <c r="AE228" s="50">
        <v>350</v>
      </c>
      <c r="AF228" s="50">
        <v>0</v>
      </c>
      <c r="AG228" s="51"/>
      <c r="AH228" s="39">
        <f>IF(ISNUMBER($AD228),($AD228+$AE228+$AF228)*$AG228,"")</f>
      </c>
      <c r="AI228" s="50"/>
      <c r="AJ228" s="38">
        <f>IF(ISNUMBER($AD228),SUM($AD228:$AH228),"")</f>
      </c>
      <c r="AK228" s="40">
        <f>IF(AND(ISNUMBER($AB228),ISNUMBER($AD228)),IF($AB228&gt;0,$AD228/$AB228,""),"")</f>
      </c>
      <c r="AL228" s="48" t="inlineStr">
        <is>
          <t xml:space="preserve">At technical</t>
        </is>
      </c>
      <c r="AM228" s="41">
        <f>IF(ISNUMBER($AD228),Header!$I$3,"")</f>
      </c>
      <c r="AN228" s="39">
        <f>IF(ISNUMBER($AD228),$AO228+$AP228,"")</f>
      </c>
      <c r="AO228" s="39">
        <f>IF(ISNUMBER($AD228),ROUND($AD228*Header!$K$3,2),"")</f>
      </c>
      <c r="AP228" s="39">
        <f>IF(ISNUMBER($AD228),ROUND($AD228*Header!$M$3,2),"")</f>
      </c>
      <c r="AQ228" s="38">
        <f>IF(ISNUMBER($AD228),ROUND($AD228,2)-$AO228-$AP228,"")</f>
      </c>
      <c r="AR228" s="39">
        <f>IF(ISNUMBER($AD228),IF(Header!$D$34="","?",$AD228*Header!$D$34),"")</f>
      </c>
      <c r="AS228" s="39">
        <f>IF(ISNUMBER($AB228),IF(Header!$D$34="","?",$AB228*Header!$D$34),"")</f>
      </c>
      <c r="AT228" s="42">
        <f>IF(AND(ISNUMBER($AB228),$M228&gt;0),$AB228/$M228*100,"")</f>
      </c>
      <c r="AU228" s="42">
        <f>IF(AND(ISNUMBER($AD228),$M228&gt;0),$AD228/$M228*100,"")</f>
      </c>
      <c r="AV228" s="40">
        <f>IF(AND(ISNUMBER($AB228),ISNUMBER($AD228),ABS($AB228)&gt;0),$AD228/$AB228,"")</f>
      </c>
      <c r="AW228" s="39">
        <f>IF(ISNUMBER($AD228),MAX(0,(1-0.55-Header!$O$3)*Header!$Q$3*$AQ228),"")</f>
      </c>
      <c r="AX228" s="43">
        <f>IF($A228="","",IF(TRIM(IF($A228="","Missing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",""))="","PASS","FAIL: "&amp;TRIM(IF($A228="","Missing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f>
      </c>
      <c r="AY228" s="44">
        <f>IF($M228="","",IF(ISNUMBER($M228),IF($M228&gt;=Header!$C$18,"YES — refer","No"),""))</f>
      </c>
      <c r="AZ228" s="44">
        <f>IF($AD228="","",IF(ISNUMBER($AD228),IF($AD228&lt;Header!$C$20,"BELOW MIN PREMIUM","OK"),""))</f>
      </c>
      <c r="BA228" s="48" t="inlineStr">
        <is>
          <t xml:space="preserve">Yes</t>
        </is>
      </c>
      <c r="BB228" s="48" t="inlineStr">
        <is>
          <t xml:space="preserve">Yes</t>
        </is>
      </c>
      <c r="BC228" s="46" t="inlineStr">
        <is>
          <t xml:space="preserve">Synthetic demo data</t>
        </is>
      </c>
      <c r="BE228" s="45">
        <f>IF(OR($A228="",$L228="",$H228=""),"",IF(AND(LEFT($L228,2)="06",$H228&gt;1945),"FAIL - pre-war class, year "&amp;$H228,IF(AND(LEFT($L228,2)="07",OR($H228&lt;1946,$H228&gt;1972)),"FAIL - 1946-72 class, year "&amp;$H228,IF(AND(LEFT($L228,2)="08",OR($H228&lt;1973,$H228&gt;1999)),"FAIL - 1973-99 class, year "&amp;$H228,IF(AND(LEFT($L228,2)="09",OR($H228&lt;2000,$H228&gt;2010)),"FAIL - 2000-10 class, year "&amp;$H228,"OK")))))</f>
      </c>
      <c r="BF228" s="45">
        <f>IF($AD228="","",IF(ROUND($AO228+$AP228+$AQ228-$AD228,2)=0,"OK","FAIL - out by "&amp;TEXT($AO228+$AP228+$AQ228-$AD228,"$0.00")))</f>
      </c>
    </row>
    <row r="229" spans="1:58" ht="18.75" customHeight="1" x14ac:dyDescent="0.25">
      <c r="A229" s="30" t="inlineStr">
        <is>
          <t xml:space="preserve">CANON-202508-000303</t>
        </is>
      </c>
      <c r="B229" s="30" t="inlineStr">
        <is>
          <t xml:space="preserve">Fenwick Larsson</t>
        </is>
      </c>
      <c r="C229" s="31">
        <v>45888</v>
      </c>
      <c r="D229" s="32" t="inlineStr">
        <is>
          <t xml:space="preserve">Bound - within authority</t>
        </is>
      </c>
      <c r="E229" s="32" t="inlineStr">
        <is>
          <t xml:space="preserve">New business</t>
        </is>
      </c>
      <c r="F229" s="30" t="inlineStr">
        <is>
          <t xml:space="preserve">B1234EXOTIC26</t>
        </is>
      </c>
      <c r="G229" s="33">
        <f>IF($A229="","",IF($C229="","",YEAR($C229)))</f>
      </c>
      <c r="H229" s="34">
        <v>1996</v>
      </c>
      <c r="I229" s="30" t="inlineStr">
        <is>
          <t xml:space="preserve">Bentley</t>
        </is>
      </c>
      <c r="J229" s="30" t="inlineStr">
        <is>
          <t xml:space="preserve">Continental GT</t>
        </is>
      </c>
      <c r="K229" s="30" t="inlineStr">
        <is>
          <t xml:space="preserve">WUN5LKKG3JV5CPJEU</t>
        </is>
      </c>
      <c r="L229" s="32" t="inlineStr">
        <is>
          <t xml:space="preserve">02 - Sports / GT</t>
        </is>
      </c>
      <c r="M229" s="35">
        <v>760000</v>
      </c>
      <c r="N229" s="32" t="inlineStr">
        <is>
          <t xml:space="preserve">Personal</t>
        </is>
      </c>
      <c r="O229" s="30" t="inlineStr">
        <is>
          <t xml:space="preserve">Personal - regular use</t>
        </is>
      </c>
      <c r="P229" s="30" t="inlineStr">
        <is>
          <t xml:space="preserve">Under 1,000</t>
        </is>
      </c>
      <c r="Q229" s="30" t="inlineStr">
        <is>
          <t xml:space="preserve">New Jersey</t>
        </is>
      </c>
      <c r="R229" s="30" t="inlineStr">
        <is>
          <t xml:space="preserve">07102</t>
        </is>
      </c>
      <c r="S229" s="32" t="inlineStr">
        <is>
          <t xml:space="preserve">Tier 3 - Coastal wind (25-100 miles)</t>
        </is>
      </c>
      <c r="T229" s="36">
        <f>IF($A229="","",IF($S229="","",IFERROR(INDEX('[1]natural catastrophe'!$D$6:$D$17,MATCH($S229,'[1]natural catastrophe'!$B$6:$B$17,0)),"?")))</f>
      </c>
      <c r="U229" s="30" t="inlineStr">
        <is>
          <t xml:space="preserve">2% of agreed value, minimum $10,000</t>
        </is>
      </c>
      <c r="V229" s="32" t="inlineStr">
        <is>
          <t xml:space="preserve">Agreed Value</t>
        </is>
      </c>
      <c r="W229" s="30" t="inlineStr">
        <is>
          <t xml:space="preserve">$1,000</t>
        </is>
      </c>
      <c r="X229" s="32" t="inlineStr">
        <is>
          <t xml:space="preserve">$1,000,000 CSL</t>
        </is>
      </c>
      <c r="Y229" s="30"/>
      <c r="Z229" s="30"/>
      <c r="AA229" s="32" t="inlineStr">
        <is>
          <t xml:space="preserve">Surplus Lines</t>
        </is>
      </c>
      <c r="AB229" s="35">
        <v>8481.89</v>
      </c>
      <c r="AC229" s="37">
        <v>0</v>
      </c>
      <c r="AD229" s="38">
        <f>IF(ISNUMBER($AB229),$AB229*(1+N($AC229)),"")</f>
      </c>
      <c r="AE229" s="35">
        <v>350</v>
      </c>
      <c r="AF229" s="35">
        <v>0</v>
      </c>
      <c r="AG229" s="37"/>
      <c r="AH229" s="39">
        <f>IF(ISNUMBER($AD229),($AD229+$AE229+$AF229)*$AG229,"")</f>
      </c>
      <c r="AI229" s="35"/>
      <c r="AJ229" s="38">
        <f>IF(ISNUMBER($AD229),SUM($AD229:$AH229),"")</f>
      </c>
      <c r="AK229" s="40">
        <f>IF(AND(ISNUMBER($AB229),ISNUMBER($AD229)),IF($AB229&gt;0,$AD229/$AB229,""),"")</f>
      </c>
      <c r="AL229" s="32" t="inlineStr">
        <is>
          <t xml:space="preserve">At technical</t>
        </is>
      </c>
      <c r="AM229" s="41">
        <f>IF(ISNUMBER($AD229),Header!$I$3,"")</f>
      </c>
      <c r="AN229" s="39">
        <f>IF(ISNUMBER($AD229),$AO229+$AP229,"")</f>
      </c>
      <c r="AO229" s="39">
        <f>IF(ISNUMBER($AD229),ROUND($AD229*Header!$K$3,2),"")</f>
      </c>
      <c r="AP229" s="39">
        <f>IF(ISNUMBER($AD229),ROUND($AD229*Header!$M$3,2),"")</f>
      </c>
      <c r="AQ229" s="38">
        <f>IF(ISNUMBER($AD229),ROUND($AD229,2)-$AO229-$AP229,"")</f>
      </c>
      <c r="AR229" s="39">
        <f>IF(ISNUMBER($AD229),IF(Header!$D$34="","?",$AD229*Header!$D$34),"")</f>
      </c>
      <c r="AS229" s="39">
        <f>IF(ISNUMBER($AB229),IF(Header!$D$34="","?",$AB229*Header!$D$34),"")</f>
      </c>
      <c r="AT229" s="42">
        <f>IF(AND(ISNUMBER($AB229),$M229&gt;0),$AB229/$M229*100,"")</f>
      </c>
      <c r="AU229" s="42">
        <f>IF(AND(ISNUMBER($AD229),$M229&gt;0),$AD229/$M229*100,"")</f>
      </c>
      <c r="AV229" s="40">
        <f>IF(AND(ISNUMBER($AB229),ISNUMBER($AD229),ABS($AB229)&gt;0),$AD229/$AB229,"")</f>
      </c>
      <c r="AW229" s="39">
        <f>IF(ISNUMBER($AD229),MAX(0,(1-0.55-Header!$O$3)*Header!$Q$3*$AQ229),"")</f>
      </c>
      <c r="AX229" s="43">
        <f>IF($A229="","",IF(TRIM(IF($A229="","Missing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",""))="","PASS","FAIL: "&amp;TRIM(IF($A229="","Missing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f>
      </c>
      <c r="AY229" s="44">
        <f>IF($M229="","",IF(ISNUMBER($M229),IF($M229&gt;=Header!$C$18,"YES — refer","No"),""))</f>
      </c>
      <c r="AZ229" s="44">
        <f>IF($AD229="","",IF(ISNUMBER($AD229),IF($AD229&lt;Header!$C$20,"BELOW MIN PREMIUM","OK"),""))</f>
      </c>
      <c r="BA229" s="32" t="inlineStr">
        <is>
          <t xml:space="preserve">Yes</t>
        </is>
      </c>
      <c r="BB229" s="32" t="inlineStr">
        <is>
          <t xml:space="preserve">Yes</t>
        </is>
      </c>
      <c r="BC229" s="30" t="inlineStr">
        <is>
          <t xml:space="preserve">Synthetic demo data</t>
        </is>
      </c>
      <c r="BE229" s="45">
        <f>IF(OR($A229="",$L229="",$H229=""),"",IF(AND(LEFT($L229,2)="06",$H229&gt;1945),"FAIL - pre-war class, year "&amp;$H229,IF(AND(LEFT($L229,2)="07",OR($H229&lt;1946,$H229&gt;1972)),"FAIL - 1946-72 class, year "&amp;$H229,IF(AND(LEFT($L229,2)="08",OR($H229&lt;1973,$H229&gt;1999)),"FAIL - 1973-99 class, year "&amp;$H229,IF(AND(LEFT($L229,2)="09",OR($H229&lt;2000,$H229&gt;2010)),"FAIL - 2000-10 class, year "&amp;$H229,"OK")))))</f>
      </c>
      <c r="BF229" s="45">
        <f>IF($AD229="","",IF(ROUND($AO229+$AP229+$AQ229-$AD229,2)=0,"OK","FAIL - out by "&amp;TEXT($AO229+$AP229+$AQ229-$AD229,"$0.00")))</f>
      </c>
    </row>
    <row r="230" spans="1:58" ht="18.75" customHeight="1" x14ac:dyDescent="0.25">
      <c r="A230" s="46" t="inlineStr">
        <is>
          <t xml:space="preserve">CANON-202508-000304</t>
        </is>
      </c>
      <c r="B230" s="46" t="inlineStr">
        <is>
          <t xml:space="preserve">Fenwick Thistlewood</t>
        </is>
      </c>
      <c r="C230" s="47">
        <v>45899</v>
      </c>
      <c r="D230" s="48" t="inlineStr">
        <is>
          <t xml:space="preserve">Bound - within authority</t>
        </is>
      </c>
      <c r="E230" s="48" t="inlineStr">
        <is>
          <t xml:space="preserve">New business</t>
        </is>
      </c>
      <c r="F230" s="46" t="inlineStr">
        <is>
          <t xml:space="preserve">B1234EXOTIC26</t>
        </is>
      </c>
      <c r="G230" s="33">
        <f>IF($A230="","",IF($C230="","",YEAR($C230)))</f>
      </c>
      <c r="H230" s="49">
        <v>1974</v>
      </c>
      <c r="I230" s="46" t="inlineStr">
        <is>
          <t xml:space="preserve">Bentley</t>
        </is>
      </c>
      <c r="J230" s="46" t="inlineStr">
        <is>
          <t xml:space="preserve">Continental GT</t>
        </is>
      </c>
      <c r="K230" s="46" t="inlineStr">
        <is>
          <t xml:space="preserve">MY7K9VD414GJ8DZ75</t>
        </is>
      </c>
      <c r="L230" s="48" t="inlineStr">
        <is>
          <t xml:space="preserve">02 - Sports / GT</t>
        </is>
      </c>
      <c r="M230" s="50">
        <v>290000</v>
      </c>
      <c r="N230" s="48" t="inlineStr">
        <is>
          <t xml:space="preserve">Personal</t>
        </is>
      </c>
      <c r="O230" s="46" t="inlineStr">
        <is>
          <t xml:space="preserve">Personal - regular use</t>
        </is>
      </c>
      <c r="P230" s="46" t="inlineStr">
        <is>
          <t xml:space="preserve">1,000 - 2,500</t>
        </is>
      </c>
      <c r="Q230" s="46" t="inlineStr">
        <is>
          <t xml:space="preserve">Mississippi</t>
        </is>
      </c>
      <c r="R230" s="46" t="inlineStr">
        <is>
          <t xml:space="preserve">39201</t>
        </is>
      </c>
      <c r="S230" s="48" t="inlineStr">
        <is>
          <t xml:space="preserve">Tier 2 - Coastal wind (1-25 miles)</t>
        </is>
      </c>
      <c r="T230" s="36">
        <f>IF($A230="","",IF($S230="","",IFERROR(INDEX('[1]natural catastrophe'!$D$6:$D$17,MATCH($S230,'[1]natural catastrophe'!$B$6:$B$17,0)),"?")))</f>
      </c>
      <c r="U230" s="46" t="inlineStr">
        <is>
          <t xml:space="preserve">2% of agreed value, minimum $10,000</t>
        </is>
      </c>
      <c r="V230" s="48" t="inlineStr">
        <is>
          <t xml:space="preserve">Agreed Value</t>
        </is>
      </c>
      <c r="W230" s="46" t="inlineStr">
        <is>
          <t xml:space="preserve">$1,000</t>
        </is>
      </c>
      <c r="X230" s="48" t="inlineStr">
        <is>
          <t xml:space="preserve">$1,000,000 CSL</t>
        </is>
      </c>
      <c r="Y230" s="46"/>
      <c r="Z230" s="46"/>
      <c r="AA230" s="48" t="inlineStr">
        <is>
          <t xml:space="preserve">Surplus Lines</t>
        </is>
      </c>
      <c r="AB230" s="50">
        <v>4883.49</v>
      </c>
      <c r="AC230" s="51">
        <v>0</v>
      </c>
      <c r="AD230" s="38">
        <f>IF(ISNUMBER($AB230),$AB230*(1+N($AC230)),"")</f>
      </c>
      <c r="AE230" s="50">
        <v>350</v>
      </c>
      <c r="AF230" s="50">
        <v>0</v>
      </c>
      <c r="AG230" s="51"/>
      <c r="AH230" s="39">
        <f>IF(ISNUMBER($AD230),($AD230+$AE230+$AF230)*$AG230,"")</f>
      </c>
      <c r="AI230" s="50"/>
      <c r="AJ230" s="38">
        <f>IF(ISNUMBER($AD230),SUM($AD230:$AH230),"")</f>
      </c>
      <c r="AK230" s="40">
        <f>IF(AND(ISNUMBER($AB230),ISNUMBER($AD230)),IF($AB230&gt;0,$AD230/$AB230,""),"")</f>
      </c>
      <c r="AL230" s="48" t="inlineStr">
        <is>
          <t xml:space="preserve">At technical</t>
        </is>
      </c>
      <c r="AM230" s="41">
        <f>IF(ISNUMBER($AD230),Header!$I$3,"")</f>
      </c>
      <c r="AN230" s="39">
        <f>IF(ISNUMBER($AD230),$AO230+$AP230,"")</f>
      </c>
      <c r="AO230" s="39">
        <f>IF(ISNUMBER($AD230),ROUND($AD230*Header!$K$3,2),"")</f>
      </c>
      <c r="AP230" s="39">
        <f>IF(ISNUMBER($AD230),ROUND($AD230*Header!$M$3,2),"")</f>
      </c>
      <c r="AQ230" s="38">
        <f>IF(ISNUMBER($AD230),ROUND($AD230,2)-$AO230-$AP230,"")</f>
      </c>
      <c r="AR230" s="39">
        <f>IF(ISNUMBER($AD230),IF(Header!$D$34="","?",$AD230*Header!$D$34),"")</f>
      </c>
      <c r="AS230" s="39">
        <f>IF(ISNUMBER($AB230),IF(Header!$D$34="","?",$AB230*Header!$D$34),"")</f>
      </c>
      <c r="AT230" s="42">
        <f>IF(AND(ISNUMBER($AB230),$M230&gt;0),$AB230/$M230*100,"")</f>
      </c>
      <c r="AU230" s="42">
        <f>IF(AND(ISNUMBER($AD230),$M230&gt;0),$AD230/$M230*100,"")</f>
      </c>
      <c r="AV230" s="40">
        <f>IF(AND(ISNUMBER($AB230),ISNUMBER($AD230),ABS($AB230)&gt;0),$AD230/$AB230,"")</f>
      </c>
      <c r="AW230" s="39">
        <f>IF(ISNUMBER($AD230),MAX(0,(1-0.55-Header!$O$3)*Header!$Q$3*$AQ230),"")</f>
      </c>
      <c r="AX230" s="43">
        <f>IF($A230="","",IF(TRIM(IF($A230="","Missing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",""))="","PASS","FAIL: "&amp;TRIM(IF($A230="","Missing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f>
      </c>
      <c r="AY230" s="44">
        <f>IF($M230="","",IF(ISNUMBER($M230),IF($M230&gt;=Header!$C$18,"YES — refer","No"),""))</f>
      </c>
      <c r="AZ230" s="44">
        <f>IF($AD230="","",IF(ISNUMBER($AD230),IF($AD230&lt;Header!$C$20,"BELOW MIN PREMIUM","OK"),""))</f>
      </c>
      <c r="BA230" s="48" t="inlineStr">
        <is>
          <t xml:space="preserve">Yes</t>
        </is>
      </c>
      <c r="BB230" s="48" t="inlineStr">
        <is>
          <t xml:space="preserve">Yes</t>
        </is>
      </c>
      <c r="BC230" s="46" t="inlineStr">
        <is>
          <t xml:space="preserve">Synthetic demo data</t>
        </is>
      </c>
      <c r="BE230" s="45">
        <f>IF(OR($A230="",$L230="",$H230=""),"",IF(AND(LEFT($L230,2)="06",$H230&gt;1945),"FAIL - pre-war class, year "&amp;$H230,IF(AND(LEFT($L230,2)="07",OR($H230&lt;1946,$H230&gt;1972)),"FAIL - 1946-72 class, year "&amp;$H230,IF(AND(LEFT($L230,2)="08",OR($H230&lt;1973,$H230&gt;1999)),"FAIL - 1973-99 class, year "&amp;$H230,IF(AND(LEFT($L230,2)="09",OR($H230&lt;2000,$H230&gt;2010)),"FAIL - 2000-10 class, year "&amp;$H230,"OK")))))</f>
      </c>
      <c r="BF230" s="45">
        <f>IF($AD230="","",IF(ROUND($AO230+$AP230+$AQ230-$AD230,2)=0,"OK","FAIL - out by "&amp;TEXT($AO230+$AP230+$AQ230-$AD230,"$0.00")))</f>
      </c>
    </row>
    <row r="231" spans="1:58" ht="18.75" customHeight="1" x14ac:dyDescent="0.25">
      <c r="A231" s="30" t="inlineStr">
        <is>
          <t xml:space="preserve">CANON-202508-000305</t>
        </is>
      </c>
      <c r="B231" s="30" t="inlineStr">
        <is>
          <t xml:space="preserve">Leopold Blackwood</t>
        </is>
      </c>
      <c r="C231" s="31">
        <v>45885</v>
      </c>
      <c r="D231" s="32" t="inlineStr">
        <is>
          <t xml:space="preserve">Bound - within authority</t>
        </is>
      </c>
      <c r="E231" s="32" t="inlineStr">
        <is>
          <t xml:space="preserve">New business</t>
        </is>
      </c>
      <c r="F231" s="30" t="inlineStr">
        <is>
          <t xml:space="preserve">B1234EXOTIC26</t>
        </is>
      </c>
      <c r="G231" s="33">
        <f>IF($A231="","",IF($C231="","",YEAR($C231)))</f>
      </c>
      <c r="H231" s="34">
        <v>2000</v>
      </c>
      <c r="I231" s="30" t="inlineStr">
        <is>
          <t xml:space="preserve">Jaguar</t>
        </is>
      </c>
      <c r="J231" s="30" t="inlineStr">
        <is>
          <t xml:space="preserve">E-Type Series 1</t>
        </is>
      </c>
      <c r="K231" s="30" t="inlineStr">
        <is>
          <t xml:space="preserve">LMJLVTJP90HAZZ8B1</t>
        </is>
      </c>
      <c r="L231" s="32" t="inlineStr">
        <is>
          <t xml:space="preserve">09 - Youngtimer / Collectible (2000-2010)</t>
        </is>
      </c>
      <c r="M231" s="35">
        <v>430000</v>
      </c>
      <c r="N231" s="32" t="inlineStr">
        <is>
          <t xml:space="preserve">Personal</t>
        </is>
      </c>
      <c r="O231" s="30" t="inlineStr">
        <is>
          <t xml:space="preserve">Personal - regular use</t>
        </is>
      </c>
      <c r="P231" s="30" t="inlineStr">
        <is>
          <t xml:space="preserve">Under 1,000</t>
        </is>
      </c>
      <c r="Q231" s="30" t="inlineStr">
        <is>
          <t xml:space="preserve">Washington</t>
        </is>
      </c>
      <c r="R231" s="30" t="inlineStr">
        <is>
          <t xml:space="preserve">98101</t>
        </is>
      </c>
      <c r="S231" s="32" t="inlineStr">
        <is>
          <t xml:space="preserve">Earthquake - high (CA, Cascadia, New Madrid)</t>
        </is>
      </c>
      <c r="T231" s="36">
        <f>IF($A231="","",IF($S231="","",IFERROR(INDEX('[1]natural catastrophe'!$D$6:$D$17,MATCH($S231,'[1]natural catastrophe'!$B$6:$B$17,0)),"?")))</f>
      </c>
      <c r="U231" s="30" t="inlineStr">
        <is>
          <t xml:space="preserve">$5,000</t>
        </is>
      </c>
      <c r="V231" s="32" t="inlineStr">
        <is>
          <t xml:space="preserve">Agreed Value</t>
        </is>
      </c>
      <c r="W231" s="30" t="inlineStr">
        <is>
          <t xml:space="preserve">$1,000</t>
        </is>
      </c>
      <c r="X231" s="32" t="inlineStr">
        <is>
          <t xml:space="preserve">$1,000,000 CSL</t>
        </is>
      </c>
      <c r="Y231" s="30"/>
      <c r="Z231" s="30"/>
      <c r="AA231" s="32" t="inlineStr">
        <is>
          <t xml:space="preserve">Surplus Lines</t>
        </is>
      </c>
      <c r="AB231" s="35">
        <v>3738.57</v>
      </c>
      <c r="AC231" s="37">
        <v>0</v>
      </c>
      <c r="AD231" s="38">
        <f>IF(ISNUMBER($AB231),$AB231*(1+N($AC231)),"")</f>
      </c>
      <c r="AE231" s="35">
        <v>350</v>
      </c>
      <c r="AF231" s="35">
        <v>0</v>
      </c>
      <c r="AG231" s="37"/>
      <c r="AH231" s="39">
        <f>IF(ISNUMBER($AD231),($AD231+$AE231+$AF231)*$AG231,"")</f>
      </c>
      <c r="AI231" s="35"/>
      <c r="AJ231" s="38">
        <f>IF(ISNUMBER($AD231),SUM($AD231:$AH231),"")</f>
      </c>
      <c r="AK231" s="40">
        <f>IF(AND(ISNUMBER($AB231),ISNUMBER($AD231)),IF($AB231&gt;0,$AD231/$AB231,""),"")</f>
      </c>
      <c r="AL231" s="32" t="inlineStr">
        <is>
          <t xml:space="preserve">At technical</t>
        </is>
      </c>
      <c r="AM231" s="41">
        <f>IF(ISNUMBER($AD231),Header!$I$3,"")</f>
      </c>
      <c r="AN231" s="39">
        <f>IF(ISNUMBER($AD231),$AO231+$AP231,"")</f>
      </c>
      <c r="AO231" s="39">
        <f>IF(ISNUMBER($AD231),ROUND($AD231*Header!$K$3,2),"")</f>
      </c>
      <c r="AP231" s="39">
        <f>IF(ISNUMBER($AD231),ROUND($AD231*Header!$M$3,2),"")</f>
      </c>
      <c r="AQ231" s="38">
        <f>IF(ISNUMBER($AD231),ROUND($AD231,2)-$AO231-$AP231,"")</f>
      </c>
      <c r="AR231" s="39">
        <f>IF(ISNUMBER($AD231),IF(Header!$D$34="","?",$AD231*Header!$D$34),"")</f>
      </c>
      <c r="AS231" s="39">
        <f>IF(ISNUMBER($AB231),IF(Header!$D$34="","?",$AB231*Header!$D$34),"")</f>
      </c>
      <c r="AT231" s="42">
        <f>IF(AND(ISNUMBER($AB231),$M231&gt;0),$AB231/$M231*100,"")</f>
      </c>
      <c r="AU231" s="42">
        <f>IF(AND(ISNUMBER($AD231),$M231&gt;0),$AD231/$M231*100,"")</f>
      </c>
      <c r="AV231" s="40">
        <f>IF(AND(ISNUMBER($AB231),ISNUMBER($AD231),ABS($AB231)&gt;0),$AD231/$AB231,"")</f>
      </c>
      <c r="AW231" s="39">
        <f>IF(ISNUMBER($AD231),MAX(0,(1-0.55-Header!$O$3)*Header!$Q$3*$AQ231),"")</f>
      </c>
      <c r="AX231" s="43">
        <f>IF($A231="","",IF(TRIM(IF($A231="","Missing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",""))="","PASS","FAIL: "&amp;TRIM(IF($A231="","Missing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f>
      </c>
      <c r="AY231" s="44">
        <f>IF($M231="","",IF(ISNUMBER($M231),IF($M231&gt;=Header!$C$18,"YES — refer","No"),""))</f>
      </c>
      <c r="AZ231" s="44">
        <f>IF($AD231="","",IF(ISNUMBER($AD231),IF($AD231&lt;Header!$C$20,"BELOW MIN PREMIUM","OK"),""))</f>
      </c>
      <c r="BA231" s="32" t="inlineStr">
        <is>
          <t xml:space="preserve">Yes</t>
        </is>
      </c>
      <c r="BB231" s="32" t="inlineStr">
        <is>
          <t xml:space="preserve">Yes</t>
        </is>
      </c>
      <c r="BC231" s="30" t="inlineStr">
        <is>
          <t xml:space="preserve">Synthetic demo data</t>
        </is>
      </c>
      <c r="BE231" s="45">
        <f>IF(OR($A231="",$L231="",$H231=""),"",IF(AND(LEFT($L231,2)="06",$H231&gt;1945),"FAIL - pre-war class, year "&amp;$H231,IF(AND(LEFT($L231,2)="07",OR($H231&lt;1946,$H231&gt;1972)),"FAIL - 1946-72 class, year "&amp;$H231,IF(AND(LEFT($L231,2)="08",OR($H231&lt;1973,$H231&gt;1999)),"FAIL - 1973-99 class, year "&amp;$H231,IF(AND(LEFT($L231,2)="09",OR($H231&lt;2000,$H231&gt;2010)),"FAIL - 2000-10 class, year "&amp;$H231,"OK")))))</f>
      </c>
      <c r="BF231" s="45">
        <f>IF($AD231="","",IF(ROUND($AO231+$AP231+$AQ231-$AD231,2)=0,"OK","FAIL - out by "&amp;TEXT($AO231+$AP231+$AQ231-$AD231,"$0.00")))</f>
      </c>
    </row>
    <row r="232" spans="1:58" ht="18.75" customHeight="1" x14ac:dyDescent="0.25">
      <c r="A232" s="46" t="inlineStr">
        <is>
          <t xml:space="preserve">CANON-202508-000306</t>
        </is>
      </c>
      <c r="B232" s="46" t="inlineStr">
        <is>
          <t xml:space="preserve">Emiliano Montoya</t>
        </is>
      </c>
      <c r="C232" s="47">
        <v>45899</v>
      </c>
      <c r="D232" s="48" t="inlineStr">
        <is>
          <t xml:space="preserve">Bound - within authority</t>
        </is>
      </c>
      <c r="E232" s="48" t="inlineStr">
        <is>
          <t xml:space="preserve">New business</t>
        </is>
      </c>
      <c r="F232" s="46" t="inlineStr">
        <is>
          <t xml:space="preserve">B1234EXOTIC26</t>
        </is>
      </c>
      <c r="G232" s="33">
        <f>IF($A232="","",IF($C232="","",YEAR($C232)))</f>
      </c>
      <c r="H232" s="49">
        <v>2007</v>
      </c>
      <c r="I232" s="46" t="inlineStr">
        <is>
          <t xml:space="preserve">Mercedes-Benz</t>
        </is>
      </c>
      <c r="J232" s="46" t="inlineStr">
        <is>
          <t xml:space="preserve">AMG GT</t>
        </is>
      </c>
      <c r="K232" s="46" t="inlineStr">
        <is>
          <t xml:space="preserve">NKKKF0DHTT3ACD4DT</t>
        </is>
      </c>
      <c r="L232" s="48" t="inlineStr">
        <is>
          <t xml:space="preserve">02 - Sports / GT</t>
        </is>
      </c>
      <c r="M232" s="50">
        <v>710000</v>
      </c>
      <c r="N232" s="48" t="inlineStr">
        <is>
          <t xml:space="preserve">Personal</t>
        </is>
      </c>
      <c r="O232" s="46" t="inlineStr">
        <is>
          <t xml:space="preserve">Personal - regular use</t>
        </is>
      </c>
      <c r="P232" s="46" t="inlineStr">
        <is>
          <t xml:space="preserve">Under 1,000</t>
        </is>
      </c>
      <c r="Q232" s="46" t="inlineStr">
        <is>
          <t xml:space="preserve">Montana</t>
        </is>
      </c>
      <c r="R232" s="46" t="inlineStr">
        <is>
          <t xml:space="preserve">59601</t>
        </is>
      </c>
      <c r="S232" s="48" t="inlineStr">
        <is>
          <t xml:space="preserve">Wildfire - WUI high hazard</t>
        </is>
      </c>
      <c r="T232" s="36">
        <f>IF($A232="","",IF($S232="","",IFERROR(INDEX('[1]natural catastrophe'!$D$6:$D$17,MATCH($S232,'[1]natural catastrophe'!$B$6:$B$17,0)),"?")))</f>
      </c>
      <c r="U232" s="46" t="inlineStr">
        <is>
          <t xml:space="preserve">$5,000</t>
        </is>
      </c>
      <c r="V232" s="48" t="inlineStr">
        <is>
          <t xml:space="preserve">Agreed Value</t>
        </is>
      </c>
      <c r="W232" s="46" t="inlineStr">
        <is>
          <t xml:space="preserve">$1,000</t>
        </is>
      </c>
      <c r="X232" s="48" t="inlineStr">
        <is>
          <t xml:space="preserve">$1,000,000 CSL</t>
        </is>
      </c>
      <c r="Y232" s="46"/>
      <c r="Z232" s="46"/>
      <c r="AA232" s="48" t="inlineStr">
        <is>
          <t xml:space="preserve">Surplus Lines</t>
        </is>
      </c>
      <c r="AB232" s="50">
        <v>8098.02</v>
      </c>
      <c r="AC232" s="51">
        <v>0</v>
      </c>
      <c r="AD232" s="38">
        <f>IF(ISNUMBER($AB232),$AB232*(1+N($AC232)),"")</f>
      </c>
      <c r="AE232" s="50">
        <v>350</v>
      </c>
      <c r="AF232" s="50">
        <v>0</v>
      </c>
      <c r="AG232" s="51"/>
      <c r="AH232" s="39">
        <f>IF(ISNUMBER($AD232),($AD232+$AE232+$AF232)*$AG232,"")</f>
      </c>
      <c r="AI232" s="50"/>
      <c r="AJ232" s="38">
        <f>IF(ISNUMBER($AD232),SUM($AD232:$AH232),"")</f>
      </c>
      <c r="AK232" s="40">
        <f>IF(AND(ISNUMBER($AB232),ISNUMBER($AD232)),IF($AB232&gt;0,$AD232/$AB232,""),"")</f>
      </c>
      <c r="AL232" s="48" t="inlineStr">
        <is>
          <t xml:space="preserve">At technical</t>
        </is>
      </c>
      <c r="AM232" s="41">
        <f>IF(ISNUMBER($AD232),Header!$I$3,"")</f>
      </c>
      <c r="AN232" s="39">
        <f>IF(ISNUMBER($AD232),$AO232+$AP232,"")</f>
      </c>
      <c r="AO232" s="39">
        <f>IF(ISNUMBER($AD232),ROUND($AD232*Header!$K$3,2),"")</f>
      </c>
      <c r="AP232" s="39">
        <f>IF(ISNUMBER($AD232),ROUND($AD232*Header!$M$3,2),"")</f>
      </c>
      <c r="AQ232" s="38">
        <f>IF(ISNUMBER($AD232),ROUND($AD232,2)-$AO232-$AP232,"")</f>
      </c>
      <c r="AR232" s="39">
        <f>IF(ISNUMBER($AD232),IF(Header!$D$34="","?",$AD232*Header!$D$34),"")</f>
      </c>
      <c r="AS232" s="39">
        <f>IF(ISNUMBER($AB232),IF(Header!$D$34="","?",$AB232*Header!$D$34),"")</f>
      </c>
      <c r="AT232" s="42">
        <f>IF(AND(ISNUMBER($AB232),$M232&gt;0),$AB232/$M232*100,"")</f>
      </c>
      <c r="AU232" s="42">
        <f>IF(AND(ISNUMBER($AD232),$M232&gt;0),$AD232/$M232*100,"")</f>
      </c>
      <c r="AV232" s="40">
        <f>IF(AND(ISNUMBER($AB232),ISNUMBER($AD232),ABS($AB232)&gt;0),$AD232/$AB232,"")</f>
      </c>
      <c r="AW232" s="39">
        <f>IF(ISNUMBER($AD232),MAX(0,(1-0.55-Header!$O$3)*Header!$Q$3*$AQ232),"")</f>
      </c>
      <c r="AX232" s="43">
        <f>IF($A232="","",IF(TRIM(IF($A232="","Missing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",""))="","PASS","FAIL: "&amp;TRIM(IF($A232="","Missing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f>
      </c>
      <c r="AY232" s="44">
        <f>IF($M232="","",IF(ISNUMBER($M232),IF($M232&gt;=Header!$C$18,"YES — refer","No"),""))</f>
      </c>
      <c r="AZ232" s="44">
        <f>IF($AD232="","",IF(ISNUMBER($AD232),IF($AD232&lt;Header!$C$20,"BELOW MIN PREMIUM","OK"),""))</f>
      </c>
      <c r="BA232" s="48" t="inlineStr">
        <is>
          <t xml:space="preserve">Yes</t>
        </is>
      </c>
      <c r="BB232" s="48" t="inlineStr">
        <is>
          <t xml:space="preserve">Yes</t>
        </is>
      </c>
      <c r="BC232" s="46" t="inlineStr">
        <is>
          <t xml:space="preserve">Synthetic demo data</t>
        </is>
      </c>
      <c r="BE232" s="45">
        <f>IF(OR($A232="",$L232="",$H232=""),"",IF(AND(LEFT($L232,2)="06",$H232&gt;1945),"FAIL - pre-war class, year "&amp;$H232,IF(AND(LEFT($L232,2)="07",OR($H232&lt;1946,$H232&gt;1972)),"FAIL - 1946-72 class, year "&amp;$H232,IF(AND(LEFT($L232,2)="08",OR($H232&lt;1973,$H232&gt;1999)),"FAIL - 1973-99 class, year "&amp;$H232,IF(AND(LEFT($L232,2)="09",OR($H232&lt;2000,$H232&gt;2010)),"FAIL - 2000-10 class, year "&amp;$H232,"OK")))))</f>
      </c>
      <c r="BF232" s="45">
        <f>IF($AD232="","",IF(ROUND($AO232+$AP232+$AQ232-$AD232,2)=0,"OK","FAIL - out by "&amp;TEXT($AO232+$AP232+$AQ232-$AD232,"$0.00")))</f>
      </c>
    </row>
    <row r="233" spans="1:58" ht="18.75" customHeight="1" x14ac:dyDescent="0.25">
      <c r="A233" s="30" t="inlineStr">
        <is>
          <t xml:space="preserve">CANON-202508-000308</t>
        </is>
      </c>
      <c r="B233" s="30" t="inlineStr">
        <is>
          <t xml:space="preserve">Fenwick Bellandi</t>
        </is>
      </c>
      <c r="C233" s="31">
        <v>45882</v>
      </c>
      <c r="D233" s="32" t="inlineStr">
        <is>
          <t xml:space="preserve">Bound - within authority</t>
        </is>
      </c>
      <c r="E233" s="32" t="inlineStr">
        <is>
          <t xml:space="preserve">New business</t>
        </is>
      </c>
      <c r="F233" s="30" t="inlineStr">
        <is>
          <t xml:space="preserve">B1234EXOTIC26</t>
        </is>
      </c>
      <c r="G233" s="33">
        <f>IF($A233="","",IF($C233="","",YEAR($C233)))</f>
      </c>
      <c r="H233" s="34">
        <v>1965</v>
      </c>
      <c r="I233" s="30" t="inlineStr">
        <is>
          <t xml:space="preserve">BMW</t>
        </is>
      </c>
      <c r="J233" s="30" t="inlineStr">
        <is>
          <t xml:space="preserve">M8 Competition</t>
        </is>
      </c>
      <c r="K233" s="30" t="inlineStr">
        <is>
          <t xml:space="preserve">UL65Z3DKXFWMK1JL5</t>
        </is>
      </c>
      <c r="L233" s="32" t="inlineStr">
        <is>
          <t xml:space="preserve">02 - Sports / GT</t>
        </is>
      </c>
      <c r="M233" s="35">
        <v>495000</v>
      </c>
      <c r="N233" s="32" t="inlineStr">
        <is>
          <t xml:space="preserve">Personal</t>
        </is>
      </c>
      <c r="O233" s="30" t="inlineStr">
        <is>
          <t xml:space="preserve">Personal - regular use</t>
        </is>
      </c>
      <c r="P233" s="30" t="inlineStr">
        <is>
          <t xml:space="preserve">2,500 - 5,000</t>
        </is>
      </c>
      <c r="Q233" s="30" t="inlineStr">
        <is>
          <t xml:space="preserve">Arkansas</t>
        </is>
      </c>
      <c r="R233" s="30" t="inlineStr">
        <is>
          <t xml:space="preserve">72201</t>
        </is>
      </c>
      <c r="S233" s="32" t="inlineStr">
        <is>
          <t xml:space="preserve">Severe convective - hail / tornado (moderate)</t>
        </is>
      </c>
      <c r="T233" s="36">
        <f>IF($A233="","",IF($S233="","",IFERROR(INDEX('[1]natural catastrophe'!$D$6:$D$17,MATCH($S233,'[1]natural catastrophe'!$B$6:$B$17,0)),"?")))</f>
      </c>
      <c r="U233" s="30" t="inlineStr">
        <is>
          <t xml:space="preserve">$5,000</t>
        </is>
      </c>
      <c r="V233" s="32" t="inlineStr">
        <is>
          <t xml:space="preserve">Agreed Value</t>
        </is>
      </c>
      <c r="W233" s="30" t="inlineStr">
        <is>
          <t xml:space="preserve">$1,000</t>
        </is>
      </c>
      <c r="X233" s="32" t="inlineStr">
        <is>
          <t xml:space="preserve">$1,000,000 CSL</t>
        </is>
      </c>
      <c r="Y233" s="30"/>
      <c r="Z233" s="30"/>
      <c r="AA233" s="32" t="inlineStr">
        <is>
          <t xml:space="preserve">Surplus Lines</t>
        </is>
      </c>
      <c r="AB233" s="35">
        <v>9666.51</v>
      </c>
      <c r="AC233" s="37">
        <v>0</v>
      </c>
      <c r="AD233" s="38">
        <f>IF(ISNUMBER($AB233),$AB233*(1+N($AC233)),"")</f>
      </c>
      <c r="AE233" s="35">
        <v>350</v>
      </c>
      <c r="AF233" s="35">
        <v>0</v>
      </c>
      <c r="AG233" s="37"/>
      <c r="AH233" s="39">
        <f>IF(ISNUMBER($AD233),($AD233+$AE233+$AF233)*$AG233,"")</f>
      </c>
      <c r="AI233" s="35"/>
      <c r="AJ233" s="38">
        <f>IF(ISNUMBER($AD233),SUM($AD233:$AH233),"")</f>
      </c>
      <c r="AK233" s="40">
        <f>IF(AND(ISNUMBER($AB233),ISNUMBER($AD233)),IF($AB233&gt;0,$AD233/$AB233,""),"")</f>
      </c>
      <c r="AL233" s="32" t="inlineStr">
        <is>
          <t xml:space="preserve">At technical</t>
        </is>
      </c>
      <c r="AM233" s="41">
        <f>IF(ISNUMBER($AD233),Header!$I$3,"")</f>
      </c>
      <c r="AN233" s="39">
        <f>IF(ISNUMBER($AD233),$AO233+$AP233,"")</f>
      </c>
      <c r="AO233" s="39">
        <f>IF(ISNUMBER($AD233),ROUND($AD233*Header!$K$3,2),"")</f>
      </c>
      <c r="AP233" s="39">
        <f>IF(ISNUMBER($AD233),ROUND($AD233*Header!$M$3,2),"")</f>
      </c>
      <c r="AQ233" s="38">
        <f>IF(ISNUMBER($AD233),ROUND($AD233,2)-$AO233-$AP233,"")</f>
      </c>
      <c r="AR233" s="39">
        <f>IF(ISNUMBER($AD233),IF(Header!$D$34="","?",$AD233*Header!$D$34),"")</f>
      </c>
      <c r="AS233" s="39">
        <f>IF(ISNUMBER($AB233),IF(Header!$D$34="","?",$AB233*Header!$D$34),"")</f>
      </c>
      <c r="AT233" s="42">
        <f>IF(AND(ISNUMBER($AB233),$M233&gt;0),$AB233/$M233*100,"")</f>
      </c>
      <c r="AU233" s="42">
        <f>IF(AND(ISNUMBER($AD233),$M233&gt;0),$AD233/$M233*100,"")</f>
      </c>
      <c r="AV233" s="40">
        <f>IF(AND(ISNUMBER($AB233),ISNUMBER($AD233),ABS($AB233)&gt;0),$AD233/$AB233,"")</f>
      </c>
      <c r="AW233" s="39">
        <f>IF(ISNUMBER($AD233),MAX(0,(1-0.55-Header!$O$3)*Header!$Q$3*$AQ233),"")</f>
      </c>
      <c r="AX233" s="43">
        <f>IF($A233="","",IF(TRIM(IF($A233="","Missing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",""))="","PASS","FAIL: "&amp;TRIM(IF($A233="","Missing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f>
      </c>
      <c r="AY233" s="44">
        <f>IF($M233="","",IF(ISNUMBER($M233),IF($M233&gt;=Header!$C$18,"YES — refer","No"),""))</f>
      </c>
      <c r="AZ233" s="44">
        <f>IF($AD233="","",IF(ISNUMBER($AD233),IF($AD233&lt;Header!$C$20,"BELOW MIN PREMIUM","OK"),""))</f>
      </c>
      <c r="BA233" s="32" t="inlineStr">
        <is>
          <t xml:space="preserve">Yes</t>
        </is>
      </c>
      <c r="BB233" s="32" t="inlineStr">
        <is>
          <t xml:space="preserve">Yes</t>
        </is>
      </c>
      <c r="BC233" s="30" t="inlineStr">
        <is>
          <t xml:space="preserve">Synthetic demo data</t>
        </is>
      </c>
      <c r="BE233" s="45">
        <f>IF(OR($A233="",$L233="",$H233=""),"",IF(AND(LEFT($L233,2)="06",$H233&gt;1945),"FAIL - pre-war class, year "&amp;$H233,IF(AND(LEFT($L233,2)="07",OR($H233&lt;1946,$H233&gt;1972)),"FAIL - 1946-72 class, year "&amp;$H233,IF(AND(LEFT($L233,2)="08",OR($H233&lt;1973,$H233&gt;1999)),"FAIL - 1973-99 class, year "&amp;$H233,IF(AND(LEFT($L233,2)="09",OR($H233&lt;2000,$H233&gt;2010)),"FAIL - 2000-10 class, year "&amp;$H233,"OK")))))</f>
      </c>
      <c r="BF233" s="45">
        <f>IF($AD233="","",IF(ROUND($AO233+$AP233+$AQ233-$AD233,2)=0,"OK","FAIL - out by "&amp;TEXT($AO233+$AP233+$AQ233-$AD233,"$0.00")))</f>
      </c>
    </row>
    <row r="234" spans="1:58" ht="18.75" customHeight="1" x14ac:dyDescent="0.25">
      <c r="A234" s="46" t="inlineStr">
        <is>
          <t xml:space="preserve">CANON-202508-000309</t>
        </is>
      </c>
      <c r="B234" s="46" t="inlineStr">
        <is>
          <t xml:space="preserve">Anouk Blackwood</t>
        </is>
      </c>
      <c r="C234" s="47">
        <v>45882</v>
      </c>
      <c r="D234" s="48" t="inlineStr">
        <is>
          <t xml:space="preserve">Bound - within authority</t>
        </is>
      </c>
      <c r="E234" s="48" t="inlineStr">
        <is>
          <t xml:space="preserve">New business</t>
        </is>
      </c>
      <c r="F234" s="46" t="inlineStr">
        <is>
          <t xml:space="preserve">B1234EXOTIC26</t>
        </is>
      </c>
      <c r="G234" s="33">
        <f>IF($A234="","",IF($C234="","",YEAR($C234)))</f>
      </c>
      <c r="H234" s="49">
        <v>1985</v>
      </c>
      <c r="I234" s="46" t="inlineStr">
        <is>
          <t xml:space="preserve">Ferrari</t>
        </is>
      </c>
      <c r="J234" s="46" t="inlineStr">
        <is>
          <t xml:space="preserve">SF90 Stradale</t>
        </is>
      </c>
      <c r="K234" s="46" t="inlineStr">
        <is>
          <t xml:space="preserve">RRYUB5L1USJ1SCM0R</t>
        </is>
      </c>
      <c r="L234" s="48" t="inlineStr">
        <is>
          <t xml:space="preserve">03 - Supercar</t>
        </is>
      </c>
      <c r="M234" s="50">
        <v>1250000</v>
      </c>
      <c r="N234" s="48" t="inlineStr">
        <is>
          <t xml:space="preserve">Personal</t>
        </is>
      </c>
      <c r="O234" s="46" t="inlineStr">
        <is>
          <t xml:space="preserve">Personal - regular use</t>
        </is>
      </c>
      <c r="P234" s="46" t="inlineStr">
        <is>
          <t xml:space="preserve">2,500 - 5,000</t>
        </is>
      </c>
      <c r="Q234" s="46" t="inlineStr">
        <is>
          <t xml:space="preserve">Michigan</t>
        </is>
      </c>
      <c r="R234" s="46" t="inlineStr">
        <is>
          <t xml:space="preserve">48226</t>
        </is>
      </c>
      <c r="S234" s="48" t="inlineStr">
        <is>
          <t xml:space="preserve">Severe convective - hail / tornado (moderate)</t>
        </is>
      </c>
      <c r="T234" s="36">
        <f>IF($A234="","",IF($S234="","",IFERROR(INDEX('[1]natural catastrophe'!$D$6:$D$17,MATCH($S234,'[1]natural catastrophe'!$B$6:$B$17,0)),"?")))</f>
      </c>
      <c r="U234" s="46" t="inlineStr">
        <is>
          <t xml:space="preserve">$5,000</t>
        </is>
      </c>
      <c r="V234" s="48" t="inlineStr">
        <is>
          <t xml:space="preserve">Agreed Value</t>
        </is>
      </c>
      <c r="W234" s="46" t="inlineStr">
        <is>
          <t xml:space="preserve">$1,000</t>
        </is>
      </c>
      <c r="X234" s="48" t="inlineStr">
        <is>
          <t xml:space="preserve">$1,000,000 CSL</t>
        </is>
      </c>
      <c r="Y234" s="46"/>
      <c r="Z234" s="46"/>
      <c r="AA234" s="48" t="inlineStr">
        <is>
          <t xml:space="preserve">Surplus Lines</t>
        </is>
      </c>
      <c r="AB234" s="50">
        <v>29245.28</v>
      </c>
      <c r="AC234" s="51">
        <v>0</v>
      </c>
      <c r="AD234" s="38">
        <f>IF(ISNUMBER($AB234),$AB234*(1+N($AC234)),"")</f>
      </c>
      <c r="AE234" s="50">
        <v>350</v>
      </c>
      <c r="AF234" s="50">
        <v>250</v>
      </c>
      <c r="AG234" s="51"/>
      <c r="AH234" s="39">
        <f>IF(ISNUMBER($AD234),($AD234+$AE234+$AF234)*$AG234,"")</f>
      </c>
      <c r="AI234" s="50"/>
      <c r="AJ234" s="38">
        <f>IF(ISNUMBER($AD234),SUM($AD234:$AH234),"")</f>
      </c>
      <c r="AK234" s="40">
        <f>IF(AND(ISNUMBER($AB234),ISNUMBER($AD234)),IF($AB234&gt;0,$AD234/$AB234,""),"")</f>
      </c>
      <c r="AL234" s="48" t="inlineStr">
        <is>
          <t xml:space="preserve">At technical</t>
        </is>
      </c>
      <c r="AM234" s="41">
        <f>IF(ISNUMBER($AD234),Header!$I$3,"")</f>
      </c>
      <c r="AN234" s="39">
        <f>IF(ISNUMBER($AD234),$AO234+$AP234,"")</f>
      </c>
      <c r="AO234" s="39">
        <f>IF(ISNUMBER($AD234),ROUND($AD234*Header!$K$3,2),"")</f>
      </c>
      <c r="AP234" s="39">
        <f>IF(ISNUMBER($AD234),ROUND($AD234*Header!$M$3,2),"")</f>
      </c>
      <c r="AQ234" s="38">
        <f>IF(ISNUMBER($AD234),ROUND($AD234,2)-$AO234-$AP234,"")</f>
      </c>
      <c r="AR234" s="39">
        <f>IF(ISNUMBER($AD234),IF(Header!$D$34="","?",$AD234*Header!$D$34),"")</f>
      </c>
      <c r="AS234" s="39">
        <f>IF(ISNUMBER($AB234),IF(Header!$D$34="","?",$AB234*Header!$D$34),"")</f>
      </c>
      <c r="AT234" s="42">
        <f>IF(AND(ISNUMBER($AB234),$M234&gt;0),$AB234/$M234*100,"")</f>
      </c>
      <c r="AU234" s="42">
        <f>IF(AND(ISNUMBER($AD234),$M234&gt;0),$AD234/$M234*100,"")</f>
      </c>
      <c r="AV234" s="40">
        <f>IF(AND(ISNUMBER($AB234),ISNUMBER($AD234),ABS($AB234)&gt;0),$AD234/$AB234,"")</f>
      </c>
      <c r="AW234" s="39">
        <f>IF(ISNUMBER($AD234),MAX(0,(1-0.55-Header!$O$3)*Header!$Q$3*$AQ234),"")</f>
      </c>
      <c r="AX234" s="43">
        <f>IF($A234="","",IF(TRIM(IF($A234="","Missing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",""))="","PASS","FAIL: "&amp;TRIM(IF($A234="","Missing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f>
      </c>
      <c r="AY234" s="44">
        <f>IF($M234="","",IF(ISNUMBER($M234),IF($M234&gt;=Header!$C$18,"YES — refer","No"),""))</f>
      </c>
      <c r="AZ234" s="44">
        <f>IF($AD234="","",IF(ISNUMBER($AD234),IF($AD234&lt;Header!$C$20,"BELOW MIN PREMIUM","OK"),""))</f>
      </c>
      <c r="BA234" s="48" t="inlineStr">
        <is>
          <t xml:space="preserve">Yes</t>
        </is>
      </c>
      <c r="BB234" s="48" t="inlineStr">
        <is>
          <t xml:space="preserve">Yes</t>
        </is>
      </c>
      <c r="BC234" s="46" t="inlineStr">
        <is>
          <t xml:space="preserve">Synthetic demo data</t>
        </is>
      </c>
      <c r="BE234" s="45">
        <f>IF(OR($A234="",$L234="",$H234=""),"",IF(AND(LEFT($L234,2)="06",$H234&gt;1945),"FAIL - pre-war class, year "&amp;$H234,IF(AND(LEFT($L234,2)="07",OR($H234&lt;1946,$H234&gt;1972)),"FAIL - 1946-72 class, year "&amp;$H234,IF(AND(LEFT($L234,2)="08",OR($H234&lt;1973,$H234&gt;1999)),"FAIL - 1973-99 class, year "&amp;$H234,IF(AND(LEFT($L234,2)="09",OR($H234&lt;2000,$H234&gt;2010)),"FAIL - 2000-10 class, year "&amp;$H234,"OK")))))</f>
      </c>
      <c r="BF234" s="45">
        <f>IF($AD234="","",IF(ROUND($AO234+$AP234+$AQ234-$AD234,2)=0,"OK","FAIL - out by "&amp;TEXT($AO234+$AP234+$AQ234-$AD234,"$0.00")))</f>
      </c>
    </row>
    <row r="235" spans="1:58" ht="18.75" customHeight="1" x14ac:dyDescent="0.25">
      <c r="A235" s="30" t="inlineStr">
        <is>
          <t xml:space="preserve">CANON-202508-000310</t>
        </is>
      </c>
      <c r="B235" s="30" t="inlineStr">
        <is>
          <t xml:space="preserve">Cassius Blackwood</t>
        </is>
      </c>
      <c r="C235" s="31">
        <v>45888</v>
      </c>
      <c r="D235" s="32" t="inlineStr">
        <is>
          <t xml:space="preserve">Bound - within authority</t>
        </is>
      </c>
      <c r="E235" s="32" t="inlineStr">
        <is>
          <t xml:space="preserve">New business</t>
        </is>
      </c>
      <c r="F235" s="30" t="inlineStr">
        <is>
          <t xml:space="preserve">B1234EXOTIC26</t>
        </is>
      </c>
      <c r="G235" s="33">
        <f>IF($A235="","",IF($C235="","",YEAR($C235)))</f>
      </c>
      <c r="H235" s="34">
        <v>2011</v>
      </c>
      <c r="I235" s="30" t="inlineStr">
        <is>
          <t xml:space="preserve">Aston Martin</t>
        </is>
      </c>
      <c r="J235" s="30" t="inlineStr">
        <is>
          <t xml:space="preserve">DB12</t>
        </is>
      </c>
      <c r="K235" s="30" t="inlineStr">
        <is>
          <t xml:space="preserve">P9GU1HNGUWK4YY30K</t>
        </is>
      </c>
      <c r="L235" s="32" t="inlineStr">
        <is>
          <t xml:space="preserve">02 - Sports / GT</t>
        </is>
      </c>
      <c r="M235" s="35">
        <v>530000</v>
      </c>
      <c r="N235" s="32" t="inlineStr">
        <is>
          <t xml:space="preserve">Personal</t>
        </is>
      </c>
      <c r="O235" s="30" t="inlineStr">
        <is>
          <t xml:space="preserve">Personal - regular use</t>
        </is>
      </c>
      <c r="P235" s="30" t="inlineStr">
        <is>
          <t xml:space="preserve">2,500 - 5,000</t>
        </is>
      </c>
      <c r="Q235" s="30" t="inlineStr">
        <is>
          <t xml:space="preserve">California</t>
        </is>
      </c>
      <c r="R235" s="30" t="inlineStr">
        <is>
          <t xml:space="preserve">90012</t>
        </is>
      </c>
      <c r="S235" s="32" t="inlineStr">
        <is>
          <t xml:space="preserve">Earthquake - high (CA, Cascadia, New Madrid)</t>
        </is>
      </c>
      <c r="T235" s="36">
        <f>IF($A235="","",IF($S235="","",IFERROR(INDEX('[1]natural catastrophe'!$D$6:$D$17,MATCH($S235,'[1]natural catastrophe'!$B$6:$B$17,0)),"?")))</f>
      </c>
      <c r="U235" s="30" t="inlineStr">
        <is>
          <t xml:space="preserve">$5,000</t>
        </is>
      </c>
      <c r="V235" s="32" t="inlineStr">
        <is>
          <t xml:space="preserve">Agreed Value</t>
        </is>
      </c>
      <c r="W235" s="30" t="inlineStr">
        <is>
          <t xml:space="preserve">$1,000</t>
        </is>
      </c>
      <c r="X235" s="32" t="inlineStr">
        <is>
          <t xml:space="preserve">$1,000,000 CSL</t>
        </is>
      </c>
      <c r="Y235" s="30"/>
      <c r="Z235" s="30"/>
      <c r="AA235" s="32" t="inlineStr">
        <is>
          <t xml:space="preserve">Surplus Lines</t>
        </is>
      </c>
      <c r="AB235" s="35">
        <v>8775</v>
      </c>
      <c r="AC235" s="37">
        <v>0</v>
      </c>
      <c r="AD235" s="38">
        <f>IF(ISNUMBER($AB235),$AB235*(1+N($AC235)),"")</f>
      </c>
      <c r="AE235" s="35">
        <v>350</v>
      </c>
      <c r="AF235" s="35">
        <v>0</v>
      </c>
      <c r="AG235" s="37"/>
      <c r="AH235" s="39">
        <f>IF(ISNUMBER($AD235),($AD235+$AE235+$AF235)*$AG235,"")</f>
      </c>
      <c r="AI235" s="35"/>
      <c r="AJ235" s="38">
        <f>IF(ISNUMBER($AD235),SUM($AD235:$AH235),"")</f>
      </c>
      <c r="AK235" s="40">
        <f>IF(AND(ISNUMBER($AB235),ISNUMBER($AD235)),IF($AB235&gt;0,$AD235/$AB235,""),"")</f>
      </c>
      <c r="AL235" s="32" t="inlineStr">
        <is>
          <t xml:space="preserve">At technical</t>
        </is>
      </c>
      <c r="AM235" s="41">
        <f>IF(ISNUMBER($AD235),Header!$I$3,"")</f>
      </c>
      <c r="AN235" s="39">
        <f>IF(ISNUMBER($AD235),$AO235+$AP235,"")</f>
      </c>
      <c r="AO235" s="39">
        <f>IF(ISNUMBER($AD235),ROUND($AD235*Header!$K$3,2),"")</f>
      </c>
      <c r="AP235" s="39">
        <f>IF(ISNUMBER($AD235),ROUND($AD235*Header!$M$3,2),"")</f>
      </c>
      <c r="AQ235" s="38">
        <f>IF(ISNUMBER($AD235),ROUND($AD235,2)-$AO235-$AP235,"")</f>
      </c>
      <c r="AR235" s="39">
        <f>IF(ISNUMBER($AD235),IF(Header!$D$34="","?",$AD235*Header!$D$34),"")</f>
      </c>
      <c r="AS235" s="39">
        <f>IF(ISNUMBER($AB235),IF(Header!$D$34="","?",$AB235*Header!$D$34),"")</f>
      </c>
      <c r="AT235" s="42">
        <f>IF(AND(ISNUMBER($AB235),$M235&gt;0),$AB235/$M235*100,"")</f>
      </c>
      <c r="AU235" s="42">
        <f>IF(AND(ISNUMBER($AD235),$M235&gt;0),$AD235/$M235*100,"")</f>
      </c>
      <c r="AV235" s="40">
        <f>IF(AND(ISNUMBER($AB235),ISNUMBER($AD235),ABS($AB235)&gt;0),$AD235/$AB235,"")</f>
      </c>
      <c r="AW235" s="39">
        <f>IF(ISNUMBER($AD235),MAX(0,(1-0.55-Header!$O$3)*Header!$Q$3*$AQ235),"")</f>
      </c>
      <c r="AX235" s="43">
        <f>IF($A235="","",IF(TRIM(IF($A235="","Missing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",""))="","PASS","FAIL: "&amp;TRIM(IF($A235="","Missing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f>
      </c>
      <c r="AY235" s="44">
        <f>IF($M235="","",IF(ISNUMBER($M235),IF($M235&gt;=Header!$C$18,"YES — refer","No"),""))</f>
      </c>
      <c r="AZ235" s="44">
        <f>IF($AD235="","",IF(ISNUMBER($AD235),IF($AD235&lt;Header!$C$20,"BELOW MIN PREMIUM","OK"),""))</f>
      </c>
      <c r="BA235" s="32" t="inlineStr">
        <is>
          <t xml:space="preserve">Yes</t>
        </is>
      </c>
      <c r="BB235" s="32" t="inlineStr">
        <is>
          <t xml:space="preserve">Yes</t>
        </is>
      </c>
      <c r="BC235" s="30" t="inlineStr">
        <is>
          <t xml:space="preserve">Synthetic demo data</t>
        </is>
      </c>
      <c r="BE235" s="45">
        <f>IF(OR($A235="",$L235="",$H235=""),"",IF(AND(LEFT($L235,2)="06",$H235&gt;1945),"FAIL - pre-war class, year "&amp;$H235,IF(AND(LEFT($L235,2)="07",OR($H235&lt;1946,$H235&gt;1972)),"FAIL - 1946-72 class, year "&amp;$H235,IF(AND(LEFT($L235,2)="08",OR($H235&lt;1973,$H235&gt;1999)),"FAIL - 1973-99 class, year "&amp;$H235,IF(AND(LEFT($L235,2)="09",OR($H235&lt;2000,$H235&gt;2010)),"FAIL - 2000-10 class, year "&amp;$H235,"OK")))))</f>
      </c>
      <c r="BF235" s="45">
        <f>IF($AD235="","",IF(ROUND($AO235+$AP235+$AQ235-$AD235,2)=0,"OK","FAIL - out by "&amp;TEXT($AO235+$AP235+$AQ235-$AD235,"$0.00")))</f>
      </c>
    </row>
    <row r="236" spans="1:58" ht="18.75" customHeight="1" x14ac:dyDescent="0.25">
      <c r="A236" s="46" t="inlineStr">
        <is>
          <t xml:space="preserve">CANON-202508-000311</t>
        </is>
      </c>
      <c r="B236" s="46" t="inlineStr">
        <is>
          <t xml:space="preserve">Ramona Nakashima</t>
        </is>
      </c>
      <c r="C236" s="47">
        <v>45886</v>
      </c>
      <c r="D236" s="48" t="inlineStr">
        <is>
          <t xml:space="preserve">Bound - within authority</t>
        </is>
      </c>
      <c r="E236" s="48" t="inlineStr">
        <is>
          <t xml:space="preserve">New business</t>
        </is>
      </c>
      <c r="F236" s="46" t="inlineStr">
        <is>
          <t xml:space="preserve">B1234EXOTIC26</t>
        </is>
      </c>
      <c r="G236" s="33">
        <f>IF($A236="","",IF($C236="","",YEAR($C236)))</f>
      </c>
      <c r="H236" s="49">
        <v>1983</v>
      </c>
      <c r="I236" s="46" t="inlineStr">
        <is>
          <t xml:space="preserve">Mercedes-Benz</t>
        </is>
      </c>
      <c r="J236" s="46" t="inlineStr">
        <is>
          <t xml:space="preserve">AMG GT</t>
        </is>
      </c>
      <c r="K236" s="46" t="inlineStr">
        <is>
          <t xml:space="preserve">BD3L29NP4DZN0JD0Y</t>
        </is>
      </c>
      <c r="L236" s="48" t="inlineStr">
        <is>
          <t xml:space="preserve">02 - Sports / GT</t>
        </is>
      </c>
      <c r="M236" s="50">
        <v>700000</v>
      </c>
      <c r="N236" s="48" t="inlineStr">
        <is>
          <t xml:space="preserve">Personal</t>
        </is>
      </c>
      <c r="O236" s="46" t="inlineStr">
        <is>
          <t xml:space="preserve">Personal - regular use</t>
        </is>
      </c>
      <c r="P236" s="46" t="inlineStr">
        <is>
          <t xml:space="preserve">Under 1,000</t>
        </is>
      </c>
      <c r="Q236" s="46" t="inlineStr">
        <is>
          <t xml:space="preserve">Washington</t>
        </is>
      </c>
      <c r="R236" s="46" t="inlineStr">
        <is>
          <t xml:space="preserve">98101</t>
        </is>
      </c>
      <c r="S236" s="48" t="inlineStr">
        <is>
          <t xml:space="preserve">Earthquake - high (CA, Cascadia, New Madrid)</t>
        </is>
      </c>
      <c r="T236" s="36">
        <f>IF($A236="","",IF($S236="","",IFERROR(INDEX('[1]natural catastrophe'!$D$6:$D$17,MATCH($S236,'[1]natural catastrophe'!$B$6:$B$17,0)),"?")))</f>
      </c>
      <c r="U236" s="46" t="inlineStr">
        <is>
          <t xml:space="preserve">$5,000</t>
        </is>
      </c>
      <c r="V236" s="48" t="inlineStr">
        <is>
          <t xml:space="preserve">Agreed Value</t>
        </is>
      </c>
      <c r="W236" s="46" t="inlineStr">
        <is>
          <t xml:space="preserve">$1,000</t>
        </is>
      </c>
      <c r="X236" s="48" t="inlineStr">
        <is>
          <t xml:space="preserve">$1,000,000 CSL</t>
        </is>
      </c>
      <c r="Y236" s="46"/>
      <c r="Z236" s="46"/>
      <c r="AA236" s="48" t="inlineStr">
        <is>
          <t xml:space="preserve">Surplus Lines</t>
        </is>
      </c>
      <c r="AB236" s="50">
        <v>8241.51</v>
      </c>
      <c r="AC236" s="51">
        <v>0</v>
      </c>
      <c r="AD236" s="38">
        <f>IF(ISNUMBER($AB236),$AB236*(1+N($AC236)),"")</f>
      </c>
      <c r="AE236" s="50">
        <v>350</v>
      </c>
      <c r="AF236" s="50">
        <v>0</v>
      </c>
      <c r="AG236" s="51"/>
      <c r="AH236" s="39">
        <f>IF(ISNUMBER($AD236),($AD236+$AE236+$AF236)*$AG236,"")</f>
      </c>
      <c r="AI236" s="50"/>
      <c r="AJ236" s="38">
        <f>IF(ISNUMBER($AD236),SUM($AD236:$AH236),"")</f>
      </c>
      <c r="AK236" s="40">
        <f>IF(AND(ISNUMBER($AB236),ISNUMBER($AD236)),IF($AB236&gt;0,$AD236/$AB236,""),"")</f>
      </c>
      <c r="AL236" s="48" t="inlineStr">
        <is>
          <t xml:space="preserve">At technical</t>
        </is>
      </c>
      <c r="AM236" s="41">
        <f>IF(ISNUMBER($AD236),Header!$I$3,"")</f>
      </c>
      <c r="AN236" s="39">
        <f>IF(ISNUMBER($AD236),$AO236+$AP236,"")</f>
      </c>
      <c r="AO236" s="39">
        <f>IF(ISNUMBER($AD236),ROUND($AD236*Header!$K$3,2),"")</f>
      </c>
      <c r="AP236" s="39">
        <f>IF(ISNUMBER($AD236),ROUND($AD236*Header!$M$3,2),"")</f>
      </c>
      <c r="AQ236" s="38">
        <f>IF(ISNUMBER($AD236),ROUND($AD236,2)-$AO236-$AP236,"")</f>
      </c>
      <c r="AR236" s="39">
        <f>IF(ISNUMBER($AD236),IF(Header!$D$34="","?",$AD236*Header!$D$34),"")</f>
      </c>
      <c r="AS236" s="39">
        <f>IF(ISNUMBER($AB236),IF(Header!$D$34="","?",$AB236*Header!$D$34),"")</f>
      </c>
      <c r="AT236" s="42">
        <f>IF(AND(ISNUMBER($AB236),$M236&gt;0),$AB236/$M236*100,"")</f>
      </c>
      <c r="AU236" s="42">
        <f>IF(AND(ISNUMBER($AD236),$M236&gt;0),$AD236/$M236*100,"")</f>
      </c>
      <c r="AV236" s="40">
        <f>IF(AND(ISNUMBER($AB236),ISNUMBER($AD236),ABS($AB236)&gt;0),$AD236/$AB236,"")</f>
      </c>
      <c r="AW236" s="39">
        <f>IF(ISNUMBER($AD236),MAX(0,(1-0.55-Header!$O$3)*Header!$Q$3*$AQ236),"")</f>
      </c>
      <c r="AX236" s="43">
        <f>IF($A236="","",IF(TRIM(IF($A236="","Missing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",""))="","PASS","FAIL: "&amp;TRIM(IF($A236="","Missing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f>
      </c>
      <c r="AY236" s="44">
        <f>IF($M236="","",IF(ISNUMBER($M236),IF($M236&gt;=Header!$C$18,"YES — refer","No"),""))</f>
      </c>
      <c r="AZ236" s="44">
        <f>IF($AD236="","",IF(ISNUMBER($AD236),IF($AD236&lt;Header!$C$20,"BELOW MIN PREMIUM","OK"),""))</f>
      </c>
      <c r="BA236" s="48" t="inlineStr">
        <is>
          <t xml:space="preserve">Yes</t>
        </is>
      </c>
      <c r="BB236" s="48" t="inlineStr">
        <is>
          <t xml:space="preserve">Yes</t>
        </is>
      </c>
      <c r="BC236" s="46" t="inlineStr">
        <is>
          <t xml:space="preserve">Synthetic demo data</t>
        </is>
      </c>
      <c r="BE236" s="45">
        <f>IF(OR($A236="",$L236="",$H236=""),"",IF(AND(LEFT($L236,2)="06",$H236&gt;1945),"FAIL - pre-war class, year "&amp;$H236,IF(AND(LEFT($L236,2)="07",OR($H236&lt;1946,$H236&gt;1972)),"FAIL - 1946-72 class, year "&amp;$H236,IF(AND(LEFT($L236,2)="08",OR($H236&lt;1973,$H236&gt;1999)),"FAIL - 1973-99 class, year "&amp;$H236,IF(AND(LEFT($L236,2)="09",OR($H236&lt;2000,$H236&gt;2010)),"FAIL - 2000-10 class, year "&amp;$H236,"OK")))))</f>
      </c>
      <c r="BF236" s="45">
        <f>IF($AD236="","",IF(ROUND($AO236+$AP236+$AQ236-$AD236,2)=0,"OK","FAIL - out by "&amp;TEXT($AO236+$AP236+$AQ236-$AD236,"$0.00")))</f>
      </c>
    </row>
    <row r="237" spans="1:58" ht="18.75" customHeight="1" x14ac:dyDescent="0.25">
      <c r="A237" s="30" t="inlineStr">
        <is>
          <t xml:space="preserve">CANON-202508-000313</t>
        </is>
      </c>
      <c r="B237" s="30" t="inlineStr">
        <is>
          <t xml:space="preserve">Desmond Harrington</t>
        </is>
      </c>
      <c r="C237" s="31">
        <v>45885</v>
      </c>
      <c r="D237" s="32" t="inlineStr">
        <is>
          <t xml:space="preserve">Bound - within authority</t>
        </is>
      </c>
      <c r="E237" s="32" t="inlineStr">
        <is>
          <t xml:space="preserve">New business</t>
        </is>
      </c>
      <c r="F237" s="30" t="inlineStr">
        <is>
          <t xml:space="preserve">B1234EXOTIC26</t>
        </is>
      </c>
      <c r="G237" s="33">
        <f>IF($A237="","",IF($C237="","",YEAR($C237)))</f>
      </c>
      <c r="H237" s="34">
        <v>1991</v>
      </c>
      <c r="I237" s="30" t="inlineStr">
        <is>
          <t xml:space="preserve">Aston Martin</t>
        </is>
      </c>
      <c r="J237" s="30" t="inlineStr">
        <is>
          <t xml:space="preserve">DB12</t>
        </is>
      </c>
      <c r="K237" s="30" t="inlineStr">
        <is>
          <t xml:space="preserve">W4G55F3JBWJYF302P</t>
        </is>
      </c>
      <c r="L237" s="32" t="inlineStr">
        <is>
          <t xml:space="preserve">02 - Sports / GT</t>
        </is>
      </c>
      <c r="M237" s="35">
        <v>435000</v>
      </c>
      <c r="N237" s="32" t="inlineStr">
        <is>
          <t xml:space="preserve">Personal</t>
        </is>
      </c>
      <c r="O237" s="30" t="inlineStr">
        <is>
          <t xml:space="preserve">Personal - regular use</t>
        </is>
      </c>
      <c r="P237" s="30" t="inlineStr">
        <is>
          <t xml:space="preserve">2,500 - 5,000</t>
        </is>
      </c>
      <c r="Q237" s="30" t="inlineStr">
        <is>
          <t xml:space="preserve">California</t>
        </is>
      </c>
      <c r="R237" s="30" t="inlineStr">
        <is>
          <t xml:space="preserve">90012</t>
        </is>
      </c>
      <c r="S237" s="32" t="inlineStr">
        <is>
          <t xml:space="preserve">Earthquake - high (CA, Cascadia, New Madrid)</t>
        </is>
      </c>
      <c r="T237" s="36">
        <f>IF($A237="","",IF($S237="","",IFERROR(INDEX('[1]natural catastrophe'!$D$6:$D$17,MATCH($S237,'[1]natural catastrophe'!$B$6:$B$17,0)),"?")))</f>
      </c>
      <c r="U237" s="30" t="inlineStr">
        <is>
          <t xml:space="preserve">$5,000</t>
        </is>
      </c>
      <c r="V237" s="32" t="inlineStr">
        <is>
          <t xml:space="preserve">Agreed Value</t>
        </is>
      </c>
      <c r="W237" s="30" t="inlineStr">
        <is>
          <t xml:space="preserve">$1,000</t>
        </is>
      </c>
      <c r="X237" s="32" t="inlineStr">
        <is>
          <t xml:space="preserve">$1,000,000 CSL</t>
        </is>
      </c>
      <c r="Y237" s="30"/>
      <c r="Z237" s="30"/>
      <c r="AA237" s="32" t="inlineStr">
        <is>
          <t xml:space="preserve">Surplus Lines</t>
        </is>
      </c>
      <c r="AB237" s="35">
        <v>8310.14</v>
      </c>
      <c r="AC237" s="37">
        <v>0</v>
      </c>
      <c r="AD237" s="38">
        <f>IF(ISNUMBER($AB237),$AB237*(1+N($AC237)),"")</f>
      </c>
      <c r="AE237" s="35">
        <v>350</v>
      </c>
      <c r="AF237" s="35">
        <v>0</v>
      </c>
      <c r="AG237" s="37"/>
      <c r="AH237" s="39">
        <f>IF(ISNUMBER($AD237),($AD237+$AE237+$AF237)*$AG237,"")</f>
      </c>
      <c r="AI237" s="35"/>
      <c r="AJ237" s="38">
        <f>IF(ISNUMBER($AD237),SUM($AD237:$AH237),"")</f>
      </c>
      <c r="AK237" s="40">
        <f>IF(AND(ISNUMBER($AB237),ISNUMBER($AD237)),IF($AB237&gt;0,$AD237/$AB237,""),"")</f>
      </c>
      <c r="AL237" s="32" t="inlineStr">
        <is>
          <t xml:space="preserve">At technical</t>
        </is>
      </c>
      <c r="AM237" s="41">
        <f>IF(ISNUMBER($AD237),Header!$I$3,"")</f>
      </c>
      <c r="AN237" s="39">
        <f>IF(ISNUMBER($AD237),$AO237+$AP237,"")</f>
      </c>
      <c r="AO237" s="39">
        <f>IF(ISNUMBER($AD237),ROUND($AD237*Header!$K$3,2),"")</f>
      </c>
      <c r="AP237" s="39">
        <f>IF(ISNUMBER($AD237),ROUND($AD237*Header!$M$3,2),"")</f>
      </c>
      <c r="AQ237" s="38">
        <f>IF(ISNUMBER($AD237),ROUND($AD237,2)-$AO237-$AP237,"")</f>
      </c>
      <c r="AR237" s="39">
        <f>IF(ISNUMBER($AD237),IF(Header!$D$34="","?",$AD237*Header!$D$34),"")</f>
      </c>
      <c r="AS237" s="39">
        <f>IF(ISNUMBER($AB237),IF(Header!$D$34="","?",$AB237*Header!$D$34),"")</f>
      </c>
      <c r="AT237" s="42">
        <f>IF(AND(ISNUMBER($AB237),$M237&gt;0),$AB237/$M237*100,"")</f>
      </c>
      <c r="AU237" s="42">
        <f>IF(AND(ISNUMBER($AD237),$M237&gt;0),$AD237/$M237*100,"")</f>
      </c>
      <c r="AV237" s="40">
        <f>IF(AND(ISNUMBER($AB237),ISNUMBER($AD237),ABS($AB237)&gt;0),$AD237/$AB237,"")</f>
      </c>
      <c r="AW237" s="39">
        <f>IF(ISNUMBER($AD237),MAX(0,(1-0.55-Header!$O$3)*Header!$Q$3*$AQ237),"")</f>
      </c>
      <c r="AX237" s="43">
        <f>IF($A237="","",IF(TRIM(IF($A237="","Missing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",""))="","PASS","FAIL: "&amp;TRIM(IF($A237="","Missing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f>
      </c>
      <c r="AY237" s="44">
        <f>IF($M237="","",IF(ISNUMBER($M237),IF($M237&gt;=Header!$C$18,"YES — refer","No"),""))</f>
      </c>
      <c r="AZ237" s="44">
        <f>IF($AD237="","",IF(ISNUMBER($AD237),IF($AD237&lt;Header!$C$20,"BELOW MIN PREMIUM","OK"),""))</f>
      </c>
      <c r="BA237" s="32" t="inlineStr">
        <is>
          <t xml:space="preserve">Yes</t>
        </is>
      </c>
      <c r="BB237" s="32" t="inlineStr">
        <is>
          <t xml:space="preserve">Yes</t>
        </is>
      </c>
      <c r="BC237" s="30" t="inlineStr">
        <is>
          <t xml:space="preserve">Synthetic demo data</t>
        </is>
      </c>
      <c r="BE237" s="45">
        <f>IF(OR($A237="",$L237="",$H237=""),"",IF(AND(LEFT($L237,2)="06",$H237&gt;1945),"FAIL - pre-war class, year "&amp;$H237,IF(AND(LEFT($L237,2)="07",OR($H237&lt;1946,$H237&gt;1972)),"FAIL - 1946-72 class, year "&amp;$H237,IF(AND(LEFT($L237,2)="08",OR($H237&lt;1973,$H237&gt;1999)),"FAIL - 1973-99 class, year "&amp;$H237,IF(AND(LEFT($L237,2)="09",OR($H237&lt;2000,$H237&gt;2010)),"FAIL - 2000-10 class, year "&amp;$H237,"OK")))))</f>
      </c>
      <c r="BF237" s="45">
        <f>IF($AD237="","",IF(ROUND($AO237+$AP237+$AQ237-$AD237,2)=0,"OK","FAIL - out by "&amp;TEXT($AO237+$AP237+$AQ237-$AD237,"$0.00")))</f>
      </c>
    </row>
    <row r="238" spans="1:58" ht="18.75" customHeight="1" x14ac:dyDescent="0.25">
      <c r="A238" s="46" t="inlineStr">
        <is>
          <t xml:space="preserve">CANON-202508-000314</t>
        </is>
      </c>
      <c r="B238" s="46" t="inlineStr">
        <is>
          <t xml:space="preserve">Everett Fairweather</t>
        </is>
      </c>
      <c r="C238" s="47">
        <v>45894</v>
      </c>
      <c r="D238" s="48" t="inlineStr">
        <is>
          <t xml:space="preserve">Bound - within authority</t>
        </is>
      </c>
      <c r="E238" s="48" t="inlineStr">
        <is>
          <t xml:space="preserve">New business</t>
        </is>
      </c>
      <c r="F238" s="46" t="inlineStr">
        <is>
          <t xml:space="preserve">B1234EXOTIC26</t>
        </is>
      </c>
      <c r="G238" s="33">
        <f>IF($A238="","",IF($C238="","",YEAR($C238)))</f>
      </c>
      <c r="H238" s="49">
        <v>2019</v>
      </c>
      <c r="I238" s="46" t="inlineStr">
        <is>
          <t xml:space="preserve">Aston Martin</t>
        </is>
      </c>
      <c r="J238" s="46" t="inlineStr">
        <is>
          <t xml:space="preserve">DB5</t>
        </is>
      </c>
      <c r="K238" s="46" t="inlineStr">
        <is>
          <t xml:space="preserve">BEK447WFKDGM5LLJU</t>
        </is>
      </c>
      <c r="L238" s="48" t="inlineStr">
        <is>
          <t xml:space="preserve">02 - Sports / GT</t>
        </is>
      </c>
      <c r="M238" s="50">
        <v>1830000</v>
      </c>
      <c r="N238" s="48" t="inlineStr">
        <is>
          <t xml:space="preserve">Personal</t>
        </is>
      </c>
      <c r="O238" s="46" t="inlineStr">
        <is>
          <t xml:space="preserve">Personal - regular use</t>
        </is>
      </c>
      <c r="P238" s="46" t="inlineStr">
        <is>
          <t xml:space="preserve">2,500 - 5,000</t>
        </is>
      </c>
      <c r="Q238" s="46" t="inlineStr">
        <is>
          <t xml:space="preserve">Louisiana</t>
        </is>
      </c>
      <c r="R238" s="46" t="inlineStr">
        <is>
          <t xml:space="preserve">70112</t>
        </is>
      </c>
      <c r="S238" s="48" t="inlineStr">
        <is>
          <t xml:space="preserve">Tier 2 - Coastal wind (1-25 miles)</t>
        </is>
      </c>
      <c r="T238" s="36">
        <f>IF($A238="","",IF($S238="","",IFERROR(INDEX('[1]natural catastrophe'!$D$6:$D$17,MATCH($S238,'[1]natural catastrophe'!$B$6:$B$17,0)),"?")))</f>
      </c>
      <c r="U238" s="46" t="inlineStr">
        <is>
          <t xml:space="preserve">2% of agreed value, minimum $10,000</t>
        </is>
      </c>
      <c r="V238" s="48" t="inlineStr">
        <is>
          <t xml:space="preserve">Agreed Value</t>
        </is>
      </c>
      <c r="W238" s="46" t="inlineStr">
        <is>
          <t xml:space="preserve">$1,000</t>
        </is>
      </c>
      <c r="X238" s="48" t="inlineStr">
        <is>
          <t xml:space="preserve">$1,000,000 CSL</t>
        </is>
      </c>
      <c r="Y238" s="46"/>
      <c r="Z238" s="46"/>
      <c r="AA238" s="48" t="inlineStr">
        <is>
          <t xml:space="preserve">Surplus Lines</t>
        </is>
      </c>
      <c r="AB238" s="50">
        <v>15876.11</v>
      </c>
      <c r="AC238" s="51">
        <v>0</v>
      </c>
      <c r="AD238" s="38">
        <f>IF(ISNUMBER($AB238),$AB238*(1+N($AC238)),"")</f>
      </c>
      <c r="AE238" s="50">
        <v>350</v>
      </c>
      <c r="AF238" s="50">
        <v>250</v>
      </c>
      <c r="AG238" s="51"/>
      <c r="AH238" s="39">
        <f>IF(ISNUMBER($AD238),($AD238+$AE238+$AF238)*$AG238,"")</f>
      </c>
      <c r="AI238" s="50"/>
      <c r="AJ238" s="38">
        <f>IF(ISNUMBER($AD238),SUM($AD238:$AH238),"")</f>
      </c>
      <c r="AK238" s="40">
        <f>IF(AND(ISNUMBER($AB238),ISNUMBER($AD238)),IF($AB238&gt;0,$AD238/$AB238,""),"")</f>
      </c>
      <c r="AL238" s="48" t="inlineStr">
        <is>
          <t xml:space="preserve">At technical</t>
        </is>
      </c>
      <c r="AM238" s="41">
        <f>IF(ISNUMBER($AD238),Header!$I$3,"")</f>
      </c>
      <c r="AN238" s="39">
        <f>IF(ISNUMBER($AD238),$AO238+$AP238,"")</f>
      </c>
      <c r="AO238" s="39">
        <f>IF(ISNUMBER($AD238),ROUND($AD238*Header!$K$3,2),"")</f>
      </c>
      <c r="AP238" s="39">
        <f>IF(ISNUMBER($AD238),ROUND($AD238*Header!$M$3,2),"")</f>
      </c>
      <c r="AQ238" s="38">
        <f>IF(ISNUMBER($AD238),ROUND($AD238,2)-$AO238-$AP238,"")</f>
      </c>
      <c r="AR238" s="39">
        <f>IF(ISNUMBER($AD238),IF(Header!$D$34="","?",$AD238*Header!$D$34),"")</f>
      </c>
      <c r="AS238" s="39">
        <f>IF(ISNUMBER($AB238),IF(Header!$D$34="","?",$AB238*Header!$D$34),"")</f>
      </c>
      <c r="AT238" s="42">
        <f>IF(AND(ISNUMBER($AB238),$M238&gt;0),$AB238/$M238*100,"")</f>
      </c>
      <c r="AU238" s="42">
        <f>IF(AND(ISNUMBER($AD238),$M238&gt;0),$AD238/$M238*100,"")</f>
      </c>
      <c r="AV238" s="40">
        <f>IF(AND(ISNUMBER($AB238),ISNUMBER($AD238),ABS($AB238)&gt;0),$AD238/$AB238,"")</f>
      </c>
      <c r="AW238" s="39">
        <f>IF(ISNUMBER($AD238),MAX(0,(1-0.55-Header!$O$3)*Header!$Q$3*$AQ238),"")</f>
      </c>
      <c r="AX238" s="43">
        <f>IF($A238="","",IF(TRIM(IF($A238="","Missing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",""))="","PASS","FAIL: "&amp;TRIM(IF($A238="","Missing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f>
      </c>
      <c r="AY238" s="44">
        <f>IF($M238="","",IF(ISNUMBER($M238),IF($M238&gt;=Header!$C$18,"YES — refer","No"),""))</f>
      </c>
      <c r="AZ238" s="44">
        <f>IF($AD238="","",IF(ISNUMBER($AD238),IF($AD238&lt;Header!$C$20,"BELOW MIN PREMIUM","OK"),""))</f>
      </c>
      <c r="BA238" s="48" t="inlineStr">
        <is>
          <t xml:space="preserve">Yes</t>
        </is>
      </c>
      <c r="BB238" s="48" t="inlineStr">
        <is>
          <t xml:space="preserve">Yes</t>
        </is>
      </c>
      <c r="BC238" s="46" t="inlineStr">
        <is>
          <t xml:space="preserve">Synthetic demo data</t>
        </is>
      </c>
      <c r="BE238" s="45">
        <f>IF(OR($A238="",$L238="",$H238=""),"",IF(AND(LEFT($L238,2)="06",$H238&gt;1945),"FAIL - pre-war class, year "&amp;$H238,IF(AND(LEFT($L238,2)="07",OR($H238&lt;1946,$H238&gt;1972)),"FAIL - 1946-72 class, year "&amp;$H238,IF(AND(LEFT($L238,2)="08",OR($H238&lt;1973,$H238&gt;1999)),"FAIL - 1973-99 class, year "&amp;$H238,IF(AND(LEFT($L238,2)="09",OR($H238&lt;2000,$H238&gt;2010)),"FAIL - 2000-10 class, year "&amp;$H238,"OK")))))</f>
      </c>
      <c r="BF238" s="45">
        <f>IF($AD238="","",IF(ROUND($AO238+$AP238+$AQ238-$AD238,2)=0,"OK","FAIL - out by "&amp;TEXT($AO238+$AP238+$AQ238-$AD238,"$0.00")))</f>
      </c>
    </row>
    <row r="239" spans="1:58" ht="18.75" customHeight="1" x14ac:dyDescent="0.25">
      <c r="A239" s="30" t="inlineStr">
        <is>
          <t xml:space="preserve">CANON-202508-000315</t>
        </is>
      </c>
      <c r="B239" s="30" t="inlineStr">
        <is>
          <t xml:space="preserve">Beatrix Okonkwo</t>
        </is>
      </c>
      <c r="C239" s="31">
        <v>45886</v>
      </c>
      <c r="D239" s="32" t="inlineStr">
        <is>
          <t xml:space="preserve">Bound - within authority</t>
        </is>
      </c>
      <c r="E239" s="32" t="inlineStr">
        <is>
          <t xml:space="preserve">New business</t>
        </is>
      </c>
      <c r="F239" s="30" t="inlineStr">
        <is>
          <t xml:space="preserve">B1234EXOTIC26</t>
        </is>
      </c>
      <c r="G239" s="33">
        <f>IF($A239="","",IF($C239="","",YEAR($C239)))</f>
      </c>
      <c r="H239" s="34">
        <v>2009</v>
      </c>
      <c r="I239" s="30" t="inlineStr">
        <is>
          <t xml:space="preserve">Mercedes-Benz</t>
        </is>
      </c>
      <c r="J239" s="30" t="inlineStr">
        <is>
          <t xml:space="preserve">AMG GT</t>
        </is>
      </c>
      <c r="K239" s="30" t="inlineStr">
        <is>
          <t xml:space="preserve">J8YEGBHKUW41XS60M</t>
        </is>
      </c>
      <c r="L239" s="32" t="inlineStr">
        <is>
          <t xml:space="preserve">02 - Sports / GT</t>
        </is>
      </c>
      <c r="M239" s="35">
        <v>715000</v>
      </c>
      <c r="N239" s="32" t="inlineStr">
        <is>
          <t xml:space="preserve">Personal</t>
        </is>
      </c>
      <c r="O239" s="30" t="inlineStr">
        <is>
          <t xml:space="preserve">Personal - regular use</t>
        </is>
      </c>
      <c r="P239" s="30" t="inlineStr">
        <is>
          <t xml:space="preserve">Under 1,000</t>
        </is>
      </c>
      <c r="Q239" s="30" t="inlineStr">
        <is>
          <t xml:space="preserve">Missouri</t>
        </is>
      </c>
      <c r="R239" s="30" t="inlineStr">
        <is>
          <t xml:space="preserve">63101</t>
        </is>
      </c>
      <c r="S239" s="32" t="inlineStr">
        <is>
          <t xml:space="preserve">Severe convective - hail / tornado (moderate)</t>
        </is>
      </c>
      <c r="T239" s="36">
        <f>IF($A239="","",IF($S239="","",IFERROR(INDEX('[1]natural catastrophe'!$D$6:$D$17,MATCH($S239,'[1]natural catastrophe'!$B$6:$B$17,0)),"?")))</f>
      </c>
      <c r="U239" s="30" t="inlineStr">
        <is>
          <t xml:space="preserve">$5,000</t>
        </is>
      </c>
      <c r="V239" s="32" t="inlineStr">
        <is>
          <t xml:space="preserve">Agreed Value</t>
        </is>
      </c>
      <c r="W239" s="30" t="inlineStr">
        <is>
          <t xml:space="preserve">$1,000</t>
        </is>
      </c>
      <c r="X239" s="32" t="inlineStr">
        <is>
          <t xml:space="preserve">$1,000,000 CSL</t>
        </is>
      </c>
      <c r="Y239" s="30"/>
      <c r="Z239" s="30"/>
      <c r="AA239" s="32" t="inlineStr">
        <is>
          <t xml:space="preserve">Surplus Lines</t>
        </is>
      </c>
      <c r="AB239" s="35">
        <v>9295</v>
      </c>
      <c r="AC239" s="37">
        <v>0</v>
      </c>
      <c r="AD239" s="38">
        <f>IF(ISNUMBER($AB239),$AB239*(1+N($AC239)),"")</f>
      </c>
      <c r="AE239" s="35">
        <v>350</v>
      </c>
      <c r="AF239" s="35">
        <v>0</v>
      </c>
      <c r="AG239" s="37"/>
      <c r="AH239" s="39">
        <f>IF(ISNUMBER($AD239),($AD239+$AE239+$AF239)*$AG239,"")</f>
      </c>
      <c r="AI239" s="35"/>
      <c r="AJ239" s="38">
        <f>IF(ISNUMBER($AD239),SUM($AD239:$AH239),"")</f>
      </c>
      <c r="AK239" s="40">
        <f>IF(AND(ISNUMBER($AB239),ISNUMBER($AD239)),IF($AB239&gt;0,$AD239/$AB239,""),"")</f>
      </c>
      <c r="AL239" s="32" t="inlineStr">
        <is>
          <t xml:space="preserve">At technical</t>
        </is>
      </c>
      <c r="AM239" s="41">
        <f>IF(ISNUMBER($AD239),Header!$I$3,"")</f>
      </c>
      <c r="AN239" s="39">
        <f>IF(ISNUMBER($AD239),$AO239+$AP239,"")</f>
      </c>
      <c r="AO239" s="39">
        <f>IF(ISNUMBER($AD239),ROUND($AD239*Header!$K$3,2),"")</f>
      </c>
      <c r="AP239" s="39">
        <f>IF(ISNUMBER($AD239),ROUND($AD239*Header!$M$3,2),"")</f>
      </c>
      <c r="AQ239" s="38">
        <f>IF(ISNUMBER($AD239),ROUND($AD239,2)-$AO239-$AP239,"")</f>
      </c>
      <c r="AR239" s="39">
        <f>IF(ISNUMBER($AD239),IF(Header!$D$34="","?",$AD239*Header!$D$34),"")</f>
      </c>
      <c r="AS239" s="39">
        <f>IF(ISNUMBER($AB239),IF(Header!$D$34="","?",$AB239*Header!$D$34),"")</f>
      </c>
      <c r="AT239" s="42">
        <f>IF(AND(ISNUMBER($AB239),$M239&gt;0),$AB239/$M239*100,"")</f>
      </c>
      <c r="AU239" s="42">
        <f>IF(AND(ISNUMBER($AD239),$M239&gt;0),$AD239/$M239*100,"")</f>
      </c>
      <c r="AV239" s="40">
        <f>IF(AND(ISNUMBER($AB239),ISNUMBER($AD239),ABS($AB239)&gt;0),$AD239/$AB239,"")</f>
      </c>
      <c r="AW239" s="39">
        <f>IF(ISNUMBER($AD239),MAX(0,(1-0.55-Header!$O$3)*Header!$Q$3*$AQ239),"")</f>
      </c>
      <c r="AX239" s="43">
        <f>IF($A239="","",IF(TRIM(IF($A239="","Missing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",""))="","PASS","FAIL: "&amp;TRIM(IF($A239="","Missing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f>
      </c>
      <c r="AY239" s="44">
        <f>IF($M239="","",IF(ISNUMBER($M239),IF($M239&gt;=Header!$C$18,"YES — refer","No"),""))</f>
      </c>
      <c r="AZ239" s="44">
        <f>IF($AD239="","",IF(ISNUMBER($AD239),IF($AD239&lt;Header!$C$20,"BELOW MIN PREMIUM","OK"),""))</f>
      </c>
      <c r="BA239" s="32" t="inlineStr">
        <is>
          <t xml:space="preserve">Yes</t>
        </is>
      </c>
      <c r="BB239" s="32" t="inlineStr">
        <is>
          <t xml:space="preserve">Yes</t>
        </is>
      </c>
      <c r="BC239" s="30" t="inlineStr">
        <is>
          <t xml:space="preserve">Synthetic demo data</t>
        </is>
      </c>
      <c r="BE239" s="45">
        <f>IF(OR($A239="",$L239="",$H239=""),"",IF(AND(LEFT($L239,2)="06",$H239&gt;1945),"FAIL - pre-war class, year "&amp;$H239,IF(AND(LEFT($L239,2)="07",OR($H239&lt;1946,$H239&gt;1972)),"FAIL - 1946-72 class, year "&amp;$H239,IF(AND(LEFT($L239,2)="08",OR($H239&lt;1973,$H239&gt;1999)),"FAIL - 1973-99 class, year "&amp;$H239,IF(AND(LEFT($L239,2)="09",OR($H239&lt;2000,$H239&gt;2010)),"FAIL - 2000-10 class, year "&amp;$H239,"OK")))))</f>
      </c>
      <c r="BF239" s="45">
        <f>IF($AD239="","",IF(ROUND($AO239+$AP239+$AQ239-$AD239,2)=0,"OK","FAIL - out by "&amp;TEXT($AO239+$AP239+$AQ239-$AD239,"$0.00")))</f>
      </c>
    </row>
    <row r="240" spans="1:58" ht="18.75" customHeight="1" x14ac:dyDescent="0.25">
      <c r="A240" s="46" t="inlineStr">
        <is>
          <t xml:space="preserve">CANON-202508-000316</t>
        </is>
      </c>
      <c r="B240" s="46" t="inlineStr">
        <is>
          <t xml:space="preserve">Horace Rourke</t>
        </is>
      </c>
      <c r="C240" s="47">
        <v>45888</v>
      </c>
      <c r="D240" s="48" t="inlineStr">
        <is>
          <t xml:space="preserve">Bound - within authority</t>
        </is>
      </c>
      <c r="E240" s="48" t="inlineStr">
        <is>
          <t xml:space="preserve">New business</t>
        </is>
      </c>
      <c r="F240" s="46" t="inlineStr">
        <is>
          <t xml:space="preserve">B1234EXOTIC26</t>
        </is>
      </c>
      <c r="G240" s="33">
        <f>IF($A240="","",IF($C240="","",YEAR($C240)))</f>
      </c>
      <c r="H240" s="49">
        <v>1974</v>
      </c>
      <c r="I240" s="46" t="inlineStr">
        <is>
          <t xml:space="preserve">Bentley</t>
        </is>
      </c>
      <c r="J240" s="46" t="inlineStr">
        <is>
          <t xml:space="preserve">Continental GT</t>
        </is>
      </c>
      <c r="K240" s="46" t="inlineStr">
        <is>
          <t xml:space="preserve">JTSLPRULCWG7CUF3S</t>
        </is>
      </c>
      <c r="L240" s="48" t="inlineStr">
        <is>
          <t xml:space="preserve">02 - Sports / GT</t>
        </is>
      </c>
      <c r="M240" s="50">
        <v>390000</v>
      </c>
      <c r="N240" s="48" t="inlineStr">
        <is>
          <t xml:space="preserve">Personal</t>
        </is>
      </c>
      <c r="O240" s="46" t="inlineStr">
        <is>
          <t xml:space="preserve">Personal - regular use</t>
        </is>
      </c>
      <c r="P240" s="46" t="inlineStr">
        <is>
          <t xml:space="preserve">2,500 - 5,000</t>
        </is>
      </c>
      <c r="Q240" s="46" t="inlineStr">
        <is>
          <t xml:space="preserve">New York</t>
        </is>
      </c>
      <c r="R240" s="46" t="inlineStr">
        <is>
          <t xml:space="preserve">10022</t>
        </is>
      </c>
      <c r="S240" s="48" t="inlineStr">
        <is>
          <t xml:space="preserve">Tier 3 - Coastal wind (25-100 miles)</t>
        </is>
      </c>
      <c r="T240" s="36">
        <f>IF($A240="","",IF($S240="","",IFERROR(INDEX('[1]natural catastrophe'!$D$6:$D$17,MATCH($S240,'[1]natural catastrophe'!$B$6:$B$17,0)),"?")))</f>
      </c>
      <c r="U240" s="46" t="inlineStr">
        <is>
          <t xml:space="preserve">2% of agreed value, minimum $10,000</t>
        </is>
      </c>
      <c r="V240" s="48" t="inlineStr">
        <is>
          <t xml:space="preserve">Agreed Value</t>
        </is>
      </c>
      <c r="W240" s="46" t="inlineStr">
        <is>
          <t xml:space="preserve">$1,000</t>
        </is>
      </c>
      <c r="X240" s="48" t="inlineStr">
        <is>
          <t xml:space="preserve">$1,000,000 CSL</t>
        </is>
      </c>
      <c r="Y240" s="46"/>
      <c r="Z240" s="46"/>
      <c r="AA240" s="48" t="inlineStr">
        <is>
          <t xml:space="preserve">Surplus Lines</t>
        </is>
      </c>
      <c r="AB240" s="50">
        <v>7064.15</v>
      </c>
      <c r="AC240" s="51">
        <v>0</v>
      </c>
      <c r="AD240" s="38">
        <f>IF(ISNUMBER($AB240),$AB240*(1+N($AC240)),"")</f>
      </c>
      <c r="AE240" s="50">
        <v>350</v>
      </c>
      <c r="AF240" s="50">
        <v>0</v>
      </c>
      <c r="AG240" s="51"/>
      <c r="AH240" s="39">
        <f>IF(ISNUMBER($AD240),($AD240+$AE240+$AF240)*$AG240,"")</f>
      </c>
      <c r="AI240" s="50"/>
      <c r="AJ240" s="38">
        <f>IF(ISNUMBER($AD240),SUM($AD240:$AH240),"")</f>
      </c>
      <c r="AK240" s="40">
        <f>IF(AND(ISNUMBER($AB240),ISNUMBER($AD240)),IF($AB240&gt;0,$AD240/$AB240,""),"")</f>
      </c>
      <c r="AL240" s="48" t="inlineStr">
        <is>
          <t xml:space="preserve">At technical</t>
        </is>
      </c>
      <c r="AM240" s="41">
        <f>IF(ISNUMBER($AD240),Header!$I$3,"")</f>
      </c>
      <c r="AN240" s="39">
        <f>IF(ISNUMBER($AD240),$AO240+$AP240,"")</f>
      </c>
      <c r="AO240" s="39">
        <f>IF(ISNUMBER($AD240),ROUND($AD240*Header!$K$3,2),"")</f>
      </c>
      <c r="AP240" s="39">
        <f>IF(ISNUMBER($AD240),ROUND($AD240*Header!$M$3,2),"")</f>
      </c>
      <c r="AQ240" s="38">
        <f>IF(ISNUMBER($AD240),ROUND($AD240,2)-$AO240-$AP240,"")</f>
      </c>
      <c r="AR240" s="39">
        <f>IF(ISNUMBER($AD240),IF(Header!$D$34="","?",$AD240*Header!$D$34),"")</f>
      </c>
      <c r="AS240" s="39">
        <f>IF(ISNUMBER($AB240),IF(Header!$D$34="","?",$AB240*Header!$D$34),"")</f>
      </c>
      <c r="AT240" s="42">
        <f>IF(AND(ISNUMBER($AB240),$M240&gt;0),$AB240/$M240*100,"")</f>
      </c>
      <c r="AU240" s="42">
        <f>IF(AND(ISNUMBER($AD240),$M240&gt;0),$AD240/$M240*100,"")</f>
      </c>
      <c r="AV240" s="40">
        <f>IF(AND(ISNUMBER($AB240),ISNUMBER($AD240),ABS($AB240)&gt;0),$AD240/$AB240,"")</f>
      </c>
      <c r="AW240" s="39">
        <f>IF(ISNUMBER($AD240),MAX(0,(1-0.55-Header!$O$3)*Header!$Q$3*$AQ240),"")</f>
      </c>
      <c r="AX240" s="43">
        <f>IF($A240="","",IF(TRIM(IF($A240="","Missing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",""))="","PASS","FAIL: "&amp;TRIM(IF($A240="","Missing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f>
      </c>
      <c r="AY240" s="44">
        <f>IF($M240="","",IF(ISNUMBER($M240),IF($M240&gt;=Header!$C$18,"YES — refer","No"),""))</f>
      </c>
      <c r="AZ240" s="44">
        <f>IF($AD240="","",IF(ISNUMBER($AD240),IF($AD240&lt;Header!$C$20,"BELOW MIN PREMIUM","OK"),""))</f>
      </c>
      <c r="BA240" s="48" t="inlineStr">
        <is>
          <t xml:space="preserve">Yes</t>
        </is>
      </c>
      <c r="BB240" s="48" t="inlineStr">
        <is>
          <t xml:space="preserve">Yes</t>
        </is>
      </c>
      <c r="BC240" s="46" t="inlineStr">
        <is>
          <t xml:space="preserve">Synthetic demo data</t>
        </is>
      </c>
      <c r="BE240" s="45">
        <f>IF(OR($A240="",$L240="",$H240=""),"",IF(AND(LEFT($L240,2)="06",$H240&gt;1945),"FAIL - pre-war class, year "&amp;$H240,IF(AND(LEFT($L240,2)="07",OR($H240&lt;1946,$H240&gt;1972)),"FAIL - 1946-72 class, year "&amp;$H240,IF(AND(LEFT($L240,2)="08",OR($H240&lt;1973,$H240&gt;1999)),"FAIL - 1973-99 class, year "&amp;$H240,IF(AND(LEFT($L240,2)="09",OR($H240&lt;2000,$H240&gt;2010)),"FAIL - 2000-10 class, year "&amp;$H240,"OK")))))</f>
      </c>
      <c r="BF240" s="45">
        <f>IF($AD240="","",IF(ROUND($AO240+$AP240+$AQ240-$AD240,2)=0,"OK","FAIL - out by "&amp;TEXT($AO240+$AP240+$AQ240-$AD240,"$0.00")))</f>
      </c>
    </row>
    <row r="241" spans="1:58" ht="18.75" customHeight="1" x14ac:dyDescent="0.25">
      <c r="A241" s="30" t="inlineStr">
        <is>
          <t xml:space="preserve">CANON-202508-000317</t>
        </is>
      </c>
      <c r="B241" s="30" t="inlineStr">
        <is>
          <t xml:space="preserve">Ingrid Montoya</t>
        </is>
      </c>
      <c r="C241" s="31">
        <v>45870</v>
      </c>
      <c r="D241" s="32" t="inlineStr">
        <is>
          <t xml:space="preserve">Bound - within authority</t>
        </is>
      </c>
      <c r="E241" s="32" t="inlineStr">
        <is>
          <t xml:space="preserve">New business</t>
        </is>
      </c>
      <c r="F241" s="30" t="inlineStr">
        <is>
          <t xml:space="preserve">B1234EXOTIC26</t>
        </is>
      </c>
      <c r="G241" s="33">
        <f>IF($A241="","",IF($C241="","",YEAR($C241)))</f>
      </c>
      <c r="H241" s="34">
        <v>2022</v>
      </c>
      <c r="I241" s="30" t="inlineStr">
        <is>
          <t xml:space="preserve">Bentley</t>
        </is>
      </c>
      <c r="J241" s="30" t="inlineStr">
        <is>
          <t xml:space="preserve">Continental GT</t>
        </is>
      </c>
      <c r="K241" s="30" t="inlineStr">
        <is>
          <t xml:space="preserve">KHTGW6TBBXYF45798</t>
        </is>
      </c>
      <c r="L241" s="32" t="inlineStr">
        <is>
          <t xml:space="preserve">02 - Sports / GT</t>
        </is>
      </c>
      <c r="M241" s="35">
        <v>670000</v>
      </c>
      <c r="N241" s="32" t="inlineStr">
        <is>
          <t xml:space="preserve">Personal</t>
        </is>
      </c>
      <c r="O241" s="30" t="inlineStr">
        <is>
          <t xml:space="preserve">Personal - regular use</t>
        </is>
      </c>
      <c r="P241" s="30" t="inlineStr">
        <is>
          <t xml:space="preserve">Under 1,000</t>
        </is>
      </c>
      <c r="Q241" s="30" t="inlineStr">
        <is>
          <t xml:space="preserve">New York</t>
        </is>
      </c>
      <c r="R241" s="30" t="inlineStr">
        <is>
          <t xml:space="preserve">10022</t>
        </is>
      </c>
      <c r="S241" s="32" t="inlineStr">
        <is>
          <t xml:space="preserve">Tier 3 - Coastal wind (25-100 miles)</t>
        </is>
      </c>
      <c r="T241" s="36">
        <f>IF($A241="","",IF($S241="","",IFERROR(INDEX('[1]natural catastrophe'!$D$6:$D$17,MATCH($S241,'[1]natural catastrophe'!$B$6:$B$17,0)),"?")))</f>
      </c>
      <c r="U241" s="30" t="inlineStr">
        <is>
          <t xml:space="preserve">2% of agreed value, minimum $10,000</t>
        </is>
      </c>
      <c r="V241" s="32" t="inlineStr">
        <is>
          <t xml:space="preserve">Agreed Value</t>
        </is>
      </c>
      <c r="W241" s="30" t="inlineStr">
        <is>
          <t xml:space="preserve">$1,000</t>
        </is>
      </c>
      <c r="X241" s="32" t="inlineStr">
        <is>
          <t xml:space="preserve">$1,000,000 CSL</t>
        </is>
      </c>
      <c r="Y241" s="30"/>
      <c r="Z241" s="30"/>
      <c r="AA241" s="32" t="inlineStr">
        <is>
          <t xml:space="preserve">Surplus Lines</t>
        </is>
      </c>
      <c r="AB241" s="35">
        <v>10517.74</v>
      </c>
      <c r="AC241" s="37">
        <v>0</v>
      </c>
      <c r="AD241" s="38">
        <f>IF(ISNUMBER($AB241),$AB241*(1+N($AC241)),"")</f>
      </c>
      <c r="AE241" s="35">
        <v>350</v>
      </c>
      <c r="AF241" s="35">
        <v>0</v>
      </c>
      <c r="AG241" s="37"/>
      <c r="AH241" s="39">
        <f>IF(ISNUMBER($AD241),($AD241+$AE241+$AF241)*$AG241,"")</f>
      </c>
      <c r="AI241" s="35"/>
      <c r="AJ241" s="38">
        <f>IF(ISNUMBER($AD241),SUM($AD241:$AH241),"")</f>
      </c>
      <c r="AK241" s="40">
        <f>IF(AND(ISNUMBER($AB241),ISNUMBER($AD241)),IF($AB241&gt;0,$AD241/$AB241,""),"")</f>
      </c>
      <c r="AL241" s="32" t="inlineStr">
        <is>
          <t xml:space="preserve">At technical</t>
        </is>
      </c>
      <c r="AM241" s="41">
        <f>IF(ISNUMBER($AD241),Header!$I$3,"")</f>
      </c>
      <c r="AN241" s="39">
        <f>IF(ISNUMBER($AD241),$AO241+$AP241,"")</f>
      </c>
      <c r="AO241" s="39">
        <f>IF(ISNUMBER($AD241),ROUND($AD241*Header!$K$3,2),"")</f>
      </c>
      <c r="AP241" s="39">
        <f>IF(ISNUMBER($AD241),ROUND($AD241*Header!$M$3,2),"")</f>
      </c>
      <c r="AQ241" s="38">
        <f>IF(ISNUMBER($AD241),ROUND($AD241,2)-$AO241-$AP241,"")</f>
      </c>
      <c r="AR241" s="39">
        <f>IF(ISNUMBER($AD241),IF(Header!$D$34="","?",$AD241*Header!$D$34),"")</f>
      </c>
      <c r="AS241" s="39">
        <f>IF(ISNUMBER($AB241),IF(Header!$D$34="","?",$AB241*Header!$D$34),"")</f>
      </c>
      <c r="AT241" s="42">
        <f>IF(AND(ISNUMBER($AB241),$M241&gt;0),$AB241/$M241*100,"")</f>
      </c>
      <c r="AU241" s="42">
        <f>IF(AND(ISNUMBER($AD241),$M241&gt;0),$AD241/$M241*100,"")</f>
      </c>
      <c r="AV241" s="40">
        <f>IF(AND(ISNUMBER($AB241),ISNUMBER($AD241),ABS($AB241)&gt;0),$AD241/$AB241,"")</f>
      </c>
      <c r="AW241" s="39">
        <f>IF(ISNUMBER($AD241),MAX(0,(1-0.55-Header!$O$3)*Header!$Q$3*$AQ241),"")</f>
      </c>
      <c r="AX241" s="43">
        <f>IF($A241="","",IF(TRIM(IF($A241="","Missing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",""))="","PASS","FAIL: "&amp;TRIM(IF($A241="","Missing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f>
      </c>
      <c r="AY241" s="44">
        <f>IF($M241="","",IF(ISNUMBER($M241),IF($M241&gt;=Header!$C$18,"YES — refer","No"),""))</f>
      </c>
      <c r="AZ241" s="44">
        <f>IF($AD241="","",IF(ISNUMBER($AD241),IF($AD241&lt;Header!$C$20,"BELOW MIN PREMIUM","OK"),""))</f>
      </c>
      <c r="BA241" s="32" t="inlineStr">
        <is>
          <t xml:space="preserve">Yes</t>
        </is>
      </c>
      <c r="BB241" s="32" t="inlineStr">
        <is>
          <t xml:space="preserve">Yes</t>
        </is>
      </c>
      <c r="BC241" s="30" t="inlineStr">
        <is>
          <t xml:space="preserve">Synthetic demo data</t>
        </is>
      </c>
      <c r="BE241" s="45">
        <f>IF(OR($A241="",$L241="",$H241=""),"",IF(AND(LEFT($L241,2)="06",$H241&gt;1945),"FAIL - pre-war class, year "&amp;$H241,IF(AND(LEFT($L241,2)="07",OR($H241&lt;1946,$H241&gt;1972)),"FAIL - 1946-72 class, year "&amp;$H241,IF(AND(LEFT($L241,2)="08",OR($H241&lt;1973,$H241&gt;1999)),"FAIL - 1973-99 class, year "&amp;$H241,IF(AND(LEFT($L241,2)="09",OR($H241&lt;2000,$H241&gt;2010)),"FAIL - 2000-10 class, year "&amp;$H241,"OK")))))</f>
      </c>
      <c r="BF241" s="45">
        <f>IF($AD241="","",IF(ROUND($AO241+$AP241+$AQ241-$AD241,2)=0,"OK","FAIL - out by "&amp;TEXT($AO241+$AP241+$AQ241-$AD241,"$0.00")))</f>
      </c>
    </row>
    <row r="242" spans="1:58" ht="18.75" customHeight="1" x14ac:dyDescent="0.25">
      <c r="A242" s="46" t="inlineStr">
        <is>
          <t xml:space="preserve">CANON-202508-000318</t>
        </is>
      </c>
      <c r="B242" s="46" t="inlineStr">
        <is>
          <t xml:space="preserve">Saoirse Delacroix</t>
        </is>
      </c>
      <c r="C242" s="47">
        <v>45893</v>
      </c>
      <c r="D242" s="48" t="inlineStr">
        <is>
          <t xml:space="preserve">Bound - within authority</t>
        </is>
      </c>
      <c r="E242" s="48" t="inlineStr">
        <is>
          <t xml:space="preserve">New business</t>
        </is>
      </c>
      <c r="F242" s="46" t="inlineStr">
        <is>
          <t xml:space="preserve">B1234EXOTIC26</t>
        </is>
      </c>
      <c r="G242" s="33">
        <f>IF($A242="","",IF($C242="","",YEAR($C242)))</f>
      </c>
      <c r="H242" s="49">
        <v>1989</v>
      </c>
      <c r="I242" s="46" t="inlineStr">
        <is>
          <t xml:space="preserve">Porsche</t>
        </is>
      </c>
      <c r="J242" s="46" t="inlineStr">
        <is>
          <t xml:space="preserve">911 Turbo S</t>
        </is>
      </c>
      <c r="K242" s="46" t="inlineStr">
        <is>
          <t xml:space="preserve">JCTHNS7NL7PHP5Z3C</t>
        </is>
      </c>
      <c r="L242" s="48" t="inlineStr">
        <is>
          <t xml:space="preserve">02 - Sports / GT</t>
        </is>
      </c>
      <c r="M242" s="50">
        <v>340000</v>
      </c>
      <c r="N242" s="48" t="inlineStr">
        <is>
          <t xml:space="preserve">Personal</t>
        </is>
      </c>
      <c r="O242" s="46" t="inlineStr">
        <is>
          <t xml:space="preserve">Personal - regular use</t>
        </is>
      </c>
      <c r="P242" s="46" t="inlineStr">
        <is>
          <t xml:space="preserve">Under 1,000</t>
        </is>
      </c>
      <c r="Q242" s="46" t="inlineStr">
        <is>
          <t xml:space="preserve">Louisiana</t>
        </is>
      </c>
      <c r="R242" s="46" t="inlineStr">
        <is>
          <t xml:space="preserve">70112</t>
        </is>
      </c>
      <c r="S242" s="48" t="inlineStr">
        <is>
          <t xml:space="preserve">Tier 2 - Coastal wind (1-25 miles)</t>
        </is>
      </c>
      <c r="T242" s="36">
        <f>IF($A242="","",IF($S242="","",IFERROR(INDEX('[1]natural catastrophe'!$D$6:$D$17,MATCH($S242,'[1]natural catastrophe'!$B$6:$B$17,0)),"?")))</f>
      </c>
      <c r="U242" s="46" t="inlineStr">
        <is>
          <t xml:space="preserve">2% of agreed value, minimum $10,000</t>
        </is>
      </c>
      <c r="V242" s="48" t="inlineStr">
        <is>
          <t xml:space="preserve">Agreed Value</t>
        </is>
      </c>
      <c r="W242" s="46" t="inlineStr">
        <is>
          <t xml:space="preserve">$1,000</t>
        </is>
      </c>
      <c r="X242" s="48" t="inlineStr">
        <is>
          <t xml:space="preserve">$1,000,000 CSL</t>
        </is>
      </c>
      <c r="Y242" s="46"/>
      <c r="Z242" s="46"/>
      <c r="AA242" s="48" t="inlineStr">
        <is>
          <t xml:space="preserve">Surplus Lines</t>
        </is>
      </c>
      <c r="AB242" s="50">
        <v>5821.7</v>
      </c>
      <c r="AC242" s="51">
        <v>0</v>
      </c>
      <c r="AD242" s="38">
        <f>IF(ISNUMBER($AB242),$AB242*(1+N($AC242)),"")</f>
      </c>
      <c r="AE242" s="50">
        <v>350</v>
      </c>
      <c r="AF242" s="50">
        <v>0</v>
      </c>
      <c r="AG242" s="51"/>
      <c r="AH242" s="39">
        <f>IF(ISNUMBER($AD242),($AD242+$AE242+$AF242)*$AG242,"")</f>
      </c>
      <c r="AI242" s="50"/>
      <c r="AJ242" s="38">
        <f>IF(ISNUMBER($AD242),SUM($AD242:$AH242),"")</f>
      </c>
      <c r="AK242" s="40">
        <f>IF(AND(ISNUMBER($AB242),ISNUMBER($AD242)),IF($AB242&gt;0,$AD242/$AB242,""),"")</f>
      </c>
      <c r="AL242" s="48" t="inlineStr">
        <is>
          <t xml:space="preserve">At technical</t>
        </is>
      </c>
      <c r="AM242" s="41">
        <f>IF(ISNUMBER($AD242),Header!$I$3,"")</f>
      </c>
      <c r="AN242" s="39">
        <f>IF(ISNUMBER($AD242),$AO242+$AP242,"")</f>
      </c>
      <c r="AO242" s="39">
        <f>IF(ISNUMBER($AD242),ROUND($AD242*Header!$K$3,2),"")</f>
      </c>
      <c r="AP242" s="39">
        <f>IF(ISNUMBER($AD242),ROUND($AD242*Header!$M$3,2),"")</f>
      </c>
      <c r="AQ242" s="38">
        <f>IF(ISNUMBER($AD242),ROUND($AD242,2)-$AO242-$AP242,"")</f>
      </c>
      <c r="AR242" s="39">
        <f>IF(ISNUMBER($AD242),IF(Header!$D$34="","?",$AD242*Header!$D$34),"")</f>
      </c>
      <c r="AS242" s="39">
        <f>IF(ISNUMBER($AB242),IF(Header!$D$34="","?",$AB242*Header!$D$34),"")</f>
      </c>
      <c r="AT242" s="42">
        <f>IF(AND(ISNUMBER($AB242),$M242&gt;0),$AB242/$M242*100,"")</f>
      </c>
      <c r="AU242" s="42">
        <f>IF(AND(ISNUMBER($AD242),$M242&gt;0),$AD242/$M242*100,"")</f>
      </c>
      <c r="AV242" s="40">
        <f>IF(AND(ISNUMBER($AB242),ISNUMBER($AD242),ABS($AB242)&gt;0),$AD242/$AB242,"")</f>
      </c>
      <c r="AW242" s="39">
        <f>IF(ISNUMBER($AD242),MAX(0,(1-0.55-Header!$O$3)*Header!$Q$3*$AQ242),"")</f>
      </c>
      <c r="AX242" s="43">
        <f>IF($A242="","",IF(TRIM(IF($A242="","Missing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",""))="","PASS","FAIL: "&amp;TRIM(IF($A242="","Missing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f>
      </c>
      <c r="AY242" s="44">
        <f>IF($M242="","",IF(ISNUMBER($M242),IF($M242&gt;=Header!$C$18,"YES — refer","No"),""))</f>
      </c>
      <c r="AZ242" s="44">
        <f>IF($AD242="","",IF(ISNUMBER($AD242),IF($AD242&lt;Header!$C$20,"BELOW MIN PREMIUM","OK"),""))</f>
      </c>
      <c r="BA242" s="48" t="inlineStr">
        <is>
          <t xml:space="preserve">Yes</t>
        </is>
      </c>
      <c r="BB242" s="48" t="inlineStr">
        <is>
          <t xml:space="preserve">Yes</t>
        </is>
      </c>
      <c r="BC242" s="46" t="inlineStr">
        <is>
          <t xml:space="preserve">Synthetic demo data</t>
        </is>
      </c>
      <c r="BE242" s="45">
        <f>IF(OR($A242="",$L242="",$H242=""),"",IF(AND(LEFT($L242,2)="06",$H242&gt;1945),"FAIL - pre-war class, year "&amp;$H242,IF(AND(LEFT($L242,2)="07",OR($H242&lt;1946,$H242&gt;1972)),"FAIL - 1946-72 class, year "&amp;$H242,IF(AND(LEFT($L242,2)="08",OR($H242&lt;1973,$H242&gt;1999)),"FAIL - 1973-99 class, year "&amp;$H242,IF(AND(LEFT($L242,2)="09",OR($H242&lt;2000,$H242&gt;2010)),"FAIL - 2000-10 class, year "&amp;$H242,"OK")))))</f>
      </c>
      <c r="BF242" s="45">
        <f>IF($AD242="","",IF(ROUND($AO242+$AP242+$AQ242-$AD242,2)=0,"OK","FAIL - out by "&amp;TEXT($AO242+$AP242+$AQ242-$AD242,"$0.00")))</f>
      </c>
    </row>
    <row r="243" spans="1:58" ht="18.75" customHeight="1" x14ac:dyDescent="0.25">
      <c r="A243" s="30" t="inlineStr">
        <is>
          <t xml:space="preserve">CANON-202508-000319</t>
        </is>
      </c>
      <c r="B243" s="30" t="inlineStr">
        <is>
          <t xml:space="preserve">Leopold Castellanos</t>
        </is>
      </c>
      <c r="C243" s="31">
        <v>45871</v>
      </c>
      <c r="D243" s="32" t="inlineStr">
        <is>
          <t xml:space="preserve">Bound - within authority</t>
        </is>
      </c>
      <c r="E243" s="32" t="inlineStr">
        <is>
          <t xml:space="preserve">New business</t>
        </is>
      </c>
      <c r="F243" s="30" t="inlineStr">
        <is>
          <t xml:space="preserve">B1234EXOTIC26</t>
        </is>
      </c>
      <c r="G243" s="33">
        <f>IF($A243="","",IF($C243="","",YEAR($C243)))</f>
      </c>
      <c r="H243" s="34">
        <v>1989</v>
      </c>
      <c r="I243" s="30" t="inlineStr">
        <is>
          <t xml:space="preserve">Aston Martin</t>
        </is>
      </c>
      <c r="J243" s="30" t="inlineStr">
        <is>
          <t xml:space="preserve">DB12</t>
        </is>
      </c>
      <c r="K243" s="30" t="inlineStr">
        <is>
          <t xml:space="preserve">7N0VPZ2WJWC1E9YXS</t>
        </is>
      </c>
      <c r="L243" s="32" t="inlineStr">
        <is>
          <t xml:space="preserve">02 - Sports / GT</t>
        </is>
      </c>
      <c r="M243" s="35">
        <v>445000</v>
      </c>
      <c r="N243" s="32" t="inlineStr">
        <is>
          <t xml:space="preserve">Personal</t>
        </is>
      </c>
      <c r="O243" s="30" t="inlineStr">
        <is>
          <t xml:space="preserve">Personal - regular use</t>
        </is>
      </c>
      <c r="P243" s="30" t="inlineStr">
        <is>
          <t xml:space="preserve">2,500 - 5,000</t>
        </is>
      </c>
      <c r="Q243" s="30" t="inlineStr">
        <is>
          <t xml:space="preserve">Michigan</t>
        </is>
      </c>
      <c r="R243" s="30" t="inlineStr">
        <is>
          <t xml:space="preserve">48226</t>
        </is>
      </c>
      <c r="S243" s="32" t="inlineStr">
        <is>
          <t xml:space="preserve">Severe convective - hail / tornado (moderate)</t>
        </is>
      </c>
      <c r="T243" s="36">
        <f>IF($A243="","",IF($S243="","",IFERROR(INDEX('[1]natural catastrophe'!$D$6:$D$17,MATCH($S243,'[1]natural catastrophe'!$B$6:$B$17,0)),"?")))</f>
      </c>
      <c r="U243" s="30" t="inlineStr">
        <is>
          <t xml:space="preserve">$5,000</t>
        </is>
      </c>
      <c r="V243" s="32" t="inlineStr">
        <is>
          <t xml:space="preserve">Agreed Value</t>
        </is>
      </c>
      <c r="W243" s="30" t="inlineStr">
        <is>
          <t xml:space="preserve">$1,000</t>
        </is>
      </c>
      <c r="X243" s="32" t="inlineStr">
        <is>
          <t xml:space="preserve">$1,000,000 CSL</t>
        </is>
      </c>
      <c r="Y243" s="30"/>
      <c r="Z243" s="30"/>
      <c r="AA243" s="32" t="inlineStr">
        <is>
          <t xml:space="preserve">Surplus Lines</t>
        </is>
      </c>
      <c r="AB243" s="35">
        <v>9760.61</v>
      </c>
      <c r="AC243" s="37">
        <v>0</v>
      </c>
      <c r="AD243" s="38">
        <f>IF(ISNUMBER($AB243),$AB243*(1+N($AC243)),"")</f>
      </c>
      <c r="AE243" s="35">
        <v>350</v>
      </c>
      <c r="AF243" s="35">
        <v>0</v>
      </c>
      <c r="AG243" s="37"/>
      <c r="AH243" s="39">
        <f>IF(ISNUMBER($AD243),($AD243+$AE243+$AF243)*$AG243,"")</f>
      </c>
      <c r="AI243" s="35"/>
      <c r="AJ243" s="38">
        <f>IF(ISNUMBER($AD243),SUM($AD243:$AH243),"")</f>
      </c>
      <c r="AK243" s="40">
        <f>IF(AND(ISNUMBER($AB243),ISNUMBER($AD243)),IF($AB243&gt;0,$AD243/$AB243,""),"")</f>
      </c>
      <c r="AL243" s="32" t="inlineStr">
        <is>
          <t xml:space="preserve">At technical</t>
        </is>
      </c>
      <c r="AM243" s="41">
        <f>IF(ISNUMBER($AD243),Header!$I$3,"")</f>
      </c>
      <c r="AN243" s="39">
        <f>IF(ISNUMBER($AD243),$AO243+$AP243,"")</f>
      </c>
      <c r="AO243" s="39">
        <f>IF(ISNUMBER($AD243),ROUND($AD243*Header!$K$3,2),"")</f>
      </c>
      <c r="AP243" s="39">
        <f>IF(ISNUMBER($AD243),ROUND($AD243*Header!$M$3,2),"")</f>
      </c>
      <c r="AQ243" s="38">
        <f>IF(ISNUMBER($AD243),ROUND($AD243,2)-$AO243-$AP243,"")</f>
      </c>
      <c r="AR243" s="39">
        <f>IF(ISNUMBER($AD243),IF(Header!$D$34="","?",$AD243*Header!$D$34),"")</f>
      </c>
      <c r="AS243" s="39">
        <f>IF(ISNUMBER($AB243),IF(Header!$D$34="","?",$AB243*Header!$D$34),"")</f>
      </c>
      <c r="AT243" s="42">
        <f>IF(AND(ISNUMBER($AB243),$M243&gt;0),$AB243/$M243*100,"")</f>
      </c>
      <c r="AU243" s="42">
        <f>IF(AND(ISNUMBER($AD243),$M243&gt;0),$AD243/$M243*100,"")</f>
      </c>
      <c r="AV243" s="40">
        <f>IF(AND(ISNUMBER($AB243),ISNUMBER($AD243),ABS($AB243)&gt;0),$AD243/$AB243,"")</f>
      </c>
      <c r="AW243" s="39">
        <f>IF(ISNUMBER($AD243),MAX(0,(1-0.55-Header!$O$3)*Header!$Q$3*$AQ243),"")</f>
      </c>
      <c r="AX243" s="43">
        <f>IF($A243="","",IF(TRIM(IF($A243="","Missing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",""))="","PASS","FAIL: "&amp;TRIM(IF($A243="","Missing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f>
      </c>
      <c r="AY243" s="44">
        <f>IF($M243="","",IF(ISNUMBER($M243),IF($M243&gt;=Header!$C$18,"YES — refer","No"),""))</f>
      </c>
      <c r="AZ243" s="44">
        <f>IF($AD243="","",IF(ISNUMBER($AD243),IF($AD243&lt;Header!$C$20,"BELOW MIN PREMIUM","OK"),""))</f>
      </c>
      <c r="BA243" s="32" t="inlineStr">
        <is>
          <t xml:space="preserve">Yes</t>
        </is>
      </c>
      <c r="BB243" s="32" t="inlineStr">
        <is>
          <t xml:space="preserve">Yes</t>
        </is>
      </c>
      <c r="BC243" s="30" t="inlineStr">
        <is>
          <t xml:space="preserve">Synthetic demo data</t>
        </is>
      </c>
      <c r="BE243" s="45">
        <f>IF(OR($A243="",$L243="",$H243=""),"",IF(AND(LEFT($L243,2)="06",$H243&gt;1945),"FAIL - pre-war class, year "&amp;$H243,IF(AND(LEFT($L243,2)="07",OR($H243&lt;1946,$H243&gt;1972)),"FAIL - 1946-72 class, year "&amp;$H243,IF(AND(LEFT($L243,2)="08",OR($H243&lt;1973,$H243&gt;1999)),"FAIL - 1973-99 class, year "&amp;$H243,IF(AND(LEFT($L243,2)="09",OR($H243&lt;2000,$H243&gt;2010)),"FAIL - 2000-10 class, year "&amp;$H243,"OK")))))</f>
      </c>
      <c r="BF243" s="45">
        <f>IF($AD243="","",IF(ROUND($AO243+$AP243+$AQ243-$AD243,2)=0,"OK","FAIL - out by "&amp;TEXT($AO243+$AP243+$AQ243-$AD243,"$0.00")))</f>
      </c>
    </row>
    <row r="244" spans="1:58" ht="18.75" customHeight="1" x14ac:dyDescent="0.25">
      <c r="A244" s="46" t="inlineStr">
        <is>
          <t xml:space="preserve">CANON-202508-000320</t>
        </is>
      </c>
      <c r="B244" s="46" t="inlineStr">
        <is>
          <t xml:space="preserve">Leopold Fairweather</t>
        </is>
      </c>
      <c r="C244" s="47">
        <v>45889</v>
      </c>
      <c r="D244" s="48" t="inlineStr">
        <is>
          <t xml:space="preserve">Bound - within authority</t>
        </is>
      </c>
      <c r="E244" s="48" t="inlineStr">
        <is>
          <t xml:space="preserve">New business</t>
        </is>
      </c>
      <c r="F244" s="46" t="inlineStr">
        <is>
          <t xml:space="preserve">B1234EXOTIC26</t>
        </is>
      </c>
      <c r="G244" s="33">
        <f>IF($A244="","",IF($C244="","",YEAR($C244)))</f>
      </c>
      <c r="H244" s="49">
        <v>1964</v>
      </c>
      <c r="I244" s="46" t="inlineStr">
        <is>
          <t xml:space="preserve">Aston Martin</t>
        </is>
      </c>
      <c r="J244" s="46" t="inlineStr">
        <is>
          <t xml:space="preserve">DB12</t>
        </is>
      </c>
      <c r="K244" s="46" t="inlineStr">
        <is>
          <t xml:space="preserve">AV9Z56Z4RR3672GVN</t>
        </is>
      </c>
      <c r="L244" s="48" t="inlineStr">
        <is>
          <t xml:space="preserve">02 - Sports / GT</t>
        </is>
      </c>
      <c r="M244" s="50">
        <v>490000</v>
      </c>
      <c r="N244" s="48" t="inlineStr">
        <is>
          <t xml:space="preserve">Personal</t>
        </is>
      </c>
      <c r="O244" s="46" t="inlineStr">
        <is>
          <t xml:space="preserve">Personal - regular use</t>
        </is>
      </c>
      <c r="P244" s="46" t="inlineStr">
        <is>
          <t xml:space="preserve">1,000 - 2,500</t>
        </is>
      </c>
      <c r="Q244" s="46" t="inlineStr">
        <is>
          <t xml:space="preserve">California</t>
        </is>
      </c>
      <c r="R244" s="46" t="inlineStr">
        <is>
          <t xml:space="preserve">90012</t>
        </is>
      </c>
      <c r="S244" s="48" t="inlineStr">
        <is>
          <t xml:space="preserve">Earthquake - high (CA, Cascadia, New Madrid)</t>
        </is>
      </c>
      <c r="T244" s="36">
        <f>IF($A244="","",IF($S244="","",IFERROR(INDEX('[1]natural catastrophe'!$D$6:$D$17,MATCH($S244,'[1]natural catastrophe'!$B$6:$B$17,0)),"?")))</f>
      </c>
      <c r="U244" s="46" t="inlineStr">
        <is>
          <t xml:space="preserve">$5,000</t>
        </is>
      </c>
      <c r="V244" s="48" t="inlineStr">
        <is>
          <t xml:space="preserve">Agreed Value</t>
        </is>
      </c>
      <c r="W244" s="46" t="inlineStr">
        <is>
          <t xml:space="preserve">$1,000</t>
        </is>
      </c>
      <c r="X244" s="48" t="inlineStr">
        <is>
          <t xml:space="preserve">$1,000,000 CSL</t>
        </is>
      </c>
      <c r="Y244" s="46"/>
      <c r="Z244" s="46"/>
      <c r="AA244" s="48" t="inlineStr">
        <is>
          <t xml:space="preserve">Surplus Lines</t>
        </is>
      </c>
      <c r="AB244" s="50">
        <v>9360.85</v>
      </c>
      <c r="AC244" s="51">
        <v>0</v>
      </c>
      <c r="AD244" s="38">
        <f>IF(ISNUMBER($AB244),$AB244*(1+N($AC244)),"")</f>
      </c>
      <c r="AE244" s="50">
        <v>350</v>
      </c>
      <c r="AF244" s="50">
        <v>0</v>
      </c>
      <c r="AG244" s="51"/>
      <c r="AH244" s="39">
        <f>IF(ISNUMBER($AD244),($AD244+$AE244+$AF244)*$AG244,"")</f>
      </c>
      <c r="AI244" s="50"/>
      <c r="AJ244" s="38">
        <f>IF(ISNUMBER($AD244),SUM($AD244:$AH244),"")</f>
      </c>
      <c r="AK244" s="40">
        <f>IF(AND(ISNUMBER($AB244),ISNUMBER($AD244)),IF($AB244&gt;0,$AD244/$AB244,""),"")</f>
      </c>
      <c r="AL244" s="48" t="inlineStr">
        <is>
          <t xml:space="preserve">At technical</t>
        </is>
      </c>
      <c r="AM244" s="41">
        <f>IF(ISNUMBER($AD244),Header!$I$3,"")</f>
      </c>
      <c r="AN244" s="39">
        <f>IF(ISNUMBER($AD244),$AO244+$AP244,"")</f>
      </c>
      <c r="AO244" s="39">
        <f>IF(ISNUMBER($AD244),ROUND($AD244*Header!$K$3,2),"")</f>
      </c>
      <c r="AP244" s="39">
        <f>IF(ISNUMBER($AD244),ROUND($AD244*Header!$M$3,2),"")</f>
      </c>
      <c r="AQ244" s="38">
        <f>IF(ISNUMBER($AD244),ROUND($AD244,2)-$AO244-$AP244,"")</f>
      </c>
      <c r="AR244" s="39">
        <f>IF(ISNUMBER($AD244),IF(Header!$D$34="","?",$AD244*Header!$D$34),"")</f>
      </c>
      <c r="AS244" s="39">
        <f>IF(ISNUMBER($AB244),IF(Header!$D$34="","?",$AB244*Header!$D$34),"")</f>
      </c>
      <c r="AT244" s="42">
        <f>IF(AND(ISNUMBER($AB244),$M244&gt;0),$AB244/$M244*100,"")</f>
      </c>
      <c r="AU244" s="42">
        <f>IF(AND(ISNUMBER($AD244),$M244&gt;0),$AD244/$M244*100,"")</f>
      </c>
      <c r="AV244" s="40">
        <f>IF(AND(ISNUMBER($AB244),ISNUMBER($AD244),ABS($AB244)&gt;0),$AD244/$AB244,"")</f>
      </c>
      <c r="AW244" s="39">
        <f>IF(ISNUMBER($AD244),MAX(0,(1-0.55-Header!$O$3)*Header!$Q$3*$AQ244),"")</f>
      </c>
      <c r="AX244" s="43">
        <f>IF($A244="","",IF(TRIM(IF($A244="","Missing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",""))="","PASS","FAIL: "&amp;TRIM(IF($A244="","Missing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f>
      </c>
      <c r="AY244" s="44">
        <f>IF($M244="","",IF(ISNUMBER($M244),IF($M244&gt;=Header!$C$18,"YES — refer","No"),""))</f>
      </c>
      <c r="AZ244" s="44">
        <f>IF($AD244="","",IF(ISNUMBER($AD244),IF($AD244&lt;Header!$C$20,"BELOW MIN PREMIUM","OK"),""))</f>
      </c>
      <c r="BA244" s="48" t="inlineStr">
        <is>
          <t xml:space="preserve">Yes</t>
        </is>
      </c>
      <c r="BB244" s="48" t="inlineStr">
        <is>
          <t xml:space="preserve">Yes</t>
        </is>
      </c>
      <c r="BC244" s="46" t="inlineStr">
        <is>
          <t xml:space="preserve">Synthetic demo data</t>
        </is>
      </c>
      <c r="BE244" s="45">
        <f>IF(OR($A244="",$L244="",$H244=""),"",IF(AND(LEFT($L244,2)="06",$H244&gt;1945),"FAIL - pre-war class, year "&amp;$H244,IF(AND(LEFT($L244,2)="07",OR($H244&lt;1946,$H244&gt;1972)),"FAIL - 1946-72 class, year "&amp;$H244,IF(AND(LEFT($L244,2)="08",OR($H244&lt;1973,$H244&gt;1999)),"FAIL - 1973-99 class, year "&amp;$H244,IF(AND(LEFT($L244,2)="09",OR($H244&lt;2000,$H244&gt;2010)),"FAIL - 2000-10 class, year "&amp;$H244,"OK")))))</f>
      </c>
      <c r="BF244" s="45">
        <f>IF($AD244="","",IF(ROUND($AO244+$AP244+$AQ244-$AD244,2)=0,"OK","FAIL - out by "&amp;TEXT($AO244+$AP244+$AQ244-$AD244,"$0.00")))</f>
      </c>
    </row>
    <row r="245" spans="1:58" ht="18.75" customHeight="1" x14ac:dyDescent="0.25">
      <c r="A245" s="30" t="inlineStr">
        <is>
          <t xml:space="preserve">CANON-202508-000321</t>
        </is>
      </c>
      <c r="B245" s="30" t="inlineStr">
        <is>
          <t xml:space="preserve">Desmond Harrington</t>
        </is>
      </c>
      <c r="C245" s="31">
        <v>45885</v>
      </c>
      <c r="D245" s="32" t="inlineStr">
        <is>
          <t xml:space="preserve">Bound - within authority</t>
        </is>
      </c>
      <c r="E245" s="32" t="inlineStr">
        <is>
          <t xml:space="preserve">New business</t>
        </is>
      </c>
      <c r="F245" s="30" t="inlineStr">
        <is>
          <t xml:space="preserve">B1234EXOTIC26</t>
        </is>
      </c>
      <c r="G245" s="33">
        <f>IF($A245="","",IF($C245="","",YEAR($C245)))</f>
      </c>
      <c r="H245" s="34">
        <v>1977</v>
      </c>
      <c r="I245" s="30" t="inlineStr">
        <is>
          <t xml:space="preserve">Jaguar</t>
        </is>
      </c>
      <c r="J245" s="30" t="inlineStr">
        <is>
          <t xml:space="preserve">E-Type Series 1</t>
        </is>
      </c>
      <c r="K245" s="30" t="inlineStr">
        <is>
          <t xml:space="preserve">JPDL7HC3XGNVTEMLZ</t>
        </is>
      </c>
      <c r="L245" s="32" t="inlineStr">
        <is>
          <t xml:space="preserve">08 - Modern Classic (1973-1999)</t>
        </is>
      </c>
      <c r="M245" s="35">
        <v>1550000</v>
      </c>
      <c r="N245" s="32" t="inlineStr">
        <is>
          <t xml:space="preserve">Personal</t>
        </is>
      </c>
      <c r="O245" s="30" t="inlineStr">
        <is>
          <t xml:space="preserve">Personal - regular use</t>
        </is>
      </c>
      <c r="P245" s="30" t="inlineStr">
        <is>
          <t xml:space="preserve">Under 1,000</t>
        </is>
      </c>
      <c r="Q245" s="30" t="inlineStr">
        <is>
          <t xml:space="preserve">Utah</t>
        </is>
      </c>
      <c r="R245" s="30" t="inlineStr">
        <is>
          <t xml:space="preserve">84101</t>
        </is>
      </c>
      <c r="S245" s="32" t="inlineStr">
        <is>
          <t xml:space="preserve">Wildfire - WUI high hazard</t>
        </is>
      </c>
      <c r="T245" s="36">
        <f>IF($A245="","",IF($S245="","",IFERROR(INDEX('[1]natural catastrophe'!$D$6:$D$17,MATCH($S245,'[1]natural catastrophe'!$B$6:$B$17,0)),"?")))</f>
      </c>
      <c r="U245" s="30" t="inlineStr">
        <is>
          <t xml:space="preserve">$5,000</t>
        </is>
      </c>
      <c r="V245" s="32" t="inlineStr">
        <is>
          <t xml:space="preserve">Agreed Value</t>
        </is>
      </c>
      <c r="W245" s="30" t="inlineStr">
        <is>
          <t xml:space="preserve">$1,000</t>
        </is>
      </c>
      <c r="X245" s="32" t="inlineStr">
        <is>
          <t xml:space="preserve">$1,000,000 CSL</t>
        </is>
      </c>
      <c r="Y245" s="30"/>
      <c r="Z245" s="30"/>
      <c r="AA245" s="32" t="inlineStr">
        <is>
          <t xml:space="preserve">Surplus Lines</t>
        </is>
      </c>
      <c r="AB245" s="35">
        <v>15002.83</v>
      </c>
      <c r="AC245" s="37">
        <v>0</v>
      </c>
      <c r="AD245" s="38">
        <f>IF(ISNUMBER($AB245),$AB245*(1+N($AC245)),"")</f>
      </c>
      <c r="AE245" s="35">
        <v>350</v>
      </c>
      <c r="AF245" s="35">
        <v>250</v>
      </c>
      <c r="AG245" s="37"/>
      <c r="AH245" s="39">
        <f>IF(ISNUMBER($AD245),($AD245+$AE245+$AF245)*$AG245,"")</f>
      </c>
      <c r="AI245" s="35"/>
      <c r="AJ245" s="38">
        <f>IF(ISNUMBER($AD245),SUM($AD245:$AH245),"")</f>
      </c>
      <c r="AK245" s="40">
        <f>IF(AND(ISNUMBER($AB245),ISNUMBER($AD245)),IF($AB245&gt;0,$AD245/$AB245,""),"")</f>
      </c>
      <c r="AL245" s="32" t="inlineStr">
        <is>
          <t xml:space="preserve">At technical</t>
        </is>
      </c>
      <c r="AM245" s="41">
        <f>IF(ISNUMBER($AD245),Header!$I$3,"")</f>
      </c>
      <c r="AN245" s="39">
        <f>IF(ISNUMBER($AD245),$AO245+$AP245,"")</f>
      </c>
      <c r="AO245" s="39">
        <f>IF(ISNUMBER($AD245),ROUND($AD245*Header!$K$3,2),"")</f>
      </c>
      <c r="AP245" s="39">
        <f>IF(ISNUMBER($AD245),ROUND($AD245*Header!$M$3,2),"")</f>
      </c>
      <c r="AQ245" s="38">
        <f>IF(ISNUMBER($AD245),ROUND($AD245,2)-$AO245-$AP245,"")</f>
      </c>
      <c r="AR245" s="39">
        <f>IF(ISNUMBER($AD245),IF(Header!$D$34="","?",$AD245*Header!$D$34),"")</f>
      </c>
      <c r="AS245" s="39">
        <f>IF(ISNUMBER($AB245),IF(Header!$D$34="","?",$AB245*Header!$D$34),"")</f>
      </c>
      <c r="AT245" s="42">
        <f>IF(AND(ISNUMBER($AB245),$M245&gt;0),$AB245/$M245*100,"")</f>
      </c>
      <c r="AU245" s="42">
        <f>IF(AND(ISNUMBER($AD245),$M245&gt;0),$AD245/$M245*100,"")</f>
      </c>
      <c r="AV245" s="40">
        <f>IF(AND(ISNUMBER($AB245),ISNUMBER($AD245),ABS($AB245)&gt;0),$AD245/$AB245,"")</f>
      </c>
      <c r="AW245" s="39">
        <f>IF(ISNUMBER($AD245),MAX(0,(1-0.55-Header!$O$3)*Header!$Q$3*$AQ245),"")</f>
      </c>
      <c r="AX245" s="43">
        <f>IF($A245="","",IF(TRIM(IF($A245="","Missing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",""))="","PASS","FAIL: "&amp;TRIM(IF($A245="","Missing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f>
      </c>
      <c r="AY245" s="44">
        <f>IF($M245="","",IF(ISNUMBER($M245),IF($M245&gt;=Header!$C$18,"YES — refer","No"),""))</f>
      </c>
      <c r="AZ245" s="44">
        <f>IF($AD245="","",IF(ISNUMBER($AD245),IF($AD245&lt;Header!$C$20,"BELOW MIN PREMIUM","OK"),""))</f>
      </c>
      <c r="BA245" s="32" t="inlineStr">
        <is>
          <t xml:space="preserve">Yes</t>
        </is>
      </c>
      <c r="BB245" s="32" t="inlineStr">
        <is>
          <t xml:space="preserve">Yes</t>
        </is>
      </c>
      <c r="BC245" s="30" t="inlineStr">
        <is>
          <t xml:space="preserve">Synthetic demo data</t>
        </is>
      </c>
      <c r="BE245" s="45">
        <f>IF(OR($A245="",$L245="",$H245=""),"",IF(AND(LEFT($L245,2)="06",$H245&gt;1945),"FAIL - pre-war class, year "&amp;$H245,IF(AND(LEFT($L245,2)="07",OR($H245&lt;1946,$H245&gt;1972)),"FAIL - 1946-72 class, year "&amp;$H245,IF(AND(LEFT($L245,2)="08",OR($H245&lt;1973,$H245&gt;1999)),"FAIL - 1973-99 class, year "&amp;$H245,IF(AND(LEFT($L245,2)="09",OR($H245&lt;2000,$H245&gt;2010)),"FAIL - 2000-10 class, year "&amp;$H245,"OK")))))</f>
      </c>
      <c r="BF245" s="45">
        <f>IF($AD245="","",IF(ROUND($AO245+$AP245+$AQ245-$AD245,2)=0,"OK","FAIL - out by "&amp;TEXT($AO245+$AP245+$AQ245-$AD245,"$0.00")))</f>
      </c>
    </row>
    <row r="246" spans="1:58" ht="18.75" customHeight="1" x14ac:dyDescent="0.25">
      <c r="A246" s="46" t="inlineStr">
        <is>
          <t xml:space="preserve">CANON-202508-000322</t>
        </is>
      </c>
      <c r="B246" s="46" t="inlineStr">
        <is>
          <t xml:space="preserve">Beatrix Okonkwo</t>
        </is>
      </c>
      <c r="C246" s="47">
        <v>45889</v>
      </c>
      <c r="D246" s="48" t="inlineStr">
        <is>
          <t xml:space="preserve">Bound - within authority</t>
        </is>
      </c>
      <c r="E246" s="48" t="inlineStr">
        <is>
          <t xml:space="preserve">New business</t>
        </is>
      </c>
      <c r="F246" s="46" t="inlineStr">
        <is>
          <t xml:space="preserve">B1234EXOTIC26</t>
        </is>
      </c>
      <c r="G246" s="33">
        <f>IF($A246="","",IF($C246="","",YEAR($C246)))</f>
      </c>
      <c r="H246" s="49">
        <v>1997</v>
      </c>
      <c r="I246" s="46" t="inlineStr">
        <is>
          <t xml:space="preserve">Ferrari</t>
        </is>
      </c>
      <c r="J246" s="46" t="inlineStr">
        <is>
          <t xml:space="preserve">296 GTB</t>
        </is>
      </c>
      <c r="K246" s="46" t="inlineStr">
        <is>
          <t xml:space="preserve">6FZ8USG1HGXZL52SD</t>
        </is>
      </c>
      <c r="L246" s="48" t="inlineStr">
        <is>
          <t xml:space="preserve">03 - Supercar</t>
        </is>
      </c>
      <c r="M246" s="50">
        <v>460000</v>
      </c>
      <c r="N246" s="48" t="inlineStr">
        <is>
          <t xml:space="preserve">Personal</t>
        </is>
      </c>
      <c r="O246" s="46" t="inlineStr">
        <is>
          <t xml:space="preserve">Personal - regular use</t>
        </is>
      </c>
      <c r="P246" s="46" t="inlineStr">
        <is>
          <t xml:space="preserve">1,000 - 2,500</t>
        </is>
      </c>
      <c r="Q246" s="46" t="inlineStr">
        <is>
          <t xml:space="preserve">Mississippi</t>
        </is>
      </c>
      <c r="R246" s="46" t="inlineStr">
        <is>
          <t xml:space="preserve">39201</t>
        </is>
      </c>
      <c r="S246" s="48" t="inlineStr">
        <is>
          <t xml:space="preserve">Tier 2 - Coastal wind (1-25 miles)</t>
        </is>
      </c>
      <c r="T246" s="36">
        <f>IF($A246="","",IF($S246="","",IFERROR(INDEX('[1]natural catastrophe'!$D$6:$D$17,MATCH($S246,'[1]natural catastrophe'!$B$6:$B$17,0)),"?")))</f>
      </c>
      <c r="U246" s="46" t="inlineStr">
        <is>
          <t xml:space="preserve">2% of agreed value, minimum $10,000</t>
        </is>
      </c>
      <c r="V246" s="48" t="inlineStr">
        <is>
          <t xml:space="preserve">Agreed Value</t>
        </is>
      </c>
      <c r="W246" s="46" t="inlineStr">
        <is>
          <t xml:space="preserve">$1,000</t>
        </is>
      </c>
      <c r="X246" s="48" t="inlineStr">
        <is>
          <t xml:space="preserve">$1,000,000 CSL</t>
        </is>
      </c>
      <c r="Y246" s="46"/>
      <c r="Z246" s="46"/>
      <c r="AA246" s="48" t="inlineStr">
        <is>
          <t xml:space="preserve">Surplus Lines</t>
        </is>
      </c>
      <c r="AB246" s="50">
        <v>11877.55</v>
      </c>
      <c r="AC246" s="51">
        <v>0</v>
      </c>
      <c r="AD246" s="38">
        <f>IF(ISNUMBER($AB246),$AB246*(1+N($AC246)),"")</f>
      </c>
      <c r="AE246" s="50">
        <v>350</v>
      </c>
      <c r="AF246" s="50">
        <v>0</v>
      </c>
      <c r="AG246" s="51"/>
      <c r="AH246" s="39">
        <f>IF(ISNUMBER($AD246),($AD246+$AE246+$AF246)*$AG246,"")</f>
      </c>
      <c r="AI246" s="50"/>
      <c r="AJ246" s="38">
        <f>IF(ISNUMBER($AD246),SUM($AD246:$AH246),"")</f>
      </c>
      <c r="AK246" s="40">
        <f>IF(AND(ISNUMBER($AB246),ISNUMBER($AD246)),IF($AB246&gt;0,$AD246/$AB246,""),"")</f>
      </c>
      <c r="AL246" s="48" t="inlineStr">
        <is>
          <t xml:space="preserve">At technical</t>
        </is>
      </c>
      <c r="AM246" s="41">
        <f>IF(ISNUMBER($AD246),Header!$I$3,"")</f>
      </c>
      <c r="AN246" s="39">
        <f>IF(ISNUMBER($AD246),$AO246+$AP246,"")</f>
      </c>
      <c r="AO246" s="39">
        <f>IF(ISNUMBER($AD246),ROUND($AD246*Header!$K$3,2),"")</f>
      </c>
      <c r="AP246" s="39">
        <f>IF(ISNUMBER($AD246),ROUND($AD246*Header!$M$3,2),"")</f>
      </c>
      <c r="AQ246" s="38">
        <f>IF(ISNUMBER($AD246),ROUND($AD246,2)-$AO246-$AP246,"")</f>
      </c>
      <c r="AR246" s="39">
        <f>IF(ISNUMBER($AD246),IF(Header!$D$34="","?",$AD246*Header!$D$34),"")</f>
      </c>
      <c r="AS246" s="39">
        <f>IF(ISNUMBER($AB246),IF(Header!$D$34="","?",$AB246*Header!$D$34),"")</f>
      </c>
      <c r="AT246" s="42">
        <f>IF(AND(ISNUMBER($AB246),$M246&gt;0),$AB246/$M246*100,"")</f>
      </c>
      <c r="AU246" s="42">
        <f>IF(AND(ISNUMBER($AD246),$M246&gt;0),$AD246/$M246*100,"")</f>
      </c>
      <c r="AV246" s="40">
        <f>IF(AND(ISNUMBER($AB246),ISNUMBER($AD246),ABS($AB246)&gt;0),$AD246/$AB246,"")</f>
      </c>
      <c r="AW246" s="39">
        <f>IF(ISNUMBER($AD246),MAX(0,(1-0.55-Header!$O$3)*Header!$Q$3*$AQ246),"")</f>
      </c>
      <c r="AX246" s="43">
        <f>IF($A246="","",IF(TRIM(IF($A246="","Missing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",""))="","PASS","FAIL: "&amp;TRIM(IF($A246="","Missing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f>
      </c>
      <c r="AY246" s="44">
        <f>IF($M246="","",IF(ISNUMBER($M246),IF($M246&gt;=Header!$C$18,"YES — refer","No"),""))</f>
      </c>
      <c r="AZ246" s="44">
        <f>IF($AD246="","",IF(ISNUMBER($AD246),IF($AD246&lt;Header!$C$20,"BELOW MIN PREMIUM","OK"),""))</f>
      </c>
      <c r="BA246" s="48" t="inlineStr">
        <is>
          <t xml:space="preserve">Yes</t>
        </is>
      </c>
      <c r="BB246" s="48" t="inlineStr">
        <is>
          <t xml:space="preserve">Yes</t>
        </is>
      </c>
      <c r="BC246" s="46" t="inlineStr">
        <is>
          <t xml:space="preserve">Synthetic demo data</t>
        </is>
      </c>
      <c r="BE246" s="45">
        <f>IF(OR($A246="",$L246="",$H246=""),"",IF(AND(LEFT($L246,2)="06",$H246&gt;1945),"FAIL - pre-war class, year "&amp;$H246,IF(AND(LEFT($L246,2)="07",OR($H246&lt;1946,$H246&gt;1972)),"FAIL - 1946-72 class, year "&amp;$H246,IF(AND(LEFT($L246,2)="08",OR($H246&lt;1973,$H246&gt;1999)),"FAIL - 1973-99 class, year "&amp;$H246,IF(AND(LEFT($L246,2)="09",OR($H246&lt;2000,$H246&gt;2010)),"FAIL - 2000-10 class, year "&amp;$H246,"OK")))))</f>
      </c>
      <c r="BF246" s="45">
        <f>IF($AD246="","",IF(ROUND($AO246+$AP246+$AQ246-$AD246,2)=0,"OK","FAIL - out by "&amp;TEXT($AO246+$AP246+$AQ246-$AD246,"$0.00")))</f>
      </c>
    </row>
    <row r="247" spans="1:58" ht="18.75" customHeight="1" x14ac:dyDescent="0.25">
      <c r="A247" s="30" t="inlineStr">
        <is>
          <t xml:space="preserve">CANON-202508-000326</t>
        </is>
      </c>
      <c r="B247" s="30" t="inlineStr">
        <is>
          <t xml:space="preserve">Leopold Vasquez</t>
        </is>
      </c>
      <c r="C247" s="31">
        <v>45898</v>
      </c>
      <c r="D247" s="32" t="inlineStr">
        <is>
          <t xml:space="preserve">Bound - within authority</t>
        </is>
      </c>
      <c r="E247" s="32" t="inlineStr">
        <is>
          <t xml:space="preserve">New business</t>
        </is>
      </c>
      <c r="F247" s="30" t="inlineStr">
        <is>
          <t xml:space="preserve">B1234EXOTIC26</t>
        </is>
      </c>
      <c r="G247" s="33">
        <f>IF($A247="","",IF($C247="","",YEAR($C247)))</f>
      </c>
      <c r="H247" s="34">
        <v>2019</v>
      </c>
      <c r="I247" s="30" t="inlineStr">
        <is>
          <t xml:space="preserve">Aston Martin</t>
        </is>
      </c>
      <c r="J247" s="30" t="inlineStr">
        <is>
          <t xml:space="preserve">DB12</t>
        </is>
      </c>
      <c r="K247" s="30" t="inlineStr">
        <is>
          <t xml:space="preserve">PUBM1FSAYCNH25AG9</t>
        </is>
      </c>
      <c r="L247" s="32" t="inlineStr">
        <is>
          <t xml:space="preserve">02 - Sports / GT</t>
        </is>
      </c>
      <c r="M247" s="35">
        <v>370000</v>
      </c>
      <c r="N247" s="32" t="inlineStr">
        <is>
          <t xml:space="preserve">Personal</t>
        </is>
      </c>
      <c r="O247" s="30" t="inlineStr">
        <is>
          <t xml:space="preserve">Personal - regular use</t>
        </is>
      </c>
      <c r="P247" s="30" t="inlineStr">
        <is>
          <t xml:space="preserve">Under 1,000</t>
        </is>
      </c>
      <c r="Q247" s="30" t="inlineStr">
        <is>
          <t xml:space="preserve">Texas</t>
        </is>
      </c>
      <c r="R247" s="30" t="inlineStr">
        <is>
          <t xml:space="preserve">75201</t>
        </is>
      </c>
      <c r="S247" s="32" t="inlineStr">
        <is>
          <t xml:space="preserve">Tier 2 - Coastal wind (1-25 miles)</t>
        </is>
      </c>
      <c r="T247" s="36">
        <f>IF($A247="","",IF($S247="","",IFERROR(INDEX('[1]natural catastrophe'!$D$6:$D$17,MATCH($S247,'[1]natural catastrophe'!$B$6:$B$17,0)),"?")))</f>
      </c>
      <c r="U247" s="30" t="inlineStr">
        <is>
          <t xml:space="preserve">2% of agreed value, minimum $10,000</t>
        </is>
      </c>
      <c r="V247" s="32" t="inlineStr">
        <is>
          <t xml:space="preserve">Agreed Value</t>
        </is>
      </c>
      <c r="W247" s="30" t="inlineStr">
        <is>
          <t xml:space="preserve">$1,000</t>
        </is>
      </c>
      <c r="X247" s="32" t="inlineStr">
        <is>
          <t xml:space="preserve">$1,000,000 CSL</t>
        </is>
      </c>
      <c r="Y247" s="30"/>
      <c r="Z247" s="30"/>
      <c r="AA247" s="32" t="inlineStr">
        <is>
          <t xml:space="preserve">Surplus Lines</t>
        </is>
      </c>
      <c r="AB247" s="35">
        <v>6021.23</v>
      </c>
      <c r="AC247" s="37">
        <v>0</v>
      </c>
      <c r="AD247" s="38">
        <f>IF(ISNUMBER($AB247),$AB247*(1+N($AC247)),"")</f>
      </c>
      <c r="AE247" s="35">
        <v>350</v>
      </c>
      <c r="AF247" s="35">
        <v>0</v>
      </c>
      <c r="AG247" s="37"/>
      <c r="AH247" s="39">
        <f>IF(ISNUMBER($AD247),($AD247+$AE247+$AF247)*$AG247,"")</f>
      </c>
      <c r="AI247" s="35"/>
      <c r="AJ247" s="38">
        <f>IF(ISNUMBER($AD247),SUM($AD247:$AH247),"")</f>
      </c>
      <c r="AK247" s="40">
        <f>IF(AND(ISNUMBER($AB247),ISNUMBER($AD247)),IF($AB247&gt;0,$AD247/$AB247,""),"")</f>
      </c>
      <c r="AL247" s="32" t="inlineStr">
        <is>
          <t xml:space="preserve">At technical</t>
        </is>
      </c>
      <c r="AM247" s="41">
        <f>IF(ISNUMBER($AD247),Header!$I$3,"")</f>
      </c>
      <c r="AN247" s="39">
        <f>IF(ISNUMBER($AD247),$AO247+$AP247,"")</f>
      </c>
      <c r="AO247" s="39">
        <f>IF(ISNUMBER($AD247),ROUND($AD247*Header!$K$3,2),"")</f>
      </c>
      <c r="AP247" s="39">
        <f>IF(ISNUMBER($AD247),ROUND($AD247*Header!$M$3,2),"")</f>
      </c>
      <c r="AQ247" s="38">
        <f>IF(ISNUMBER($AD247),ROUND($AD247,2)-$AO247-$AP247,"")</f>
      </c>
      <c r="AR247" s="39">
        <f>IF(ISNUMBER($AD247),IF(Header!$D$34="","?",$AD247*Header!$D$34),"")</f>
      </c>
      <c r="AS247" s="39">
        <f>IF(ISNUMBER($AB247),IF(Header!$D$34="","?",$AB247*Header!$D$34),"")</f>
      </c>
      <c r="AT247" s="42">
        <f>IF(AND(ISNUMBER($AB247),$M247&gt;0),$AB247/$M247*100,"")</f>
      </c>
      <c r="AU247" s="42">
        <f>IF(AND(ISNUMBER($AD247),$M247&gt;0),$AD247/$M247*100,"")</f>
      </c>
      <c r="AV247" s="40">
        <f>IF(AND(ISNUMBER($AB247),ISNUMBER($AD247),ABS($AB247)&gt;0),$AD247/$AB247,"")</f>
      </c>
      <c r="AW247" s="39">
        <f>IF(ISNUMBER($AD247),MAX(0,(1-0.55-Header!$O$3)*Header!$Q$3*$AQ247),"")</f>
      </c>
      <c r="AX247" s="43">
        <f>IF($A247="","",IF(TRIM(IF($A247="","Missing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",""))="","PASS","FAIL: "&amp;TRIM(IF($A247="","Missing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f>
      </c>
      <c r="AY247" s="44">
        <f>IF($M247="","",IF(ISNUMBER($M247),IF($M247&gt;=Header!$C$18,"YES — refer","No"),""))</f>
      </c>
      <c r="AZ247" s="44">
        <f>IF($AD247="","",IF(ISNUMBER($AD247),IF($AD247&lt;Header!$C$20,"BELOW MIN PREMIUM","OK"),""))</f>
      </c>
      <c r="BA247" s="32" t="inlineStr">
        <is>
          <t xml:space="preserve">Yes</t>
        </is>
      </c>
      <c r="BB247" s="32" t="inlineStr">
        <is>
          <t xml:space="preserve">Yes</t>
        </is>
      </c>
      <c r="BC247" s="30" t="inlineStr">
        <is>
          <t xml:space="preserve">Synthetic demo data</t>
        </is>
      </c>
      <c r="BE247" s="45">
        <f>IF(OR($A247="",$L247="",$H247=""),"",IF(AND(LEFT($L247,2)="06",$H247&gt;1945),"FAIL - pre-war class, year "&amp;$H247,IF(AND(LEFT($L247,2)="07",OR($H247&lt;1946,$H247&gt;1972)),"FAIL - 1946-72 class, year "&amp;$H247,IF(AND(LEFT($L247,2)="08",OR($H247&lt;1973,$H247&gt;1999)),"FAIL - 1973-99 class, year "&amp;$H247,IF(AND(LEFT($L247,2)="09",OR($H247&lt;2000,$H247&gt;2010)),"FAIL - 2000-10 class, year "&amp;$H247,"OK")))))</f>
      </c>
      <c r="BF247" s="45">
        <f>IF($AD247="","",IF(ROUND($AO247+$AP247+$AQ247-$AD247,2)=0,"OK","FAIL - out by "&amp;TEXT($AO247+$AP247+$AQ247-$AD247,"$0.00")))</f>
      </c>
    </row>
    <row r="248" spans="1:58" ht="18.75" customHeight="1" x14ac:dyDescent="0.25">
      <c r="A248" s="46" t="inlineStr">
        <is>
          <t xml:space="preserve">CANON-202508-000328</t>
        </is>
      </c>
      <c r="B248" s="46" t="inlineStr">
        <is>
          <t xml:space="preserve">Fitzgerald Underwood</t>
        </is>
      </c>
      <c r="C248" s="47">
        <v>45894</v>
      </c>
      <c r="D248" s="48" t="inlineStr">
        <is>
          <t xml:space="preserve">Bound - within authority</t>
        </is>
      </c>
      <c r="E248" s="48" t="inlineStr">
        <is>
          <t xml:space="preserve">New business</t>
        </is>
      </c>
      <c r="F248" s="46" t="inlineStr">
        <is>
          <t xml:space="preserve">B1234EXOTIC26</t>
        </is>
      </c>
      <c r="G248" s="33">
        <f>IF($A248="","",IF($C248="","",YEAR($C248)))</f>
      </c>
      <c r="H248" s="49">
        <v>2020</v>
      </c>
      <c r="I248" s="46" t="inlineStr">
        <is>
          <t xml:space="preserve">Maserati</t>
        </is>
      </c>
      <c r="J248" s="46" t="inlineStr">
        <is>
          <t xml:space="preserve">GranTurismo</t>
        </is>
      </c>
      <c r="K248" s="46" t="inlineStr">
        <is>
          <t xml:space="preserve">YJ3A6UP493KPS3FWP</t>
        </is>
      </c>
      <c r="L248" s="48" t="inlineStr">
        <is>
          <t xml:space="preserve">02 - Sports / GT</t>
        </is>
      </c>
      <c r="M248" s="50">
        <v>850000</v>
      </c>
      <c r="N248" s="48" t="inlineStr">
        <is>
          <t xml:space="preserve">Personal</t>
        </is>
      </c>
      <c r="O248" s="46" t="inlineStr">
        <is>
          <t xml:space="preserve">Personal - regular use</t>
        </is>
      </c>
      <c r="P248" s="46" t="inlineStr">
        <is>
          <t xml:space="preserve">Under 1,000</t>
        </is>
      </c>
      <c r="Q248" s="46" t="inlineStr">
        <is>
          <t xml:space="preserve">Maryland</t>
        </is>
      </c>
      <c r="R248" s="46" t="inlineStr">
        <is>
          <t xml:space="preserve">21201</t>
        </is>
      </c>
      <c r="S248" s="48" t="inlineStr">
        <is>
          <t xml:space="preserve">Tier 3 - Coastal wind (25-100 miles)</t>
        </is>
      </c>
      <c r="T248" s="36">
        <f>IF($A248="","",IF($S248="","",IFERROR(INDEX('[1]natural catastrophe'!$D$6:$D$17,MATCH($S248,'[1]natural catastrophe'!$B$6:$B$17,0)),"?")))</f>
      </c>
      <c r="U248" s="46" t="inlineStr">
        <is>
          <t xml:space="preserve">2% of agreed value, minimum $10,000</t>
        </is>
      </c>
      <c r="V248" s="48" t="inlineStr">
        <is>
          <t xml:space="preserve">Agreed Value</t>
        </is>
      </c>
      <c r="W248" s="46" t="inlineStr">
        <is>
          <t xml:space="preserve">$1,000</t>
        </is>
      </c>
      <c r="X248" s="48" t="inlineStr">
        <is>
          <t xml:space="preserve">$1,000,000 CSL</t>
        </is>
      </c>
      <c r="Y248" s="46"/>
      <c r="Z248" s="46"/>
      <c r="AA248" s="48" t="inlineStr">
        <is>
          <t xml:space="preserve">Surplus Lines</t>
        </is>
      </c>
      <c r="AB248" s="50">
        <v>9903.3</v>
      </c>
      <c r="AC248" s="51">
        <v>0</v>
      </c>
      <c r="AD248" s="38">
        <f>IF(ISNUMBER($AB248),$AB248*(1+N($AC248)),"")</f>
      </c>
      <c r="AE248" s="50">
        <v>350</v>
      </c>
      <c r="AF248" s="50">
        <v>0</v>
      </c>
      <c r="AG248" s="51"/>
      <c r="AH248" s="39">
        <f>IF(ISNUMBER($AD248),($AD248+$AE248+$AF248)*$AG248,"")</f>
      </c>
      <c r="AI248" s="50"/>
      <c r="AJ248" s="38">
        <f>IF(ISNUMBER($AD248),SUM($AD248:$AH248),"")</f>
      </c>
      <c r="AK248" s="40">
        <f>IF(AND(ISNUMBER($AB248),ISNUMBER($AD248)),IF($AB248&gt;0,$AD248/$AB248,""),"")</f>
      </c>
      <c r="AL248" s="48" t="inlineStr">
        <is>
          <t xml:space="preserve">At technical</t>
        </is>
      </c>
      <c r="AM248" s="41">
        <f>IF(ISNUMBER($AD248),Header!$I$3,"")</f>
      </c>
      <c r="AN248" s="39">
        <f>IF(ISNUMBER($AD248),$AO248+$AP248,"")</f>
      </c>
      <c r="AO248" s="39">
        <f>IF(ISNUMBER($AD248),ROUND($AD248*Header!$K$3,2),"")</f>
      </c>
      <c r="AP248" s="39">
        <f>IF(ISNUMBER($AD248),ROUND($AD248*Header!$M$3,2),"")</f>
      </c>
      <c r="AQ248" s="38">
        <f>IF(ISNUMBER($AD248),ROUND($AD248,2)-$AO248-$AP248,"")</f>
      </c>
      <c r="AR248" s="39">
        <f>IF(ISNUMBER($AD248),IF(Header!$D$34="","?",$AD248*Header!$D$34),"")</f>
      </c>
      <c r="AS248" s="39">
        <f>IF(ISNUMBER($AB248),IF(Header!$D$34="","?",$AB248*Header!$D$34),"")</f>
      </c>
      <c r="AT248" s="42">
        <f>IF(AND(ISNUMBER($AB248),$M248&gt;0),$AB248/$M248*100,"")</f>
      </c>
      <c r="AU248" s="42">
        <f>IF(AND(ISNUMBER($AD248),$M248&gt;0),$AD248/$M248*100,"")</f>
      </c>
      <c r="AV248" s="40">
        <f>IF(AND(ISNUMBER($AB248),ISNUMBER($AD248),ABS($AB248)&gt;0),$AD248/$AB248,"")</f>
      </c>
      <c r="AW248" s="39">
        <f>IF(ISNUMBER($AD248),MAX(0,(1-0.55-Header!$O$3)*Header!$Q$3*$AQ248),"")</f>
      </c>
      <c r="AX248" s="43">
        <f>IF($A248="","",IF(TRIM(IF($A248="","Missing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",""))="","PASS","FAIL: "&amp;TRIM(IF($A248="","Missing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f>
      </c>
      <c r="AY248" s="44">
        <f>IF($M248="","",IF(ISNUMBER($M248),IF($M248&gt;=Header!$C$18,"YES — refer","No"),""))</f>
      </c>
      <c r="AZ248" s="44">
        <f>IF($AD248="","",IF(ISNUMBER($AD248),IF($AD248&lt;Header!$C$20,"BELOW MIN PREMIUM","OK"),""))</f>
      </c>
      <c r="BA248" s="48" t="inlineStr">
        <is>
          <t xml:space="preserve">Yes</t>
        </is>
      </c>
      <c r="BB248" s="48" t="inlineStr">
        <is>
          <t xml:space="preserve">Yes</t>
        </is>
      </c>
      <c r="BC248" s="46" t="inlineStr">
        <is>
          <t xml:space="preserve">Synthetic demo data</t>
        </is>
      </c>
      <c r="BE248" s="45">
        <f>IF(OR($A248="",$L248="",$H248=""),"",IF(AND(LEFT($L248,2)="06",$H248&gt;1945),"FAIL - pre-war class, year "&amp;$H248,IF(AND(LEFT($L248,2)="07",OR($H248&lt;1946,$H248&gt;1972)),"FAIL - 1946-72 class, year "&amp;$H248,IF(AND(LEFT($L248,2)="08",OR($H248&lt;1973,$H248&gt;1999)),"FAIL - 1973-99 class, year "&amp;$H248,IF(AND(LEFT($L248,2)="09",OR($H248&lt;2000,$H248&gt;2010)),"FAIL - 2000-10 class, year "&amp;$H248,"OK")))))</f>
      </c>
      <c r="BF248" s="45">
        <f>IF($AD248="","",IF(ROUND($AO248+$AP248+$AQ248-$AD248,2)=0,"OK","FAIL - out by "&amp;TEXT($AO248+$AP248+$AQ248-$AD248,"$0.00")))</f>
      </c>
    </row>
    <row r="249" spans="1:58" ht="18.75" customHeight="1" x14ac:dyDescent="0.25">
      <c r="A249" s="30" t="inlineStr">
        <is>
          <t xml:space="preserve">CANON-202508-000329</t>
        </is>
      </c>
      <c r="B249" s="30" t="inlineStr">
        <is>
          <t xml:space="preserve">Anouk Montoya</t>
        </is>
      </c>
      <c r="C249" s="31">
        <v>45872</v>
      </c>
      <c r="D249" s="32" t="inlineStr">
        <is>
          <t xml:space="preserve">Bound - within authority</t>
        </is>
      </c>
      <c r="E249" s="32" t="inlineStr">
        <is>
          <t xml:space="preserve">New business</t>
        </is>
      </c>
      <c r="F249" s="30" t="inlineStr">
        <is>
          <t xml:space="preserve">B1234EXOTIC26</t>
        </is>
      </c>
      <c r="G249" s="33">
        <f>IF($A249="","",IF($C249="","",YEAR($C249)))</f>
      </c>
      <c r="H249" s="34">
        <v>2006</v>
      </c>
      <c r="I249" s="30" t="inlineStr">
        <is>
          <t xml:space="preserve">McLaren</t>
        </is>
      </c>
      <c r="J249" s="30" t="inlineStr">
        <is>
          <t xml:space="preserve">750S</t>
        </is>
      </c>
      <c r="K249" s="30" t="inlineStr">
        <is>
          <t xml:space="preserve">6DDNSUJAVJXE65N4G</t>
        </is>
      </c>
      <c r="L249" s="32" t="inlineStr">
        <is>
          <t xml:space="preserve">03 - Supercar</t>
        </is>
      </c>
      <c r="M249" s="35">
        <v>545000</v>
      </c>
      <c r="N249" s="32" t="inlineStr">
        <is>
          <t xml:space="preserve">Personal</t>
        </is>
      </c>
      <c r="O249" s="30" t="inlineStr">
        <is>
          <t xml:space="preserve">Personal - regular use</t>
        </is>
      </c>
      <c r="P249" s="30" t="inlineStr">
        <is>
          <t xml:space="preserve">Under 1,000</t>
        </is>
      </c>
      <c r="Q249" s="30" t="inlineStr">
        <is>
          <t xml:space="preserve">Kansas</t>
        </is>
      </c>
      <c r="R249" s="30" t="inlineStr">
        <is>
          <t xml:space="preserve">66603</t>
        </is>
      </c>
      <c r="S249" s="32" t="inlineStr">
        <is>
          <t xml:space="preserve">Severe convective - hail alley (high)</t>
        </is>
      </c>
      <c r="T249" s="36">
        <f>IF($A249="","",IF($S249="","",IFERROR(INDEX('[1]natural catastrophe'!$D$6:$D$17,MATCH($S249,'[1]natural catastrophe'!$B$6:$B$17,0)),"?")))</f>
      </c>
      <c r="U249" s="30" t="inlineStr">
        <is>
          <t xml:space="preserve">$5,000</t>
        </is>
      </c>
      <c r="V249" s="32" t="inlineStr">
        <is>
          <t xml:space="preserve">Agreed Value</t>
        </is>
      </c>
      <c r="W249" s="30" t="inlineStr">
        <is>
          <t xml:space="preserve">$1,000</t>
        </is>
      </c>
      <c r="X249" s="32" t="inlineStr">
        <is>
          <t xml:space="preserve">$1,000,000 CSL</t>
        </is>
      </c>
      <c r="Y249" s="30"/>
      <c r="Z249" s="30"/>
      <c r="AA249" s="32" t="inlineStr">
        <is>
          <t xml:space="preserve">Surplus Lines</t>
        </is>
      </c>
      <c r="AB249" s="35">
        <v>9475.8</v>
      </c>
      <c r="AC249" s="37">
        <v>0</v>
      </c>
      <c r="AD249" s="38">
        <f>IF(ISNUMBER($AB249),$AB249*(1+N($AC249)),"")</f>
      </c>
      <c r="AE249" s="35">
        <v>350</v>
      </c>
      <c r="AF249" s="35">
        <v>0</v>
      </c>
      <c r="AG249" s="37"/>
      <c r="AH249" s="39">
        <f>IF(ISNUMBER($AD249),($AD249+$AE249+$AF249)*$AG249,"")</f>
      </c>
      <c r="AI249" s="35"/>
      <c r="AJ249" s="38">
        <f>IF(ISNUMBER($AD249),SUM($AD249:$AH249),"")</f>
      </c>
      <c r="AK249" s="40">
        <f>IF(AND(ISNUMBER($AB249),ISNUMBER($AD249)),IF($AB249&gt;0,$AD249/$AB249,""),"")</f>
      </c>
      <c r="AL249" s="32" t="inlineStr">
        <is>
          <t xml:space="preserve">At technical</t>
        </is>
      </c>
      <c r="AM249" s="41">
        <f>IF(ISNUMBER($AD249),Header!$I$3,"")</f>
      </c>
      <c r="AN249" s="39">
        <f>IF(ISNUMBER($AD249),$AO249+$AP249,"")</f>
      </c>
      <c r="AO249" s="39">
        <f>IF(ISNUMBER($AD249),ROUND($AD249*Header!$K$3,2),"")</f>
      </c>
      <c r="AP249" s="39">
        <f>IF(ISNUMBER($AD249),ROUND($AD249*Header!$M$3,2),"")</f>
      </c>
      <c r="AQ249" s="38">
        <f>IF(ISNUMBER($AD249),ROUND($AD249,2)-$AO249-$AP249,"")</f>
      </c>
      <c r="AR249" s="39">
        <f>IF(ISNUMBER($AD249),IF(Header!$D$34="","?",$AD249*Header!$D$34),"")</f>
      </c>
      <c r="AS249" s="39">
        <f>IF(ISNUMBER($AB249),IF(Header!$D$34="","?",$AB249*Header!$D$34),"")</f>
      </c>
      <c r="AT249" s="42">
        <f>IF(AND(ISNUMBER($AB249),$M249&gt;0),$AB249/$M249*100,"")</f>
      </c>
      <c r="AU249" s="42">
        <f>IF(AND(ISNUMBER($AD249),$M249&gt;0),$AD249/$M249*100,"")</f>
      </c>
      <c r="AV249" s="40">
        <f>IF(AND(ISNUMBER($AB249),ISNUMBER($AD249),ABS($AB249)&gt;0),$AD249/$AB249,"")</f>
      </c>
      <c r="AW249" s="39">
        <f>IF(ISNUMBER($AD249),MAX(0,(1-0.55-Header!$O$3)*Header!$Q$3*$AQ249),"")</f>
      </c>
      <c r="AX249" s="43">
        <f>IF($A249="","",IF(TRIM(IF($A249="","Missing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",""))="","PASS","FAIL: "&amp;TRIM(IF($A249="","Missing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f>
      </c>
      <c r="AY249" s="44">
        <f>IF($M249="","",IF(ISNUMBER($M249),IF($M249&gt;=Header!$C$18,"YES — refer","No"),""))</f>
      </c>
      <c r="AZ249" s="44">
        <f>IF($AD249="","",IF(ISNUMBER($AD249),IF($AD249&lt;Header!$C$20,"BELOW MIN PREMIUM","OK"),""))</f>
      </c>
      <c r="BA249" s="32" t="inlineStr">
        <is>
          <t xml:space="preserve">Yes</t>
        </is>
      </c>
      <c r="BB249" s="32" t="inlineStr">
        <is>
          <t xml:space="preserve">Yes</t>
        </is>
      </c>
      <c r="BC249" s="30" t="inlineStr">
        <is>
          <t xml:space="preserve">Synthetic demo data</t>
        </is>
      </c>
      <c r="BE249" s="45">
        <f>IF(OR($A249="",$L249="",$H249=""),"",IF(AND(LEFT($L249,2)="06",$H249&gt;1945),"FAIL - pre-war class, year "&amp;$H249,IF(AND(LEFT($L249,2)="07",OR($H249&lt;1946,$H249&gt;1972)),"FAIL - 1946-72 class, year "&amp;$H249,IF(AND(LEFT($L249,2)="08",OR($H249&lt;1973,$H249&gt;1999)),"FAIL - 1973-99 class, year "&amp;$H249,IF(AND(LEFT($L249,2)="09",OR($H249&lt;2000,$H249&gt;2010)),"FAIL - 2000-10 class, year "&amp;$H249,"OK")))))</f>
      </c>
      <c r="BF249" s="45">
        <f>IF($AD249="","",IF(ROUND($AO249+$AP249+$AQ249-$AD249,2)=0,"OK","FAIL - out by "&amp;TEXT($AO249+$AP249+$AQ249-$AD249,"$0.00")))</f>
      </c>
    </row>
    <row r="250" spans="1:58" ht="18.75" customHeight="1" x14ac:dyDescent="0.25">
      <c r="A250" s="46" t="inlineStr">
        <is>
          <t xml:space="preserve">CANON-202508-000331</t>
        </is>
      </c>
      <c r="B250" s="46" t="inlineStr">
        <is>
          <t xml:space="preserve">Saoirse Blackwood</t>
        </is>
      </c>
      <c r="C250" s="47">
        <v>45883</v>
      </c>
      <c r="D250" s="48" t="inlineStr">
        <is>
          <t xml:space="preserve">Bound - within authority</t>
        </is>
      </c>
      <c r="E250" s="48" t="inlineStr">
        <is>
          <t xml:space="preserve">New business</t>
        </is>
      </c>
      <c r="F250" s="46" t="inlineStr">
        <is>
          <t xml:space="preserve">B1234EXOTIC26</t>
        </is>
      </c>
      <c r="G250" s="33">
        <f>IF($A250="","",IF($C250="","",YEAR($C250)))</f>
      </c>
      <c r="H250" s="49">
        <v>2019</v>
      </c>
      <c r="I250" s="46" t="inlineStr">
        <is>
          <t xml:space="preserve">Porsche</t>
        </is>
      </c>
      <c r="J250" s="46" t="inlineStr">
        <is>
          <t xml:space="preserve">911 Turbo S</t>
        </is>
      </c>
      <c r="K250" s="46" t="inlineStr">
        <is>
          <t xml:space="preserve">VRPTYAY5H8HZ7TGX3</t>
        </is>
      </c>
      <c r="L250" s="48" t="inlineStr">
        <is>
          <t xml:space="preserve">02 - Sports / GT</t>
        </is>
      </c>
      <c r="M250" s="50">
        <v>320000</v>
      </c>
      <c r="N250" s="48" t="inlineStr">
        <is>
          <t xml:space="preserve">Personal</t>
        </is>
      </c>
      <c r="O250" s="46" t="inlineStr">
        <is>
          <t xml:space="preserve">Personal - regular use</t>
        </is>
      </c>
      <c r="P250" s="46" t="inlineStr">
        <is>
          <t xml:space="preserve">2,500 - 5,000</t>
        </is>
      </c>
      <c r="Q250" s="46" t="inlineStr">
        <is>
          <t xml:space="preserve">California</t>
        </is>
      </c>
      <c r="R250" s="46" t="inlineStr">
        <is>
          <t xml:space="preserve">90012</t>
        </is>
      </c>
      <c r="S250" s="48" t="inlineStr">
        <is>
          <t xml:space="preserve">Earthquake - high (CA, Cascadia, New Madrid)</t>
        </is>
      </c>
      <c r="T250" s="36">
        <f>IF($A250="","",IF($S250="","",IFERROR(INDEX('[1]natural catastrophe'!$D$6:$D$17,MATCH($S250,'[1]natural catastrophe'!$B$6:$B$17,0)),"?")))</f>
      </c>
      <c r="U250" s="46" t="inlineStr">
        <is>
          <t xml:space="preserve">$5,000</t>
        </is>
      </c>
      <c r="V250" s="48" t="inlineStr">
        <is>
          <t xml:space="preserve">Agreed Value</t>
        </is>
      </c>
      <c r="W250" s="46" t="inlineStr">
        <is>
          <t xml:space="preserve">$1,000</t>
        </is>
      </c>
      <c r="X250" s="48" t="inlineStr">
        <is>
          <t xml:space="preserve">$1,000,000 CSL</t>
        </is>
      </c>
      <c r="Y250" s="46"/>
      <c r="Z250" s="46"/>
      <c r="AA250" s="48" t="inlineStr">
        <is>
          <t xml:space="preserve">Surplus Lines</t>
        </is>
      </c>
      <c r="AB250" s="50">
        <v>6113.21</v>
      </c>
      <c r="AC250" s="51">
        <v>0</v>
      </c>
      <c r="AD250" s="38">
        <f>IF(ISNUMBER($AB250),$AB250*(1+N($AC250)),"")</f>
      </c>
      <c r="AE250" s="50">
        <v>350</v>
      </c>
      <c r="AF250" s="50">
        <v>0</v>
      </c>
      <c r="AG250" s="51"/>
      <c r="AH250" s="39">
        <f>IF(ISNUMBER($AD250),($AD250+$AE250+$AF250)*$AG250,"")</f>
      </c>
      <c r="AI250" s="50"/>
      <c r="AJ250" s="38">
        <f>IF(ISNUMBER($AD250),SUM($AD250:$AH250),"")</f>
      </c>
      <c r="AK250" s="40">
        <f>IF(AND(ISNUMBER($AB250),ISNUMBER($AD250)),IF($AB250&gt;0,$AD250/$AB250,""),"")</f>
      </c>
      <c r="AL250" s="48" t="inlineStr">
        <is>
          <t xml:space="preserve">At technical</t>
        </is>
      </c>
      <c r="AM250" s="41">
        <f>IF(ISNUMBER($AD250),Header!$I$3,"")</f>
      </c>
      <c r="AN250" s="39">
        <f>IF(ISNUMBER($AD250),$AO250+$AP250,"")</f>
      </c>
      <c r="AO250" s="39">
        <f>IF(ISNUMBER($AD250),ROUND($AD250*Header!$K$3,2),"")</f>
      </c>
      <c r="AP250" s="39">
        <f>IF(ISNUMBER($AD250),ROUND($AD250*Header!$M$3,2),"")</f>
      </c>
      <c r="AQ250" s="38">
        <f>IF(ISNUMBER($AD250),ROUND($AD250,2)-$AO250-$AP250,"")</f>
      </c>
      <c r="AR250" s="39">
        <f>IF(ISNUMBER($AD250),IF(Header!$D$34="","?",$AD250*Header!$D$34),"")</f>
      </c>
      <c r="AS250" s="39">
        <f>IF(ISNUMBER($AB250),IF(Header!$D$34="","?",$AB250*Header!$D$34),"")</f>
      </c>
      <c r="AT250" s="42">
        <f>IF(AND(ISNUMBER($AB250),$M250&gt;0),$AB250/$M250*100,"")</f>
      </c>
      <c r="AU250" s="42">
        <f>IF(AND(ISNUMBER($AD250),$M250&gt;0),$AD250/$M250*100,"")</f>
      </c>
      <c r="AV250" s="40">
        <f>IF(AND(ISNUMBER($AB250),ISNUMBER($AD250),ABS($AB250)&gt;0),$AD250/$AB250,"")</f>
      </c>
      <c r="AW250" s="39">
        <f>IF(ISNUMBER($AD250),MAX(0,(1-0.55-Header!$O$3)*Header!$Q$3*$AQ250),"")</f>
      </c>
      <c r="AX250" s="43">
        <f>IF($A250="","",IF(TRIM(IF($A250="","Missing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",""))="","PASS","FAIL: "&amp;TRIM(IF($A250="","Missing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f>
      </c>
      <c r="AY250" s="44">
        <f>IF($M250="","",IF(ISNUMBER($M250),IF($M250&gt;=Header!$C$18,"YES — refer","No"),""))</f>
      </c>
      <c r="AZ250" s="44">
        <f>IF($AD250="","",IF(ISNUMBER($AD250),IF($AD250&lt;Header!$C$20,"BELOW MIN PREMIUM","OK"),""))</f>
      </c>
      <c r="BA250" s="48" t="inlineStr">
        <is>
          <t xml:space="preserve">Yes</t>
        </is>
      </c>
      <c r="BB250" s="48" t="inlineStr">
        <is>
          <t xml:space="preserve">Yes</t>
        </is>
      </c>
      <c r="BC250" s="46" t="inlineStr">
        <is>
          <t xml:space="preserve">Synthetic demo data</t>
        </is>
      </c>
      <c r="BE250" s="45">
        <f>IF(OR($A250="",$L250="",$H250=""),"",IF(AND(LEFT($L250,2)="06",$H250&gt;1945),"FAIL - pre-war class, year "&amp;$H250,IF(AND(LEFT($L250,2)="07",OR($H250&lt;1946,$H250&gt;1972)),"FAIL - 1946-72 class, year "&amp;$H250,IF(AND(LEFT($L250,2)="08",OR($H250&lt;1973,$H250&gt;1999)),"FAIL - 1973-99 class, year "&amp;$H250,IF(AND(LEFT($L250,2)="09",OR($H250&lt;2000,$H250&gt;2010)),"FAIL - 2000-10 class, year "&amp;$H250,"OK")))))</f>
      </c>
      <c r="BF250" s="45">
        <f>IF($AD250="","",IF(ROUND($AO250+$AP250+$AQ250-$AD250,2)=0,"OK","FAIL - out by "&amp;TEXT($AO250+$AP250+$AQ250-$AD250,"$0.00")))</f>
      </c>
    </row>
    <row r="251" spans="1:58" ht="18.75" customHeight="1" x14ac:dyDescent="0.25">
      <c r="A251" s="30" t="inlineStr">
        <is>
          <t xml:space="preserve">CANON-202508-000333</t>
        </is>
      </c>
      <c r="B251" s="30" t="inlineStr">
        <is>
          <t xml:space="preserve">Fitzgerald Ashcombe</t>
        </is>
      </c>
      <c r="C251" s="31">
        <v>45892</v>
      </c>
      <c r="D251" s="32" t="inlineStr">
        <is>
          <t xml:space="preserve">Bound - within authority</t>
        </is>
      </c>
      <c r="E251" s="32" t="inlineStr">
        <is>
          <t xml:space="preserve">New business</t>
        </is>
      </c>
      <c r="F251" s="30" t="inlineStr">
        <is>
          <t xml:space="preserve">B1234EXOTIC26</t>
        </is>
      </c>
      <c r="G251" s="33">
        <f>IF($A251="","",IF($C251="","",YEAR($C251)))</f>
      </c>
      <c r="H251" s="34">
        <v>1997</v>
      </c>
      <c r="I251" s="30" t="inlineStr">
        <is>
          <t xml:space="preserve">Ferrari</t>
        </is>
      </c>
      <c r="J251" s="30" t="inlineStr">
        <is>
          <t xml:space="preserve">296 GTB</t>
        </is>
      </c>
      <c r="K251" s="30" t="inlineStr">
        <is>
          <t xml:space="preserve">MVF2V7TV0AJXRDMBW</t>
        </is>
      </c>
      <c r="L251" s="32" t="inlineStr">
        <is>
          <t xml:space="preserve">03 - Supercar</t>
        </is>
      </c>
      <c r="M251" s="35">
        <v>535000</v>
      </c>
      <c r="N251" s="32" t="inlineStr">
        <is>
          <t xml:space="preserve">Personal</t>
        </is>
      </c>
      <c r="O251" s="30" t="inlineStr">
        <is>
          <t xml:space="preserve">Personal - regular use</t>
        </is>
      </c>
      <c r="P251" s="30" t="inlineStr">
        <is>
          <t xml:space="preserve">2,500 - 5,000</t>
        </is>
      </c>
      <c r="Q251" s="30" t="inlineStr">
        <is>
          <t xml:space="preserve">Virginia</t>
        </is>
      </c>
      <c r="R251" s="30" t="inlineStr">
        <is>
          <t xml:space="preserve">23219</t>
        </is>
      </c>
      <c r="S251" s="32" t="inlineStr">
        <is>
          <t xml:space="preserve">Tier 3 - Coastal wind (25-100 miles)</t>
        </is>
      </c>
      <c r="T251" s="36">
        <f>IF($A251="","",IF($S251="","",IFERROR(INDEX('[1]natural catastrophe'!$D$6:$D$17,MATCH($S251,'[1]natural catastrophe'!$B$6:$B$17,0)),"?")))</f>
      </c>
      <c r="U251" s="30" t="inlineStr">
        <is>
          <t xml:space="preserve">2% of agreed value, minimum $10,000</t>
        </is>
      </c>
      <c r="V251" s="32" t="inlineStr">
        <is>
          <t xml:space="preserve">Agreed Value</t>
        </is>
      </c>
      <c r="W251" s="30" t="inlineStr">
        <is>
          <t xml:space="preserve">$1,000</t>
        </is>
      </c>
      <c r="X251" s="32" t="inlineStr">
        <is>
          <t xml:space="preserve">$1,000,000 CSL</t>
        </is>
      </c>
      <c r="Y251" s="30"/>
      <c r="Z251" s="30"/>
      <c r="AA251" s="32" t="inlineStr">
        <is>
          <t xml:space="preserve">Surplus Lines</t>
        </is>
      </c>
      <c r="AB251" s="35">
        <v>10452.69</v>
      </c>
      <c r="AC251" s="37">
        <v>0</v>
      </c>
      <c r="AD251" s="38">
        <f>IF(ISNUMBER($AB251),$AB251*(1+N($AC251)),"")</f>
      </c>
      <c r="AE251" s="35">
        <v>350</v>
      </c>
      <c r="AF251" s="35">
        <v>0</v>
      </c>
      <c r="AG251" s="37"/>
      <c r="AH251" s="39">
        <f>IF(ISNUMBER($AD251),($AD251+$AE251+$AF251)*$AG251,"")</f>
      </c>
      <c r="AI251" s="35"/>
      <c r="AJ251" s="38">
        <f>IF(ISNUMBER($AD251),SUM($AD251:$AH251),"")</f>
      </c>
      <c r="AK251" s="40">
        <f>IF(AND(ISNUMBER($AB251),ISNUMBER($AD251)),IF($AB251&gt;0,$AD251/$AB251,""),"")</f>
      </c>
      <c r="AL251" s="32" t="inlineStr">
        <is>
          <t xml:space="preserve">At technical</t>
        </is>
      </c>
      <c r="AM251" s="41">
        <f>IF(ISNUMBER($AD251),Header!$I$3,"")</f>
      </c>
      <c r="AN251" s="39">
        <f>IF(ISNUMBER($AD251),$AO251+$AP251,"")</f>
      </c>
      <c r="AO251" s="39">
        <f>IF(ISNUMBER($AD251),ROUND($AD251*Header!$K$3,2),"")</f>
      </c>
      <c r="AP251" s="39">
        <f>IF(ISNUMBER($AD251),ROUND($AD251*Header!$M$3,2),"")</f>
      </c>
      <c r="AQ251" s="38">
        <f>IF(ISNUMBER($AD251),ROUND($AD251,2)-$AO251-$AP251,"")</f>
      </c>
      <c r="AR251" s="39">
        <f>IF(ISNUMBER($AD251),IF(Header!$D$34="","?",$AD251*Header!$D$34),"")</f>
      </c>
      <c r="AS251" s="39">
        <f>IF(ISNUMBER($AB251),IF(Header!$D$34="","?",$AB251*Header!$D$34),"")</f>
      </c>
      <c r="AT251" s="42">
        <f>IF(AND(ISNUMBER($AB251),$M251&gt;0),$AB251/$M251*100,"")</f>
      </c>
      <c r="AU251" s="42">
        <f>IF(AND(ISNUMBER($AD251),$M251&gt;0),$AD251/$M251*100,"")</f>
      </c>
      <c r="AV251" s="40">
        <f>IF(AND(ISNUMBER($AB251),ISNUMBER($AD251),ABS($AB251)&gt;0),$AD251/$AB251,"")</f>
      </c>
      <c r="AW251" s="39">
        <f>IF(ISNUMBER($AD251),MAX(0,(1-0.55-Header!$O$3)*Header!$Q$3*$AQ251),"")</f>
      </c>
      <c r="AX251" s="43">
        <f>IF($A251="","",IF(TRIM(IF($A251="","Missing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",""))="","PASS","FAIL: "&amp;TRIM(IF($A251="","Missing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f>
      </c>
      <c r="AY251" s="44">
        <f>IF($M251="","",IF(ISNUMBER($M251),IF($M251&gt;=Header!$C$18,"YES — refer","No"),""))</f>
      </c>
      <c r="AZ251" s="44">
        <f>IF($AD251="","",IF(ISNUMBER($AD251),IF($AD251&lt;Header!$C$20,"BELOW MIN PREMIUM","OK"),""))</f>
      </c>
      <c r="BA251" s="32" t="inlineStr">
        <is>
          <t xml:space="preserve">Yes</t>
        </is>
      </c>
      <c r="BB251" s="32" t="inlineStr">
        <is>
          <t xml:space="preserve">Yes</t>
        </is>
      </c>
      <c r="BC251" s="30" t="inlineStr">
        <is>
          <t xml:space="preserve">Synthetic demo data</t>
        </is>
      </c>
      <c r="BE251" s="45">
        <f>IF(OR($A251="",$L251="",$H251=""),"",IF(AND(LEFT($L251,2)="06",$H251&gt;1945),"FAIL - pre-war class, year "&amp;$H251,IF(AND(LEFT($L251,2)="07",OR($H251&lt;1946,$H251&gt;1972)),"FAIL - 1946-72 class, year "&amp;$H251,IF(AND(LEFT($L251,2)="08",OR($H251&lt;1973,$H251&gt;1999)),"FAIL - 1973-99 class, year "&amp;$H251,IF(AND(LEFT($L251,2)="09",OR($H251&lt;2000,$H251&gt;2010)),"FAIL - 2000-10 class, year "&amp;$H251,"OK")))))</f>
      </c>
      <c r="BF251" s="45">
        <f>IF($AD251="","",IF(ROUND($AO251+$AP251+$AQ251-$AD251,2)=0,"OK","FAIL - out by "&amp;TEXT($AO251+$AP251+$AQ251-$AD251,"$0.00")))</f>
      </c>
    </row>
    <row r="252" spans="1:58" ht="18.75" customHeight="1" x14ac:dyDescent="0.25">
      <c r="A252" s="46" t="inlineStr">
        <is>
          <t xml:space="preserve">CANON-202508-000334</t>
        </is>
      </c>
      <c r="B252" s="46" t="inlineStr">
        <is>
          <t xml:space="preserve">Thaddeus Thistlewood</t>
        </is>
      </c>
      <c r="C252" s="47">
        <v>45889</v>
      </c>
      <c r="D252" s="48" t="inlineStr">
        <is>
          <t xml:space="preserve">Bound - within authority</t>
        </is>
      </c>
      <c r="E252" s="48" t="inlineStr">
        <is>
          <t xml:space="preserve">New business</t>
        </is>
      </c>
      <c r="F252" s="46" t="inlineStr">
        <is>
          <t xml:space="preserve">B1234EXOTIC26</t>
        </is>
      </c>
      <c r="G252" s="33">
        <f>IF($A252="","",IF($C252="","",YEAR($C252)))</f>
      </c>
      <c r="H252" s="49">
        <v>2002</v>
      </c>
      <c r="I252" s="46" t="inlineStr">
        <is>
          <t xml:space="preserve">Porsche</t>
        </is>
      </c>
      <c r="J252" s="46" t="inlineStr">
        <is>
          <t xml:space="preserve">911 Turbo S</t>
        </is>
      </c>
      <c r="K252" s="46" t="inlineStr">
        <is>
          <t xml:space="preserve">KV1NU16HVGUEEN7F0</t>
        </is>
      </c>
      <c r="L252" s="48" t="inlineStr">
        <is>
          <t xml:space="preserve">02 - Sports / GT</t>
        </is>
      </c>
      <c r="M252" s="50">
        <v>190000</v>
      </c>
      <c r="N252" s="48" t="inlineStr">
        <is>
          <t xml:space="preserve">Personal</t>
        </is>
      </c>
      <c r="O252" s="46" t="inlineStr">
        <is>
          <t xml:space="preserve">Personal - regular use</t>
        </is>
      </c>
      <c r="P252" s="46" t="inlineStr">
        <is>
          <t xml:space="preserve">2,500 - 5,000</t>
        </is>
      </c>
      <c r="Q252" s="46" t="inlineStr">
        <is>
          <t xml:space="preserve">Pennsylvania</t>
        </is>
      </c>
      <c r="R252" s="46" t="inlineStr">
        <is>
          <t xml:space="preserve">19103</t>
        </is>
      </c>
      <c r="S252" s="48" t="inlineStr">
        <is>
          <t xml:space="preserve">Low hazard - inland benign</t>
        </is>
      </c>
      <c r="T252" s="36">
        <f>IF($A252="","",IF($S252="","",IFERROR(INDEX('[1]natural catastrophe'!$D$6:$D$17,MATCH($S252,'[1]natural catastrophe'!$B$6:$B$17,0)),"?")))</f>
      </c>
      <c r="U252" s="46" t="inlineStr">
        <is>
          <t xml:space="preserve">$5,000</t>
        </is>
      </c>
      <c r="V252" s="48" t="inlineStr">
        <is>
          <t xml:space="preserve">Agreed Value</t>
        </is>
      </c>
      <c r="W252" s="46" t="inlineStr">
        <is>
          <t xml:space="preserve">$1,000</t>
        </is>
      </c>
      <c r="X252" s="48" t="inlineStr">
        <is>
          <t xml:space="preserve">$1,000,000 CSL</t>
        </is>
      </c>
      <c r="Y252" s="46"/>
      <c r="Z252" s="46"/>
      <c r="AA252" s="48" t="inlineStr">
        <is>
          <t xml:space="preserve">Surplus Lines</t>
        </is>
      </c>
      <c r="AB252" s="50">
        <v>3298.11</v>
      </c>
      <c r="AC252" s="51">
        <v>0</v>
      </c>
      <c r="AD252" s="38">
        <f>IF(ISNUMBER($AB252),$AB252*(1+N($AC252)),"")</f>
      </c>
      <c r="AE252" s="50">
        <v>350</v>
      </c>
      <c r="AF252" s="50">
        <v>0</v>
      </c>
      <c r="AG252" s="51"/>
      <c r="AH252" s="39">
        <f>IF(ISNUMBER($AD252),($AD252+$AE252+$AF252)*$AG252,"")</f>
      </c>
      <c r="AI252" s="50"/>
      <c r="AJ252" s="38">
        <f>IF(ISNUMBER($AD252),SUM($AD252:$AH252),"")</f>
      </c>
      <c r="AK252" s="40">
        <f>IF(AND(ISNUMBER($AB252),ISNUMBER($AD252)),IF($AB252&gt;0,$AD252/$AB252,""),"")</f>
      </c>
      <c r="AL252" s="48" t="inlineStr">
        <is>
          <t xml:space="preserve">At technical</t>
        </is>
      </c>
      <c r="AM252" s="41">
        <f>IF(ISNUMBER($AD252),Header!$I$3,"")</f>
      </c>
      <c r="AN252" s="39">
        <f>IF(ISNUMBER($AD252),$AO252+$AP252,"")</f>
      </c>
      <c r="AO252" s="39">
        <f>IF(ISNUMBER($AD252),ROUND($AD252*Header!$K$3,2),"")</f>
      </c>
      <c r="AP252" s="39">
        <f>IF(ISNUMBER($AD252),ROUND($AD252*Header!$M$3,2),"")</f>
      </c>
      <c r="AQ252" s="38">
        <f>IF(ISNUMBER($AD252),ROUND($AD252,2)-$AO252-$AP252,"")</f>
      </c>
      <c r="AR252" s="39">
        <f>IF(ISNUMBER($AD252),IF(Header!$D$34="","?",$AD252*Header!$D$34),"")</f>
      </c>
      <c r="AS252" s="39">
        <f>IF(ISNUMBER($AB252),IF(Header!$D$34="","?",$AB252*Header!$D$34),"")</f>
      </c>
      <c r="AT252" s="42">
        <f>IF(AND(ISNUMBER($AB252),$M252&gt;0),$AB252/$M252*100,"")</f>
      </c>
      <c r="AU252" s="42">
        <f>IF(AND(ISNUMBER($AD252),$M252&gt;0),$AD252/$M252*100,"")</f>
      </c>
      <c r="AV252" s="40">
        <f>IF(AND(ISNUMBER($AB252),ISNUMBER($AD252),ABS($AB252)&gt;0),$AD252/$AB252,"")</f>
      </c>
      <c r="AW252" s="39">
        <f>IF(ISNUMBER($AD252),MAX(0,(1-0.55-Header!$O$3)*Header!$Q$3*$AQ252),"")</f>
      </c>
      <c r="AX252" s="43">
        <f>IF($A252="","",IF(TRIM(IF($A252="","Missing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",""))="","PASS","FAIL: "&amp;TRIM(IF($A252="","Missing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f>
      </c>
      <c r="AY252" s="44">
        <f>IF($M252="","",IF(ISNUMBER($M252),IF($M252&gt;=Header!$C$18,"YES — refer","No"),""))</f>
      </c>
      <c r="AZ252" s="44">
        <f>IF($AD252="","",IF(ISNUMBER($AD252),IF($AD252&lt;Header!$C$20,"BELOW MIN PREMIUM","OK"),""))</f>
      </c>
      <c r="BA252" s="48" t="inlineStr">
        <is>
          <t xml:space="preserve">Yes</t>
        </is>
      </c>
      <c r="BB252" s="48" t="inlineStr">
        <is>
          <t xml:space="preserve">Yes</t>
        </is>
      </c>
      <c r="BC252" s="46" t="inlineStr">
        <is>
          <t xml:space="preserve">Synthetic demo data</t>
        </is>
      </c>
      <c r="BE252" s="45">
        <f>IF(OR($A252="",$L252="",$H252=""),"",IF(AND(LEFT($L252,2)="06",$H252&gt;1945),"FAIL - pre-war class, year "&amp;$H252,IF(AND(LEFT($L252,2)="07",OR($H252&lt;1946,$H252&gt;1972)),"FAIL - 1946-72 class, year "&amp;$H252,IF(AND(LEFT($L252,2)="08",OR($H252&lt;1973,$H252&gt;1999)),"FAIL - 1973-99 class, year "&amp;$H252,IF(AND(LEFT($L252,2)="09",OR($H252&lt;2000,$H252&gt;2010)),"FAIL - 2000-10 class, year "&amp;$H252,"OK")))))</f>
      </c>
      <c r="BF252" s="45">
        <f>IF($AD252="","",IF(ROUND($AO252+$AP252+$AQ252-$AD252,2)=0,"OK","FAIL - out by "&amp;TEXT($AO252+$AP252+$AQ252-$AD252,"$0.00")))</f>
      </c>
    </row>
    <row r="253" spans="1:58" ht="18.75" customHeight="1" x14ac:dyDescent="0.25">
      <c r="A253" s="30" t="inlineStr">
        <is>
          <t xml:space="preserve">CANON-202508-000336</t>
        </is>
      </c>
      <c r="B253" s="30" t="inlineStr">
        <is>
          <t xml:space="preserve">Wilhelmina Montoya</t>
        </is>
      </c>
      <c r="C253" s="31">
        <v>45882</v>
      </c>
      <c r="D253" s="32" t="inlineStr">
        <is>
          <t xml:space="preserve">Bound - within authority</t>
        </is>
      </c>
      <c r="E253" s="32" t="inlineStr">
        <is>
          <t xml:space="preserve">New business</t>
        </is>
      </c>
      <c r="F253" s="30" t="inlineStr">
        <is>
          <t xml:space="preserve">B1234EXOTIC26</t>
        </is>
      </c>
      <c r="G253" s="33">
        <f>IF($A253="","",IF($C253="","",YEAR($C253)))</f>
      </c>
      <c r="H253" s="34">
        <v>1960</v>
      </c>
      <c r="I253" s="30" t="inlineStr">
        <is>
          <t xml:space="preserve">Ferrari</t>
        </is>
      </c>
      <c r="J253" s="30" t="inlineStr">
        <is>
          <t xml:space="preserve">296 GTB</t>
        </is>
      </c>
      <c r="K253" s="30" t="inlineStr">
        <is>
          <t xml:space="preserve">1ZCJYWGSXP377B7VT</t>
        </is>
      </c>
      <c r="L253" s="32" t="inlineStr">
        <is>
          <t xml:space="preserve">03 - Supercar</t>
        </is>
      </c>
      <c r="M253" s="35">
        <v>285000</v>
      </c>
      <c r="N253" s="32" t="inlineStr">
        <is>
          <t xml:space="preserve">Personal</t>
        </is>
      </c>
      <c r="O253" s="30" t="inlineStr">
        <is>
          <t xml:space="preserve">Personal - regular use</t>
        </is>
      </c>
      <c r="P253" s="30" t="inlineStr">
        <is>
          <t xml:space="preserve">2,500 - 5,000</t>
        </is>
      </c>
      <c r="Q253" s="30" t="inlineStr">
        <is>
          <t xml:space="preserve">Louisiana</t>
        </is>
      </c>
      <c r="R253" s="30" t="inlineStr">
        <is>
          <t xml:space="preserve">70112</t>
        </is>
      </c>
      <c r="S253" s="32" t="inlineStr">
        <is>
          <t xml:space="preserve">Tier 2 - Coastal wind (1-25 miles)</t>
        </is>
      </c>
      <c r="T253" s="36">
        <f>IF($A253="","",IF($S253="","",IFERROR(INDEX('[1]natural catastrophe'!$D$6:$D$17,MATCH($S253,'[1]natural catastrophe'!$B$6:$B$17,0)),"?")))</f>
      </c>
      <c r="U253" s="30" t="inlineStr">
        <is>
          <t xml:space="preserve">2% of agreed value, minimum $10,000</t>
        </is>
      </c>
      <c r="V253" s="32" t="inlineStr">
        <is>
          <t xml:space="preserve">Agreed Value</t>
        </is>
      </c>
      <c r="W253" s="30" t="inlineStr">
        <is>
          <t xml:space="preserve">$1,000</t>
        </is>
      </c>
      <c r="X253" s="32" t="inlineStr">
        <is>
          <t xml:space="preserve">$1,000,000 CSL</t>
        </is>
      </c>
      <c r="Y253" s="30"/>
      <c r="Z253" s="30"/>
      <c r="AA253" s="32" t="inlineStr">
        <is>
          <t xml:space="preserve">Surplus Lines</t>
        </is>
      </c>
      <c r="AB253" s="35">
        <v>7482.59</v>
      </c>
      <c r="AC253" s="37">
        <v>0</v>
      </c>
      <c r="AD253" s="38">
        <f>IF(ISNUMBER($AB253),$AB253*(1+N($AC253)),"")</f>
      </c>
      <c r="AE253" s="35">
        <v>350</v>
      </c>
      <c r="AF253" s="35">
        <v>0</v>
      </c>
      <c r="AG253" s="37"/>
      <c r="AH253" s="39">
        <f>IF(ISNUMBER($AD253),($AD253+$AE253+$AF253)*$AG253,"")</f>
      </c>
      <c r="AI253" s="35"/>
      <c r="AJ253" s="38">
        <f>IF(ISNUMBER($AD253),SUM($AD253:$AH253),"")</f>
      </c>
      <c r="AK253" s="40">
        <f>IF(AND(ISNUMBER($AB253),ISNUMBER($AD253)),IF($AB253&gt;0,$AD253/$AB253,""),"")</f>
      </c>
      <c r="AL253" s="32" t="inlineStr">
        <is>
          <t xml:space="preserve">At technical</t>
        </is>
      </c>
      <c r="AM253" s="41">
        <f>IF(ISNUMBER($AD253),Header!$I$3,"")</f>
      </c>
      <c r="AN253" s="39">
        <f>IF(ISNUMBER($AD253),$AO253+$AP253,"")</f>
      </c>
      <c r="AO253" s="39">
        <f>IF(ISNUMBER($AD253),ROUND($AD253*Header!$K$3,2),"")</f>
      </c>
      <c r="AP253" s="39">
        <f>IF(ISNUMBER($AD253),ROUND($AD253*Header!$M$3,2),"")</f>
      </c>
      <c r="AQ253" s="38">
        <f>IF(ISNUMBER($AD253),ROUND($AD253,2)-$AO253-$AP253,"")</f>
      </c>
      <c r="AR253" s="39">
        <f>IF(ISNUMBER($AD253),IF(Header!$D$34="","?",$AD253*Header!$D$34),"")</f>
      </c>
      <c r="AS253" s="39">
        <f>IF(ISNUMBER($AB253),IF(Header!$D$34="","?",$AB253*Header!$D$34),"")</f>
      </c>
      <c r="AT253" s="42">
        <f>IF(AND(ISNUMBER($AB253),$M253&gt;0),$AB253/$M253*100,"")</f>
      </c>
      <c r="AU253" s="42">
        <f>IF(AND(ISNUMBER($AD253),$M253&gt;0),$AD253/$M253*100,"")</f>
      </c>
      <c r="AV253" s="40">
        <f>IF(AND(ISNUMBER($AB253),ISNUMBER($AD253),ABS($AB253)&gt;0),$AD253/$AB253,"")</f>
      </c>
      <c r="AW253" s="39">
        <f>IF(ISNUMBER($AD253),MAX(0,(1-0.55-Header!$O$3)*Header!$Q$3*$AQ253),"")</f>
      </c>
      <c r="AX253" s="43">
        <f>IF($A253="","",IF(TRIM(IF($A253="","Missing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",""))="","PASS","FAIL: "&amp;TRIM(IF($A253="","Missing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f>
      </c>
      <c r="AY253" s="44">
        <f>IF($M253="","",IF(ISNUMBER($M253),IF($M253&gt;=Header!$C$18,"YES — refer","No"),""))</f>
      </c>
      <c r="AZ253" s="44">
        <f>IF($AD253="","",IF(ISNUMBER($AD253),IF($AD253&lt;Header!$C$20,"BELOW MIN PREMIUM","OK"),""))</f>
      </c>
      <c r="BA253" s="32" t="inlineStr">
        <is>
          <t xml:space="preserve">Yes</t>
        </is>
      </c>
      <c r="BB253" s="32" t="inlineStr">
        <is>
          <t xml:space="preserve">Yes</t>
        </is>
      </c>
      <c r="BC253" s="30" t="inlineStr">
        <is>
          <t xml:space="preserve">Synthetic demo data</t>
        </is>
      </c>
      <c r="BE253" s="45">
        <f>IF(OR($A253="",$L253="",$H253=""),"",IF(AND(LEFT($L253,2)="06",$H253&gt;1945),"FAIL - pre-war class, year "&amp;$H253,IF(AND(LEFT($L253,2)="07",OR($H253&lt;1946,$H253&gt;1972)),"FAIL - 1946-72 class, year "&amp;$H253,IF(AND(LEFT($L253,2)="08",OR($H253&lt;1973,$H253&gt;1999)),"FAIL - 1973-99 class, year "&amp;$H253,IF(AND(LEFT($L253,2)="09",OR($H253&lt;2000,$H253&gt;2010)),"FAIL - 2000-10 class, year "&amp;$H253,"OK")))))</f>
      </c>
      <c r="BF253" s="45">
        <f>IF($AD253="","",IF(ROUND($AO253+$AP253+$AQ253-$AD253,2)=0,"OK","FAIL - out by "&amp;TEXT($AO253+$AP253+$AQ253-$AD253,"$0.00")))</f>
      </c>
    </row>
    <row r="254" spans="1:58" ht="18.75" customHeight="1" x14ac:dyDescent="0.25">
      <c r="A254" s="46" t="inlineStr">
        <is>
          <t xml:space="preserve">CANON-202508-000337</t>
        </is>
      </c>
      <c r="B254" s="46" t="inlineStr">
        <is>
          <t xml:space="preserve">Horace Whitlock</t>
        </is>
      </c>
      <c r="C254" s="47">
        <v>45878</v>
      </c>
      <c r="D254" s="48" t="inlineStr">
        <is>
          <t xml:space="preserve">Bound - within authority</t>
        </is>
      </c>
      <c r="E254" s="48" t="inlineStr">
        <is>
          <t xml:space="preserve">New business</t>
        </is>
      </c>
      <c r="F254" s="46" t="inlineStr">
        <is>
          <t xml:space="preserve">B1234EXOTIC26</t>
        </is>
      </c>
      <c r="G254" s="33">
        <f>IF($A254="","",IF($C254="","",YEAR($C254)))</f>
      </c>
      <c r="H254" s="49">
        <v>1997</v>
      </c>
      <c r="I254" s="46" t="inlineStr">
        <is>
          <t xml:space="preserve">Porsche</t>
        </is>
      </c>
      <c r="J254" s="46" t="inlineStr">
        <is>
          <t xml:space="preserve">911 Turbo S</t>
        </is>
      </c>
      <c r="K254" s="46" t="inlineStr">
        <is>
          <t xml:space="preserve">3A4XYHG0PB7TN32C3</t>
        </is>
      </c>
      <c r="L254" s="48" t="inlineStr">
        <is>
          <t xml:space="preserve">02 - Sports / GT</t>
        </is>
      </c>
      <c r="M254" s="50">
        <v>490000</v>
      </c>
      <c r="N254" s="48" t="inlineStr">
        <is>
          <t xml:space="preserve">Personal</t>
        </is>
      </c>
      <c r="O254" s="46" t="inlineStr">
        <is>
          <t xml:space="preserve">Personal - regular use</t>
        </is>
      </c>
      <c r="P254" s="46" t="inlineStr">
        <is>
          <t xml:space="preserve">1,000 - 2,500</t>
        </is>
      </c>
      <c r="Q254" s="46" t="inlineStr">
        <is>
          <t xml:space="preserve">Utah</t>
        </is>
      </c>
      <c r="R254" s="46" t="inlineStr">
        <is>
          <t xml:space="preserve">84101</t>
        </is>
      </c>
      <c r="S254" s="48" t="inlineStr">
        <is>
          <t xml:space="preserve">Wildfire - WUI high hazard</t>
        </is>
      </c>
      <c r="T254" s="36">
        <f>IF($A254="","",IF($S254="","",IFERROR(INDEX('[1]natural catastrophe'!$D$6:$D$17,MATCH($S254,'[1]natural catastrophe'!$B$6:$B$17,0)),"?")))</f>
      </c>
      <c r="U254" s="46" t="inlineStr">
        <is>
          <t xml:space="preserve">$5,000</t>
        </is>
      </c>
      <c r="V254" s="48" t="inlineStr">
        <is>
          <t xml:space="preserve">Agreed Value</t>
        </is>
      </c>
      <c r="W254" s="46" t="inlineStr">
        <is>
          <t xml:space="preserve">$1,000</t>
        </is>
      </c>
      <c r="X254" s="48" t="inlineStr">
        <is>
          <t xml:space="preserve">$1,000,000 CSL</t>
        </is>
      </c>
      <c r="Y254" s="46"/>
      <c r="Z254" s="46"/>
      <c r="AA254" s="48" t="inlineStr">
        <is>
          <t xml:space="preserve">Surplus Lines</t>
        </is>
      </c>
      <c r="AB254" s="50">
        <v>9360.85</v>
      </c>
      <c r="AC254" s="51">
        <v>0</v>
      </c>
      <c r="AD254" s="38">
        <f>IF(ISNUMBER($AB254),$AB254*(1+N($AC254)),"")</f>
      </c>
      <c r="AE254" s="50">
        <v>350</v>
      </c>
      <c r="AF254" s="50">
        <v>0</v>
      </c>
      <c r="AG254" s="51"/>
      <c r="AH254" s="39">
        <f>IF(ISNUMBER($AD254),($AD254+$AE254+$AF254)*$AG254,"")</f>
      </c>
      <c r="AI254" s="50"/>
      <c r="AJ254" s="38">
        <f>IF(ISNUMBER($AD254),SUM($AD254:$AH254),"")</f>
      </c>
      <c r="AK254" s="40">
        <f>IF(AND(ISNUMBER($AB254),ISNUMBER($AD254)),IF($AB254&gt;0,$AD254/$AB254,""),"")</f>
      </c>
      <c r="AL254" s="48" t="inlineStr">
        <is>
          <t xml:space="preserve">At technical</t>
        </is>
      </c>
      <c r="AM254" s="41">
        <f>IF(ISNUMBER($AD254),Header!$I$3,"")</f>
      </c>
      <c r="AN254" s="39">
        <f>IF(ISNUMBER($AD254),$AO254+$AP254,"")</f>
      </c>
      <c r="AO254" s="39">
        <f>IF(ISNUMBER($AD254),ROUND($AD254*Header!$K$3,2),"")</f>
      </c>
      <c r="AP254" s="39">
        <f>IF(ISNUMBER($AD254),ROUND($AD254*Header!$M$3,2),"")</f>
      </c>
      <c r="AQ254" s="38">
        <f>IF(ISNUMBER($AD254),ROUND($AD254,2)-$AO254-$AP254,"")</f>
      </c>
      <c r="AR254" s="39">
        <f>IF(ISNUMBER($AD254),IF(Header!$D$34="","?",$AD254*Header!$D$34),"")</f>
      </c>
      <c r="AS254" s="39">
        <f>IF(ISNUMBER($AB254),IF(Header!$D$34="","?",$AB254*Header!$D$34),"")</f>
      </c>
      <c r="AT254" s="42">
        <f>IF(AND(ISNUMBER($AB254),$M254&gt;0),$AB254/$M254*100,"")</f>
      </c>
      <c r="AU254" s="42">
        <f>IF(AND(ISNUMBER($AD254),$M254&gt;0),$AD254/$M254*100,"")</f>
      </c>
      <c r="AV254" s="40">
        <f>IF(AND(ISNUMBER($AB254),ISNUMBER($AD254),ABS($AB254)&gt;0),$AD254/$AB254,"")</f>
      </c>
      <c r="AW254" s="39">
        <f>IF(ISNUMBER($AD254),MAX(0,(1-0.55-Header!$O$3)*Header!$Q$3*$AQ254),"")</f>
      </c>
      <c r="AX254" s="43">
        <f>IF($A254="","",IF(TRIM(IF($A254="","Missing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",""))="","PASS","FAIL: "&amp;TRIM(IF($A254="","Missing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f>
      </c>
      <c r="AY254" s="44">
        <f>IF($M254="","",IF(ISNUMBER($M254),IF($M254&gt;=Header!$C$18,"YES — refer","No"),""))</f>
      </c>
      <c r="AZ254" s="44">
        <f>IF($AD254="","",IF(ISNUMBER($AD254),IF($AD254&lt;Header!$C$20,"BELOW MIN PREMIUM","OK"),""))</f>
      </c>
      <c r="BA254" s="48" t="inlineStr">
        <is>
          <t xml:space="preserve">Yes</t>
        </is>
      </c>
      <c r="BB254" s="48" t="inlineStr">
        <is>
          <t xml:space="preserve">Yes</t>
        </is>
      </c>
      <c r="BC254" s="46" t="inlineStr">
        <is>
          <t xml:space="preserve">Synthetic demo data</t>
        </is>
      </c>
      <c r="BE254" s="45">
        <f>IF(OR($A254="",$L254="",$H254=""),"",IF(AND(LEFT($L254,2)="06",$H254&gt;1945),"FAIL - pre-war class, year "&amp;$H254,IF(AND(LEFT($L254,2)="07",OR($H254&lt;1946,$H254&gt;1972)),"FAIL - 1946-72 class, year "&amp;$H254,IF(AND(LEFT($L254,2)="08",OR($H254&lt;1973,$H254&gt;1999)),"FAIL - 1973-99 class, year "&amp;$H254,IF(AND(LEFT($L254,2)="09",OR($H254&lt;2000,$H254&gt;2010)),"FAIL - 2000-10 class, year "&amp;$H254,"OK")))))</f>
      </c>
      <c r="BF254" s="45">
        <f>IF($AD254="","",IF(ROUND($AO254+$AP254+$AQ254-$AD254,2)=0,"OK","FAIL - out by "&amp;TEXT($AO254+$AP254+$AQ254-$AD254,"$0.00")))</f>
      </c>
    </row>
    <row r="255" spans="1:58" ht="18.75" customHeight="1" x14ac:dyDescent="0.25">
      <c r="A255" s="30" t="inlineStr">
        <is>
          <t xml:space="preserve">CANON-202508-000338</t>
        </is>
      </c>
      <c r="B255" s="30" t="inlineStr">
        <is>
          <t xml:space="preserve">Ramona Blackwood</t>
        </is>
      </c>
      <c r="C255" s="31">
        <v>45879</v>
      </c>
      <c r="D255" s="32" t="inlineStr">
        <is>
          <t xml:space="preserve">Bound - within authority</t>
        </is>
      </c>
      <c r="E255" s="32" t="inlineStr">
        <is>
          <t xml:space="preserve">New business</t>
        </is>
      </c>
      <c r="F255" s="30" t="inlineStr">
        <is>
          <t xml:space="preserve">B1234EXOTIC26</t>
        </is>
      </c>
      <c r="G255" s="33">
        <f>IF($A255="","",IF($C255="","",YEAR($C255)))</f>
      </c>
      <c r="H255" s="34">
        <v>2002</v>
      </c>
      <c r="I255" s="30" t="inlineStr">
        <is>
          <t xml:space="preserve">Ferrari</t>
        </is>
      </c>
      <c r="J255" s="30" t="inlineStr">
        <is>
          <t xml:space="preserve">SF90 Stradale</t>
        </is>
      </c>
      <c r="K255" s="30" t="inlineStr">
        <is>
          <t xml:space="preserve">PE1B6ZHH7P0MBD6GG</t>
        </is>
      </c>
      <c r="L255" s="32" t="inlineStr">
        <is>
          <t xml:space="preserve">03 - Supercar</t>
        </is>
      </c>
      <c r="M255" s="35">
        <v>165000</v>
      </c>
      <c r="N255" s="32" t="inlineStr">
        <is>
          <t xml:space="preserve">Personal</t>
        </is>
      </c>
      <c r="O255" s="30" t="inlineStr">
        <is>
          <t xml:space="preserve">Personal - regular use</t>
        </is>
      </c>
      <c r="P255" s="30" t="inlineStr">
        <is>
          <t xml:space="preserve">Under 1,000</t>
        </is>
      </c>
      <c r="Q255" s="30" t="inlineStr">
        <is>
          <t xml:space="preserve">Mississippi</t>
        </is>
      </c>
      <c r="R255" s="30" t="inlineStr">
        <is>
          <t xml:space="preserve">39201</t>
        </is>
      </c>
      <c r="S255" s="32" t="inlineStr">
        <is>
          <t xml:space="preserve">Tier 2 - Coastal wind (1-25 miles)</t>
        </is>
      </c>
      <c r="T255" s="36">
        <f>IF($A255="","",IF($S255="","",IFERROR(INDEX('[1]natural catastrophe'!$D$6:$D$17,MATCH($S255,'[1]natural catastrophe'!$B$6:$B$17,0)),"?")))</f>
      </c>
      <c r="U255" s="30" t="inlineStr">
        <is>
          <t xml:space="preserve">2% of agreed value, minimum $10,000</t>
        </is>
      </c>
      <c r="V255" s="32" t="inlineStr">
        <is>
          <t xml:space="preserve">Agreed Value</t>
        </is>
      </c>
      <c r="W255" s="30" t="inlineStr">
        <is>
          <t xml:space="preserve">$1,000</t>
        </is>
      </c>
      <c r="X255" s="32" t="inlineStr">
        <is>
          <t xml:space="preserve">$1,000,000 CSL</t>
        </is>
      </c>
      <c r="Y255" s="30"/>
      <c r="Z255" s="30"/>
      <c r="AA255" s="32" t="inlineStr">
        <is>
          <t xml:space="preserve">Surplus Lines</t>
        </is>
      </c>
      <c r="AB255" s="35">
        <v>5260.7</v>
      </c>
      <c r="AC255" s="37">
        <v>0</v>
      </c>
      <c r="AD255" s="38">
        <f>IF(ISNUMBER($AB255),$AB255*(1+N($AC255)),"")</f>
      </c>
      <c r="AE255" s="35">
        <v>350</v>
      </c>
      <c r="AF255" s="35">
        <v>0</v>
      </c>
      <c r="AG255" s="37"/>
      <c r="AH255" s="39">
        <f>IF(ISNUMBER($AD255),($AD255+$AE255+$AF255)*$AG255,"")</f>
      </c>
      <c r="AI255" s="35"/>
      <c r="AJ255" s="38">
        <f>IF(ISNUMBER($AD255),SUM($AD255:$AH255),"")</f>
      </c>
      <c r="AK255" s="40">
        <f>IF(AND(ISNUMBER($AB255),ISNUMBER($AD255)),IF($AB255&gt;0,$AD255/$AB255,""),"")</f>
      </c>
      <c r="AL255" s="32" t="inlineStr">
        <is>
          <t xml:space="preserve">At technical</t>
        </is>
      </c>
      <c r="AM255" s="41">
        <f>IF(ISNUMBER($AD255),Header!$I$3,"")</f>
      </c>
      <c r="AN255" s="39">
        <f>IF(ISNUMBER($AD255),$AO255+$AP255,"")</f>
      </c>
      <c r="AO255" s="39">
        <f>IF(ISNUMBER($AD255),ROUND($AD255*Header!$K$3,2),"")</f>
      </c>
      <c r="AP255" s="39">
        <f>IF(ISNUMBER($AD255),ROUND($AD255*Header!$M$3,2),"")</f>
      </c>
      <c r="AQ255" s="38">
        <f>IF(ISNUMBER($AD255),ROUND($AD255,2)-$AO255-$AP255,"")</f>
      </c>
      <c r="AR255" s="39">
        <f>IF(ISNUMBER($AD255),IF(Header!$D$34="","?",$AD255*Header!$D$34),"")</f>
      </c>
      <c r="AS255" s="39">
        <f>IF(ISNUMBER($AB255),IF(Header!$D$34="","?",$AB255*Header!$D$34),"")</f>
      </c>
      <c r="AT255" s="42">
        <f>IF(AND(ISNUMBER($AB255),$M255&gt;0),$AB255/$M255*100,"")</f>
      </c>
      <c r="AU255" s="42">
        <f>IF(AND(ISNUMBER($AD255),$M255&gt;0),$AD255/$M255*100,"")</f>
      </c>
      <c r="AV255" s="40">
        <f>IF(AND(ISNUMBER($AB255),ISNUMBER($AD255),ABS($AB255)&gt;0),$AD255/$AB255,"")</f>
      </c>
      <c r="AW255" s="39">
        <f>IF(ISNUMBER($AD255),MAX(0,(1-0.55-Header!$O$3)*Header!$Q$3*$AQ255),"")</f>
      </c>
      <c r="AX255" s="43">
        <f>IF($A255="","",IF(TRIM(IF($A255="","Missing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",""))="","PASS","FAIL: "&amp;TRIM(IF($A255="","Missing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f>
      </c>
      <c r="AY255" s="44">
        <f>IF($M255="","",IF(ISNUMBER($M255),IF($M255&gt;=Header!$C$18,"YES — refer","No"),""))</f>
      </c>
      <c r="AZ255" s="44">
        <f>IF($AD255="","",IF(ISNUMBER($AD255),IF($AD255&lt;Header!$C$20,"BELOW MIN PREMIUM","OK"),""))</f>
      </c>
      <c r="BA255" s="32" t="inlineStr">
        <is>
          <t xml:space="preserve">Yes</t>
        </is>
      </c>
      <c r="BB255" s="32" t="inlineStr">
        <is>
          <t xml:space="preserve">Yes</t>
        </is>
      </c>
      <c r="BC255" s="30" t="inlineStr">
        <is>
          <t xml:space="preserve">Synthetic demo data</t>
        </is>
      </c>
      <c r="BE255" s="45">
        <f>IF(OR($A255="",$L255="",$H255=""),"",IF(AND(LEFT($L255,2)="06",$H255&gt;1945),"FAIL - pre-war class, year "&amp;$H255,IF(AND(LEFT($L255,2)="07",OR($H255&lt;1946,$H255&gt;1972)),"FAIL - 1946-72 class, year "&amp;$H255,IF(AND(LEFT($L255,2)="08",OR($H255&lt;1973,$H255&gt;1999)),"FAIL - 1973-99 class, year "&amp;$H255,IF(AND(LEFT($L255,2)="09",OR($H255&lt;2000,$H255&gt;2010)),"FAIL - 2000-10 class, year "&amp;$H255,"OK")))))</f>
      </c>
      <c r="BF255" s="45">
        <f>IF($AD255="","",IF(ROUND($AO255+$AP255+$AQ255-$AD255,2)=0,"OK","FAIL - out by "&amp;TEXT($AO255+$AP255+$AQ255-$AD255,"$0.00")))</f>
      </c>
    </row>
    <row r="256" spans="1:58" ht="18.75" customHeight="1" x14ac:dyDescent="0.25">
      <c r="A256" s="46" t="inlineStr">
        <is>
          <t xml:space="preserve">CANON-202508-000340</t>
        </is>
      </c>
      <c r="B256" s="46" t="inlineStr">
        <is>
          <t xml:space="preserve">Delphine Vandermeer</t>
        </is>
      </c>
      <c r="C256" s="47">
        <v>45877</v>
      </c>
      <c r="D256" s="48" t="inlineStr">
        <is>
          <t xml:space="preserve">Bound - within authority</t>
        </is>
      </c>
      <c r="E256" s="48" t="inlineStr">
        <is>
          <t xml:space="preserve">New business</t>
        </is>
      </c>
      <c r="F256" s="46" t="inlineStr">
        <is>
          <t xml:space="preserve">B1234EXOTIC26</t>
        </is>
      </c>
      <c r="G256" s="33">
        <f>IF($A256="","",IF($C256="","",YEAR($C256)))</f>
      </c>
      <c r="H256" s="49">
        <v>1958</v>
      </c>
      <c r="I256" s="46" t="inlineStr">
        <is>
          <t xml:space="preserve">McLaren</t>
        </is>
      </c>
      <c r="J256" s="46" t="inlineStr">
        <is>
          <t xml:space="preserve">750S</t>
        </is>
      </c>
      <c r="K256" s="46" t="inlineStr">
        <is>
          <t xml:space="preserve">89HLZ5524NKCUV9FR</t>
        </is>
      </c>
      <c r="L256" s="48" t="inlineStr">
        <is>
          <t xml:space="preserve">03 - Supercar</t>
        </is>
      </c>
      <c r="M256" s="50">
        <v>1950000</v>
      </c>
      <c r="N256" s="48" t="inlineStr">
        <is>
          <t xml:space="preserve">Personal</t>
        </is>
      </c>
      <c r="O256" s="46" t="inlineStr">
        <is>
          <t xml:space="preserve">Personal - regular use</t>
        </is>
      </c>
      <c r="P256" s="46" t="inlineStr">
        <is>
          <t xml:space="preserve">Under 1,000</t>
        </is>
      </c>
      <c r="Q256" s="46" t="inlineStr">
        <is>
          <t xml:space="preserve">Missouri</t>
        </is>
      </c>
      <c r="R256" s="46" t="inlineStr">
        <is>
          <t xml:space="preserve">63101</t>
        </is>
      </c>
      <c r="S256" s="48" t="inlineStr">
        <is>
          <t xml:space="preserve">Severe convective - hail / tornado (moderate)</t>
        </is>
      </c>
      <c r="T256" s="36">
        <f>IF($A256="","",IF($S256="","",IFERROR(INDEX('[1]natural catastrophe'!$D$6:$D$17,MATCH($S256,'[1]natural catastrophe'!$B$6:$B$17,0)),"?")))</f>
      </c>
      <c r="U256" s="46" t="inlineStr">
        <is>
          <t xml:space="preserve">$5,000</t>
        </is>
      </c>
      <c r="V256" s="48" t="inlineStr">
        <is>
          <t xml:space="preserve">Agreed Value</t>
        </is>
      </c>
      <c r="W256" s="46" t="inlineStr">
        <is>
          <t xml:space="preserve">$1,000</t>
        </is>
      </c>
      <c r="X256" s="48" t="inlineStr">
        <is>
          <t xml:space="preserve">$1,000,000 CSL</t>
        </is>
      </c>
      <c r="Y256" s="46"/>
      <c r="Z256" s="46"/>
      <c r="AA256" s="48" t="inlineStr">
        <is>
          <t xml:space="preserve">Surplus Lines</t>
        </is>
      </c>
      <c r="AB256" s="50">
        <v>31200</v>
      </c>
      <c r="AC256" s="51">
        <v>0</v>
      </c>
      <c r="AD256" s="38">
        <f>IF(ISNUMBER($AB256),$AB256*(1+N($AC256)),"")</f>
      </c>
      <c r="AE256" s="50">
        <v>350</v>
      </c>
      <c r="AF256" s="50">
        <v>250</v>
      </c>
      <c r="AG256" s="51"/>
      <c r="AH256" s="39">
        <f>IF(ISNUMBER($AD256),($AD256+$AE256+$AF256)*$AG256,"")</f>
      </c>
      <c r="AI256" s="50"/>
      <c r="AJ256" s="38">
        <f>IF(ISNUMBER($AD256),SUM($AD256:$AH256),"")</f>
      </c>
      <c r="AK256" s="40">
        <f>IF(AND(ISNUMBER($AB256),ISNUMBER($AD256)),IF($AB256&gt;0,$AD256/$AB256,""),"")</f>
      </c>
      <c r="AL256" s="48" t="inlineStr">
        <is>
          <t xml:space="preserve">At technical</t>
        </is>
      </c>
      <c r="AM256" s="41">
        <f>IF(ISNUMBER($AD256),Header!$I$3,"")</f>
      </c>
      <c r="AN256" s="39">
        <f>IF(ISNUMBER($AD256),$AO256+$AP256,"")</f>
      </c>
      <c r="AO256" s="39">
        <f>IF(ISNUMBER($AD256),ROUND($AD256*Header!$K$3,2),"")</f>
      </c>
      <c r="AP256" s="39">
        <f>IF(ISNUMBER($AD256),ROUND($AD256*Header!$M$3,2),"")</f>
      </c>
      <c r="AQ256" s="38">
        <f>IF(ISNUMBER($AD256),ROUND($AD256,2)-$AO256-$AP256,"")</f>
      </c>
      <c r="AR256" s="39">
        <f>IF(ISNUMBER($AD256),IF(Header!$D$34="","?",$AD256*Header!$D$34),"")</f>
      </c>
      <c r="AS256" s="39">
        <f>IF(ISNUMBER($AB256),IF(Header!$D$34="","?",$AB256*Header!$D$34),"")</f>
      </c>
      <c r="AT256" s="42">
        <f>IF(AND(ISNUMBER($AB256),$M256&gt;0),$AB256/$M256*100,"")</f>
      </c>
      <c r="AU256" s="42">
        <f>IF(AND(ISNUMBER($AD256),$M256&gt;0),$AD256/$M256*100,"")</f>
      </c>
      <c r="AV256" s="40">
        <f>IF(AND(ISNUMBER($AB256),ISNUMBER($AD256),ABS($AB256)&gt;0),$AD256/$AB256,"")</f>
      </c>
      <c r="AW256" s="39">
        <f>IF(ISNUMBER($AD256),MAX(0,(1-0.55-Header!$O$3)*Header!$Q$3*$AQ256),"")</f>
      </c>
      <c r="AX256" s="43">
        <f>IF($A256="","",IF(TRIM(IF($A256="","Missing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",""))="","PASS","FAIL: "&amp;TRIM(IF($A256="","Missing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f>
      </c>
      <c r="AY256" s="44">
        <f>IF($M256="","",IF(ISNUMBER($M256),IF($M256&gt;=Header!$C$18,"YES — refer","No"),""))</f>
      </c>
      <c r="AZ256" s="44">
        <f>IF($AD256="","",IF(ISNUMBER($AD256),IF($AD256&lt;Header!$C$20,"BELOW MIN PREMIUM","OK"),""))</f>
      </c>
      <c r="BA256" s="48" t="inlineStr">
        <is>
          <t xml:space="preserve">Yes</t>
        </is>
      </c>
      <c r="BB256" s="48" t="inlineStr">
        <is>
          <t xml:space="preserve">Yes</t>
        </is>
      </c>
      <c r="BC256" s="46" t="inlineStr">
        <is>
          <t xml:space="preserve">Synthetic demo data</t>
        </is>
      </c>
      <c r="BE256" s="45">
        <f>IF(OR($A256="",$L256="",$H256=""),"",IF(AND(LEFT($L256,2)="06",$H256&gt;1945),"FAIL - pre-war class, year "&amp;$H256,IF(AND(LEFT($L256,2)="07",OR($H256&lt;1946,$H256&gt;1972)),"FAIL - 1946-72 class, year "&amp;$H256,IF(AND(LEFT($L256,2)="08",OR($H256&lt;1973,$H256&gt;1999)),"FAIL - 1973-99 class, year "&amp;$H256,IF(AND(LEFT($L256,2)="09",OR($H256&lt;2000,$H256&gt;2010)),"FAIL - 2000-10 class, year "&amp;$H256,"OK")))))</f>
      </c>
      <c r="BF256" s="45">
        <f>IF($AD256="","",IF(ROUND($AO256+$AP256+$AQ256-$AD256,2)=0,"OK","FAIL - out by "&amp;TEXT($AO256+$AP256+$AQ256-$AD256,"$0.00")))</f>
      </c>
    </row>
    <row r="257" spans="1:58" ht="18.75" customHeight="1" x14ac:dyDescent="0.25">
      <c r="A257" s="30" t="inlineStr">
        <is>
          <t xml:space="preserve">CANON-202508-000341</t>
        </is>
      </c>
      <c r="B257" s="30" t="inlineStr">
        <is>
          <t xml:space="preserve">Mireille Harrington</t>
        </is>
      </c>
      <c r="C257" s="31">
        <v>45895</v>
      </c>
      <c r="D257" s="32" t="inlineStr">
        <is>
          <t xml:space="preserve">Bound - within authority</t>
        </is>
      </c>
      <c r="E257" s="32" t="inlineStr">
        <is>
          <t xml:space="preserve">New business</t>
        </is>
      </c>
      <c r="F257" s="30" t="inlineStr">
        <is>
          <t xml:space="preserve">B1234EXOTIC26</t>
        </is>
      </c>
      <c r="G257" s="33">
        <f>IF($A257="","",IF($C257="","",YEAR($C257)))</f>
      </c>
      <c r="H257" s="34">
        <v>1983</v>
      </c>
      <c r="I257" s="30" t="inlineStr">
        <is>
          <t xml:space="preserve">Bentley</t>
        </is>
      </c>
      <c r="J257" s="30" t="inlineStr">
        <is>
          <t xml:space="preserve">Continental GT</t>
        </is>
      </c>
      <c r="K257" s="30" t="inlineStr">
        <is>
          <t xml:space="preserve">5SPMW44X9M9BJN0L2</t>
        </is>
      </c>
      <c r="L257" s="32" t="inlineStr">
        <is>
          <t xml:space="preserve">02 - Sports / GT</t>
        </is>
      </c>
      <c r="M257" s="35">
        <v>545000</v>
      </c>
      <c r="N257" s="32" t="inlineStr">
        <is>
          <t xml:space="preserve">Personal</t>
        </is>
      </c>
      <c r="O257" s="30" t="inlineStr">
        <is>
          <t xml:space="preserve">Personal - regular use</t>
        </is>
      </c>
      <c r="P257" s="30" t="inlineStr">
        <is>
          <t xml:space="preserve">Under 1,000</t>
        </is>
      </c>
      <c r="Q257" s="30" t="inlineStr">
        <is>
          <t xml:space="preserve">Arkansas</t>
        </is>
      </c>
      <c r="R257" s="30" t="inlineStr">
        <is>
          <t xml:space="preserve">72201</t>
        </is>
      </c>
      <c r="S257" s="32" t="inlineStr">
        <is>
          <t xml:space="preserve">Severe convective - hail / tornado (moderate)</t>
        </is>
      </c>
      <c r="T257" s="36">
        <f>IF($A257="","",IF($S257="","",IFERROR(INDEX('[1]natural catastrophe'!$D$6:$D$17,MATCH($S257,'[1]natural catastrophe'!$B$6:$B$17,0)),"?")))</f>
      </c>
      <c r="U257" s="30" t="inlineStr">
        <is>
          <t xml:space="preserve">$5,000</t>
        </is>
      </c>
      <c r="V257" s="32" t="inlineStr">
        <is>
          <t xml:space="preserve">Agreed Value</t>
        </is>
      </c>
      <c r="W257" s="30" t="inlineStr">
        <is>
          <t xml:space="preserve">$1,000</t>
        </is>
      </c>
      <c r="X257" s="32" t="inlineStr">
        <is>
          <t xml:space="preserve">$1,000,000 CSL</t>
        </is>
      </c>
      <c r="Y257" s="30"/>
      <c r="Z257" s="30"/>
      <c r="AA257" s="32" t="inlineStr">
        <is>
          <t xml:space="preserve">Surplus Lines</t>
        </is>
      </c>
      <c r="AB257" s="35">
        <v>9223.87</v>
      </c>
      <c r="AC257" s="37">
        <v>0</v>
      </c>
      <c r="AD257" s="38">
        <f>IF(ISNUMBER($AB257),$AB257*(1+N($AC257)),"")</f>
      </c>
      <c r="AE257" s="35">
        <v>350</v>
      </c>
      <c r="AF257" s="35">
        <v>0</v>
      </c>
      <c r="AG257" s="37"/>
      <c r="AH257" s="39">
        <f>IF(ISNUMBER($AD257),($AD257+$AE257+$AF257)*$AG257,"")</f>
      </c>
      <c r="AI257" s="35"/>
      <c r="AJ257" s="38">
        <f>IF(ISNUMBER($AD257),SUM($AD257:$AH257),"")</f>
      </c>
      <c r="AK257" s="40">
        <f>IF(AND(ISNUMBER($AB257),ISNUMBER($AD257)),IF($AB257&gt;0,$AD257/$AB257,""),"")</f>
      </c>
      <c r="AL257" s="32" t="inlineStr">
        <is>
          <t xml:space="preserve">At technical</t>
        </is>
      </c>
      <c r="AM257" s="41">
        <f>IF(ISNUMBER($AD257),Header!$I$3,"")</f>
      </c>
      <c r="AN257" s="39">
        <f>IF(ISNUMBER($AD257),$AO257+$AP257,"")</f>
      </c>
      <c r="AO257" s="39">
        <f>IF(ISNUMBER($AD257),ROUND($AD257*Header!$K$3,2),"")</f>
      </c>
      <c r="AP257" s="39">
        <f>IF(ISNUMBER($AD257),ROUND($AD257*Header!$M$3,2),"")</f>
      </c>
      <c r="AQ257" s="38">
        <f>IF(ISNUMBER($AD257),ROUND($AD257,2)-$AO257-$AP257,"")</f>
      </c>
      <c r="AR257" s="39">
        <f>IF(ISNUMBER($AD257),IF(Header!$D$34="","?",$AD257*Header!$D$34),"")</f>
      </c>
      <c r="AS257" s="39">
        <f>IF(ISNUMBER($AB257),IF(Header!$D$34="","?",$AB257*Header!$D$34),"")</f>
      </c>
      <c r="AT257" s="42">
        <f>IF(AND(ISNUMBER($AB257),$M257&gt;0),$AB257/$M257*100,"")</f>
      </c>
      <c r="AU257" s="42">
        <f>IF(AND(ISNUMBER($AD257),$M257&gt;0),$AD257/$M257*100,"")</f>
      </c>
      <c r="AV257" s="40">
        <f>IF(AND(ISNUMBER($AB257),ISNUMBER($AD257),ABS($AB257)&gt;0),$AD257/$AB257,"")</f>
      </c>
      <c r="AW257" s="39">
        <f>IF(ISNUMBER($AD257),MAX(0,(1-0.55-Header!$O$3)*Header!$Q$3*$AQ257),"")</f>
      </c>
      <c r="AX257" s="43">
        <f>IF($A257="","",IF(TRIM(IF($A257="","Missing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",""))="","PASS","FAIL: "&amp;TRIM(IF($A257="","Missing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f>
      </c>
      <c r="AY257" s="44">
        <f>IF($M257="","",IF(ISNUMBER($M257),IF($M257&gt;=Header!$C$18,"YES — refer","No"),""))</f>
      </c>
      <c r="AZ257" s="44">
        <f>IF($AD257="","",IF(ISNUMBER($AD257),IF($AD257&lt;Header!$C$20,"BELOW MIN PREMIUM","OK"),""))</f>
      </c>
      <c r="BA257" s="32" t="inlineStr">
        <is>
          <t xml:space="preserve">Yes</t>
        </is>
      </c>
      <c r="BB257" s="32" t="inlineStr">
        <is>
          <t xml:space="preserve">Yes</t>
        </is>
      </c>
      <c r="BC257" s="30" t="inlineStr">
        <is>
          <t xml:space="preserve">Synthetic demo data</t>
        </is>
      </c>
      <c r="BE257" s="45">
        <f>IF(OR($A257="",$L257="",$H257=""),"",IF(AND(LEFT($L257,2)="06",$H257&gt;1945),"FAIL - pre-war class, year "&amp;$H257,IF(AND(LEFT($L257,2)="07",OR($H257&lt;1946,$H257&gt;1972)),"FAIL - 1946-72 class, year "&amp;$H257,IF(AND(LEFT($L257,2)="08",OR($H257&lt;1973,$H257&gt;1999)),"FAIL - 1973-99 class, year "&amp;$H257,IF(AND(LEFT($L257,2)="09",OR($H257&lt;2000,$H257&gt;2010)),"FAIL - 2000-10 class, year "&amp;$H257,"OK")))))</f>
      </c>
      <c r="BF257" s="45">
        <f>IF($AD257="","",IF(ROUND($AO257+$AP257+$AQ257-$AD257,2)=0,"OK","FAIL - out by "&amp;TEXT($AO257+$AP257+$AQ257-$AD257,"$0.00")))</f>
      </c>
    </row>
    <row r="258" spans="1:58" ht="18.75" customHeight="1" x14ac:dyDescent="0.25">
      <c r="A258" s="46" t="inlineStr">
        <is>
          <t xml:space="preserve">CANON-202508-000343</t>
        </is>
      </c>
      <c r="B258" s="46" t="inlineStr">
        <is>
          <t xml:space="preserve">Ottilie Okonkwo</t>
        </is>
      </c>
      <c r="C258" s="47">
        <v>45889</v>
      </c>
      <c r="D258" s="48" t="inlineStr">
        <is>
          <t xml:space="preserve">Bound - within authority</t>
        </is>
      </c>
      <c r="E258" s="48" t="inlineStr">
        <is>
          <t xml:space="preserve">New business</t>
        </is>
      </c>
      <c r="F258" s="46" t="inlineStr">
        <is>
          <t xml:space="preserve">B1234EXOTIC26</t>
        </is>
      </c>
      <c r="G258" s="33">
        <f>IF($A258="","",IF($C258="","",YEAR($C258)))</f>
      </c>
      <c r="H258" s="49">
        <v>1989</v>
      </c>
      <c r="I258" s="46" t="inlineStr">
        <is>
          <t xml:space="preserve">Bentley</t>
        </is>
      </c>
      <c r="J258" s="46" t="inlineStr">
        <is>
          <t xml:space="preserve">Continental GT</t>
        </is>
      </c>
      <c r="K258" s="46" t="inlineStr">
        <is>
          <t xml:space="preserve">LFE6YNGZ0HDC6DCY6</t>
        </is>
      </c>
      <c r="L258" s="48" t="inlineStr">
        <is>
          <t xml:space="preserve">02 - Sports / GT</t>
        </is>
      </c>
      <c r="M258" s="50">
        <v>715000</v>
      </c>
      <c r="N258" s="48" t="inlineStr">
        <is>
          <t xml:space="preserve">Personal</t>
        </is>
      </c>
      <c r="O258" s="46" t="inlineStr">
        <is>
          <t xml:space="preserve">Personal - regular use</t>
        </is>
      </c>
      <c r="P258" s="46" t="inlineStr">
        <is>
          <t xml:space="preserve">2,500 - 5,000</t>
        </is>
      </c>
      <c r="Q258" s="46" t="inlineStr">
        <is>
          <t xml:space="preserve">Michigan</t>
        </is>
      </c>
      <c r="R258" s="46" t="inlineStr">
        <is>
          <t xml:space="preserve">48226</t>
        </is>
      </c>
      <c r="S258" s="48" t="inlineStr">
        <is>
          <t xml:space="preserve">Severe convective - hail / tornado (moderate)</t>
        </is>
      </c>
      <c r="T258" s="36">
        <f>IF($A258="","",IF($S258="","",IFERROR(INDEX('[1]natural catastrophe'!$D$6:$D$17,MATCH($S258,'[1]natural catastrophe'!$B$6:$B$17,0)),"?")))</f>
      </c>
      <c r="U258" s="46" t="inlineStr">
        <is>
          <t xml:space="preserve">$5,000</t>
        </is>
      </c>
      <c r="V258" s="48" t="inlineStr">
        <is>
          <t xml:space="preserve">Agreed Value</t>
        </is>
      </c>
      <c r="W258" s="46" t="inlineStr">
        <is>
          <t xml:space="preserve">$1,000</t>
        </is>
      </c>
      <c r="X258" s="48" t="inlineStr">
        <is>
          <t xml:space="preserve">$1,000,000 CSL</t>
        </is>
      </c>
      <c r="Y258" s="46"/>
      <c r="Z258" s="46"/>
      <c r="AA258" s="48" t="inlineStr">
        <is>
          <t xml:space="preserve">Surplus Lines</t>
        </is>
      </c>
      <c r="AB258" s="50">
        <v>13591.75</v>
      </c>
      <c r="AC258" s="51">
        <v>0</v>
      </c>
      <c r="AD258" s="38">
        <f>IF(ISNUMBER($AB258),$AB258*(1+N($AC258)),"")</f>
      </c>
      <c r="AE258" s="50">
        <v>350</v>
      </c>
      <c r="AF258" s="50">
        <v>0</v>
      </c>
      <c r="AG258" s="51"/>
      <c r="AH258" s="39">
        <f>IF(ISNUMBER($AD258),($AD258+$AE258+$AF258)*$AG258,"")</f>
      </c>
      <c r="AI258" s="50"/>
      <c r="AJ258" s="38">
        <f>IF(ISNUMBER($AD258),SUM($AD258:$AH258),"")</f>
      </c>
      <c r="AK258" s="40">
        <f>IF(AND(ISNUMBER($AB258),ISNUMBER($AD258)),IF($AB258&gt;0,$AD258/$AB258,""),"")</f>
      </c>
      <c r="AL258" s="48" t="inlineStr">
        <is>
          <t xml:space="preserve">At technical</t>
        </is>
      </c>
      <c r="AM258" s="41">
        <f>IF(ISNUMBER($AD258),Header!$I$3,"")</f>
      </c>
      <c r="AN258" s="39">
        <f>IF(ISNUMBER($AD258),$AO258+$AP258,"")</f>
      </c>
      <c r="AO258" s="39">
        <f>IF(ISNUMBER($AD258),ROUND($AD258*Header!$K$3,2),"")</f>
      </c>
      <c r="AP258" s="39">
        <f>IF(ISNUMBER($AD258),ROUND($AD258*Header!$M$3,2),"")</f>
      </c>
      <c r="AQ258" s="38">
        <f>IF(ISNUMBER($AD258),ROUND($AD258,2)-$AO258-$AP258,"")</f>
      </c>
      <c r="AR258" s="39">
        <f>IF(ISNUMBER($AD258),IF(Header!$D$34="","?",$AD258*Header!$D$34),"")</f>
      </c>
      <c r="AS258" s="39">
        <f>IF(ISNUMBER($AB258),IF(Header!$D$34="","?",$AB258*Header!$D$34),"")</f>
      </c>
      <c r="AT258" s="42">
        <f>IF(AND(ISNUMBER($AB258),$M258&gt;0),$AB258/$M258*100,"")</f>
      </c>
      <c r="AU258" s="42">
        <f>IF(AND(ISNUMBER($AD258),$M258&gt;0),$AD258/$M258*100,"")</f>
      </c>
      <c r="AV258" s="40">
        <f>IF(AND(ISNUMBER($AB258),ISNUMBER($AD258),ABS($AB258)&gt;0),$AD258/$AB258,"")</f>
      </c>
      <c r="AW258" s="39">
        <f>IF(ISNUMBER($AD258),MAX(0,(1-0.55-Header!$O$3)*Header!$Q$3*$AQ258),"")</f>
      </c>
      <c r="AX258" s="43">
        <f>IF($A258="","",IF(TRIM(IF($A258="","Missing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",""))="","PASS","FAIL: "&amp;TRIM(IF($A258="","Missing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f>
      </c>
      <c r="AY258" s="44">
        <f>IF($M258="","",IF(ISNUMBER($M258),IF($M258&gt;=Header!$C$18,"YES — refer","No"),""))</f>
      </c>
      <c r="AZ258" s="44">
        <f>IF($AD258="","",IF(ISNUMBER($AD258),IF($AD258&lt;Header!$C$20,"BELOW MIN PREMIUM","OK"),""))</f>
      </c>
      <c r="BA258" s="48" t="inlineStr">
        <is>
          <t xml:space="preserve">Yes</t>
        </is>
      </c>
      <c r="BB258" s="48" t="inlineStr">
        <is>
          <t xml:space="preserve">Yes</t>
        </is>
      </c>
      <c r="BC258" s="46" t="inlineStr">
        <is>
          <t xml:space="preserve">Synthetic demo data</t>
        </is>
      </c>
      <c r="BE258" s="45">
        <f>IF(OR($A258="",$L258="",$H258=""),"",IF(AND(LEFT($L258,2)="06",$H258&gt;1945),"FAIL - pre-war class, year "&amp;$H258,IF(AND(LEFT($L258,2)="07",OR($H258&lt;1946,$H258&gt;1972)),"FAIL - 1946-72 class, year "&amp;$H258,IF(AND(LEFT($L258,2)="08",OR($H258&lt;1973,$H258&gt;1999)),"FAIL - 1973-99 class, year "&amp;$H258,IF(AND(LEFT($L258,2)="09",OR($H258&lt;2000,$H258&gt;2010)),"FAIL - 2000-10 class, year "&amp;$H258,"OK")))))</f>
      </c>
      <c r="BF258" s="45">
        <f>IF($AD258="","",IF(ROUND($AO258+$AP258+$AQ258-$AD258,2)=0,"OK","FAIL - out by "&amp;TEXT($AO258+$AP258+$AQ258-$AD258,"$0.00")))</f>
      </c>
    </row>
    <row r="259" spans="1:58" ht="18.75" customHeight="1" x14ac:dyDescent="0.25">
      <c r="A259" s="30" t="inlineStr">
        <is>
          <t xml:space="preserve">CANON-202508-000344</t>
        </is>
      </c>
      <c r="B259" s="30" t="inlineStr">
        <is>
          <t xml:space="preserve">Ingrid Larsson</t>
        </is>
      </c>
      <c r="C259" s="31">
        <v>45872</v>
      </c>
      <c r="D259" s="32" t="inlineStr">
        <is>
          <t xml:space="preserve">Bound - within authority</t>
        </is>
      </c>
      <c r="E259" s="32" t="inlineStr">
        <is>
          <t xml:space="preserve">New business</t>
        </is>
      </c>
      <c r="F259" s="30" t="inlineStr">
        <is>
          <t xml:space="preserve">B1234EXOTIC26</t>
        </is>
      </c>
      <c r="G259" s="33">
        <f>IF($A259="","",IF($C259="","",YEAR($C259)))</f>
      </c>
      <c r="H259" s="34">
        <v>1970</v>
      </c>
      <c r="I259" s="30" t="inlineStr">
        <is>
          <t xml:space="preserve">Jaguar</t>
        </is>
      </c>
      <c r="J259" s="30" t="inlineStr">
        <is>
          <t xml:space="preserve">E-Type Series 1</t>
        </is>
      </c>
      <c r="K259" s="30" t="inlineStr">
        <is>
          <t xml:space="preserve">J8KMMZPNZWAHX18UU</t>
        </is>
      </c>
      <c r="L259" s="32" t="inlineStr">
        <is>
          <t xml:space="preserve">07 - Post-War Classic (1946-1972)</t>
        </is>
      </c>
      <c r="M259" s="35">
        <v>170000</v>
      </c>
      <c r="N259" s="32" t="inlineStr">
        <is>
          <t xml:space="preserve">Personal</t>
        </is>
      </c>
      <c r="O259" s="30" t="inlineStr">
        <is>
          <t xml:space="preserve">Personal - regular use</t>
        </is>
      </c>
      <c r="P259" s="30" t="inlineStr">
        <is>
          <t xml:space="preserve">Under 1,000</t>
        </is>
      </c>
      <c r="Q259" s="30" t="inlineStr">
        <is>
          <t xml:space="preserve">Utah</t>
        </is>
      </c>
      <c r="R259" s="30" t="inlineStr">
        <is>
          <t xml:space="preserve">84101</t>
        </is>
      </c>
      <c r="S259" s="32" t="inlineStr">
        <is>
          <t xml:space="preserve">Wildfire - WUI high hazard</t>
        </is>
      </c>
      <c r="T259" s="36">
        <f>IF($A259="","",IF($S259="","",IFERROR(INDEX('[1]natural catastrophe'!$D$6:$D$17,MATCH($S259,'[1]natural catastrophe'!$B$6:$B$17,0)),"?")))</f>
      </c>
      <c r="U259" s="30" t="inlineStr">
        <is>
          <t xml:space="preserve">$5,000</t>
        </is>
      </c>
      <c r="V259" s="32" t="inlineStr">
        <is>
          <t xml:space="preserve">Agreed Value</t>
        </is>
      </c>
      <c r="W259" s="30" t="inlineStr">
        <is>
          <t xml:space="preserve">$1,000</t>
        </is>
      </c>
      <c r="X259" s="32" t="inlineStr">
        <is>
          <t xml:space="preserve">$1,000,000 CSL</t>
        </is>
      </c>
      <c r="Y259" s="30"/>
      <c r="Z259" s="30"/>
      <c r="AA259" s="32" t="inlineStr">
        <is>
          <t xml:space="preserve">Surplus Lines</t>
        </is>
      </c>
      <c r="AB259" s="35">
        <v>2468.21</v>
      </c>
      <c r="AC259" s="37">
        <v>0</v>
      </c>
      <c r="AD259" s="38">
        <f>IF(ISNUMBER($AB259),$AB259*(1+N($AC259)),"")</f>
      </c>
      <c r="AE259" s="35">
        <v>350</v>
      </c>
      <c r="AF259" s="35">
        <v>0</v>
      </c>
      <c r="AG259" s="37"/>
      <c r="AH259" s="39">
        <f>IF(ISNUMBER($AD259),($AD259+$AE259+$AF259)*$AG259,"")</f>
      </c>
      <c r="AI259" s="35"/>
      <c r="AJ259" s="38">
        <f>IF(ISNUMBER($AD259),SUM($AD259:$AH259),"")</f>
      </c>
      <c r="AK259" s="40">
        <f>IF(AND(ISNUMBER($AB259),ISNUMBER($AD259)),IF($AB259&gt;0,$AD259/$AB259,""),"")</f>
      </c>
      <c r="AL259" s="32" t="inlineStr">
        <is>
          <t xml:space="preserve">At technical</t>
        </is>
      </c>
      <c r="AM259" s="41">
        <f>IF(ISNUMBER($AD259),Header!$I$3,"")</f>
      </c>
      <c r="AN259" s="39">
        <f>IF(ISNUMBER($AD259),$AO259+$AP259,"")</f>
      </c>
      <c r="AO259" s="39">
        <f>IF(ISNUMBER($AD259),ROUND($AD259*Header!$K$3,2),"")</f>
      </c>
      <c r="AP259" s="39">
        <f>IF(ISNUMBER($AD259),ROUND($AD259*Header!$M$3,2),"")</f>
      </c>
      <c r="AQ259" s="38">
        <f>IF(ISNUMBER($AD259),ROUND($AD259,2)-$AO259-$AP259,"")</f>
      </c>
      <c r="AR259" s="39">
        <f>IF(ISNUMBER($AD259),IF(Header!$D$34="","?",$AD259*Header!$D$34),"")</f>
      </c>
      <c r="AS259" s="39">
        <f>IF(ISNUMBER($AB259),IF(Header!$D$34="","?",$AB259*Header!$D$34),"")</f>
      </c>
      <c r="AT259" s="42">
        <f>IF(AND(ISNUMBER($AB259),$M259&gt;0),$AB259/$M259*100,"")</f>
      </c>
      <c r="AU259" s="42">
        <f>IF(AND(ISNUMBER($AD259),$M259&gt;0),$AD259/$M259*100,"")</f>
      </c>
      <c r="AV259" s="40">
        <f>IF(AND(ISNUMBER($AB259),ISNUMBER($AD259),ABS($AB259)&gt;0),$AD259/$AB259,"")</f>
      </c>
      <c r="AW259" s="39">
        <f>IF(ISNUMBER($AD259),MAX(0,(1-0.55-Header!$O$3)*Header!$Q$3*$AQ259),"")</f>
      </c>
      <c r="AX259" s="43">
        <f>IF($A259="","",IF(TRIM(IF($A259="","Missing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",""))="","PASS","FAIL: "&amp;TRIM(IF($A259="","Missing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f>
      </c>
      <c r="AY259" s="44">
        <f>IF($M259="","",IF(ISNUMBER($M259),IF($M259&gt;=Header!$C$18,"YES — refer","No"),""))</f>
      </c>
      <c r="AZ259" s="44">
        <f>IF($AD259="","",IF(ISNUMBER($AD259),IF($AD259&lt;Header!$C$20,"BELOW MIN PREMIUM","OK"),""))</f>
      </c>
      <c r="BA259" s="32" t="inlineStr">
        <is>
          <t xml:space="preserve">Yes</t>
        </is>
      </c>
      <c r="BB259" s="32" t="inlineStr">
        <is>
          <t xml:space="preserve">Yes</t>
        </is>
      </c>
      <c r="BC259" s="30" t="inlineStr">
        <is>
          <t xml:space="preserve">Synthetic demo data</t>
        </is>
      </c>
      <c r="BE259" s="45">
        <f>IF(OR($A259="",$L259="",$H259=""),"",IF(AND(LEFT($L259,2)="06",$H259&gt;1945),"FAIL - pre-war class, year "&amp;$H259,IF(AND(LEFT($L259,2)="07",OR($H259&lt;1946,$H259&gt;1972)),"FAIL - 1946-72 class, year "&amp;$H259,IF(AND(LEFT($L259,2)="08",OR($H259&lt;1973,$H259&gt;1999)),"FAIL - 1973-99 class, year "&amp;$H259,IF(AND(LEFT($L259,2)="09",OR($H259&lt;2000,$H259&gt;2010)),"FAIL - 2000-10 class, year "&amp;$H259,"OK")))))</f>
      </c>
      <c r="BF259" s="45">
        <f>IF($AD259="","",IF(ROUND($AO259+$AP259+$AQ259-$AD259,2)=0,"OK","FAIL - out by "&amp;TEXT($AO259+$AP259+$AQ259-$AD259,"$0.00")))</f>
      </c>
    </row>
    <row r="260" spans="1:58" ht="18.75" customHeight="1" x14ac:dyDescent="0.25">
      <c r="A260" s="46" t="inlineStr">
        <is>
          <t xml:space="preserve">CANON-202508-000345</t>
        </is>
      </c>
      <c r="B260" s="46" t="inlineStr">
        <is>
          <t xml:space="preserve">Emiliano Vandermeer</t>
        </is>
      </c>
      <c r="C260" s="47">
        <v>45874</v>
      </c>
      <c r="D260" s="48" t="inlineStr">
        <is>
          <t xml:space="preserve">Bound - within authority</t>
        </is>
      </c>
      <c r="E260" s="48" t="inlineStr">
        <is>
          <t xml:space="preserve">New business</t>
        </is>
      </c>
      <c r="F260" s="46" t="inlineStr">
        <is>
          <t xml:space="preserve">B1234EXOTIC26</t>
        </is>
      </c>
      <c r="G260" s="33">
        <f>IF($A260="","",IF($C260="","",YEAR($C260)))</f>
      </c>
      <c r="H260" s="49">
        <v>2002</v>
      </c>
      <c r="I260" s="46" t="inlineStr">
        <is>
          <t xml:space="preserve">Porsche</t>
        </is>
      </c>
      <c r="J260" s="46" t="inlineStr">
        <is>
          <t xml:space="preserve">911 Turbo S</t>
        </is>
      </c>
      <c r="K260" s="46" t="inlineStr">
        <is>
          <t xml:space="preserve">B5X4118HMJXL7XL5W</t>
        </is>
      </c>
      <c r="L260" s="48" t="inlineStr">
        <is>
          <t xml:space="preserve">02 - Sports / GT</t>
        </is>
      </c>
      <c r="M260" s="50">
        <v>260000</v>
      </c>
      <c r="N260" s="48" t="inlineStr">
        <is>
          <t xml:space="preserve">Personal</t>
        </is>
      </c>
      <c r="O260" s="46" t="inlineStr">
        <is>
          <t xml:space="preserve">Personal - regular use</t>
        </is>
      </c>
      <c r="P260" s="46" t="inlineStr">
        <is>
          <t xml:space="preserve">Under 1,000</t>
        </is>
      </c>
      <c r="Q260" s="46" t="inlineStr">
        <is>
          <t xml:space="preserve">California</t>
        </is>
      </c>
      <c r="R260" s="46" t="inlineStr">
        <is>
          <t xml:space="preserve">90012</t>
        </is>
      </c>
      <c r="S260" s="48" t="inlineStr">
        <is>
          <t xml:space="preserve">Earthquake - high (CA, Cascadia, New Madrid)</t>
        </is>
      </c>
      <c r="T260" s="36">
        <f>IF($A260="","",IF($S260="","",IFERROR(INDEX('[1]natural catastrophe'!$D$6:$D$17,MATCH($S260,'[1]natural catastrophe'!$B$6:$B$17,0)),"?")))</f>
      </c>
      <c r="U260" s="46" t="inlineStr">
        <is>
          <t xml:space="preserve">$5,000</t>
        </is>
      </c>
      <c r="V260" s="48" t="inlineStr">
        <is>
          <t xml:space="preserve">Agreed Value</t>
        </is>
      </c>
      <c r="W260" s="46" t="inlineStr">
        <is>
          <t xml:space="preserve">$1,000</t>
        </is>
      </c>
      <c r="X260" s="48" t="inlineStr">
        <is>
          <t xml:space="preserve">$1,000,000 CSL</t>
        </is>
      </c>
      <c r="Y260" s="46"/>
      <c r="Z260" s="46"/>
      <c r="AA260" s="48" t="inlineStr">
        <is>
          <t xml:space="preserve">Surplus Lines</t>
        </is>
      </c>
      <c r="AB260" s="50">
        <v>4966.98</v>
      </c>
      <c r="AC260" s="51">
        <v>0</v>
      </c>
      <c r="AD260" s="38">
        <f>IF(ISNUMBER($AB260),$AB260*(1+N($AC260)),"")</f>
      </c>
      <c r="AE260" s="50">
        <v>350</v>
      </c>
      <c r="AF260" s="50">
        <v>0</v>
      </c>
      <c r="AG260" s="51"/>
      <c r="AH260" s="39">
        <f>IF(ISNUMBER($AD260),($AD260+$AE260+$AF260)*$AG260,"")</f>
      </c>
      <c r="AI260" s="50"/>
      <c r="AJ260" s="38">
        <f>IF(ISNUMBER($AD260),SUM($AD260:$AH260),"")</f>
      </c>
      <c r="AK260" s="40">
        <f>IF(AND(ISNUMBER($AB260),ISNUMBER($AD260)),IF($AB260&gt;0,$AD260/$AB260,""),"")</f>
      </c>
      <c r="AL260" s="48" t="inlineStr">
        <is>
          <t xml:space="preserve">At technical</t>
        </is>
      </c>
      <c r="AM260" s="41">
        <f>IF(ISNUMBER($AD260),Header!$I$3,"")</f>
      </c>
      <c r="AN260" s="39">
        <f>IF(ISNUMBER($AD260),$AO260+$AP260,"")</f>
      </c>
      <c r="AO260" s="39">
        <f>IF(ISNUMBER($AD260),ROUND($AD260*Header!$K$3,2),"")</f>
      </c>
      <c r="AP260" s="39">
        <f>IF(ISNUMBER($AD260),ROUND($AD260*Header!$M$3,2),"")</f>
      </c>
      <c r="AQ260" s="38">
        <f>IF(ISNUMBER($AD260),ROUND($AD260,2)-$AO260-$AP260,"")</f>
      </c>
      <c r="AR260" s="39">
        <f>IF(ISNUMBER($AD260),IF(Header!$D$34="","?",$AD260*Header!$D$34),"")</f>
      </c>
      <c r="AS260" s="39">
        <f>IF(ISNUMBER($AB260),IF(Header!$D$34="","?",$AB260*Header!$D$34),"")</f>
      </c>
      <c r="AT260" s="42">
        <f>IF(AND(ISNUMBER($AB260),$M260&gt;0),$AB260/$M260*100,"")</f>
      </c>
      <c r="AU260" s="42">
        <f>IF(AND(ISNUMBER($AD260),$M260&gt;0),$AD260/$M260*100,"")</f>
      </c>
      <c r="AV260" s="40">
        <f>IF(AND(ISNUMBER($AB260),ISNUMBER($AD260),ABS($AB260)&gt;0),$AD260/$AB260,"")</f>
      </c>
      <c r="AW260" s="39">
        <f>IF(ISNUMBER($AD260),MAX(0,(1-0.55-Header!$O$3)*Header!$Q$3*$AQ260),"")</f>
      </c>
      <c r="AX260" s="43">
        <f>IF($A260="","",IF(TRIM(IF($A260="","Missing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",""))="","PASS","FAIL: "&amp;TRIM(IF($A260="","Missing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f>
      </c>
      <c r="AY260" s="44">
        <f>IF($M260="","",IF(ISNUMBER($M260),IF($M260&gt;=Header!$C$18,"YES — refer","No"),""))</f>
      </c>
      <c r="AZ260" s="44">
        <f>IF($AD260="","",IF(ISNUMBER($AD260),IF($AD260&lt;Header!$C$20,"BELOW MIN PREMIUM","OK"),""))</f>
      </c>
      <c r="BA260" s="48" t="inlineStr">
        <is>
          <t xml:space="preserve">Yes</t>
        </is>
      </c>
      <c r="BB260" s="48" t="inlineStr">
        <is>
          <t xml:space="preserve">Yes</t>
        </is>
      </c>
      <c r="BC260" s="46" t="inlineStr">
        <is>
          <t xml:space="preserve">Synthetic demo data</t>
        </is>
      </c>
      <c r="BE260" s="45">
        <f>IF(OR($A260="",$L260="",$H260=""),"",IF(AND(LEFT($L260,2)="06",$H260&gt;1945),"FAIL - pre-war class, year "&amp;$H260,IF(AND(LEFT($L260,2)="07",OR($H260&lt;1946,$H260&gt;1972)),"FAIL - 1946-72 class, year "&amp;$H260,IF(AND(LEFT($L260,2)="08",OR($H260&lt;1973,$H260&gt;1999)),"FAIL - 1973-99 class, year "&amp;$H260,IF(AND(LEFT($L260,2)="09",OR($H260&lt;2000,$H260&gt;2010)),"FAIL - 2000-10 class, year "&amp;$H260,"OK")))))</f>
      </c>
      <c r="BF260" s="45">
        <f>IF($AD260="","",IF(ROUND($AO260+$AP260+$AQ260-$AD260,2)=0,"OK","FAIL - out by "&amp;TEXT($AO260+$AP260+$AQ260-$AD260,"$0.00")))</f>
      </c>
    </row>
    <row r="261" spans="1:58" ht="18.75" customHeight="1" x14ac:dyDescent="0.25">
      <c r="A261" s="30" t="inlineStr">
        <is>
          <t xml:space="preserve">CANON-202508-000346</t>
        </is>
      </c>
      <c r="B261" s="30" t="inlineStr">
        <is>
          <t xml:space="preserve">Fenwick Chattopadhyay</t>
        </is>
      </c>
      <c r="C261" s="31">
        <v>45889</v>
      </c>
      <c r="D261" s="32" t="inlineStr">
        <is>
          <t xml:space="preserve">Bound - within authority</t>
        </is>
      </c>
      <c r="E261" s="32" t="inlineStr">
        <is>
          <t xml:space="preserve">New business</t>
        </is>
      </c>
      <c r="F261" s="30" t="inlineStr">
        <is>
          <t xml:space="preserve">B1234EXOTIC26</t>
        </is>
      </c>
      <c r="G261" s="33">
        <f>IF($A261="","",IF($C261="","",YEAR($C261)))</f>
      </c>
      <c r="H261" s="34">
        <v>1997</v>
      </c>
      <c r="I261" s="30" t="inlineStr">
        <is>
          <t xml:space="preserve">Lamborghini</t>
        </is>
      </c>
      <c r="J261" s="30" t="inlineStr">
        <is>
          <t xml:space="preserve">Huracan EVO</t>
        </is>
      </c>
      <c r="K261" s="30" t="inlineStr">
        <is>
          <t xml:space="preserve">P43K5LJSSHH3W2CCK</t>
        </is>
      </c>
      <c r="L261" s="32" t="inlineStr">
        <is>
          <t xml:space="preserve">03 - Supercar</t>
        </is>
      </c>
      <c r="M261" s="35">
        <v>470000</v>
      </c>
      <c r="N261" s="32" t="inlineStr">
        <is>
          <t xml:space="preserve">Personal</t>
        </is>
      </c>
      <c r="O261" s="30" t="inlineStr">
        <is>
          <t xml:space="preserve">Personal - regular use</t>
        </is>
      </c>
      <c r="P261" s="30" t="inlineStr">
        <is>
          <t xml:space="preserve">1,000 - 2,500</t>
        </is>
      </c>
      <c r="Q261" s="30" t="inlineStr">
        <is>
          <t xml:space="preserve">Indiana</t>
        </is>
      </c>
      <c r="R261" s="30" t="inlineStr">
        <is>
          <t xml:space="preserve">46204</t>
        </is>
      </c>
      <c r="S261" s="32" t="inlineStr">
        <is>
          <t xml:space="preserve">Severe convective - hail / tornado (moderate)</t>
        </is>
      </c>
      <c r="T261" s="36">
        <f>IF($A261="","",IF($S261="","",IFERROR(INDEX('[1]natural catastrophe'!$D$6:$D$17,MATCH($S261,'[1]natural catastrophe'!$B$6:$B$17,0)),"?")))</f>
      </c>
      <c r="U261" s="30" t="inlineStr">
        <is>
          <t xml:space="preserve">$5,000</t>
        </is>
      </c>
      <c r="V261" s="32" t="inlineStr">
        <is>
          <t xml:space="preserve">Agreed Value</t>
        </is>
      </c>
      <c r="W261" s="30" t="inlineStr">
        <is>
          <t xml:space="preserve">$1,000</t>
        </is>
      </c>
      <c r="X261" s="32" t="inlineStr">
        <is>
          <t xml:space="preserve">$1,000,000 CSL</t>
        </is>
      </c>
      <c r="Y261" s="30"/>
      <c r="Z261" s="30"/>
      <c r="AA261" s="32" t="inlineStr">
        <is>
          <t xml:space="preserve">Surplus Lines</t>
        </is>
      </c>
      <c r="AB261" s="35">
        <v>12543.68</v>
      </c>
      <c r="AC261" s="37">
        <v>0</v>
      </c>
      <c r="AD261" s="38">
        <f>IF(ISNUMBER($AB261),$AB261*(1+N($AC261)),"")</f>
      </c>
      <c r="AE261" s="35">
        <v>350</v>
      </c>
      <c r="AF261" s="35">
        <v>0</v>
      </c>
      <c r="AG261" s="37"/>
      <c r="AH261" s="39">
        <f>IF(ISNUMBER($AD261),($AD261+$AE261+$AF261)*$AG261,"")</f>
      </c>
      <c r="AI261" s="35"/>
      <c r="AJ261" s="38">
        <f>IF(ISNUMBER($AD261),SUM($AD261:$AH261),"")</f>
      </c>
      <c r="AK261" s="40">
        <f>IF(AND(ISNUMBER($AB261),ISNUMBER($AD261)),IF($AB261&gt;0,$AD261/$AB261,""),"")</f>
      </c>
      <c r="AL261" s="32" t="inlineStr">
        <is>
          <t xml:space="preserve">At technical</t>
        </is>
      </c>
      <c r="AM261" s="41">
        <f>IF(ISNUMBER($AD261),Header!$I$3,"")</f>
      </c>
      <c r="AN261" s="39">
        <f>IF(ISNUMBER($AD261),$AO261+$AP261,"")</f>
      </c>
      <c r="AO261" s="39">
        <f>IF(ISNUMBER($AD261),ROUND($AD261*Header!$K$3,2),"")</f>
      </c>
      <c r="AP261" s="39">
        <f>IF(ISNUMBER($AD261),ROUND($AD261*Header!$M$3,2),"")</f>
      </c>
      <c r="AQ261" s="38">
        <f>IF(ISNUMBER($AD261),ROUND($AD261,2)-$AO261-$AP261,"")</f>
      </c>
      <c r="AR261" s="39">
        <f>IF(ISNUMBER($AD261),IF(Header!$D$34="","?",$AD261*Header!$D$34),"")</f>
      </c>
      <c r="AS261" s="39">
        <f>IF(ISNUMBER($AB261),IF(Header!$D$34="","?",$AB261*Header!$D$34),"")</f>
      </c>
      <c r="AT261" s="42">
        <f>IF(AND(ISNUMBER($AB261),$M261&gt;0),$AB261/$M261*100,"")</f>
      </c>
      <c r="AU261" s="42">
        <f>IF(AND(ISNUMBER($AD261),$M261&gt;0),$AD261/$M261*100,"")</f>
      </c>
      <c r="AV261" s="40">
        <f>IF(AND(ISNUMBER($AB261),ISNUMBER($AD261),ABS($AB261)&gt;0),$AD261/$AB261,"")</f>
      </c>
      <c r="AW261" s="39">
        <f>IF(ISNUMBER($AD261),MAX(0,(1-0.55-Header!$O$3)*Header!$Q$3*$AQ261),"")</f>
      </c>
      <c r="AX261" s="43">
        <f>IF($A261="","",IF(TRIM(IF($A261="","Missing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",""))="","PASS","FAIL: "&amp;TRIM(IF($A261="","Missing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f>
      </c>
      <c r="AY261" s="44">
        <f>IF($M261="","",IF(ISNUMBER($M261),IF($M261&gt;=Header!$C$18,"YES — refer","No"),""))</f>
      </c>
      <c r="AZ261" s="44">
        <f>IF($AD261="","",IF(ISNUMBER($AD261),IF($AD261&lt;Header!$C$20,"BELOW MIN PREMIUM","OK"),""))</f>
      </c>
      <c r="BA261" s="32" t="inlineStr">
        <is>
          <t xml:space="preserve">Yes</t>
        </is>
      </c>
      <c r="BB261" s="32" t="inlineStr">
        <is>
          <t xml:space="preserve">Yes</t>
        </is>
      </c>
      <c r="BC261" s="30" t="inlineStr">
        <is>
          <t xml:space="preserve">Synthetic demo data</t>
        </is>
      </c>
      <c r="BE261" s="45">
        <f>IF(OR($A261="",$L261="",$H261=""),"",IF(AND(LEFT($L261,2)="06",$H261&gt;1945),"FAIL - pre-war class, year "&amp;$H261,IF(AND(LEFT($L261,2)="07",OR($H261&lt;1946,$H261&gt;1972)),"FAIL - 1946-72 class, year "&amp;$H261,IF(AND(LEFT($L261,2)="08",OR($H261&lt;1973,$H261&gt;1999)),"FAIL - 1973-99 class, year "&amp;$H261,IF(AND(LEFT($L261,2)="09",OR($H261&lt;2000,$H261&gt;2010)),"FAIL - 2000-10 class, year "&amp;$H261,"OK")))))</f>
      </c>
      <c r="BF261" s="45">
        <f>IF($AD261="","",IF(ROUND($AO261+$AP261+$AQ261-$AD261,2)=0,"OK","FAIL - out by "&amp;TEXT($AO261+$AP261+$AQ261-$AD261,"$0.00")))</f>
      </c>
    </row>
    <row r="262" spans="1:58" ht="18.75" customHeight="1" x14ac:dyDescent="0.25">
      <c r="A262" s="46" t="inlineStr">
        <is>
          <t xml:space="preserve">CANON-202508-000348</t>
        </is>
      </c>
      <c r="B262" s="46" t="inlineStr">
        <is>
          <t xml:space="preserve">Wilhelmina Whitlock</t>
        </is>
      </c>
      <c r="C262" s="47">
        <v>45885</v>
      </c>
      <c r="D262" s="48" t="inlineStr">
        <is>
          <t xml:space="preserve">Bound - within authority</t>
        </is>
      </c>
      <c r="E262" s="48" t="inlineStr">
        <is>
          <t xml:space="preserve">New business</t>
        </is>
      </c>
      <c r="F262" s="46" t="inlineStr">
        <is>
          <t xml:space="preserve">B1234EXOTIC26</t>
        </is>
      </c>
      <c r="G262" s="33">
        <f>IF($A262="","",IF($C262="","",YEAR($C262)))</f>
      </c>
      <c r="H262" s="49">
        <v>1960</v>
      </c>
      <c r="I262" s="46" t="inlineStr">
        <is>
          <t xml:space="preserve">Ferrari</t>
        </is>
      </c>
      <c r="J262" s="46" t="inlineStr">
        <is>
          <t xml:space="preserve">296 GTB</t>
        </is>
      </c>
      <c r="K262" s="46" t="inlineStr">
        <is>
          <t xml:space="preserve">GEB2LMAS34C0X9NA9</t>
        </is>
      </c>
      <c r="L262" s="48" t="inlineStr">
        <is>
          <t xml:space="preserve">03 - Supercar</t>
        </is>
      </c>
      <c r="M262" s="50">
        <v>1950000</v>
      </c>
      <c r="N262" s="48" t="inlineStr">
        <is>
          <t xml:space="preserve">Personal</t>
        </is>
      </c>
      <c r="O262" s="46" t="inlineStr">
        <is>
          <t xml:space="preserve">Personal - regular use</t>
        </is>
      </c>
      <c r="P262" s="46" t="inlineStr">
        <is>
          <t xml:space="preserve">1,000 - 2,500</t>
        </is>
      </c>
      <c r="Q262" s="46" t="inlineStr">
        <is>
          <t xml:space="preserve">Illinois</t>
        </is>
      </c>
      <c r="R262" s="46" t="inlineStr">
        <is>
          <t xml:space="preserve">60601</t>
        </is>
      </c>
      <c r="S262" s="48" t="inlineStr">
        <is>
          <t xml:space="preserve">Severe convective - hail / tornado (moderate)</t>
        </is>
      </c>
      <c r="T262" s="36">
        <f>IF($A262="","",IF($S262="","",IFERROR(INDEX('[1]natural catastrophe'!$D$6:$D$17,MATCH($S262,'[1]natural catastrophe'!$B$6:$B$17,0)),"?")))</f>
      </c>
      <c r="U262" s="46" t="inlineStr">
        <is>
          <t xml:space="preserve">$5,000</t>
        </is>
      </c>
      <c r="V262" s="48" t="inlineStr">
        <is>
          <t xml:space="preserve">Agreed Value</t>
        </is>
      </c>
      <c r="W262" s="46" t="inlineStr">
        <is>
          <t xml:space="preserve">$1,000</t>
        </is>
      </c>
      <c r="X262" s="48" t="inlineStr">
        <is>
          <t xml:space="preserve">$1,000,000 CSL</t>
        </is>
      </c>
      <c r="Y262" s="46"/>
      <c r="Z262" s="46"/>
      <c r="AA262" s="48" t="inlineStr">
        <is>
          <t xml:space="preserve">Surplus Lines</t>
        </is>
      </c>
      <c r="AB262" s="50">
        <v>40030.19</v>
      </c>
      <c r="AC262" s="51">
        <v>0</v>
      </c>
      <c r="AD262" s="38">
        <f>IF(ISNUMBER($AB262),$AB262*(1+N($AC262)),"")</f>
      </c>
      <c r="AE262" s="50">
        <v>350</v>
      </c>
      <c r="AF262" s="50">
        <v>250</v>
      </c>
      <c r="AG262" s="51"/>
      <c r="AH262" s="39">
        <f>IF(ISNUMBER($AD262),($AD262+$AE262+$AF262)*$AG262,"")</f>
      </c>
      <c r="AI262" s="50"/>
      <c r="AJ262" s="38">
        <f>IF(ISNUMBER($AD262),SUM($AD262:$AH262),"")</f>
      </c>
      <c r="AK262" s="40">
        <f>IF(AND(ISNUMBER($AB262),ISNUMBER($AD262)),IF($AB262&gt;0,$AD262/$AB262,""),"")</f>
      </c>
      <c r="AL262" s="48" t="inlineStr">
        <is>
          <t xml:space="preserve">At technical</t>
        </is>
      </c>
      <c r="AM262" s="41">
        <f>IF(ISNUMBER($AD262),Header!$I$3,"")</f>
      </c>
      <c r="AN262" s="39">
        <f>IF(ISNUMBER($AD262),$AO262+$AP262,"")</f>
      </c>
      <c r="AO262" s="39">
        <f>IF(ISNUMBER($AD262),ROUND($AD262*Header!$K$3,2),"")</f>
      </c>
      <c r="AP262" s="39">
        <f>IF(ISNUMBER($AD262),ROUND($AD262*Header!$M$3,2),"")</f>
      </c>
      <c r="AQ262" s="38">
        <f>IF(ISNUMBER($AD262),ROUND($AD262,2)-$AO262-$AP262,"")</f>
      </c>
      <c r="AR262" s="39">
        <f>IF(ISNUMBER($AD262),IF(Header!$D$34="","?",$AD262*Header!$D$34),"")</f>
      </c>
      <c r="AS262" s="39">
        <f>IF(ISNUMBER($AB262),IF(Header!$D$34="","?",$AB262*Header!$D$34),"")</f>
      </c>
      <c r="AT262" s="42">
        <f>IF(AND(ISNUMBER($AB262),$M262&gt;0),$AB262/$M262*100,"")</f>
      </c>
      <c r="AU262" s="42">
        <f>IF(AND(ISNUMBER($AD262),$M262&gt;0),$AD262/$M262*100,"")</f>
      </c>
      <c r="AV262" s="40">
        <f>IF(AND(ISNUMBER($AB262),ISNUMBER($AD262),ABS($AB262)&gt;0),$AD262/$AB262,"")</f>
      </c>
      <c r="AW262" s="39">
        <f>IF(ISNUMBER($AD262),MAX(0,(1-0.55-Header!$O$3)*Header!$Q$3*$AQ262),"")</f>
      </c>
      <c r="AX262" s="43">
        <f>IF($A262="","",IF(TRIM(IF($A262="","Missing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",""))="","PASS","FAIL: "&amp;TRIM(IF($A262="","Missing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f>
      </c>
      <c r="AY262" s="44">
        <f>IF($M262="","",IF(ISNUMBER($M262),IF($M262&gt;=Header!$C$18,"YES — refer","No"),""))</f>
      </c>
      <c r="AZ262" s="44">
        <f>IF($AD262="","",IF(ISNUMBER($AD262),IF($AD262&lt;Header!$C$20,"BELOW MIN PREMIUM","OK"),""))</f>
      </c>
      <c r="BA262" s="48" t="inlineStr">
        <is>
          <t xml:space="preserve">Yes</t>
        </is>
      </c>
      <c r="BB262" s="48" t="inlineStr">
        <is>
          <t xml:space="preserve">Yes</t>
        </is>
      </c>
      <c r="BC262" s="46" t="inlineStr">
        <is>
          <t xml:space="preserve">Synthetic demo data</t>
        </is>
      </c>
      <c r="BE262" s="45">
        <f>IF(OR($A262="",$L262="",$H262=""),"",IF(AND(LEFT($L262,2)="06",$H262&gt;1945),"FAIL - pre-war class, year "&amp;$H262,IF(AND(LEFT($L262,2)="07",OR($H262&lt;1946,$H262&gt;1972)),"FAIL - 1946-72 class, year "&amp;$H262,IF(AND(LEFT($L262,2)="08",OR($H262&lt;1973,$H262&gt;1999)),"FAIL - 1973-99 class, year "&amp;$H262,IF(AND(LEFT($L262,2)="09",OR($H262&lt;2000,$H262&gt;2010)),"FAIL - 2000-10 class, year "&amp;$H262,"OK")))))</f>
      </c>
      <c r="BF262" s="45">
        <f>IF($AD262="","",IF(ROUND($AO262+$AP262+$AQ262-$AD262,2)=0,"OK","FAIL - out by "&amp;TEXT($AO262+$AP262+$AQ262-$AD262,"$0.00")))</f>
      </c>
    </row>
    <row r="263" spans="1:58" ht="18.75" customHeight="1" x14ac:dyDescent="0.25">
      <c r="A263" s="30" t="inlineStr">
        <is>
          <t xml:space="preserve">CANON-202508-000349</t>
        </is>
      </c>
      <c r="B263" s="30" t="inlineStr">
        <is>
          <t xml:space="preserve">Emiliano Fairweather</t>
        </is>
      </c>
      <c r="C263" s="31">
        <v>45892</v>
      </c>
      <c r="D263" s="32" t="inlineStr">
        <is>
          <t xml:space="preserve">Bound - within authority</t>
        </is>
      </c>
      <c r="E263" s="32" t="inlineStr">
        <is>
          <t xml:space="preserve">New business</t>
        </is>
      </c>
      <c r="F263" s="30" t="inlineStr">
        <is>
          <t xml:space="preserve">B1234EXOTIC26</t>
        </is>
      </c>
      <c r="G263" s="33">
        <f>IF($A263="","",IF($C263="","",YEAR($C263)))</f>
      </c>
      <c r="H263" s="34">
        <v>1996</v>
      </c>
      <c r="I263" s="30" t="inlineStr">
        <is>
          <t xml:space="preserve">Porsche</t>
        </is>
      </c>
      <c r="J263" s="30" t="inlineStr">
        <is>
          <t xml:space="preserve">911 Turbo S</t>
        </is>
      </c>
      <c r="K263" s="30" t="inlineStr">
        <is>
          <t xml:space="preserve">2XH1LTCSDMNRMK40P</t>
        </is>
      </c>
      <c r="L263" s="32" t="inlineStr">
        <is>
          <t xml:space="preserve">02 - Sports / GT</t>
        </is>
      </c>
      <c r="M263" s="35">
        <v>555000</v>
      </c>
      <c r="N263" s="32" t="inlineStr">
        <is>
          <t xml:space="preserve">Personal</t>
        </is>
      </c>
      <c r="O263" s="30" t="inlineStr">
        <is>
          <t xml:space="preserve">Personal - regular use</t>
        </is>
      </c>
      <c r="P263" s="30" t="inlineStr">
        <is>
          <t xml:space="preserve">Under 1,000</t>
        </is>
      </c>
      <c r="Q263" s="30" t="inlineStr">
        <is>
          <t xml:space="preserve">North Carolina</t>
        </is>
      </c>
      <c r="R263" s="30" t="inlineStr">
        <is>
          <t xml:space="preserve">28202</t>
        </is>
      </c>
      <c r="S263" s="32" t="inlineStr">
        <is>
          <t xml:space="preserve">Tier 2 - Coastal wind (1-25 miles)</t>
        </is>
      </c>
      <c r="T263" s="36">
        <f>IF($A263="","",IF($S263="","",IFERROR(INDEX('[1]natural catastrophe'!$D$6:$D$17,MATCH($S263,'[1]natural catastrophe'!$B$6:$B$17,0)),"?")))</f>
      </c>
      <c r="U263" s="30" t="inlineStr">
        <is>
          <t xml:space="preserve">2% of agreed value, minimum $10,000</t>
        </is>
      </c>
      <c r="V263" s="32" t="inlineStr">
        <is>
          <t xml:space="preserve">Agreed Value</t>
        </is>
      </c>
      <c r="W263" s="30" t="inlineStr">
        <is>
          <t xml:space="preserve">$1,000</t>
        </is>
      </c>
      <c r="X263" s="32" t="inlineStr">
        <is>
          <t xml:space="preserve">$1,000,000 CSL</t>
        </is>
      </c>
      <c r="Y263" s="30"/>
      <c r="Z263" s="30"/>
      <c r="AA263" s="32" t="inlineStr">
        <is>
          <t xml:space="preserve">Surplus Lines</t>
        </is>
      </c>
      <c r="AB263" s="35">
        <v>7827.59</v>
      </c>
      <c r="AC263" s="37">
        <v>0</v>
      </c>
      <c r="AD263" s="38">
        <f>IF(ISNUMBER($AB263),$AB263*(1+N($AC263)),"")</f>
      </c>
      <c r="AE263" s="35">
        <v>350</v>
      </c>
      <c r="AF263" s="35">
        <v>0</v>
      </c>
      <c r="AG263" s="37"/>
      <c r="AH263" s="39">
        <f>IF(ISNUMBER($AD263),($AD263+$AE263+$AF263)*$AG263,"")</f>
      </c>
      <c r="AI263" s="35"/>
      <c r="AJ263" s="38">
        <f>IF(ISNUMBER($AD263),SUM($AD263:$AH263),"")</f>
      </c>
      <c r="AK263" s="40">
        <f>IF(AND(ISNUMBER($AB263),ISNUMBER($AD263)),IF($AB263&gt;0,$AD263/$AB263,""),"")</f>
      </c>
      <c r="AL263" s="32" t="inlineStr">
        <is>
          <t xml:space="preserve">At technical</t>
        </is>
      </c>
      <c r="AM263" s="41">
        <f>IF(ISNUMBER($AD263),Header!$I$3,"")</f>
      </c>
      <c r="AN263" s="39">
        <f>IF(ISNUMBER($AD263),$AO263+$AP263,"")</f>
      </c>
      <c r="AO263" s="39">
        <f>IF(ISNUMBER($AD263),ROUND($AD263*Header!$K$3,2),"")</f>
      </c>
      <c r="AP263" s="39">
        <f>IF(ISNUMBER($AD263),ROUND($AD263*Header!$M$3,2),"")</f>
      </c>
      <c r="AQ263" s="38">
        <f>IF(ISNUMBER($AD263),ROUND($AD263,2)-$AO263-$AP263,"")</f>
      </c>
      <c r="AR263" s="39">
        <f>IF(ISNUMBER($AD263),IF(Header!$D$34="","?",$AD263*Header!$D$34),"")</f>
      </c>
      <c r="AS263" s="39">
        <f>IF(ISNUMBER($AB263),IF(Header!$D$34="","?",$AB263*Header!$D$34),"")</f>
      </c>
      <c r="AT263" s="42">
        <f>IF(AND(ISNUMBER($AB263),$M263&gt;0),$AB263/$M263*100,"")</f>
      </c>
      <c r="AU263" s="42">
        <f>IF(AND(ISNUMBER($AD263),$M263&gt;0),$AD263/$M263*100,"")</f>
      </c>
      <c r="AV263" s="40">
        <f>IF(AND(ISNUMBER($AB263),ISNUMBER($AD263),ABS($AB263)&gt;0),$AD263/$AB263,"")</f>
      </c>
      <c r="AW263" s="39">
        <f>IF(ISNUMBER($AD263),MAX(0,(1-0.55-Header!$O$3)*Header!$Q$3*$AQ263),"")</f>
      </c>
      <c r="AX263" s="43">
        <f>IF($A263="","",IF(TRIM(IF($A263="","Missing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",""))="","PASS","FAIL: "&amp;TRIM(IF($A263="","Missing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f>
      </c>
      <c r="AY263" s="44">
        <f>IF($M263="","",IF(ISNUMBER($M263),IF($M263&gt;=Header!$C$18,"YES — refer","No"),""))</f>
      </c>
      <c r="AZ263" s="44">
        <f>IF($AD263="","",IF(ISNUMBER($AD263),IF($AD263&lt;Header!$C$20,"BELOW MIN PREMIUM","OK"),""))</f>
      </c>
      <c r="BA263" s="32" t="inlineStr">
        <is>
          <t xml:space="preserve">Yes</t>
        </is>
      </c>
      <c r="BB263" s="32" t="inlineStr">
        <is>
          <t xml:space="preserve">Yes</t>
        </is>
      </c>
      <c r="BC263" s="30" t="inlineStr">
        <is>
          <t xml:space="preserve">Synthetic demo data</t>
        </is>
      </c>
      <c r="BE263" s="45">
        <f>IF(OR($A263="",$L263="",$H263=""),"",IF(AND(LEFT($L263,2)="06",$H263&gt;1945),"FAIL - pre-war class, year "&amp;$H263,IF(AND(LEFT($L263,2)="07",OR($H263&lt;1946,$H263&gt;1972)),"FAIL - 1946-72 class, year "&amp;$H263,IF(AND(LEFT($L263,2)="08",OR($H263&lt;1973,$H263&gt;1999)),"FAIL - 1973-99 class, year "&amp;$H263,IF(AND(LEFT($L263,2)="09",OR($H263&lt;2000,$H263&gt;2010)),"FAIL - 2000-10 class, year "&amp;$H263,"OK")))))</f>
      </c>
      <c r="BF263" s="45">
        <f>IF($AD263="","",IF(ROUND($AO263+$AP263+$AQ263-$AD263,2)=0,"OK","FAIL - out by "&amp;TEXT($AO263+$AP263+$AQ263-$AD263,"$0.00")))</f>
      </c>
    </row>
    <row r="264" spans="1:58" ht="18.75" customHeight="1" x14ac:dyDescent="0.25">
      <c r="A264" s="46" t="inlineStr">
        <is>
          <t xml:space="preserve">CANON-202508-000350</t>
        </is>
      </c>
      <c r="B264" s="46" t="inlineStr">
        <is>
          <t xml:space="preserve">Wilhelmina Larsson</t>
        </is>
      </c>
      <c r="C264" s="47">
        <v>45884</v>
      </c>
      <c r="D264" s="48" t="inlineStr">
        <is>
          <t xml:space="preserve">Bound - within authority</t>
        </is>
      </c>
      <c r="E264" s="48" t="inlineStr">
        <is>
          <t xml:space="preserve">New business</t>
        </is>
      </c>
      <c r="F264" s="46" t="inlineStr">
        <is>
          <t xml:space="preserve">B1234EXOTIC26</t>
        </is>
      </c>
      <c r="G264" s="33">
        <f>IF($A264="","",IF($C264="","",YEAR($C264)))</f>
      </c>
      <c r="H264" s="49">
        <v>1967</v>
      </c>
      <c r="I264" s="46" t="inlineStr">
        <is>
          <t xml:space="preserve">Ferrari</t>
        </is>
      </c>
      <c r="J264" s="46" t="inlineStr">
        <is>
          <t xml:space="preserve">296 GTB</t>
        </is>
      </c>
      <c r="K264" s="46" t="inlineStr">
        <is>
          <t xml:space="preserve">WYUY4LGVLGCLA42T0</t>
        </is>
      </c>
      <c r="L264" s="48" t="inlineStr">
        <is>
          <t xml:space="preserve">03 - Supercar</t>
        </is>
      </c>
      <c r="M264" s="50">
        <v>1145000</v>
      </c>
      <c r="N264" s="48" t="inlineStr">
        <is>
          <t xml:space="preserve">Personal</t>
        </is>
      </c>
      <c r="O264" s="46" t="inlineStr">
        <is>
          <t xml:space="preserve">Personal - regular use</t>
        </is>
      </c>
      <c r="P264" s="46" t="inlineStr">
        <is>
          <t xml:space="preserve">2,500 - 5,000</t>
        </is>
      </c>
      <c r="Q264" s="46" t="inlineStr">
        <is>
          <t xml:space="preserve">Mississippi</t>
        </is>
      </c>
      <c r="R264" s="46" t="inlineStr">
        <is>
          <t xml:space="preserve">39201</t>
        </is>
      </c>
      <c r="S264" s="48" t="inlineStr">
        <is>
          <t xml:space="preserve">Tier 2 - Coastal wind (1-25 miles)</t>
        </is>
      </c>
      <c r="T264" s="36">
        <f>IF($A264="","",IF($S264="","",IFERROR(INDEX('[1]natural catastrophe'!$D$6:$D$17,MATCH($S264,'[1]natural catastrophe'!$B$6:$B$17,0)),"?")))</f>
      </c>
      <c r="U264" s="46" t="inlineStr">
        <is>
          <t xml:space="preserve">2% of agreed value, minimum $10,000</t>
        </is>
      </c>
      <c r="V264" s="48" t="inlineStr">
        <is>
          <t xml:space="preserve">Agreed Value</t>
        </is>
      </c>
      <c r="W264" s="46" t="inlineStr">
        <is>
          <t xml:space="preserve">$1,000</t>
        </is>
      </c>
      <c r="X264" s="48" t="inlineStr">
        <is>
          <t xml:space="preserve">$1,000,000 CSL</t>
        </is>
      </c>
      <c r="Y264" s="46"/>
      <c r="Z264" s="46"/>
      <c r="AA264" s="48" t="inlineStr">
        <is>
          <t xml:space="preserve">Surplus Lines</t>
        </is>
      </c>
      <c r="AB264" s="50">
        <v>20566.79</v>
      </c>
      <c r="AC264" s="51">
        <v>0</v>
      </c>
      <c r="AD264" s="38">
        <f>IF(ISNUMBER($AB264),$AB264*(1+N($AC264)),"")</f>
      </c>
      <c r="AE264" s="50">
        <v>350</v>
      </c>
      <c r="AF264" s="50">
        <v>250</v>
      </c>
      <c r="AG264" s="51"/>
      <c r="AH264" s="39">
        <f>IF(ISNUMBER($AD264),($AD264+$AE264+$AF264)*$AG264,"")</f>
      </c>
      <c r="AI264" s="50"/>
      <c r="AJ264" s="38">
        <f>IF(ISNUMBER($AD264),SUM($AD264:$AH264),"")</f>
      </c>
      <c r="AK264" s="40">
        <f>IF(AND(ISNUMBER($AB264),ISNUMBER($AD264)),IF($AB264&gt;0,$AD264/$AB264,""),"")</f>
      </c>
      <c r="AL264" s="48" t="inlineStr">
        <is>
          <t xml:space="preserve">At technical</t>
        </is>
      </c>
      <c r="AM264" s="41">
        <f>IF(ISNUMBER($AD264),Header!$I$3,"")</f>
      </c>
      <c r="AN264" s="39">
        <f>IF(ISNUMBER($AD264),$AO264+$AP264,"")</f>
      </c>
      <c r="AO264" s="39">
        <f>IF(ISNUMBER($AD264),ROUND($AD264*Header!$K$3,2),"")</f>
      </c>
      <c r="AP264" s="39">
        <f>IF(ISNUMBER($AD264),ROUND($AD264*Header!$M$3,2),"")</f>
      </c>
      <c r="AQ264" s="38">
        <f>IF(ISNUMBER($AD264),ROUND($AD264,2)-$AO264-$AP264,"")</f>
      </c>
      <c r="AR264" s="39">
        <f>IF(ISNUMBER($AD264),IF(Header!$D$34="","?",$AD264*Header!$D$34),"")</f>
      </c>
      <c r="AS264" s="39">
        <f>IF(ISNUMBER($AB264),IF(Header!$D$34="","?",$AB264*Header!$D$34),"")</f>
      </c>
      <c r="AT264" s="42">
        <f>IF(AND(ISNUMBER($AB264),$M264&gt;0),$AB264/$M264*100,"")</f>
      </c>
      <c r="AU264" s="42">
        <f>IF(AND(ISNUMBER($AD264),$M264&gt;0),$AD264/$M264*100,"")</f>
      </c>
      <c r="AV264" s="40">
        <f>IF(AND(ISNUMBER($AB264),ISNUMBER($AD264),ABS($AB264)&gt;0),$AD264/$AB264,"")</f>
      </c>
      <c r="AW264" s="39">
        <f>IF(ISNUMBER($AD264),MAX(0,(1-0.55-Header!$O$3)*Header!$Q$3*$AQ264),"")</f>
      </c>
      <c r="AX264" s="43">
        <f>IF($A264="","",IF(TRIM(IF($A264="","Missing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",""))="","PASS","FAIL: "&amp;TRIM(IF($A264="","Missing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f>
      </c>
      <c r="AY264" s="44">
        <f>IF($M264="","",IF(ISNUMBER($M264),IF($M264&gt;=Header!$C$18,"YES — refer","No"),""))</f>
      </c>
      <c r="AZ264" s="44">
        <f>IF($AD264="","",IF(ISNUMBER($AD264),IF($AD264&lt;Header!$C$20,"BELOW MIN PREMIUM","OK"),""))</f>
      </c>
      <c r="BA264" s="48" t="inlineStr">
        <is>
          <t xml:space="preserve">Yes</t>
        </is>
      </c>
      <c r="BB264" s="48" t="inlineStr">
        <is>
          <t xml:space="preserve">Yes</t>
        </is>
      </c>
      <c r="BC264" s="46" t="inlineStr">
        <is>
          <t xml:space="preserve">Synthetic demo data</t>
        </is>
      </c>
      <c r="BE264" s="45">
        <f>IF(OR($A264="",$L264="",$H264=""),"",IF(AND(LEFT($L264,2)="06",$H264&gt;1945),"FAIL - pre-war class, year "&amp;$H264,IF(AND(LEFT($L264,2)="07",OR($H264&lt;1946,$H264&gt;1972)),"FAIL - 1946-72 class, year "&amp;$H264,IF(AND(LEFT($L264,2)="08",OR($H264&lt;1973,$H264&gt;1999)),"FAIL - 1973-99 class, year "&amp;$H264,IF(AND(LEFT($L264,2)="09",OR($H264&lt;2000,$H264&gt;2010)),"FAIL - 2000-10 class, year "&amp;$H264,"OK")))))</f>
      </c>
      <c r="BF264" s="45">
        <f>IF($AD264="","",IF(ROUND($AO264+$AP264+$AQ264-$AD264,2)=0,"OK","FAIL - out by "&amp;TEXT($AO264+$AP264+$AQ264-$AD264,"$0.00")))</f>
      </c>
    </row>
    <row r="265" spans="1:58" ht="18.75" customHeight="1" x14ac:dyDescent="0.25">
      <c r="A265" s="30" t="inlineStr">
        <is>
          <t xml:space="preserve">CANON-202508-000351</t>
        </is>
      </c>
      <c r="B265" s="30" t="inlineStr">
        <is>
          <t xml:space="preserve">Emiliano Blackwood</t>
        </is>
      </c>
      <c r="C265" s="31">
        <v>45896</v>
      </c>
      <c r="D265" s="32" t="inlineStr">
        <is>
          <t xml:space="preserve">Bound - within authority</t>
        </is>
      </c>
      <c r="E265" s="32" t="inlineStr">
        <is>
          <t xml:space="preserve">New business</t>
        </is>
      </c>
      <c r="F265" s="30" t="inlineStr">
        <is>
          <t xml:space="preserve">B1234EXOTIC26</t>
        </is>
      </c>
      <c r="G265" s="33">
        <f>IF($A265="","",IF($C265="","",YEAR($C265)))</f>
      </c>
      <c r="H265" s="34">
        <v>1977</v>
      </c>
      <c r="I265" s="30" t="inlineStr">
        <is>
          <t xml:space="preserve">Mercedes-Benz</t>
        </is>
      </c>
      <c r="J265" s="30" t="inlineStr">
        <is>
          <t xml:space="preserve">AMG GT</t>
        </is>
      </c>
      <c r="K265" s="30" t="inlineStr">
        <is>
          <t xml:space="preserve">P629XD12UC6M22XPH</t>
        </is>
      </c>
      <c r="L265" s="32" t="inlineStr">
        <is>
          <t xml:space="preserve">02 - Sports / GT</t>
        </is>
      </c>
      <c r="M265" s="35">
        <v>530000</v>
      </c>
      <c r="N265" s="32" t="inlineStr">
        <is>
          <t xml:space="preserve">Personal</t>
        </is>
      </c>
      <c r="O265" s="30" t="inlineStr">
        <is>
          <t xml:space="preserve">Personal - regular use</t>
        </is>
      </c>
      <c r="P265" s="30" t="inlineStr">
        <is>
          <t xml:space="preserve">1,000 - 2,500</t>
        </is>
      </c>
      <c r="Q265" s="30" t="inlineStr">
        <is>
          <t xml:space="preserve">Florida</t>
        </is>
      </c>
      <c r="R265" s="30" t="inlineStr">
        <is>
          <t xml:space="preserve">33139</t>
        </is>
      </c>
      <c r="S265" s="32" t="inlineStr">
        <is>
          <t xml:space="preserve">Tier 2 - Coastal wind (1-25 miles)</t>
        </is>
      </c>
      <c r="T265" s="36">
        <f>IF($A265="","",IF($S265="","",IFERROR(INDEX('[1]natural catastrophe'!$D$6:$D$17,MATCH($S265,'[1]natural catastrophe'!$B$6:$B$17,0)),"?")))</f>
      </c>
      <c r="U265" s="30" t="inlineStr">
        <is>
          <t xml:space="preserve">2% of agreed value, minimum $10,000</t>
        </is>
      </c>
      <c r="V265" s="32" t="inlineStr">
        <is>
          <t xml:space="preserve">Agreed Value</t>
        </is>
      </c>
      <c r="W265" s="30" t="inlineStr">
        <is>
          <t xml:space="preserve">$1,000</t>
        </is>
      </c>
      <c r="X265" s="32" t="inlineStr">
        <is>
          <t xml:space="preserve">$1,000,000 CSL</t>
        </is>
      </c>
      <c r="Y265" s="30"/>
      <c r="Z265" s="30"/>
      <c r="AA265" s="32" t="inlineStr">
        <is>
          <t xml:space="preserve">Surplus Lines</t>
        </is>
      </c>
      <c r="AB265" s="35">
        <v>9230</v>
      </c>
      <c r="AC265" s="37">
        <v>0</v>
      </c>
      <c r="AD265" s="38">
        <f>IF(ISNUMBER($AB265),$AB265*(1+N($AC265)),"")</f>
      </c>
      <c r="AE265" s="35">
        <v>350</v>
      </c>
      <c r="AF265" s="35">
        <v>0</v>
      </c>
      <c r="AG265" s="37"/>
      <c r="AH265" s="39">
        <f>IF(ISNUMBER($AD265),($AD265+$AE265+$AF265)*$AG265,"")</f>
      </c>
      <c r="AI265" s="35"/>
      <c r="AJ265" s="38">
        <f>IF(ISNUMBER($AD265),SUM($AD265:$AH265),"")</f>
      </c>
      <c r="AK265" s="40">
        <f>IF(AND(ISNUMBER($AB265),ISNUMBER($AD265)),IF($AB265&gt;0,$AD265/$AB265,""),"")</f>
      </c>
      <c r="AL265" s="32" t="inlineStr">
        <is>
          <t xml:space="preserve">At technical</t>
        </is>
      </c>
      <c r="AM265" s="41">
        <f>IF(ISNUMBER($AD265),Header!$I$3,"")</f>
      </c>
      <c r="AN265" s="39">
        <f>IF(ISNUMBER($AD265),$AO265+$AP265,"")</f>
      </c>
      <c r="AO265" s="39">
        <f>IF(ISNUMBER($AD265),ROUND($AD265*Header!$K$3,2),"")</f>
      </c>
      <c r="AP265" s="39">
        <f>IF(ISNUMBER($AD265),ROUND($AD265*Header!$M$3,2),"")</f>
      </c>
      <c r="AQ265" s="38">
        <f>IF(ISNUMBER($AD265),ROUND($AD265,2)-$AO265-$AP265,"")</f>
      </c>
      <c r="AR265" s="39">
        <f>IF(ISNUMBER($AD265),IF(Header!$D$34="","?",$AD265*Header!$D$34),"")</f>
      </c>
      <c r="AS265" s="39">
        <f>IF(ISNUMBER($AB265),IF(Header!$D$34="","?",$AB265*Header!$D$34),"")</f>
      </c>
      <c r="AT265" s="42">
        <f>IF(AND(ISNUMBER($AB265),$M265&gt;0),$AB265/$M265*100,"")</f>
      </c>
      <c r="AU265" s="42">
        <f>IF(AND(ISNUMBER($AD265),$M265&gt;0),$AD265/$M265*100,"")</f>
      </c>
      <c r="AV265" s="40">
        <f>IF(AND(ISNUMBER($AB265),ISNUMBER($AD265),ABS($AB265)&gt;0),$AD265/$AB265,"")</f>
      </c>
      <c r="AW265" s="39">
        <f>IF(ISNUMBER($AD265),MAX(0,(1-0.55-Header!$O$3)*Header!$Q$3*$AQ265),"")</f>
      </c>
      <c r="AX265" s="43">
        <f>IF($A265="","",IF(TRIM(IF($A265="","Missing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",""))="","PASS","FAIL: "&amp;TRIM(IF($A265="","Missing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f>
      </c>
      <c r="AY265" s="44">
        <f>IF($M265="","",IF(ISNUMBER($M265),IF($M265&gt;=Header!$C$18,"YES — refer","No"),""))</f>
      </c>
      <c r="AZ265" s="44">
        <f>IF($AD265="","",IF(ISNUMBER($AD265),IF($AD265&lt;Header!$C$20,"BELOW MIN PREMIUM","OK"),""))</f>
      </c>
      <c r="BA265" s="32" t="inlineStr">
        <is>
          <t xml:space="preserve">Yes</t>
        </is>
      </c>
      <c r="BB265" s="32" t="inlineStr">
        <is>
          <t xml:space="preserve">Yes</t>
        </is>
      </c>
      <c r="BC265" s="30" t="inlineStr">
        <is>
          <t xml:space="preserve">Synthetic demo data</t>
        </is>
      </c>
      <c r="BE265" s="45">
        <f>IF(OR($A265="",$L265="",$H265=""),"",IF(AND(LEFT($L265,2)="06",$H265&gt;1945),"FAIL - pre-war class, year "&amp;$H265,IF(AND(LEFT($L265,2)="07",OR($H265&lt;1946,$H265&gt;1972)),"FAIL - 1946-72 class, year "&amp;$H265,IF(AND(LEFT($L265,2)="08",OR($H265&lt;1973,$H265&gt;1999)),"FAIL - 1973-99 class, year "&amp;$H265,IF(AND(LEFT($L265,2)="09",OR($H265&lt;2000,$H265&gt;2010)),"FAIL - 2000-10 class, year "&amp;$H265,"OK")))))</f>
      </c>
      <c r="BF265" s="45">
        <f>IF($AD265="","",IF(ROUND($AO265+$AP265+$AQ265-$AD265,2)=0,"OK","FAIL - out by "&amp;TEXT($AO265+$AP265+$AQ265-$AD265,"$0.00")))</f>
      </c>
    </row>
    <row r="266" spans="1:58" ht="18.75" customHeight="1" x14ac:dyDescent="0.25">
      <c r="A266" s="46" t="inlineStr">
        <is>
          <t xml:space="preserve">CANON-202508-000353</t>
        </is>
      </c>
      <c r="B266" s="46" t="inlineStr">
        <is>
          <t xml:space="preserve">Priya Thistlewood</t>
        </is>
      </c>
      <c r="C266" s="47">
        <v>45878</v>
      </c>
      <c r="D266" s="48" t="inlineStr">
        <is>
          <t xml:space="preserve">Bound - within authority</t>
        </is>
      </c>
      <c r="E266" s="48" t="inlineStr">
        <is>
          <t xml:space="preserve">New business</t>
        </is>
      </c>
      <c r="F266" s="46" t="inlineStr">
        <is>
          <t xml:space="preserve">B1234EXOTIC26</t>
        </is>
      </c>
      <c r="G266" s="33">
        <f>IF($A266="","",IF($C266="","",YEAR($C266)))</f>
      </c>
      <c r="H266" s="49">
        <v>1964</v>
      </c>
      <c r="I266" s="46" t="inlineStr">
        <is>
          <t xml:space="preserve">Mercedes-Benz</t>
        </is>
      </c>
      <c r="J266" s="46" t="inlineStr">
        <is>
          <t xml:space="preserve">AMG GT</t>
        </is>
      </c>
      <c r="K266" s="46" t="inlineStr">
        <is>
          <t xml:space="preserve">GS9EUVCB1CHJJP6HX</t>
        </is>
      </c>
      <c r="L266" s="48" t="inlineStr">
        <is>
          <t xml:space="preserve">02 - Sports / GT</t>
        </is>
      </c>
      <c r="M266" s="50">
        <v>860000</v>
      </c>
      <c r="N266" s="48" t="inlineStr">
        <is>
          <t xml:space="preserve">Personal</t>
        </is>
      </c>
      <c r="O266" s="46" t="inlineStr">
        <is>
          <t xml:space="preserve">Personal - regular use</t>
        </is>
      </c>
      <c r="P266" s="46" t="inlineStr">
        <is>
          <t xml:space="preserve">Under 1,000</t>
        </is>
      </c>
      <c r="Q266" s="46" t="inlineStr">
        <is>
          <t xml:space="preserve">Minnesota</t>
        </is>
      </c>
      <c r="R266" s="46" t="inlineStr">
        <is>
          <t xml:space="preserve">55401</t>
        </is>
      </c>
      <c r="S266" s="48" t="inlineStr">
        <is>
          <t xml:space="preserve">Severe convective - hail / tornado (moderate)</t>
        </is>
      </c>
      <c r="T266" s="36">
        <f>IF($A266="","",IF($S266="","",IFERROR(INDEX('[1]natural catastrophe'!$D$6:$D$17,MATCH($S266,'[1]natural catastrophe'!$B$6:$B$17,0)),"?")))</f>
      </c>
      <c r="U266" s="46" t="inlineStr">
        <is>
          <t xml:space="preserve">$5,000</t>
        </is>
      </c>
      <c r="V266" s="48" t="inlineStr">
        <is>
          <t xml:space="preserve">Agreed Value</t>
        </is>
      </c>
      <c r="W266" s="46" t="inlineStr">
        <is>
          <t xml:space="preserve">$1,000</t>
        </is>
      </c>
      <c r="X266" s="48" t="inlineStr">
        <is>
          <t xml:space="preserve">$1,000,000 CSL</t>
        </is>
      </c>
      <c r="Y266" s="46"/>
      <c r="Z266" s="46"/>
      <c r="AA266" s="48" t="inlineStr">
        <is>
          <t xml:space="preserve">Surplus Lines</t>
        </is>
      </c>
      <c r="AB266" s="50">
        <v>13922.26</v>
      </c>
      <c r="AC266" s="51">
        <v>0</v>
      </c>
      <c r="AD266" s="38">
        <f>IF(ISNUMBER($AB266),$AB266*(1+N($AC266)),"")</f>
      </c>
      <c r="AE266" s="50">
        <v>350</v>
      </c>
      <c r="AF266" s="50">
        <v>0</v>
      </c>
      <c r="AG266" s="51"/>
      <c r="AH266" s="39">
        <f>IF(ISNUMBER($AD266),($AD266+$AE266+$AF266)*$AG266,"")</f>
      </c>
      <c r="AI266" s="50"/>
      <c r="AJ266" s="38">
        <f>IF(ISNUMBER($AD266),SUM($AD266:$AH266),"")</f>
      </c>
      <c r="AK266" s="40">
        <f>IF(AND(ISNUMBER($AB266),ISNUMBER($AD266)),IF($AB266&gt;0,$AD266/$AB266,""),"")</f>
      </c>
      <c r="AL266" s="48" t="inlineStr">
        <is>
          <t xml:space="preserve">At technical</t>
        </is>
      </c>
      <c r="AM266" s="41">
        <f>IF(ISNUMBER($AD266),Header!$I$3,"")</f>
      </c>
      <c r="AN266" s="39">
        <f>IF(ISNUMBER($AD266),$AO266+$AP266,"")</f>
      </c>
      <c r="AO266" s="39">
        <f>IF(ISNUMBER($AD266),ROUND($AD266*Header!$K$3,2),"")</f>
      </c>
      <c r="AP266" s="39">
        <f>IF(ISNUMBER($AD266),ROUND($AD266*Header!$M$3,2),"")</f>
      </c>
      <c r="AQ266" s="38">
        <f>IF(ISNUMBER($AD266),ROUND($AD266,2)-$AO266-$AP266,"")</f>
      </c>
      <c r="AR266" s="39">
        <f>IF(ISNUMBER($AD266),IF(Header!$D$34="","?",$AD266*Header!$D$34),"")</f>
      </c>
      <c r="AS266" s="39">
        <f>IF(ISNUMBER($AB266),IF(Header!$D$34="","?",$AB266*Header!$D$34),"")</f>
      </c>
      <c r="AT266" s="42">
        <f>IF(AND(ISNUMBER($AB266),$M266&gt;0),$AB266/$M266*100,"")</f>
      </c>
      <c r="AU266" s="42">
        <f>IF(AND(ISNUMBER($AD266),$M266&gt;0),$AD266/$M266*100,"")</f>
      </c>
      <c r="AV266" s="40">
        <f>IF(AND(ISNUMBER($AB266),ISNUMBER($AD266),ABS($AB266)&gt;0),$AD266/$AB266,"")</f>
      </c>
      <c r="AW266" s="39">
        <f>IF(ISNUMBER($AD266),MAX(0,(1-0.55-Header!$O$3)*Header!$Q$3*$AQ266),"")</f>
      </c>
      <c r="AX266" s="43">
        <f>IF($A266="","",IF(TRIM(IF($A266="","Missing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",""))="","PASS","FAIL: "&amp;TRIM(IF($A266="","Missing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f>
      </c>
      <c r="AY266" s="44">
        <f>IF($M266="","",IF(ISNUMBER($M266),IF($M266&gt;=Header!$C$18,"YES — refer","No"),""))</f>
      </c>
      <c r="AZ266" s="44">
        <f>IF($AD266="","",IF(ISNUMBER($AD266),IF($AD266&lt;Header!$C$20,"BELOW MIN PREMIUM","OK"),""))</f>
      </c>
      <c r="BA266" s="48" t="inlineStr">
        <is>
          <t xml:space="preserve">Yes</t>
        </is>
      </c>
      <c r="BB266" s="48" t="inlineStr">
        <is>
          <t xml:space="preserve">Yes</t>
        </is>
      </c>
      <c r="BC266" s="46" t="inlineStr">
        <is>
          <t xml:space="preserve">Synthetic demo data</t>
        </is>
      </c>
      <c r="BE266" s="45">
        <f>IF(OR($A266="",$L266="",$H266=""),"",IF(AND(LEFT($L266,2)="06",$H266&gt;1945),"FAIL - pre-war class, year "&amp;$H266,IF(AND(LEFT($L266,2)="07",OR($H266&lt;1946,$H266&gt;1972)),"FAIL - 1946-72 class, year "&amp;$H266,IF(AND(LEFT($L266,2)="08",OR($H266&lt;1973,$H266&gt;1999)),"FAIL - 1973-99 class, year "&amp;$H266,IF(AND(LEFT($L266,2)="09",OR($H266&lt;2000,$H266&gt;2010)),"FAIL - 2000-10 class, year "&amp;$H266,"OK")))))</f>
      </c>
      <c r="BF266" s="45">
        <f>IF($AD266="","",IF(ROUND($AO266+$AP266+$AQ266-$AD266,2)=0,"OK","FAIL - out by "&amp;TEXT($AO266+$AP266+$AQ266-$AD266,"$0.00")))</f>
      </c>
    </row>
    <row r="267" spans="1:58" ht="18.75" customHeight="1" x14ac:dyDescent="0.25">
      <c r="A267" s="30" t="inlineStr">
        <is>
          <t xml:space="preserve">CANON-202508-000354</t>
        </is>
      </c>
      <c r="B267" s="30" t="inlineStr">
        <is>
          <t xml:space="preserve">Sunniva Montoya</t>
        </is>
      </c>
      <c r="C267" s="31">
        <v>45878</v>
      </c>
      <c r="D267" s="32" t="inlineStr">
        <is>
          <t xml:space="preserve">Bound - within authority</t>
        </is>
      </c>
      <c r="E267" s="32" t="inlineStr">
        <is>
          <t xml:space="preserve">New business</t>
        </is>
      </c>
      <c r="F267" s="30" t="inlineStr">
        <is>
          <t xml:space="preserve">B1234EXOTIC26</t>
        </is>
      </c>
      <c r="G267" s="33">
        <f>IF($A267="","",IF($C267="","",YEAR($C267)))</f>
      </c>
      <c r="H267" s="34">
        <v>1955</v>
      </c>
      <c r="I267" s="30" t="inlineStr">
        <is>
          <t xml:space="preserve">Porsche</t>
        </is>
      </c>
      <c r="J267" s="30" t="inlineStr">
        <is>
          <t xml:space="preserve">911 Turbo S</t>
        </is>
      </c>
      <c r="K267" s="30" t="inlineStr">
        <is>
          <t xml:space="preserve">8NBL0296TYM9B4CAP</t>
        </is>
      </c>
      <c r="L267" s="32" t="inlineStr">
        <is>
          <t xml:space="preserve">02 - Sports / GT</t>
        </is>
      </c>
      <c r="M267" s="35">
        <v>295000</v>
      </c>
      <c r="N267" s="32" t="inlineStr">
        <is>
          <t xml:space="preserve">Personal</t>
        </is>
      </c>
      <c r="O267" s="30" t="inlineStr">
        <is>
          <t xml:space="preserve">Personal - regular use</t>
        </is>
      </c>
      <c r="P267" s="30" t="inlineStr">
        <is>
          <t xml:space="preserve">2,500 - 5,000</t>
        </is>
      </c>
      <c r="Q267" s="30" t="inlineStr">
        <is>
          <t xml:space="preserve">Connecticut</t>
        </is>
      </c>
      <c r="R267" s="30" t="inlineStr">
        <is>
          <t xml:space="preserve">06103</t>
        </is>
      </c>
      <c r="S267" s="32" t="inlineStr">
        <is>
          <t xml:space="preserve">Tier 3 - Coastal wind (25-100 miles)</t>
        </is>
      </c>
      <c r="T267" s="36">
        <f>IF($A267="","",IF($S267="","",IFERROR(INDEX('[1]natural catastrophe'!$D$6:$D$17,MATCH($S267,'[1]natural catastrophe'!$B$6:$B$17,0)),"?")))</f>
      </c>
      <c r="U267" s="30" t="inlineStr">
        <is>
          <t xml:space="preserve">2% of agreed value, minimum $10,000</t>
        </is>
      </c>
      <c r="V267" s="32" t="inlineStr">
        <is>
          <t xml:space="preserve">Agreed Value</t>
        </is>
      </c>
      <c r="W267" s="30" t="inlineStr">
        <is>
          <t xml:space="preserve">$1,000</t>
        </is>
      </c>
      <c r="X267" s="32" t="inlineStr">
        <is>
          <t xml:space="preserve">$1,000,000 CSL</t>
        </is>
      </c>
      <c r="Y267" s="30"/>
      <c r="Z267" s="30"/>
      <c r="AA267" s="32" t="inlineStr">
        <is>
          <t xml:space="preserve">Surplus Lines</t>
        </is>
      </c>
      <c r="AB267" s="35">
        <v>4675.47</v>
      </c>
      <c r="AC267" s="37">
        <v>0</v>
      </c>
      <c r="AD267" s="38">
        <f>IF(ISNUMBER($AB267),$AB267*(1+N($AC267)),"")</f>
      </c>
      <c r="AE267" s="35">
        <v>350</v>
      </c>
      <c r="AF267" s="35">
        <v>0</v>
      </c>
      <c r="AG267" s="37"/>
      <c r="AH267" s="39">
        <f>IF(ISNUMBER($AD267),($AD267+$AE267+$AF267)*$AG267,"")</f>
      </c>
      <c r="AI267" s="35"/>
      <c r="AJ267" s="38">
        <f>IF(ISNUMBER($AD267),SUM($AD267:$AH267),"")</f>
      </c>
      <c r="AK267" s="40">
        <f>IF(AND(ISNUMBER($AB267),ISNUMBER($AD267)),IF($AB267&gt;0,$AD267/$AB267,""),"")</f>
      </c>
      <c r="AL267" s="32" t="inlineStr">
        <is>
          <t xml:space="preserve">At technical</t>
        </is>
      </c>
      <c r="AM267" s="41">
        <f>IF(ISNUMBER($AD267),Header!$I$3,"")</f>
      </c>
      <c r="AN267" s="39">
        <f>IF(ISNUMBER($AD267),$AO267+$AP267,"")</f>
      </c>
      <c r="AO267" s="39">
        <f>IF(ISNUMBER($AD267),ROUND($AD267*Header!$K$3,2),"")</f>
      </c>
      <c r="AP267" s="39">
        <f>IF(ISNUMBER($AD267),ROUND($AD267*Header!$M$3,2),"")</f>
      </c>
      <c r="AQ267" s="38">
        <f>IF(ISNUMBER($AD267),ROUND($AD267,2)-$AO267-$AP267,"")</f>
      </c>
      <c r="AR267" s="39">
        <f>IF(ISNUMBER($AD267),IF(Header!$D$34="","?",$AD267*Header!$D$34),"")</f>
      </c>
      <c r="AS267" s="39">
        <f>IF(ISNUMBER($AB267),IF(Header!$D$34="","?",$AB267*Header!$D$34),"")</f>
      </c>
      <c r="AT267" s="42">
        <f>IF(AND(ISNUMBER($AB267),$M267&gt;0),$AB267/$M267*100,"")</f>
      </c>
      <c r="AU267" s="42">
        <f>IF(AND(ISNUMBER($AD267),$M267&gt;0),$AD267/$M267*100,"")</f>
      </c>
      <c r="AV267" s="40">
        <f>IF(AND(ISNUMBER($AB267),ISNUMBER($AD267),ABS($AB267)&gt;0),$AD267/$AB267,"")</f>
      </c>
      <c r="AW267" s="39">
        <f>IF(ISNUMBER($AD267),MAX(0,(1-0.55-Header!$O$3)*Header!$Q$3*$AQ267),"")</f>
      </c>
      <c r="AX267" s="43">
        <f>IF($A267="","",IF(TRIM(IF($A267="","Missing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",""))="","PASS","FAIL: "&amp;TRIM(IF($A267="","Missing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f>
      </c>
      <c r="AY267" s="44">
        <f>IF($M267="","",IF(ISNUMBER($M267),IF($M267&gt;=Header!$C$18,"YES — refer","No"),""))</f>
      </c>
      <c r="AZ267" s="44">
        <f>IF($AD267="","",IF(ISNUMBER($AD267),IF($AD267&lt;Header!$C$20,"BELOW MIN PREMIUM","OK"),""))</f>
      </c>
      <c r="BA267" s="32" t="inlineStr">
        <is>
          <t xml:space="preserve">Yes</t>
        </is>
      </c>
      <c r="BB267" s="32" t="inlineStr">
        <is>
          <t xml:space="preserve">Yes</t>
        </is>
      </c>
      <c r="BC267" s="30" t="inlineStr">
        <is>
          <t xml:space="preserve">Synthetic demo data</t>
        </is>
      </c>
      <c r="BE267" s="45">
        <f>IF(OR($A267="",$L267="",$H267=""),"",IF(AND(LEFT($L267,2)="06",$H267&gt;1945),"FAIL - pre-war class, year "&amp;$H267,IF(AND(LEFT($L267,2)="07",OR($H267&lt;1946,$H267&gt;1972)),"FAIL - 1946-72 class, year "&amp;$H267,IF(AND(LEFT($L267,2)="08",OR($H267&lt;1973,$H267&gt;1999)),"FAIL - 1973-99 class, year "&amp;$H267,IF(AND(LEFT($L267,2)="09",OR($H267&lt;2000,$H267&gt;2010)),"FAIL - 2000-10 class, year "&amp;$H267,"OK")))))</f>
      </c>
      <c r="BF267" s="45">
        <f>IF($AD267="","",IF(ROUND($AO267+$AP267+$AQ267-$AD267,2)=0,"OK","FAIL - out by "&amp;TEXT($AO267+$AP267+$AQ267-$AD267,"$0.00")))</f>
      </c>
    </row>
    <row r="268" spans="1:58" ht="18.75" customHeight="1" x14ac:dyDescent="0.25">
      <c r="A268" s="46" t="inlineStr">
        <is>
          <t xml:space="preserve">CANON-202508-000356</t>
        </is>
      </c>
      <c r="B268" s="46" t="inlineStr">
        <is>
          <t xml:space="preserve">Callum Pennington</t>
        </is>
      </c>
      <c r="C268" s="47">
        <v>45871</v>
      </c>
      <c r="D268" s="48" t="inlineStr">
        <is>
          <t xml:space="preserve">Bound - within authority</t>
        </is>
      </c>
      <c r="E268" s="48" t="inlineStr">
        <is>
          <t xml:space="preserve">New business</t>
        </is>
      </c>
      <c r="F268" s="46" t="inlineStr">
        <is>
          <t xml:space="preserve">B1234EXOTIC26</t>
        </is>
      </c>
      <c r="G268" s="33">
        <f>IF($A268="","",IF($C268="","",YEAR($C268)))</f>
      </c>
      <c r="H268" s="49">
        <v>1968</v>
      </c>
      <c r="I268" s="46" t="inlineStr">
        <is>
          <t xml:space="preserve">Bentley</t>
        </is>
      </c>
      <c r="J268" s="46" t="inlineStr">
        <is>
          <t xml:space="preserve">4.5 Litre</t>
        </is>
      </c>
      <c r="K268" s="46" t="inlineStr">
        <is>
          <t xml:space="preserve">DXMD1W828SU613AE7</t>
        </is>
      </c>
      <c r="L268" s="48" t="inlineStr">
        <is>
          <t xml:space="preserve">07 - Post-War Classic (1946-1972)</t>
        </is>
      </c>
      <c r="M268" s="50">
        <v>580000</v>
      </c>
      <c r="N268" s="48" t="inlineStr">
        <is>
          <t xml:space="preserve">Personal</t>
        </is>
      </c>
      <c r="O268" s="46" t="inlineStr">
        <is>
          <t xml:space="preserve">Personal - regular use</t>
        </is>
      </c>
      <c r="P268" s="46" t="inlineStr">
        <is>
          <t xml:space="preserve">Under 1,000</t>
        </is>
      </c>
      <c r="Q268" s="46" t="inlineStr">
        <is>
          <t xml:space="preserve">Michigan</t>
        </is>
      </c>
      <c r="R268" s="46" t="inlineStr">
        <is>
          <t xml:space="preserve">48226</t>
        </is>
      </c>
      <c r="S268" s="48" t="inlineStr">
        <is>
          <t xml:space="preserve">Severe convective - hail / tornado (moderate)</t>
        </is>
      </c>
      <c r="T268" s="36">
        <f>IF($A268="","",IF($S268="","",IFERROR(INDEX('[1]natural catastrophe'!$D$6:$D$17,MATCH($S268,'[1]natural catastrophe'!$B$6:$B$17,0)),"?")))</f>
      </c>
      <c r="U268" s="46" t="inlineStr">
        <is>
          <t xml:space="preserve">$5,000</t>
        </is>
      </c>
      <c r="V268" s="48" t="inlineStr">
        <is>
          <t xml:space="preserve">Agreed Value</t>
        </is>
      </c>
      <c r="W268" s="46" t="inlineStr">
        <is>
          <t xml:space="preserve">$1,000</t>
        </is>
      </c>
      <c r="X268" s="48" t="inlineStr">
        <is>
          <t xml:space="preserve">$1,000,000 CSL</t>
        </is>
      </c>
      <c r="Y268" s="46"/>
      <c r="Z268" s="46"/>
      <c r="AA268" s="48" t="inlineStr">
        <is>
          <t xml:space="preserve">Surplus Lines</t>
        </is>
      </c>
      <c r="AB268" s="50">
        <v>6445.66</v>
      </c>
      <c r="AC268" s="51">
        <v>0</v>
      </c>
      <c r="AD268" s="38">
        <f>IF(ISNUMBER($AB268),$AB268*(1+N($AC268)),"")</f>
      </c>
      <c r="AE268" s="50">
        <v>350</v>
      </c>
      <c r="AF268" s="50">
        <v>0</v>
      </c>
      <c r="AG268" s="51"/>
      <c r="AH268" s="39">
        <f>IF(ISNUMBER($AD268),($AD268+$AE268+$AF268)*$AG268,"")</f>
      </c>
      <c r="AI268" s="50"/>
      <c r="AJ268" s="38">
        <f>IF(ISNUMBER($AD268),SUM($AD268:$AH268),"")</f>
      </c>
      <c r="AK268" s="40">
        <f>IF(AND(ISNUMBER($AB268),ISNUMBER($AD268)),IF($AB268&gt;0,$AD268/$AB268,""),"")</f>
      </c>
      <c r="AL268" s="48" t="inlineStr">
        <is>
          <t xml:space="preserve">At technical</t>
        </is>
      </c>
      <c r="AM268" s="41">
        <f>IF(ISNUMBER($AD268),Header!$I$3,"")</f>
      </c>
      <c r="AN268" s="39">
        <f>IF(ISNUMBER($AD268),$AO268+$AP268,"")</f>
      </c>
      <c r="AO268" s="39">
        <f>IF(ISNUMBER($AD268),ROUND($AD268*Header!$K$3,2),"")</f>
      </c>
      <c r="AP268" s="39">
        <f>IF(ISNUMBER($AD268),ROUND($AD268*Header!$M$3,2),"")</f>
      </c>
      <c r="AQ268" s="38">
        <f>IF(ISNUMBER($AD268),ROUND($AD268,2)-$AO268-$AP268,"")</f>
      </c>
      <c r="AR268" s="39">
        <f>IF(ISNUMBER($AD268),IF(Header!$D$34="","?",$AD268*Header!$D$34),"")</f>
      </c>
      <c r="AS268" s="39">
        <f>IF(ISNUMBER($AB268),IF(Header!$D$34="","?",$AB268*Header!$D$34),"")</f>
      </c>
      <c r="AT268" s="42">
        <f>IF(AND(ISNUMBER($AB268),$M268&gt;0),$AB268/$M268*100,"")</f>
      </c>
      <c r="AU268" s="42">
        <f>IF(AND(ISNUMBER($AD268),$M268&gt;0),$AD268/$M268*100,"")</f>
      </c>
      <c r="AV268" s="40">
        <f>IF(AND(ISNUMBER($AB268),ISNUMBER($AD268),ABS($AB268)&gt;0),$AD268/$AB268,"")</f>
      </c>
      <c r="AW268" s="39">
        <f>IF(ISNUMBER($AD268),MAX(0,(1-0.55-Header!$O$3)*Header!$Q$3*$AQ268),"")</f>
      </c>
      <c r="AX268" s="43">
        <f>IF($A268="","",IF(TRIM(IF($A268="","Missing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",""))="","PASS","FAIL: "&amp;TRIM(IF($A268="","Missing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f>
      </c>
      <c r="AY268" s="44">
        <f>IF($M268="","",IF(ISNUMBER($M268),IF($M268&gt;=Header!$C$18,"YES — refer","No"),""))</f>
      </c>
      <c r="AZ268" s="44">
        <f>IF($AD268="","",IF(ISNUMBER($AD268),IF($AD268&lt;Header!$C$20,"BELOW MIN PREMIUM","OK"),""))</f>
      </c>
      <c r="BA268" s="48" t="inlineStr">
        <is>
          <t xml:space="preserve">Yes</t>
        </is>
      </c>
      <c r="BB268" s="48" t="inlineStr">
        <is>
          <t xml:space="preserve">Yes</t>
        </is>
      </c>
      <c r="BC268" s="46" t="inlineStr">
        <is>
          <t xml:space="preserve">Synthetic demo data</t>
        </is>
      </c>
      <c r="BE268" s="45">
        <f>IF(OR($A268="",$L268="",$H268=""),"",IF(AND(LEFT($L268,2)="06",$H268&gt;1945),"FAIL - pre-war class, year "&amp;$H268,IF(AND(LEFT($L268,2)="07",OR($H268&lt;1946,$H268&gt;1972)),"FAIL - 1946-72 class, year "&amp;$H268,IF(AND(LEFT($L268,2)="08",OR($H268&lt;1973,$H268&gt;1999)),"FAIL - 1973-99 class, year "&amp;$H268,IF(AND(LEFT($L268,2)="09",OR($H268&lt;2000,$H268&gt;2010)),"FAIL - 2000-10 class, year "&amp;$H268,"OK")))))</f>
      </c>
      <c r="BF268" s="45">
        <f>IF($AD268="","",IF(ROUND($AO268+$AP268+$AQ268-$AD268,2)=0,"OK","FAIL - out by "&amp;TEXT($AO268+$AP268+$AQ268-$AD268,"$0.00")))</f>
      </c>
    </row>
    <row r="269" spans="1:58" ht="18.75" customHeight="1" x14ac:dyDescent="0.25">
      <c r="A269" s="30" t="inlineStr">
        <is>
          <t xml:space="preserve">CANON-202508-000357</t>
        </is>
      </c>
      <c r="B269" s="30" t="inlineStr">
        <is>
          <t xml:space="preserve">Fenwick Pennington</t>
        </is>
      </c>
      <c r="C269" s="31">
        <v>45898</v>
      </c>
      <c r="D269" s="32" t="inlineStr">
        <is>
          <t xml:space="preserve">Bound - within authority</t>
        </is>
      </c>
      <c r="E269" s="32" t="inlineStr">
        <is>
          <t xml:space="preserve">New business</t>
        </is>
      </c>
      <c r="F269" s="30" t="inlineStr">
        <is>
          <t xml:space="preserve">B1234EXOTIC26</t>
        </is>
      </c>
      <c r="G269" s="33">
        <f>IF($A269="","",IF($C269="","",YEAR($C269)))</f>
      </c>
      <c r="H269" s="34">
        <v>1996</v>
      </c>
      <c r="I269" s="30" t="inlineStr">
        <is>
          <t xml:space="preserve">Porsche</t>
        </is>
      </c>
      <c r="J269" s="30" t="inlineStr">
        <is>
          <t xml:space="preserve">911 Turbo S</t>
        </is>
      </c>
      <c r="K269" s="30" t="inlineStr">
        <is>
          <t xml:space="preserve">WX2N9HRLF4PB7R3Z8</t>
        </is>
      </c>
      <c r="L269" s="32" t="inlineStr">
        <is>
          <t xml:space="preserve">02 - Sports / GT</t>
        </is>
      </c>
      <c r="M269" s="35">
        <v>255000</v>
      </c>
      <c r="N269" s="32" t="inlineStr">
        <is>
          <t xml:space="preserve">Personal</t>
        </is>
      </c>
      <c r="O269" s="30" t="inlineStr">
        <is>
          <t xml:space="preserve">Personal - regular use</t>
        </is>
      </c>
      <c r="P269" s="30" t="inlineStr">
        <is>
          <t xml:space="preserve">2,500 - 5,000</t>
        </is>
      </c>
      <c r="Q269" s="30" t="inlineStr">
        <is>
          <t xml:space="preserve">New York</t>
        </is>
      </c>
      <c r="R269" s="30" t="inlineStr">
        <is>
          <t xml:space="preserve">10022</t>
        </is>
      </c>
      <c r="S269" s="32" t="inlineStr">
        <is>
          <t xml:space="preserve">Tier 3 - Coastal wind (25-100 miles)</t>
        </is>
      </c>
      <c r="T269" s="36">
        <f>IF($A269="","",IF($S269="","",IFERROR(INDEX('[1]natural catastrophe'!$D$6:$D$17,MATCH($S269,'[1]natural catastrophe'!$B$6:$B$17,0)),"?")))</f>
      </c>
      <c r="U269" s="30" t="inlineStr">
        <is>
          <t xml:space="preserve">2% of agreed value, minimum $10,000</t>
        </is>
      </c>
      <c r="V269" s="32" t="inlineStr">
        <is>
          <t xml:space="preserve">Agreed Value</t>
        </is>
      </c>
      <c r="W269" s="30" t="inlineStr">
        <is>
          <t xml:space="preserve">$1,000</t>
        </is>
      </c>
      <c r="X269" s="32" t="inlineStr">
        <is>
          <t xml:space="preserve">$1,000,000 CSL</t>
        </is>
      </c>
      <c r="Y269" s="30"/>
      <c r="Z269" s="30"/>
      <c r="AA269" s="32" t="inlineStr">
        <is>
          <t xml:space="preserve">Surplus Lines</t>
        </is>
      </c>
      <c r="AB269" s="35">
        <v>4618.87</v>
      </c>
      <c r="AC269" s="37">
        <v>0</v>
      </c>
      <c r="AD269" s="38">
        <f>IF(ISNUMBER($AB269),$AB269*(1+N($AC269)),"")</f>
      </c>
      <c r="AE269" s="35">
        <v>350</v>
      </c>
      <c r="AF269" s="35">
        <v>0</v>
      </c>
      <c r="AG269" s="37"/>
      <c r="AH269" s="39">
        <f>IF(ISNUMBER($AD269),($AD269+$AE269+$AF269)*$AG269,"")</f>
      </c>
      <c r="AI269" s="35"/>
      <c r="AJ269" s="38">
        <f>IF(ISNUMBER($AD269),SUM($AD269:$AH269),"")</f>
      </c>
      <c r="AK269" s="40">
        <f>IF(AND(ISNUMBER($AB269),ISNUMBER($AD269)),IF($AB269&gt;0,$AD269/$AB269,""),"")</f>
      </c>
      <c r="AL269" s="32" t="inlineStr">
        <is>
          <t xml:space="preserve">At technical</t>
        </is>
      </c>
      <c r="AM269" s="41">
        <f>IF(ISNUMBER($AD269),Header!$I$3,"")</f>
      </c>
      <c r="AN269" s="39">
        <f>IF(ISNUMBER($AD269),$AO269+$AP269,"")</f>
      </c>
      <c r="AO269" s="39">
        <f>IF(ISNUMBER($AD269),ROUND($AD269*Header!$K$3,2),"")</f>
      </c>
      <c r="AP269" s="39">
        <f>IF(ISNUMBER($AD269),ROUND($AD269*Header!$M$3,2),"")</f>
      </c>
      <c r="AQ269" s="38">
        <f>IF(ISNUMBER($AD269),ROUND($AD269,2)-$AO269-$AP269,"")</f>
      </c>
      <c r="AR269" s="39">
        <f>IF(ISNUMBER($AD269),IF(Header!$D$34="","?",$AD269*Header!$D$34),"")</f>
      </c>
      <c r="AS269" s="39">
        <f>IF(ISNUMBER($AB269),IF(Header!$D$34="","?",$AB269*Header!$D$34),"")</f>
      </c>
      <c r="AT269" s="42">
        <f>IF(AND(ISNUMBER($AB269),$M269&gt;0),$AB269/$M269*100,"")</f>
      </c>
      <c r="AU269" s="42">
        <f>IF(AND(ISNUMBER($AD269),$M269&gt;0),$AD269/$M269*100,"")</f>
      </c>
      <c r="AV269" s="40">
        <f>IF(AND(ISNUMBER($AB269),ISNUMBER($AD269),ABS($AB269)&gt;0),$AD269/$AB269,"")</f>
      </c>
      <c r="AW269" s="39">
        <f>IF(ISNUMBER($AD269),MAX(0,(1-0.55-Header!$O$3)*Header!$Q$3*$AQ269),"")</f>
      </c>
      <c r="AX269" s="43">
        <f>IF($A269="","",IF(TRIM(IF($A269="","Missing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",""))="","PASS","FAIL: "&amp;TRIM(IF($A269="","Missing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f>
      </c>
      <c r="AY269" s="44">
        <f>IF($M269="","",IF(ISNUMBER($M269),IF($M269&gt;=Header!$C$18,"YES — refer","No"),""))</f>
      </c>
      <c r="AZ269" s="44">
        <f>IF($AD269="","",IF(ISNUMBER($AD269),IF($AD269&lt;Header!$C$20,"BELOW MIN PREMIUM","OK"),""))</f>
      </c>
      <c r="BA269" s="32" t="inlineStr">
        <is>
          <t xml:space="preserve">Yes</t>
        </is>
      </c>
      <c r="BB269" s="32" t="inlineStr">
        <is>
          <t xml:space="preserve">Yes</t>
        </is>
      </c>
      <c r="BC269" s="30" t="inlineStr">
        <is>
          <t xml:space="preserve">Synthetic demo data</t>
        </is>
      </c>
      <c r="BE269" s="45">
        <f>IF(OR($A269="",$L269="",$H269=""),"",IF(AND(LEFT($L269,2)="06",$H269&gt;1945),"FAIL - pre-war class, year "&amp;$H269,IF(AND(LEFT($L269,2)="07",OR($H269&lt;1946,$H269&gt;1972)),"FAIL - 1946-72 class, year "&amp;$H269,IF(AND(LEFT($L269,2)="08",OR($H269&lt;1973,$H269&gt;1999)),"FAIL - 1973-99 class, year "&amp;$H269,IF(AND(LEFT($L269,2)="09",OR($H269&lt;2000,$H269&gt;2010)),"FAIL - 2000-10 class, year "&amp;$H269,"OK")))))</f>
      </c>
      <c r="BF269" s="45">
        <f>IF($AD269="","",IF(ROUND($AO269+$AP269+$AQ269-$AD269,2)=0,"OK","FAIL - out by "&amp;TEXT($AO269+$AP269+$AQ269-$AD269,"$0.00")))</f>
      </c>
    </row>
    <row r="270" spans="1:58" ht="18.75" customHeight="1" x14ac:dyDescent="0.25">
      <c r="A270" s="46" t="inlineStr">
        <is>
          <t xml:space="preserve">CANON-202508-000359</t>
        </is>
      </c>
      <c r="B270" s="46" t="inlineStr">
        <is>
          <t xml:space="preserve">Cassius Thistlewood</t>
        </is>
      </c>
      <c r="C270" s="47">
        <v>45894</v>
      </c>
      <c r="D270" s="48" t="inlineStr">
        <is>
          <t xml:space="preserve">Bound - within authority</t>
        </is>
      </c>
      <c r="E270" s="48" t="inlineStr">
        <is>
          <t xml:space="preserve">New business</t>
        </is>
      </c>
      <c r="F270" s="46" t="inlineStr">
        <is>
          <t xml:space="preserve">B1234EXOTIC26</t>
        </is>
      </c>
      <c r="G270" s="33">
        <f>IF($A270="","",IF($C270="","",YEAR($C270)))</f>
      </c>
      <c r="H270" s="49">
        <v>1955</v>
      </c>
      <c r="I270" s="46" t="inlineStr">
        <is>
          <t xml:space="preserve">Ferrari</t>
        </is>
      </c>
      <c r="J270" s="46" t="inlineStr">
        <is>
          <t xml:space="preserve">296 GTB</t>
        </is>
      </c>
      <c r="K270" s="46" t="inlineStr">
        <is>
          <t xml:space="preserve">2GY8NXGKGNHZSA79Y</t>
        </is>
      </c>
      <c r="L270" s="48" t="inlineStr">
        <is>
          <t xml:space="preserve">03 - Supercar</t>
        </is>
      </c>
      <c r="M270" s="50">
        <v>1125000</v>
      </c>
      <c r="N270" s="48" t="inlineStr">
        <is>
          <t xml:space="preserve">Personal</t>
        </is>
      </c>
      <c r="O270" s="46" t="inlineStr">
        <is>
          <t xml:space="preserve">Personal - regular use</t>
        </is>
      </c>
      <c r="P270" s="46" t="inlineStr">
        <is>
          <t xml:space="preserve">2,500 - 5,000</t>
        </is>
      </c>
      <c r="Q270" s="46" t="inlineStr">
        <is>
          <t xml:space="preserve">Georgia</t>
        </is>
      </c>
      <c r="R270" s="46" t="inlineStr">
        <is>
          <t xml:space="preserve">30303</t>
        </is>
      </c>
      <c r="S270" s="48" t="inlineStr">
        <is>
          <t xml:space="preserve">Tier 2 - Coastal wind (1-25 miles)</t>
        </is>
      </c>
      <c r="T270" s="36">
        <f>IF($A270="","",IF($S270="","",IFERROR(INDEX('[1]natural catastrophe'!$D$6:$D$17,MATCH($S270,'[1]natural catastrophe'!$B$6:$B$17,0)),"?")))</f>
      </c>
      <c r="U270" s="46" t="inlineStr">
        <is>
          <t xml:space="preserve">2% of agreed value, minimum $10,000</t>
        </is>
      </c>
      <c r="V270" s="48" t="inlineStr">
        <is>
          <t xml:space="preserve">Agreed Value</t>
        </is>
      </c>
      <c r="W270" s="46" t="inlineStr">
        <is>
          <t xml:space="preserve">$1,000</t>
        </is>
      </c>
      <c r="X270" s="48" t="inlineStr">
        <is>
          <t xml:space="preserve">$1,000,000 CSL</t>
        </is>
      </c>
      <c r="Y270" s="46"/>
      <c r="Z270" s="46"/>
      <c r="AA270" s="48" t="inlineStr">
        <is>
          <t xml:space="preserve">Surplus Lines</t>
        </is>
      </c>
      <c r="AB270" s="50">
        <v>19018.87</v>
      </c>
      <c r="AC270" s="51">
        <v>0</v>
      </c>
      <c r="AD270" s="38">
        <f>IF(ISNUMBER($AB270),$AB270*(1+N($AC270)),"")</f>
      </c>
      <c r="AE270" s="50">
        <v>350</v>
      </c>
      <c r="AF270" s="50">
        <v>250</v>
      </c>
      <c r="AG270" s="51"/>
      <c r="AH270" s="39">
        <f>IF(ISNUMBER($AD270),($AD270+$AE270+$AF270)*$AG270,"")</f>
      </c>
      <c r="AI270" s="50"/>
      <c r="AJ270" s="38">
        <f>IF(ISNUMBER($AD270),SUM($AD270:$AH270),"")</f>
      </c>
      <c r="AK270" s="40">
        <f>IF(AND(ISNUMBER($AB270),ISNUMBER($AD270)),IF($AB270&gt;0,$AD270/$AB270,""),"")</f>
      </c>
      <c r="AL270" s="48" t="inlineStr">
        <is>
          <t xml:space="preserve">At technical</t>
        </is>
      </c>
      <c r="AM270" s="41">
        <f>IF(ISNUMBER($AD270),Header!$I$3,"")</f>
      </c>
      <c r="AN270" s="39">
        <f>IF(ISNUMBER($AD270),$AO270+$AP270,"")</f>
      </c>
      <c r="AO270" s="39">
        <f>IF(ISNUMBER($AD270),ROUND($AD270*Header!$K$3,2),"")</f>
      </c>
      <c r="AP270" s="39">
        <f>IF(ISNUMBER($AD270),ROUND($AD270*Header!$M$3,2),"")</f>
      </c>
      <c r="AQ270" s="38">
        <f>IF(ISNUMBER($AD270),ROUND($AD270,2)-$AO270-$AP270,"")</f>
      </c>
      <c r="AR270" s="39">
        <f>IF(ISNUMBER($AD270),IF(Header!$D$34="","?",$AD270*Header!$D$34),"")</f>
      </c>
      <c r="AS270" s="39">
        <f>IF(ISNUMBER($AB270),IF(Header!$D$34="","?",$AB270*Header!$D$34),"")</f>
      </c>
      <c r="AT270" s="42">
        <f>IF(AND(ISNUMBER($AB270),$M270&gt;0),$AB270/$M270*100,"")</f>
      </c>
      <c r="AU270" s="42">
        <f>IF(AND(ISNUMBER($AD270),$M270&gt;0),$AD270/$M270*100,"")</f>
      </c>
      <c r="AV270" s="40">
        <f>IF(AND(ISNUMBER($AB270),ISNUMBER($AD270),ABS($AB270)&gt;0),$AD270/$AB270,"")</f>
      </c>
      <c r="AW270" s="39">
        <f>IF(ISNUMBER($AD270),MAX(0,(1-0.55-Header!$O$3)*Header!$Q$3*$AQ270),"")</f>
      </c>
      <c r="AX270" s="43">
        <f>IF($A270="","",IF(TRIM(IF($A270="","Missing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",""))="","PASS","FAIL: "&amp;TRIM(IF($A270="","Missing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f>
      </c>
      <c r="AY270" s="44">
        <f>IF($M270="","",IF(ISNUMBER($M270),IF($M270&gt;=Header!$C$18,"YES — refer","No"),""))</f>
      </c>
      <c r="AZ270" s="44">
        <f>IF($AD270="","",IF(ISNUMBER($AD270),IF($AD270&lt;Header!$C$20,"BELOW MIN PREMIUM","OK"),""))</f>
      </c>
      <c r="BA270" s="48" t="inlineStr">
        <is>
          <t xml:space="preserve">Yes</t>
        </is>
      </c>
      <c r="BB270" s="48" t="inlineStr">
        <is>
          <t xml:space="preserve">Yes</t>
        </is>
      </c>
      <c r="BC270" s="46" t="inlineStr">
        <is>
          <t xml:space="preserve">Synthetic demo data</t>
        </is>
      </c>
      <c r="BE270" s="45">
        <f>IF(OR($A270="",$L270="",$H270=""),"",IF(AND(LEFT($L270,2)="06",$H270&gt;1945),"FAIL - pre-war class, year "&amp;$H270,IF(AND(LEFT($L270,2)="07",OR($H270&lt;1946,$H270&gt;1972)),"FAIL - 1946-72 class, year "&amp;$H270,IF(AND(LEFT($L270,2)="08",OR($H270&lt;1973,$H270&gt;1999)),"FAIL - 1973-99 class, year "&amp;$H270,IF(AND(LEFT($L270,2)="09",OR($H270&lt;2000,$H270&gt;2010)),"FAIL - 2000-10 class, year "&amp;$H270,"OK")))))</f>
      </c>
      <c r="BF270" s="45">
        <f>IF($AD270="","",IF(ROUND($AO270+$AP270+$AQ270-$AD270,2)=0,"OK","FAIL - out by "&amp;TEXT($AO270+$AP270+$AQ270-$AD270,"$0.00")))</f>
      </c>
    </row>
    <row r="271" spans="1:58" ht="18.75" customHeight="1" x14ac:dyDescent="0.25">
      <c r="A271" s="30" t="inlineStr">
        <is>
          <t xml:space="preserve">CANON-202508-000361</t>
        </is>
      </c>
      <c r="B271" s="30" t="inlineStr">
        <is>
          <t xml:space="preserve">Emiliano Fairweather</t>
        </is>
      </c>
      <c r="C271" s="31">
        <v>45880</v>
      </c>
      <c r="D271" s="32" t="inlineStr">
        <is>
          <t xml:space="preserve">Bound - within authority</t>
        </is>
      </c>
      <c r="E271" s="32" t="inlineStr">
        <is>
          <t xml:space="preserve">New business</t>
        </is>
      </c>
      <c r="F271" s="30" t="inlineStr">
        <is>
          <t xml:space="preserve">B1234EXOTIC26</t>
        </is>
      </c>
      <c r="G271" s="33">
        <f>IF($A271="","",IF($C271="","",YEAR($C271)))</f>
      </c>
      <c r="H271" s="34">
        <v>1975</v>
      </c>
      <c r="I271" s="30" t="inlineStr">
        <is>
          <t xml:space="preserve">Aston Martin</t>
        </is>
      </c>
      <c r="J271" s="30" t="inlineStr">
        <is>
          <t xml:space="preserve">DB12</t>
        </is>
      </c>
      <c r="K271" s="30" t="inlineStr">
        <is>
          <t xml:space="preserve">PDMP0YVGNW8M02CJL</t>
        </is>
      </c>
      <c r="L271" s="32" t="inlineStr">
        <is>
          <t xml:space="preserve">02 - Sports / GT</t>
        </is>
      </c>
      <c r="M271" s="35">
        <v>675000</v>
      </c>
      <c r="N271" s="32" t="inlineStr">
        <is>
          <t xml:space="preserve">Personal</t>
        </is>
      </c>
      <c r="O271" s="30" t="inlineStr">
        <is>
          <t xml:space="preserve">Personal - regular use</t>
        </is>
      </c>
      <c r="P271" s="30" t="inlineStr">
        <is>
          <t xml:space="preserve">2,500 - 5,000</t>
        </is>
      </c>
      <c r="Q271" s="30" t="inlineStr">
        <is>
          <t xml:space="preserve">New York</t>
        </is>
      </c>
      <c r="R271" s="30" t="inlineStr">
        <is>
          <t xml:space="preserve">10022</t>
        </is>
      </c>
      <c r="S271" s="32" t="inlineStr">
        <is>
          <t xml:space="preserve">Tier 3 - Coastal wind (25-100 miles)</t>
        </is>
      </c>
      <c r="T271" s="36">
        <f>IF($A271="","",IF($S271="","",IFERROR(INDEX('[1]natural catastrophe'!$D$6:$D$17,MATCH($S271,'[1]natural catastrophe'!$B$6:$B$17,0)),"?")))</f>
      </c>
      <c r="U271" s="30" t="inlineStr">
        <is>
          <t xml:space="preserve">2% of agreed value, minimum $10,000</t>
        </is>
      </c>
      <c r="V271" s="32" t="inlineStr">
        <is>
          <t xml:space="preserve">Agreed Value</t>
        </is>
      </c>
      <c r="W271" s="30" t="inlineStr">
        <is>
          <t xml:space="preserve">$1,000</t>
        </is>
      </c>
      <c r="X271" s="32" t="inlineStr">
        <is>
          <t xml:space="preserve">$1,000,000 CSL</t>
        </is>
      </c>
      <c r="Y271" s="30"/>
      <c r="Z271" s="30"/>
      <c r="AA271" s="32" t="inlineStr">
        <is>
          <t xml:space="preserve">Surplus Lines</t>
        </is>
      </c>
      <c r="AB271" s="35">
        <v>10596.23</v>
      </c>
      <c r="AC271" s="37">
        <v>0</v>
      </c>
      <c r="AD271" s="38">
        <f>IF(ISNUMBER($AB271),$AB271*(1+N($AC271)),"")</f>
      </c>
      <c r="AE271" s="35">
        <v>350</v>
      </c>
      <c r="AF271" s="35">
        <v>0</v>
      </c>
      <c r="AG271" s="37"/>
      <c r="AH271" s="39">
        <f>IF(ISNUMBER($AD271),($AD271+$AE271+$AF271)*$AG271,"")</f>
      </c>
      <c r="AI271" s="35"/>
      <c r="AJ271" s="38">
        <f>IF(ISNUMBER($AD271),SUM($AD271:$AH271),"")</f>
      </c>
      <c r="AK271" s="40">
        <f>IF(AND(ISNUMBER($AB271),ISNUMBER($AD271)),IF($AB271&gt;0,$AD271/$AB271,""),"")</f>
      </c>
      <c r="AL271" s="32" t="inlineStr">
        <is>
          <t xml:space="preserve">At technical</t>
        </is>
      </c>
      <c r="AM271" s="41">
        <f>IF(ISNUMBER($AD271),Header!$I$3,"")</f>
      </c>
      <c r="AN271" s="39">
        <f>IF(ISNUMBER($AD271),$AO271+$AP271,"")</f>
      </c>
      <c r="AO271" s="39">
        <f>IF(ISNUMBER($AD271),ROUND($AD271*Header!$K$3,2),"")</f>
      </c>
      <c r="AP271" s="39">
        <f>IF(ISNUMBER($AD271),ROUND($AD271*Header!$M$3,2),"")</f>
      </c>
      <c r="AQ271" s="38">
        <f>IF(ISNUMBER($AD271),ROUND($AD271,2)-$AO271-$AP271,"")</f>
      </c>
      <c r="AR271" s="39">
        <f>IF(ISNUMBER($AD271),IF(Header!$D$34="","?",$AD271*Header!$D$34),"")</f>
      </c>
      <c r="AS271" s="39">
        <f>IF(ISNUMBER($AB271),IF(Header!$D$34="","?",$AB271*Header!$D$34),"")</f>
      </c>
      <c r="AT271" s="42">
        <f>IF(AND(ISNUMBER($AB271),$M271&gt;0),$AB271/$M271*100,"")</f>
      </c>
      <c r="AU271" s="42">
        <f>IF(AND(ISNUMBER($AD271),$M271&gt;0),$AD271/$M271*100,"")</f>
      </c>
      <c r="AV271" s="40">
        <f>IF(AND(ISNUMBER($AB271),ISNUMBER($AD271),ABS($AB271)&gt;0),$AD271/$AB271,"")</f>
      </c>
      <c r="AW271" s="39">
        <f>IF(ISNUMBER($AD271),MAX(0,(1-0.55-Header!$O$3)*Header!$Q$3*$AQ271),"")</f>
      </c>
      <c r="AX271" s="43">
        <f>IF($A271="","",IF(TRIM(IF($A271="","Missing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",""))="","PASS","FAIL: "&amp;TRIM(IF($A271="","Missing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f>
      </c>
      <c r="AY271" s="44">
        <f>IF($M271="","",IF(ISNUMBER($M271),IF($M271&gt;=Header!$C$18,"YES — refer","No"),""))</f>
      </c>
      <c r="AZ271" s="44">
        <f>IF($AD271="","",IF(ISNUMBER($AD271),IF($AD271&lt;Header!$C$20,"BELOW MIN PREMIUM","OK"),""))</f>
      </c>
      <c r="BA271" s="32" t="inlineStr">
        <is>
          <t xml:space="preserve">Yes</t>
        </is>
      </c>
      <c r="BB271" s="32" t="inlineStr">
        <is>
          <t xml:space="preserve">Yes</t>
        </is>
      </c>
      <c r="BC271" s="30" t="inlineStr">
        <is>
          <t xml:space="preserve">Synthetic demo data</t>
        </is>
      </c>
      <c r="BE271" s="45">
        <f>IF(OR($A271="",$L271="",$H271=""),"",IF(AND(LEFT($L271,2)="06",$H271&gt;1945),"FAIL - pre-war class, year "&amp;$H271,IF(AND(LEFT($L271,2)="07",OR($H271&lt;1946,$H271&gt;1972)),"FAIL - 1946-72 class, year "&amp;$H271,IF(AND(LEFT($L271,2)="08",OR($H271&lt;1973,$H271&gt;1999)),"FAIL - 1973-99 class, year "&amp;$H271,IF(AND(LEFT($L271,2)="09",OR($H271&lt;2000,$H271&gt;2010)),"FAIL - 2000-10 class, year "&amp;$H271,"OK")))))</f>
      </c>
      <c r="BF271" s="45">
        <f>IF($AD271="","",IF(ROUND($AO271+$AP271+$AQ271-$AD271,2)=0,"OK","FAIL - out by "&amp;TEXT($AO271+$AP271+$AQ271-$AD271,"$0.00")))</f>
      </c>
    </row>
    <row r="272" spans="1:58" ht="18.75" customHeight="1" x14ac:dyDescent="0.25">
      <c r="A272" s="46" t="inlineStr">
        <is>
          <t xml:space="preserve">CANON-202508-000362</t>
        </is>
      </c>
      <c r="B272" s="46" t="inlineStr">
        <is>
          <t xml:space="preserve">Horace Bellandi</t>
        </is>
      </c>
      <c r="C272" s="47">
        <v>45873</v>
      </c>
      <c r="D272" s="48" t="inlineStr">
        <is>
          <t xml:space="preserve">Bound - within authority</t>
        </is>
      </c>
      <c r="E272" s="48" t="inlineStr">
        <is>
          <t xml:space="preserve">New business</t>
        </is>
      </c>
      <c r="F272" s="46" t="inlineStr">
        <is>
          <t xml:space="preserve">B1234EXOTIC26</t>
        </is>
      </c>
      <c r="G272" s="33">
        <f>IF($A272="","",IF($C272="","",YEAR($C272)))</f>
      </c>
      <c r="H272" s="49">
        <v>2022</v>
      </c>
      <c r="I272" s="46" t="inlineStr">
        <is>
          <t xml:space="preserve">Bentley</t>
        </is>
      </c>
      <c r="J272" s="46" t="inlineStr">
        <is>
          <t xml:space="preserve">Continental GT</t>
        </is>
      </c>
      <c r="K272" s="46" t="inlineStr">
        <is>
          <t xml:space="preserve">EGP2EGA089SRBUNNA</t>
        </is>
      </c>
      <c r="L272" s="48" t="inlineStr">
        <is>
          <t xml:space="preserve">02 - Sports / GT</t>
        </is>
      </c>
      <c r="M272" s="50">
        <v>615000</v>
      </c>
      <c r="N272" s="48" t="inlineStr">
        <is>
          <t xml:space="preserve">Personal</t>
        </is>
      </c>
      <c r="O272" s="46" t="inlineStr">
        <is>
          <t xml:space="preserve">Personal - regular use</t>
        </is>
      </c>
      <c r="P272" s="46" t="inlineStr">
        <is>
          <t xml:space="preserve">Under 1,000</t>
        </is>
      </c>
      <c r="Q272" s="46" t="inlineStr">
        <is>
          <t xml:space="preserve">New Jersey</t>
        </is>
      </c>
      <c r="R272" s="46" t="inlineStr">
        <is>
          <t xml:space="preserve">07102</t>
        </is>
      </c>
      <c r="S272" s="48" t="inlineStr">
        <is>
          <t xml:space="preserve">Tier 3 - Coastal wind (25-100 miles)</t>
        </is>
      </c>
      <c r="T272" s="36">
        <f>IF($A272="","",IF($S272="","",IFERROR(INDEX('[1]natural catastrophe'!$D$6:$D$17,MATCH($S272,'[1]natural catastrophe'!$B$6:$B$17,0)),"?")))</f>
      </c>
      <c r="U272" s="46" t="inlineStr">
        <is>
          <t xml:space="preserve">2% of agreed value, minimum $10,000</t>
        </is>
      </c>
      <c r="V272" s="48" t="inlineStr">
        <is>
          <t xml:space="preserve">Agreed Value</t>
        </is>
      </c>
      <c r="W272" s="46" t="inlineStr">
        <is>
          <t xml:space="preserve">$1,000</t>
        </is>
      </c>
      <c r="X272" s="48" t="inlineStr">
        <is>
          <t xml:space="preserve">$1,000,000 CSL</t>
        </is>
      </c>
      <c r="Y272" s="46"/>
      <c r="Z272" s="46"/>
      <c r="AA272" s="48" t="inlineStr">
        <is>
          <t xml:space="preserve">Surplus Lines</t>
        </is>
      </c>
      <c r="AB272" s="50">
        <v>6863.63</v>
      </c>
      <c r="AC272" s="51">
        <v>0</v>
      </c>
      <c r="AD272" s="38">
        <f>IF(ISNUMBER($AB272),$AB272*(1+N($AC272)),"")</f>
      </c>
      <c r="AE272" s="50">
        <v>350</v>
      </c>
      <c r="AF272" s="50">
        <v>0</v>
      </c>
      <c r="AG272" s="51"/>
      <c r="AH272" s="39">
        <f>IF(ISNUMBER($AD272),($AD272+$AE272+$AF272)*$AG272,"")</f>
      </c>
      <c r="AI272" s="50"/>
      <c r="AJ272" s="38">
        <f>IF(ISNUMBER($AD272),SUM($AD272:$AH272),"")</f>
      </c>
      <c r="AK272" s="40">
        <f>IF(AND(ISNUMBER($AB272),ISNUMBER($AD272)),IF($AB272&gt;0,$AD272/$AB272,""),"")</f>
      </c>
      <c r="AL272" s="48" t="inlineStr">
        <is>
          <t xml:space="preserve">At technical</t>
        </is>
      </c>
      <c r="AM272" s="41">
        <f>IF(ISNUMBER($AD272),Header!$I$3,"")</f>
      </c>
      <c r="AN272" s="39">
        <f>IF(ISNUMBER($AD272),$AO272+$AP272,"")</f>
      </c>
      <c r="AO272" s="39">
        <f>IF(ISNUMBER($AD272),ROUND($AD272*Header!$K$3,2),"")</f>
      </c>
      <c r="AP272" s="39">
        <f>IF(ISNUMBER($AD272),ROUND($AD272*Header!$M$3,2),"")</f>
      </c>
      <c r="AQ272" s="38">
        <f>IF(ISNUMBER($AD272),ROUND($AD272,2)-$AO272-$AP272,"")</f>
      </c>
      <c r="AR272" s="39">
        <f>IF(ISNUMBER($AD272),IF(Header!$D$34="","?",$AD272*Header!$D$34),"")</f>
      </c>
      <c r="AS272" s="39">
        <f>IF(ISNUMBER($AB272),IF(Header!$D$34="","?",$AB272*Header!$D$34),"")</f>
      </c>
      <c r="AT272" s="42">
        <f>IF(AND(ISNUMBER($AB272),$M272&gt;0),$AB272/$M272*100,"")</f>
      </c>
      <c r="AU272" s="42">
        <f>IF(AND(ISNUMBER($AD272),$M272&gt;0),$AD272/$M272*100,"")</f>
      </c>
      <c r="AV272" s="40">
        <f>IF(AND(ISNUMBER($AB272),ISNUMBER($AD272),ABS($AB272)&gt;0),$AD272/$AB272,"")</f>
      </c>
      <c r="AW272" s="39">
        <f>IF(ISNUMBER($AD272),MAX(0,(1-0.55-Header!$O$3)*Header!$Q$3*$AQ272),"")</f>
      </c>
      <c r="AX272" s="43">
        <f>IF($A272="","",IF(TRIM(IF($A272="","Missing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",""))="","PASS","FAIL: "&amp;TRIM(IF($A272="","Missing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f>
      </c>
      <c r="AY272" s="44">
        <f>IF($M272="","",IF(ISNUMBER($M272),IF($M272&gt;=Header!$C$18,"YES — refer","No"),""))</f>
      </c>
      <c r="AZ272" s="44">
        <f>IF($AD272="","",IF(ISNUMBER($AD272),IF($AD272&lt;Header!$C$20,"BELOW MIN PREMIUM","OK"),""))</f>
      </c>
      <c r="BA272" s="48" t="inlineStr">
        <is>
          <t xml:space="preserve">Yes</t>
        </is>
      </c>
      <c r="BB272" s="48" t="inlineStr">
        <is>
          <t xml:space="preserve">Yes</t>
        </is>
      </c>
      <c r="BC272" s="46" t="inlineStr">
        <is>
          <t xml:space="preserve">Synthetic demo data</t>
        </is>
      </c>
      <c r="BE272" s="45">
        <f>IF(OR($A272="",$L272="",$H272=""),"",IF(AND(LEFT($L272,2)="06",$H272&gt;1945),"FAIL - pre-war class, year "&amp;$H272,IF(AND(LEFT($L272,2)="07",OR($H272&lt;1946,$H272&gt;1972)),"FAIL - 1946-72 class, year "&amp;$H272,IF(AND(LEFT($L272,2)="08",OR($H272&lt;1973,$H272&gt;1999)),"FAIL - 1973-99 class, year "&amp;$H272,IF(AND(LEFT($L272,2)="09",OR($H272&lt;2000,$H272&gt;2010)),"FAIL - 2000-10 class, year "&amp;$H272,"OK")))))</f>
      </c>
      <c r="BF272" s="45">
        <f>IF($AD272="","",IF(ROUND($AO272+$AP272+$AQ272-$AD272,2)=0,"OK","FAIL - out by "&amp;TEXT($AO272+$AP272+$AQ272-$AD272,"$0.00")))</f>
      </c>
    </row>
    <row r="273" spans="1:58" ht="18.75" customHeight="1" x14ac:dyDescent="0.25">
      <c r="A273" s="30" t="inlineStr">
        <is>
          <t xml:space="preserve">CANON-202508-000364</t>
        </is>
      </c>
      <c r="B273" s="30" t="inlineStr">
        <is>
          <t xml:space="preserve">Fenwick Blackwood</t>
        </is>
      </c>
      <c r="C273" s="31">
        <v>45885</v>
      </c>
      <c r="D273" s="32" t="inlineStr">
        <is>
          <t xml:space="preserve">Bound - within authority</t>
        </is>
      </c>
      <c r="E273" s="32" t="inlineStr">
        <is>
          <t xml:space="preserve">New business</t>
        </is>
      </c>
      <c r="F273" s="30" t="inlineStr">
        <is>
          <t xml:space="preserve">B1234EXOTIC26</t>
        </is>
      </c>
      <c r="G273" s="33">
        <f>IF($A273="","",IF($C273="","",YEAR($C273)))</f>
      </c>
      <c r="H273" s="34">
        <v>1976</v>
      </c>
      <c r="I273" s="30" t="inlineStr">
        <is>
          <t xml:space="preserve">Mercedes-Benz</t>
        </is>
      </c>
      <c r="J273" s="30" t="inlineStr">
        <is>
          <t xml:space="preserve">280SL Pagoda</t>
        </is>
      </c>
      <c r="K273" s="30" t="inlineStr">
        <is>
          <t xml:space="preserve">GW3GSZ0SXAYMM0SME</t>
        </is>
      </c>
      <c r="L273" s="32" t="inlineStr">
        <is>
          <t xml:space="preserve">08 - Modern Classic (1973-1999)</t>
        </is>
      </c>
      <c r="M273" s="35">
        <v>420000</v>
      </c>
      <c r="N273" s="32" t="inlineStr">
        <is>
          <t xml:space="preserve">Personal</t>
        </is>
      </c>
      <c r="O273" s="30" t="inlineStr">
        <is>
          <t xml:space="preserve">Personal - regular use</t>
        </is>
      </c>
      <c r="P273" s="30" t="inlineStr">
        <is>
          <t xml:space="preserve">2,500 - 5,000</t>
        </is>
      </c>
      <c r="Q273" s="30" t="inlineStr">
        <is>
          <t xml:space="preserve">West Virginia</t>
        </is>
      </c>
      <c r="R273" s="30" t="inlineStr">
        <is>
          <t xml:space="preserve">25301</t>
        </is>
      </c>
      <c r="S273" s="32" t="inlineStr">
        <is>
          <t xml:space="preserve">Low hazard - inland benign</t>
        </is>
      </c>
      <c r="T273" s="36">
        <f>IF($A273="","",IF($S273="","",IFERROR(INDEX('[1]natural catastrophe'!$D$6:$D$17,MATCH($S273,'[1]natural catastrophe'!$B$6:$B$17,0)),"?")))</f>
      </c>
      <c r="U273" s="30" t="inlineStr">
        <is>
          <t xml:space="preserve">$5,000</t>
        </is>
      </c>
      <c r="V273" s="32" t="inlineStr">
        <is>
          <t xml:space="preserve">Agreed Value</t>
        </is>
      </c>
      <c r="W273" s="30" t="inlineStr">
        <is>
          <t xml:space="preserve">$1,000</t>
        </is>
      </c>
      <c r="X273" s="32" t="inlineStr">
        <is>
          <t xml:space="preserve">$1,000,000 CSL</t>
        </is>
      </c>
      <c r="Y273" s="30"/>
      <c r="Z273" s="30"/>
      <c r="AA273" s="32" t="inlineStr">
        <is>
          <t xml:space="preserve">Surplus Lines</t>
        </is>
      </c>
      <c r="AB273" s="35">
        <v>5059.02</v>
      </c>
      <c r="AC273" s="37">
        <v>0</v>
      </c>
      <c r="AD273" s="38">
        <f>IF(ISNUMBER($AB273),$AB273*(1+N($AC273)),"")</f>
      </c>
      <c r="AE273" s="35">
        <v>350</v>
      </c>
      <c r="AF273" s="35">
        <v>0</v>
      </c>
      <c r="AG273" s="37"/>
      <c r="AH273" s="39">
        <f>IF(ISNUMBER($AD273),($AD273+$AE273+$AF273)*$AG273,"")</f>
      </c>
      <c r="AI273" s="35"/>
      <c r="AJ273" s="38">
        <f>IF(ISNUMBER($AD273),SUM($AD273:$AH273),"")</f>
      </c>
      <c r="AK273" s="40">
        <f>IF(AND(ISNUMBER($AB273),ISNUMBER($AD273)),IF($AB273&gt;0,$AD273/$AB273,""),"")</f>
      </c>
      <c r="AL273" s="32" t="inlineStr">
        <is>
          <t xml:space="preserve">At technical</t>
        </is>
      </c>
      <c r="AM273" s="41">
        <f>IF(ISNUMBER($AD273),Header!$I$3,"")</f>
      </c>
      <c r="AN273" s="39">
        <f>IF(ISNUMBER($AD273),$AO273+$AP273,"")</f>
      </c>
      <c r="AO273" s="39">
        <f>IF(ISNUMBER($AD273),ROUND($AD273*Header!$K$3,2),"")</f>
      </c>
      <c r="AP273" s="39">
        <f>IF(ISNUMBER($AD273),ROUND($AD273*Header!$M$3,2),"")</f>
      </c>
      <c r="AQ273" s="38">
        <f>IF(ISNUMBER($AD273),ROUND($AD273,2)-$AO273-$AP273,"")</f>
      </c>
      <c r="AR273" s="39">
        <f>IF(ISNUMBER($AD273),IF(Header!$D$34="","?",$AD273*Header!$D$34),"")</f>
      </c>
      <c r="AS273" s="39">
        <f>IF(ISNUMBER($AB273),IF(Header!$D$34="","?",$AB273*Header!$D$34),"")</f>
      </c>
      <c r="AT273" s="42">
        <f>IF(AND(ISNUMBER($AB273),$M273&gt;0),$AB273/$M273*100,"")</f>
      </c>
      <c r="AU273" s="42">
        <f>IF(AND(ISNUMBER($AD273),$M273&gt;0),$AD273/$M273*100,"")</f>
      </c>
      <c r="AV273" s="40">
        <f>IF(AND(ISNUMBER($AB273),ISNUMBER($AD273),ABS($AB273)&gt;0),$AD273/$AB273,"")</f>
      </c>
      <c r="AW273" s="39">
        <f>IF(ISNUMBER($AD273),MAX(0,(1-0.55-Header!$O$3)*Header!$Q$3*$AQ273),"")</f>
      </c>
      <c r="AX273" s="43">
        <f>IF($A273="","",IF(TRIM(IF($A273="","Missing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",""))="","PASS","FAIL: "&amp;TRIM(IF($A273="","Missing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f>
      </c>
      <c r="AY273" s="44">
        <f>IF($M273="","",IF(ISNUMBER($M273),IF($M273&gt;=Header!$C$18,"YES — refer","No"),""))</f>
      </c>
      <c r="AZ273" s="44">
        <f>IF($AD273="","",IF(ISNUMBER($AD273),IF($AD273&lt;Header!$C$20,"BELOW MIN PREMIUM","OK"),""))</f>
      </c>
      <c r="BA273" s="32" t="inlineStr">
        <is>
          <t xml:space="preserve">Yes</t>
        </is>
      </c>
      <c r="BB273" s="32" t="inlineStr">
        <is>
          <t xml:space="preserve">Yes</t>
        </is>
      </c>
      <c r="BC273" s="30" t="inlineStr">
        <is>
          <t xml:space="preserve">Synthetic demo data</t>
        </is>
      </c>
      <c r="BE273" s="45">
        <f>IF(OR($A273="",$L273="",$H273=""),"",IF(AND(LEFT($L273,2)="06",$H273&gt;1945),"FAIL - pre-war class, year "&amp;$H273,IF(AND(LEFT($L273,2)="07",OR($H273&lt;1946,$H273&gt;1972)),"FAIL - 1946-72 class, year "&amp;$H273,IF(AND(LEFT($L273,2)="08",OR($H273&lt;1973,$H273&gt;1999)),"FAIL - 1973-99 class, year "&amp;$H273,IF(AND(LEFT($L273,2)="09",OR($H273&lt;2000,$H273&gt;2010)),"FAIL - 2000-10 class, year "&amp;$H273,"OK")))))</f>
      </c>
      <c r="BF273" s="45">
        <f>IF($AD273="","",IF(ROUND($AO273+$AP273+$AQ273-$AD273,2)=0,"OK","FAIL - out by "&amp;TEXT($AO273+$AP273+$AQ273-$AD273,"$0.00")))</f>
      </c>
    </row>
    <row r="274" spans="1:58" ht="18.75" customHeight="1" x14ac:dyDescent="0.25">
      <c r="A274" s="46" t="inlineStr">
        <is>
          <t xml:space="preserve">CANON-202508-000365</t>
        </is>
      </c>
      <c r="B274" s="46" t="inlineStr">
        <is>
          <t xml:space="preserve">Callum Ashcombe</t>
        </is>
      </c>
      <c r="C274" s="47">
        <v>45871</v>
      </c>
      <c r="D274" s="48" t="inlineStr">
        <is>
          <t xml:space="preserve">Bound - within authority</t>
        </is>
      </c>
      <c r="E274" s="48" t="inlineStr">
        <is>
          <t xml:space="preserve">New business</t>
        </is>
      </c>
      <c r="F274" s="46" t="inlineStr">
        <is>
          <t xml:space="preserve">B1234EXOTIC26</t>
        </is>
      </c>
      <c r="G274" s="33">
        <f>IF($A274="","",IF($C274="","",YEAR($C274)))</f>
      </c>
      <c r="H274" s="49">
        <v>1993</v>
      </c>
      <c r="I274" s="46" t="inlineStr">
        <is>
          <t xml:space="preserve">Aston Martin</t>
        </is>
      </c>
      <c r="J274" s="46" t="inlineStr">
        <is>
          <t xml:space="preserve">DB12</t>
        </is>
      </c>
      <c r="K274" s="46" t="inlineStr">
        <is>
          <t xml:space="preserve">5EXP40NCU5EMVKJWC</t>
        </is>
      </c>
      <c r="L274" s="48" t="inlineStr">
        <is>
          <t xml:space="preserve">02 - Sports / GT</t>
        </is>
      </c>
      <c r="M274" s="50">
        <v>600000</v>
      </c>
      <c r="N274" s="48" t="inlineStr">
        <is>
          <t xml:space="preserve">Personal</t>
        </is>
      </c>
      <c r="O274" s="46" t="inlineStr">
        <is>
          <t xml:space="preserve">Personal - regular use</t>
        </is>
      </c>
      <c r="P274" s="46" t="inlineStr">
        <is>
          <t xml:space="preserve">2,500 - 5,000</t>
        </is>
      </c>
      <c r="Q274" s="46" t="inlineStr">
        <is>
          <t xml:space="preserve">California</t>
        </is>
      </c>
      <c r="R274" s="46" t="inlineStr">
        <is>
          <t xml:space="preserve">90012</t>
        </is>
      </c>
      <c r="S274" s="48" t="inlineStr">
        <is>
          <t xml:space="preserve">Earthquake - high (CA, Cascadia, New Madrid)</t>
        </is>
      </c>
      <c r="T274" s="36">
        <f>IF($A274="","",IF($S274="","",IFERROR(INDEX('[1]natural catastrophe'!$D$6:$D$17,MATCH($S274,'[1]natural catastrophe'!$B$6:$B$17,0)),"?")))</f>
      </c>
      <c r="U274" s="46" t="inlineStr">
        <is>
          <t xml:space="preserve">$5,000</t>
        </is>
      </c>
      <c r="V274" s="48" t="inlineStr">
        <is>
          <t xml:space="preserve">Agreed Value</t>
        </is>
      </c>
      <c r="W274" s="46" t="inlineStr">
        <is>
          <t xml:space="preserve">$1,000</t>
        </is>
      </c>
      <c r="X274" s="48" t="inlineStr">
        <is>
          <t xml:space="preserve">$1,000,000 CSL</t>
        </is>
      </c>
      <c r="Y274" s="46"/>
      <c r="Z274" s="46"/>
      <c r="AA274" s="48" t="inlineStr">
        <is>
          <t xml:space="preserve">Surplus Lines</t>
        </is>
      </c>
      <c r="AB274" s="50">
        <v>9933.96</v>
      </c>
      <c r="AC274" s="51">
        <v>0</v>
      </c>
      <c r="AD274" s="38">
        <f>IF(ISNUMBER($AB274),$AB274*(1+N($AC274)),"")</f>
      </c>
      <c r="AE274" s="50">
        <v>350</v>
      </c>
      <c r="AF274" s="50">
        <v>0</v>
      </c>
      <c r="AG274" s="51"/>
      <c r="AH274" s="39">
        <f>IF(ISNUMBER($AD274),($AD274+$AE274+$AF274)*$AG274,"")</f>
      </c>
      <c r="AI274" s="50"/>
      <c r="AJ274" s="38">
        <f>IF(ISNUMBER($AD274),SUM($AD274:$AH274),"")</f>
      </c>
      <c r="AK274" s="40">
        <f>IF(AND(ISNUMBER($AB274),ISNUMBER($AD274)),IF($AB274&gt;0,$AD274/$AB274,""),"")</f>
      </c>
      <c r="AL274" s="48" t="inlineStr">
        <is>
          <t xml:space="preserve">At technical</t>
        </is>
      </c>
      <c r="AM274" s="41">
        <f>IF(ISNUMBER($AD274),Header!$I$3,"")</f>
      </c>
      <c r="AN274" s="39">
        <f>IF(ISNUMBER($AD274),$AO274+$AP274,"")</f>
      </c>
      <c r="AO274" s="39">
        <f>IF(ISNUMBER($AD274),ROUND($AD274*Header!$K$3,2),"")</f>
      </c>
      <c r="AP274" s="39">
        <f>IF(ISNUMBER($AD274),ROUND($AD274*Header!$M$3,2),"")</f>
      </c>
      <c r="AQ274" s="38">
        <f>IF(ISNUMBER($AD274),ROUND($AD274,2)-$AO274-$AP274,"")</f>
      </c>
      <c r="AR274" s="39">
        <f>IF(ISNUMBER($AD274),IF(Header!$D$34="","?",$AD274*Header!$D$34),"")</f>
      </c>
      <c r="AS274" s="39">
        <f>IF(ISNUMBER($AB274),IF(Header!$D$34="","?",$AB274*Header!$D$34),"")</f>
      </c>
      <c r="AT274" s="42">
        <f>IF(AND(ISNUMBER($AB274),$M274&gt;0),$AB274/$M274*100,"")</f>
      </c>
      <c r="AU274" s="42">
        <f>IF(AND(ISNUMBER($AD274),$M274&gt;0),$AD274/$M274*100,"")</f>
      </c>
      <c r="AV274" s="40">
        <f>IF(AND(ISNUMBER($AB274),ISNUMBER($AD274),ABS($AB274)&gt;0),$AD274/$AB274,"")</f>
      </c>
      <c r="AW274" s="39">
        <f>IF(ISNUMBER($AD274),MAX(0,(1-0.55-Header!$O$3)*Header!$Q$3*$AQ274),"")</f>
      </c>
      <c r="AX274" s="43">
        <f>IF($A274="","",IF(TRIM(IF($A274="","Missing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",""))="","PASS","FAIL: "&amp;TRIM(IF($A274="","Missing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f>
      </c>
      <c r="AY274" s="44">
        <f>IF($M274="","",IF(ISNUMBER($M274),IF($M274&gt;=Header!$C$18,"YES — refer","No"),""))</f>
      </c>
      <c r="AZ274" s="44">
        <f>IF($AD274="","",IF(ISNUMBER($AD274),IF($AD274&lt;Header!$C$20,"BELOW MIN PREMIUM","OK"),""))</f>
      </c>
      <c r="BA274" s="48" t="inlineStr">
        <is>
          <t xml:space="preserve">Yes</t>
        </is>
      </c>
      <c r="BB274" s="48" t="inlineStr">
        <is>
          <t xml:space="preserve">Yes</t>
        </is>
      </c>
      <c r="BC274" s="46" t="inlineStr">
        <is>
          <t xml:space="preserve">Synthetic demo data</t>
        </is>
      </c>
      <c r="BE274" s="45">
        <f>IF(OR($A274="",$L274="",$H274=""),"",IF(AND(LEFT($L274,2)="06",$H274&gt;1945),"FAIL - pre-war class, year "&amp;$H274,IF(AND(LEFT($L274,2)="07",OR($H274&lt;1946,$H274&gt;1972)),"FAIL - 1946-72 class, year "&amp;$H274,IF(AND(LEFT($L274,2)="08",OR($H274&lt;1973,$H274&gt;1999)),"FAIL - 1973-99 class, year "&amp;$H274,IF(AND(LEFT($L274,2)="09",OR($H274&lt;2000,$H274&gt;2010)),"FAIL - 2000-10 class, year "&amp;$H274,"OK")))))</f>
      </c>
      <c r="BF274" s="45">
        <f>IF($AD274="","",IF(ROUND($AO274+$AP274+$AQ274-$AD274,2)=0,"OK","FAIL - out by "&amp;TEXT($AO274+$AP274+$AQ274-$AD274,"$0.00")))</f>
      </c>
    </row>
    <row r="275" spans="1:58" ht="18.75" customHeight="1" x14ac:dyDescent="0.25">
      <c r="A275" s="30" t="inlineStr">
        <is>
          <t xml:space="preserve">CANON-202508-000367</t>
        </is>
      </c>
      <c r="B275" s="30" t="inlineStr">
        <is>
          <t xml:space="preserve">Priya Montoya</t>
        </is>
      </c>
      <c r="C275" s="31">
        <v>45886</v>
      </c>
      <c r="D275" s="32" t="inlineStr">
        <is>
          <t xml:space="preserve">Bound - within authority</t>
        </is>
      </c>
      <c r="E275" s="32" t="inlineStr">
        <is>
          <t xml:space="preserve">New business</t>
        </is>
      </c>
      <c r="F275" s="30" t="inlineStr">
        <is>
          <t xml:space="preserve">B1234EXOTIC26</t>
        </is>
      </c>
      <c r="G275" s="33">
        <f>IF($A275="","",IF($C275="","",YEAR($C275)))</f>
      </c>
      <c r="H275" s="34">
        <v>2006</v>
      </c>
      <c r="I275" s="30" t="inlineStr">
        <is>
          <t xml:space="preserve">BMW</t>
        </is>
      </c>
      <c r="J275" s="30" t="inlineStr">
        <is>
          <t xml:space="preserve">M8 Competition</t>
        </is>
      </c>
      <c r="K275" s="30" t="inlineStr">
        <is>
          <t xml:space="preserve">AV6GGKE8U1DDH09BZ</t>
        </is>
      </c>
      <c r="L275" s="32" t="inlineStr">
        <is>
          <t xml:space="preserve">02 - Sports / GT</t>
        </is>
      </c>
      <c r="M275" s="35">
        <v>385000</v>
      </c>
      <c r="N275" s="32" t="inlineStr">
        <is>
          <t xml:space="preserve">Personal</t>
        </is>
      </c>
      <c r="O275" s="30" t="inlineStr">
        <is>
          <t xml:space="preserve">Personal - regular use</t>
        </is>
      </c>
      <c r="P275" s="30" t="inlineStr">
        <is>
          <t xml:space="preserve">1,000 - 2,500</t>
        </is>
      </c>
      <c r="Q275" s="30" t="inlineStr">
        <is>
          <t xml:space="preserve">Ohio</t>
        </is>
      </c>
      <c r="R275" s="30" t="inlineStr">
        <is>
          <t xml:space="preserve">43215</t>
        </is>
      </c>
      <c r="S275" s="32" t="inlineStr">
        <is>
          <t xml:space="preserve">Severe convective - hail / tornado (moderate)</t>
        </is>
      </c>
      <c r="T275" s="36">
        <f>IF($A275="","",IF($S275="","",IFERROR(INDEX('[1]natural catastrophe'!$D$6:$D$17,MATCH($S275,'[1]natural catastrophe'!$B$6:$B$17,0)),"?")))</f>
      </c>
      <c r="U275" s="30" t="inlineStr">
        <is>
          <t xml:space="preserve">$5,000</t>
        </is>
      </c>
      <c r="V275" s="32" t="inlineStr">
        <is>
          <t xml:space="preserve">Agreed Value</t>
        </is>
      </c>
      <c r="W275" s="30" t="inlineStr">
        <is>
          <t xml:space="preserve">$1,000</t>
        </is>
      </c>
      <c r="X275" s="32" t="inlineStr">
        <is>
          <t xml:space="preserve">$1,000,000 CSL</t>
        </is>
      </c>
      <c r="Y275" s="30"/>
      <c r="Z275" s="30"/>
      <c r="AA275" s="32" t="inlineStr">
        <is>
          <t xml:space="preserve">Surplus Lines</t>
        </is>
      </c>
      <c r="AB275" s="35">
        <v>7572.88</v>
      </c>
      <c r="AC275" s="37">
        <v>0</v>
      </c>
      <c r="AD275" s="38">
        <f>IF(ISNUMBER($AB275),$AB275*(1+N($AC275)),"")</f>
      </c>
      <c r="AE275" s="35">
        <v>350</v>
      </c>
      <c r="AF275" s="35">
        <v>0</v>
      </c>
      <c r="AG275" s="37"/>
      <c r="AH275" s="39">
        <f>IF(ISNUMBER($AD275),($AD275+$AE275+$AF275)*$AG275,"")</f>
      </c>
      <c r="AI275" s="35"/>
      <c r="AJ275" s="38">
        <f>IF(ISNUMBER($AD275),SUM($AD275:$AH275),"")</f>
      </c>
      <c r="AK275" s="40">
        <f>IF(AND(ISNUMBER($AB275),ISNUMBER($AD275)),IF($AB275&gt;0,$AD275/$AB275,""),"")</f>
      </c>
      <c r="AL275" s="32" t="inlineStr">
        <is>
          <t xml:space="preserve">At technical</t>
        </is>
      </c>
      <c r="AM275" s="41">
        <f>IF(ISNUMBER($AD275),Header!$I$3,"")</f>
      </c>
      <c r="AN275" s="39">
        <f>IF(ISNUMBER($AD275),$AO275+$AP275,"")</f>
      </c>
      <c r="AO275" s="39">
        <f>IF(ISNUMBER($AD275),ROUND($AD275*Header!$K$3,2),"")</f>
      </c>
      <c r="AP275" s="39">
        <f>IF(ISNUMBER($AD275),ROUND($AD275*Header!$M$3,2),"")</f>
      </c>
      <c r="AQ275" s="38">
        <f>IF(ISNUMBER($AD275),ROUND($AD275,2)-$AO275-$AP275,"")</f>
      </c>
      <c r="AR275" s="39">
        <f>IF(ISNUMBER($AD275),IF(Header!$D$34="","?",$AD275*Header!$D$34),"")</f>
      </c>
      <c r="AS275" s="39">
        <f>IF(ISNUMBER($AB275),IF(Header!$D$34="","?",$AB275*Header!$D$34),"")</f>
      </c>
      <c r="AT275" s="42">
        <f>IF(AND(ISNUMBER($AB275),$M275&gt;0),$AB275/$M275*100,"")</f>
      </c>
      <c r="AU275" s="42">
        <f>IF(AND(ISNUMBER($AD275),$M275&gt;0),$AD275/$M275*100,"")</f>
      </c>
      <c r="AV275" s="40">
        <f>IF(AND(ISNUMBER($AB275),ISNUMBER($AD275),ABS($AB275)&gt;0),$AD275/$AB275,"")</f>
      </c>
      <c r="AW275" s="39">
        <f>IF(ISNUMBER($AD275),MAX(0,(1-0.55-Header!$O$3)*Header!$Q$3*$AQ275),"")</f>
      </c>
      <c r="AX275" s="43">
        <f>IF($A275="","",IF(TRIM(IF($A275="","Missing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",""))="","PASS","FAIL: "&amp;TRIM(IF($A275="","Missing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f>
      </c>
      <c r="AY275" s="44">
        <f>IF($M275="","",IF(ISNUMBER($M275),IF($M275&gt;=Header!$C$18,"YES — refer","No"),""))</f>
      </c>
      <c r="AZ275" s="44">
        <f>IF($AD275="","",IF(ISNUMBER($AD275),IF($AD275&lt;Header!$C$20,"BELOW MIN PREMIUM","OK"),""))</f>
      </c>
      <c r="BA275" s="32" t="inlineStr">
        <is>
          <t xml:space="preserve">Yes</t>
        </is>
      </c>
      <c r="BB275" s="32" t="inlineStr">
        <is>
          <t xml:space="preserve">Yes</t>
        </is>
      </c>
      <c r="BC275" s="30" t="inlineStr">
        <is>
          <t xml:space="preserve">Synthetic demo data</t>
        </is>
      </c>
      <c r="BE275" s="45">
        <f>IF(OR($A275="",$L275="",$H275=""),"",IF(AND(LEFT($L275,2)="06",$H275&gt;1945),"FAIL - pre-war class, year "&amp;$H275,IF(AND(LEFT($L275,2)="07",OR($H275&lt;1946,$H275&gt;1972)),"FAIL - 1946-72 class, year "&amp;$H275,IF(AND(LEFT($L275,2)="08",OR($H275&lt;1973,$H275&gt;1999)),"FAIL - 1973-99 class, year "&amp;$H275,IF(AND(LEFT($L275,2)="09",OR($H275&lt;2000,$H275&gt;2010)),"FAIL - 2000-10 class, year "&amp;$H275,"OK")))))</f>
      </c>
      <c r="BF275" s="45">
        <f>IF($AD275="","",IF(ROUND($AO275+$AP275+$AQ275-$AD275,2)=0,"OK","FAIL - out by "&amp;TEXT($AO275+$AP275+$AQ275-$AD275,"$0.00")))</f>
      </c>
    </row>
    <row r="276" spans="1:58" ht="18.75" customHeight="1" x14ac:dyDescent="0.25">
      <c r="A276" s="46" t="inlineStr">
        <is>
          <t xml:space="preserve">CANON-202508-000370</t>
        </is>
      </c>
      <c r="B276" s="46" t="inlineStr">
        <is>
          <t xml:space="preserve">Cassius Farkas</t>
        </is>
      </c>
      <c r="C276" s="47">
        <v>45886</v>
      </c>
      <c r="D276" s="48" t="inlineStr">
        <is>
          <t xml:space="preserve">Bound - within authority</t>
        </is>
      </c>
      <c r="E276" s="48" t="inlineStr">
        <is>
          <t xml:space="preserve">New business</t>
        </is>
      </c>
      <c r="F276" s="46" t="inlineStr">
        <is>
          <t xml:space="preserve">B1234EXOTIC26</t>
        </is>
      </c>
      <c r="G276" s="33">
        <f>IF($A276="","",IF($C276="","",YEAR($C276)))</f>
      </c>
      <c r="H276" s="49">
        <v>2003</v>
      </c>
      <c r="I276" s="46" t="inlineStr">
        <is>
          <t xml:space="preserve">Aston Martin</t>
        </is>
      </c>
      <c r="J276" s="46" t="inlineStr">
        <is>
          <t xml:space="preserve">DB12</t>
        </is>
      </c>
      <c r="K276" s="46" t="inlineStr">
        <is>
          <t xml:space="preserve">9NK6AN6H3LPALTJNJ</t>
        </is>
      </c>
      <c r="L276" s="48" t="inlineStr">
        <is>
          <t xml:space="preserve">02 - Sports / GT</t>
        </is>
      </c>
      <c r="M276" s="50">
        <v>575000</v>
      </c>
      <c r="N276" s="48" t="inlineStr">
        <is>
          <t xml:space="preserve">Personal</t>
        </is>
      </c>
      <c r="O276" s="46" t="inlineStr">
        <is>
          <t xml:space="preserve">Personal - regular use</t>
        </is>
      </c>
      <c r="P276" s="46" t="inlineStr">
        <is>
          <t xml:space="preserve">2,500 - 5,000</t>
        </is>
      </c>
      <c r="Q276" s="46" t="inlineStr">
        <is>
          <t xml:space="preserve">Georgia</t>
        </is>
      </c>
      <c r="R276" s="46" t="inlineStr">
        <is>
          <t xml:space="preserve">30303</t>
        </is>
      </c>
      <c r="S276" s="48" t="inlineStr">
        <is>
          <t xml:space="preserve">Tier 2 - Coastal wind (1-25 miles)</t>
        </is>
      </c>
      <c r="T276" s="36">
        <f>IF($A276="","",IF($S276="","",IFERROR(INDEX('[1]natural catastrophe'!$D$6:$D$17,MATCH($S276,'[1]natural catastrophe'!$B$6:$B$17,0)),"?")))</f>
      </c>
      <c r="U276" s="46" t="inlineStr">
        <is>
          <t xml:space="preserve">2% of agreed value, minimum $10,000</t>
        </is>
      </c>
      <c r="V276" s="48" t="inlineStr">
        <is>
          <t xml:space="preserve">Agreed Value</t>
        </is>
      </c>
      <c r="W276" s="46" t="inlineStr">
        <is>
          <t xml:space="preserve">$1,000</t>
        </is>
      </c>
      <c r="X276" s="48" t="inlineStr">
        <is>
          <t xml:space="preserve">$1,000,000 CSL</t>
        </is>
      </c>
      <c r="Y276" s="46"/>
      <c r="Z276" s="46"/>
      <c r="AA276" s="48" t="inlineStr">
        <is>
          <t xml:space="preserve">Surplus Lines</t>
        </is>
      </c>
      <c r="AB276" s="50">
        <v>7898.11</v>
      </c>
      <c r="AC276" s="51">
        <v>0</v>
      </c>
      <c r="AD276" s="38">
        <f>IF(ISNUMBER($AB276),$AB276*(1+N($AC276)),"")</f>
      </c>
      <c r="AE276" s="50">
        <v>350</v>
      </c>
      <c r="AF276" s="50">
        <v>0</v>
      </c>
      <c r="AG276" s="51"/>
      <c r="AH276" s="39">
        <f>IF(ISNUMBER($AD276),($AD276+$AE276+$AF276)*$AG276,"")</f>
      </c>
      <c r="AI276" s="50"/>
      <c r="AJ276" s="38">
        <f>IF(ISNUMBER($AD276),SUM($AD276:$AH276),"")</f>
      </c>
      <c r="AK276" s="40">
        <f>IF(AND(ISNUMBER($AB276),ISNUMBER($AD276)),IF($AB276&gt;0,$AD276/$AB276,""),"")</f>
      </c>
      <c r="AL276" s="48" t="inlineStr">
        <is>
          <t xml:space="preserve">At technical</t>
        </is>
      </c>
      <c r="AM276" s="41">
        <f>IF(ISNUMBER($AD276),Header!$I$3,"")</f>
      </c>
      <c r="AN276" s="39">
        <f>IF(ISNUMBER($AD276),$AO276+$AP276,"")</f>
      </c>
      <c r="AO276" s="39">
        <f>IF(ISNUMBER($AD276),ROUND($AD276*Header!$K$3,2),"")</f>
      </c>
      <c r="AP276" s="39">
        <f>IF(ISNUMBER($AD276),ROUND($AD276*Header!$M$3,2),"")</f>
      </c>
      <c r="AQ276" s="38">
        <f>IF(ISNUMBER($AD276),ROUND($AD276,2)-$AO276-$AP276,"")</f>
      </c>
      <c r="AR276" s="39">
        <f>IF(ISNUMBER($AD276),IF(Header!$D$34="","?",$AD276*Header!$D$34),"")</f>
      </c>
      <c r="AS276" s="39">
        <f>IF(ISNUMBER($AB276),IF(Header!$D$34="","?",$AB276*Header!$D$34),"")</f>
      </c>
      <c r="AT276" s="42">
        <f>IF(AND(ISNUMBER($AB276),$M276&gt;0),$AB276/$M276*100,"")</f>
      </c>
      <c r="AU276" s="42">
        <f>IF(AND(ISNUMBER($AD276),$M276&gt;0),$AD276/$M276*100,"")</f>
      </c>
      <c r="AV276" s="40">
        <f>IF(AND(ISNUMBER($AB276),ISNUMBER($AD276),ABS($AB276)&gt;0),$AD276/$AB276,"")</f>
      </c>
      <c r="AW276" s="39">
        <f>IF(ISNUMBER($AD276),MAX(0,(1-0.55-Header!$O$3)*Header!$Q$3*$AQ276),"")</f>
      </c>
      <c r="AX276" s="43">
        <f>IF($A276="","",IF(TRIM(IF($A276="","Missing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",""))="","PASS","FAIL: "&amp;TRIM(IF($A276="","Missing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f>
      </c>
      <c r="AY276" s="44">
        <f>IF($M276="","",IF(ISNUMBER($M276),IF($M276&gt;=Header!$C$18,"YES — refer","No"),""))</f>
      </c>
      <c r="AZ276" s="44">
        <f>IF($AD276="","",IF(ISNUMBER($AD276),IF($AD276&lt;Header!$C$20,"BELOW MIN PREMIUM","OK"),""))</f>
      </c>
      <c r="BA276" s="48" t="inlineStr">
        <is>
          <t xml:space="preserve">Yes</t>
        </is>
      </c>
      <c r="BB276" s="48" t="inlineStr">
        <is>
          <t xml:space="preserve">Yes</t>
        </is>
      </c>
      <c r="BC276" s="46" t="inlineStr">
        <is>
          <t xml:space="preserve">Synthetic demo data</t>
        </is>
      </c>
      <c r="BE276" s="45">
        <f>IF(OR($A276="",$L276="",$H276=""),"",IF(AND(LEFT($L276,2)="06",$H276&gt;1945),"FAIL - pre-war class, year "&amp;$H276,IF(AND(LEFT($L276,2)="07",OR($H276&lt;1946,$H276&gt;1972)),"FAIL - 1946-72 class, year "&amp;$H276,IF(AND(LEFT($L276,2)="08",OR($H276&lt;1973,$H276&gt;1999)),"FAIL - 1973-99 class, year "&amp;$H276,IF(AND(LEFT($L276,2)="09",OR($H276&lt;2000,$H276&gt;2010)),"FAIL - 2000-10 class, year "&amp;$H276,"OK")))))</f>
      </c>
      <c r="BF276" s="45">
        <f>IF($AD276="","",IF(ROUND($AO276+$AP276+$AQ276-$AD276,2)=0,"OK","FAIL - out by "&amp;TEXT($AO276+$AP276+$AQ276-$AD276,"$0.00")))</f>
      </c>
    </row>
    <row r="277" spans="1:58" ht="18.75" customHeight="1" x14ac:dyDescent="0.25">
      <c r="A277" s="30" t="inlineStr">
        <is>
          <t xml:space="preserve">CANON-202508-000371</t>
        </is>
      </c>
      <c r="B277" s="30" t="inlineStr">
        <is>
          <t xml:space="preserve">Sunniva Larsson</t>
        </is>
      </c>
      <c r="C277" s="31">
        <v>45895</v>
      </c>
      <c r="D277" s="32" t="inlineStr">
        <is>
          <t xml:space="preserve">Bound - within authority</t>
        </is>
      </c>
      <c r="E277" s="32" t="inlineStr">
        <is>
          <t xml:space="preserve">New business</t>
        </is>
      </c>
      <c r="F277" s="30" t="inlineStr">
        <is>
          <t xml:space="preserve">B1234EXOTIC26</t>
        </is>
      </c>
      <c r="G277" s="33">
        <f>IF($A277="","",IF($C277="","",YEAR($C277)))</f>
      </c>
      <c r="H277" s="34">
        <v>1996</v>
      </c>
      <c r="I277" s="30" t="inlineStr">
        <is>
          <t xml:space="preserve">Porsche</t>
        </is>
      </c>
      <c r="J277" s="30" t="inlineStr">
        <is>
          <t xml:space="preserve">911 Turbo S</t>
        </is>
      </c>
      <c r="K277" s="30" t="inlineStr">
        <is>
          <t xml:space="preserve">1AV81TYJW4AUUVWJV</t>
        </is>
      </c>
      <c r="L277" s="32" t="inlineStr">
        <is>
          <t xml:space="preserve">02 - Sports / GT</t>
        </is>
      </c>
      <c r="M277" s="35">
        <v>120000</v>
      </c>
      <c r="N277" s="32" t="inlineStr">
        <is>
          <t xml:space="preserve">Personal</t>
        </is>
      </c>
      <c r="O277" s="30" t="inlineStr">
        <is>
          <t xml:space="preserve">Personal - regular use</t>
        </is>
      </c>
      <c r="P277" s="30" t="inlineStr">
        <is>
          <t xml:space="preserve">2,500 - 5,000</t>
        </is>
      </c>
      <c r="Q277" s="30" t="inlineStr">
        <is>
          <t xml:space="preserve">Illinois</t>
        </is>
      </c>
      <c r="R277" s="30" t="inlineStr">
        <is>
          <t xml:space="preserve">60601</t>
        </is>
      </c>
      <c r="S277" s="32" t="inlineStr">
        <is>
          <t xml:space="preserve">Severe convective - hail / tornado (moderate)</t>
        </is>
      </c>
      <c r="T277" s="36">
        <f>IF($A277="","",IF($S277="","",IFERROR(INDEX('[1]natural catastrophe'!$D$6:$D$17,MATCH($S277,'[1]natural catastrophe'!$B$6:$B$17,0)),"?")))</f>
      </c>
      <c r="U277" s="30" t="inlineStr">
        <is>
          <t xml:space="preserve">$5,000</t>
        </is>
      </c>
      <c r="V277" s="32" t="inlineStr">
        <is>
          <t xml:space="preserve">Agreed Value</t>
        </is>
      </c>
      <c r="W277" s="30" t="inlineStr">
        <is>
          <t xml:space="preserve">$1,000</t>
        </is>
      </c>
      <c r="X277" s="32" t="inlineStr">
        <is>
          <t xml:space="preserve">$1,000,000 CSL</t>
        </is>
      </c>
      <c r="Y277" s="30"/>
      <c r="Z277" s="30"/>
      <c r="AA277" s="32" t="inlineStr">
        <is>
          <t xml:space="preserve">Surplus Lines</t>
        </is>
      </c>
      <c r="AB277" s="35">
        <v>2832.91</v>
      </c>
      <c r="AC277" s="37">
        <v>0</v>
      </c>
      <c r="AD277" s="38">
        <f>IF(ISNUMBER($AB277),$AB277*(1+N($AC277)),"")</f>
      </c>
      <c r="AE277" s="35">
        <v>350</v>
      </c>
      <c r="AF277" s="35">
        <v>0</v>
      </c>
      <c r="AG277" s="37"/>
      <c r="AH277" s="39">
        <f>IF(ISNUMBER($AD277),($AD277+$AE277+$AF277)*$AG277,"")</f>
      </c>
      <c r="AI277" s="35"/>
      <c r="AJ277" s="38">
        <f>IF(ISNUMBER($AD277),SUM($AD277:$AH277),"")</f>
      </c>
      <c r="AK277" s="40">
        <f>IF(AND(ISNUMBER($AB277),ISNUMBER($AD277)),IF($AB277&gt;0,$AD277/$AB277,""),"")</f>
      </c>
      <c r="AL277" s="32" t="inlineStr">
        <is>
          <t xml:space="preserve">At technical</t>
        </is>
      </c>
      <c r="AM277" s="41">
        <f>IF(ISNUMBER($AD277),Header!$I$3,"")</f>
      </c>
      <c r="AN277" s="39">
        <f>IF(ISNUMBER($AD277),$AO277+$AP277,"")</f>
      </c>
      <c r="AO277" s="39">
        <f>IF(ISNUMBER($AD277),ROUND($AD277*Header!$K$3,2),"")</f>
      </c>
      <c r="AP277" s="39">
        <f>IF(ISNUMBER($AD277),ROUND($AD277*Header!$M$3,2),"")</f>
      </c>
      <c r="AQ277" s="38">
        <f>IF(ISNUMBER($AD277),ROUND($AD277,2)-$AO277-$AP277,"")</f>
      </c>
      <c r="AR277" s="39">
        <f>IF(ISNUMBER($AD277),IF(Header!$D$34="","?",$AD277*Header!$D$34),"")</f>
      </c>
      <c r="AS277" s="39">
        <f>IF(ISNUMBER($AB277),IF(Header!$D$34="","?",$AB277*Header!$D$34),"")</f>
      </c>
      <c r="AT277" s="42">
        <f>IF(AND(ISNUMBER($AB277),$M277&gt;0),$AB277/$M277*100,"")</f>
      </c>
      <c r="AU277" s="42">
        <f>IF(AND(ISNUMBER($AD277),$M277&gt;0),$AD277/$M277*100,"")</f>
      </c>
      <c r="AV277" s="40">
        <f>IF(AND(ISNUMBER($AB277),ISNUMBER($AD277),ABS($AB277)&gt;0),$AD277/$AB277,"")</f>
      </c>
      <c r="AW277" s="39">
        <f>IF(ISNUMBER($AD277),MAX(0,(1-0.55-Header!$O$3)*Header!$Q$3*$AQ277),"")</f>
      </c>
      <c r="AX277" s="43">
        <f>IF($A277="","",IF(TRIM(IF($A277="","Missing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",""))="","PASS","FAIL: "&amp;TRIM(IF($A277="","Missing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f>
      </c>
      <c r="AY277" s="44">
        <f>IF($M277="","",IF(ISNUMBER($M277),IF($M277&gt;=Header!$C$18,"YES — refer","No"),""))</f>
      </c>
      <c r="AZ277" s="44">
        <f>IF($AD277="","",IF(ISNUMBER($AD277),IF($AD277&lt;Header!$C$20,"BELOW MIN PREMIUM","OK"),""))</f>
      </c>
      <c r="BA277" s="32" t="inlineStr">
        <is>
          <t xml:space="preserve">Yes</t>
        </is>
      </c>
      <c r="BB277" s="32" t="inlineStr">
        <is>
          <t xml:space="preserve">Yes</t>
        </is>
      </c>
      <c r="BC277" s="30" t="inlineStr">
        <is>
          <t xml:space="preserve">Synthetic demo data</t>
        </is>
      </c>
      <c r="BE277" s="45">
        <f>IF(OR($A277="",$L277="",$H277=""),"",IF(AND(LEFT($L277,2)="06",$H277&gt;1945),"FAIL - pre-war class, year "&amp;$H277,IF(AND(LEFT($L277,2)="07",OR($H277&lt;1946,$H277&gt;1972)),"FAIL - 1946-72 class, year "&amp;$H277,IF(AND(LEFT($L277,2)="08",OR($H277&lt;1973,$H277&gt;1999)),"FAIL - 1973-99 class, year "&amp;$H277,IF(AND(LEFT($L277,2)="09",OR($H277&lt;2000,$H277&gt;2010)),"FAIL - 2000-10 class, year "&amp;$H277,"OK")))))</f>
      </c>
      <c r="BF277" s="45">
        <f>IF($AD277="","",IF(ROUND($AO277+$AP277+$AQ277-$AD277,2)=0,"OK","FAIL - out by "&amp;TEXT($AO277+$AP277+$AQ277-$AD277,"$0.00")))</f>
      </c>
    </row>
    <row r="278" spans="1:58" ht="18.75" customHeight="1" x14ac:dyDescent="0.25">
      <c r="A278" s="46" t="inlineStr">
        <is>
          <t xml:space="preserve">CANON-202508-000372</t>
        </is>
      </c>
      <c r="B278" s="46" t="inlineStr">
        <is>
          <t xml:space="preserve">Leopold Harrington</t>
        </is>
      </c>
      <c r="C278" s="47">
        <v>45871</v>
      </c>
      <c r="D278" s="48" t="inlineStr">
        <is>
          <t xml:space="preserve">Bound - within authority</t>
        </is>
      </c>
      <c r="E278" s="48" t="inlineStr">
        <is>
          <t xml:space="preserve">New business</t>
        </is>
      </c>
      <c r="F278" s="46" t="inlineStr">
        <is>
          <t xml:space="preserve">B1234EXOTIC26</t>
        </is>
      </c>
      <c r="G278" s="33">
        <f>IF($A278="","",IF($C278="","",YEAR($C278)))</f>
      </c>
      <c r="H278" s="49">
        <v>2023</v>
      </c>
      <c r="I278" s="46" t="inlineStr">
        <is>
          <t xml:space="preserve">Ferrari</t>
        </is>
      </c>
      <c r="J278" s="46" t="inlineStr">
        <is>
          <t xml:space="preserve">275 GTB/4</t>
        </is>
      </c>
      <c r="K278" s="46" t="inlineStr">
        <is>
          <t xml:space="preserve">JAWCUGB5LHJF084HE</t>
        </is>
      </c>
      <c r="L278" s="48" t="inlineStr">
        <is>
          <t xml:space="preserve">02 - Sports / GT</t>
        </is>
      </c>
      <c r="M278" s="50">
        <v>1365000</v>
      </c>
      <c r="N278" s="48" t="inlineStr">
        <is>
          <t xml:space="preserve">Personal</t>
        </is>
      </c>
      <c r="O278" s="46" t="inlineStr">
        <is>
          <t xml:space="preserve">Personal - regular use</t>
        </is>
      </c>
      <c r="P278" s="46" t="inlineStr">
        <is>
          <t xml:space="preserve">1,000 - 2,500</t>
        </is>
      </c>
      <c r="Q278" s="46" t="inlineStr">
        <is>
          <t xml:space="preserve">Massachusetts</t>
        </is>
      </c>
      <c r="R278" s="46" t="inlineStr">
        <is>
          <t xml:space="preserve">02108</t>
        </is>
      </c>
      <c r="S278" s="48" t="inlineStr">
        <is>
          <t xml:space="preserve">Tier 3 - Coastal wind (25-100 miles)</t>
        </is>
      </c>
      <c r="T278" s="36">
        <f>IF($A278="","",IF($S278="","",IFERROR(INDEX('[1]natural catastrophe'!$D$6:$D$17,MATCH($S278,'[1]natural catastrophe'!$B$6:$B$17,0)),"?")))</f>
      </c>
      <c r="U278" s="46" t="inlineStr">
        <is>
          <t xml:space="preserve">2% of agreed value, minimum $10,000</t>
        </is>
      </c>
      <c r="V278" s="48" t="inlineStr">
        <is>
          <t xml:space="preserve">Agreed Value</t>
        </is>
      </c>
      <c r="W278" s="46" t="inlineStr">
        <is>
          <t xml:space="preserve">$1,000</t>
        </is>
      </c>
      <c r="X278" s="48" t="inlineStr">
        <is>
          <t xml:space="preserve">$1,000,000 CSL</t>
        </is>
      </c>
      <c r="Y278" s="46"/>
      <c r="Z278" s="46"/>
      <c r="AA278" s="48" t="inlineStr">
        <is>
          <t xml:space="preserve">Surplus Lines</t>
        </is>
      </c>
      <c r="AB278" s="50">
        <v>12233.49</v>
      </c>
      <c r="AC278" s="51">
        <v>0</v>
      </c>
      <c r="AD278" s="38">
        <f>IF(ISNUMBER($AB278),$AB278*(1+N($AC278)),"")</f>
      </c>
      <c r="AE278" s="50">
        <v>350</v>
      </c>
      <c r="AF278" s="50">
        <v>250</v>
      </c>
      <c r="AG278" s="51"/>
      <c r="AH278" s="39">
        <f>IF(ISNUMBER($AD278),($AD278+$AE278+$AF278)*$AG278,"")</f>
      </c>
      <c r="AI278" s="50"/>
      <c r="AJ278" s="38">
        <f>IF(ISNUMBER($AD278),SUM($AD278:$AH278),"")</f>
      </c>
      <c r="AK278" s="40">
        <f>IF(AND(ISNUMBER($AB278),ISNUMBER($AD278)),IF($AB278&gt;0,$AD278/$AB278,""),"")</f>
      </c>
      <c r="AL278" s="48" t="inlineStr">
        <is>
          <t xml:space="preserve">At technical</t>
        </is>
      </c>
      <c r="AM278" s="41">
        <f>IF(ISNUMBER($AD278),Header!$I$3,"")</f>
      </c>
      <c r="AN278" s="39">
        <f>IF(ISNUMBER($AD278),$AO278+$AP278,"")</f>
      </c>
      <c r="AO278" s="39">
        <f>IF(ISNUMBER($AD278),ROUND($AD278*Header!$K$3,2),"")</f>
      </c>
      <c r="AP278" s="39">
        <f>IF(ISNUMBER($AD278),ROUND($AD278*Header!$M$3,2),"")</f>
      </c>
      <c r="AQ278" s="38">
        <f>IF(ISNUMBER($AD278),ROUND($AD278,2)-$AO278-$AP278,"")</f>
      </c>
      <c r="AR278" s="39">
        <f>IF(ISNUMBER($AD278),IF(Header!$D$34="","?",$AD278*Header!$D$34),"")</f>
      </c>
      <c r="AS278" s="39">
        <f>IF(ISNUMBER($AB278),IF(Header!$D$34="","?",$AB278*Header!$D$34),"")</f>
      </c>
      <c r="AT278" s="42">
        <f>IF(AND(ISNUMBER($AB278),$M278&gt;0),$AB278/$M278*100,"")</f>
      </c>
      <c r="AU278" s="42">
        <f>IF(AND(ISNUMBER($AD278),$M278&gt;0),$AD278/$M278*100,"")</f>
      </c>
      <c r="AV278" s="40">
        <f>IF(AND(ISNUMBER($AB278),ISNUMBER($AD278),ABS($AB278)&gt;0),$AD278/$AB278,"")</f>
      </c>
      <c r="AW278" s="39">
        <f>IF(ISNUMBER($AD278),MAX(0,(1-0.55-Header!$O$3)*Header!$Q$3*$AQ278),"")</f>
      </c>
      <c r="AX278" s="43">
        <f>IF($A278="","",IF(TRIM(IF($A278="","Missing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",""))="","PASS","FAIL: "&amp;TRIM(IF($A278="","Missing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f>
      </c>
      <c r="AY278" s="44">
        <f>IF($M278="","",IF(ISNUMBER($M278),IF($M278&gt;=Header!$C$18,"YES — refer","No"),""))</f>
      </c>
      <c r="AZ278" s="44">
        <f>IF($AD278="","",IF(ISNUMBER($AD278),IF($AD278&lt;Header!$C$20,"BELOW MIN PREMIUM","OK"),""))</f>
      </c>
      <c r="BA278" s="48" t="inlineStr">
        <is>
          <t xml:space="preserve">Yes</t>
        </is>
      </c>
      <c r="BB278" s="48" t="inlineStr">
        <is>
          <t xml:space="preserve">Yes</t>
        </is>
      </c>
      <c r="BC278" s="46" t="inlineStr">
        <is>
          <t xml:space="preserve">Synthetic demo data</t>
        </is>
      </c>
      <c r="BE278" s="45">
        <f>IF(OR($A278="",$L278="",$H278=""),"",IF(AND(LEFT($L278,2)="06",$H278&gt;1945),"FAIL - pre-war class, year "&amp;$H278,IF(AND(LEFT($L278,2)="07",OR($H278&lt;1946,$H278&gt;1972)),"FAIL - 1946-72 class, year "&amp;$H278,IF(AND(LEFT($L278,2)="08",OR($H278&lt;1973,$H278&gt;1999)),"FAIL - 1973-99 class, year "&amp;$H278,IF(AND(LEFT($L278,2)="09",OR($H278&lt;2000,$H278&gt;2010)),"FAIL - 2000-10 class, year "&amp;$H278,"OK")))))</f>
      </c>
      <c r="BF278" s="45">
        <f>IF($AD278="","",IF(ROUND($AO278+$AP278+$AQ278-$AD278,2)=0,"OK","FAIL - out by "&amp;TEXT($AO278+$AP278+$AQ278-$AD278,"$0.00")))</f>
      </c>
    </row>
    <row r="279" spans="1:58" ht="18.75" customHeight="1" x14ac:dyDescent="0.25">
      <c r="A279" s="30" t="inlineStr">
        <is>
          <t xml:space="preserve">CANON-202508-000373</t>
        </is>
      </c>
      <c r="B279" s="30" t="inlineStr">
        <is>
          <t xml:space="preserve">Delphine Vandermeer</t>
        </is>
      </c>
      <c r="C279" s="31">
        <v>45870</v>
      </c>
      <c r="D279" s="32" t="inlineStr">
        <is>
          <t xml:space="preserve">Bound - within authority</t>
        </is>
      </c>
      <c r="E279" s="32" t="inlineStr">
        <is>
          <t xml:space="preserve">New business</t>
        </is>
      </c>
      <c r="F279" s="30" t="inlineStr">
        <is>
          <t xml:space="preserve">B1234EXOTIC26</t>
        </is>
      </c>
      <c r="G279" s="33">
        <f>IF($A279="","",IF($C279="","",YEAR($C279)))</f>
      </c>
      <c r="H279" s="34">
        <v>1962</v>
      </c>
      <c r="I279" s="30" t="inlineStr">
        <is>
          <t xml:space="preserve">McLaren</t>
        </is>
      </c>
      <c r="J279" s="30" t="inlineStr">
        <is>
          <t xml:space="preserve">750S</t>
        </is>
      </c>
      <c r="K279" s="30" t="inlineStr">
        <is>
          <t xml:space="preserve">KCN3VP894LCHCL71E</t>
        </is>
      </c>
      <c r="L279" s="32" t="inlineStr">
        <is>
          <t xml:space="preserve">03 - Supercar</t>
        </is>
      </c>
      <c r="M279" s="35">
        <v>555000</v>
      </c>
      <c r="N279" s="32" t="inlineStr">
        <is>
          <t xml:space="preserve">Personal</t>
        </is>
      </c>
      <c r="O279" s="30" t="inlineStr">
        <is>
          <t xml:space="preserve">Personal - regular use</t>
        </is>
      </c>
      <c r="P279" s="30" t="inlineStr">
        <is>
          <t xml:space="preserve">1,000 - 2,500</t>
        </is>
      </c>
      <c r="Q279" s="30" t="inlineStr">
        <is>
          <t xml:space="preserve">Maryland</t>
        </is>
      </c>
      <c r="R279" s="30" t="inlineStr">
        <is>
          <t xml:space="preserve">21201</t>
        </is>
      </c>
      <c r="S279" s="32" t="inlineStr">
        <is>
          <t xml:space="preserve">Tier 3 - Coastal wind (25-100 miles)</t>
        </is>
      </c>
      <c r="T279" s="36">
        <f>IF($A279="","",IF($S279="","",IFERROR(INDEX('[1]natural catastrophe'!$D$6:$D$17,MATCH($S279,'[1]natural catastrophe'!$B$6:$B$17,0)),"?")))</f>
      </c>
      <c r="U279" s="30" t="inlineStr">
        <is>
          <t xml:space="preserve">2% of agreed value, minimum $10,000</t>
        </is>
      </c>
      <c r="V279" s="32" t="inlineStr">
        <is>
          <t xml:space="preserve">Agreed Value</t>
        </is>
      </c>
      <c r="W279" s="30" t="inlineStr">
        <is>
          <t xml:space="preserve">$1,000</t>
        </is>
      </c>
      <c r="X279" s="32" t="inlineStr">
        <is>
          <t xml:space="preserve">$1,000,000 CSL</t>
        </is>
      </c>
      <c r="Y279" s="30"/>
      <c r="Z279" s="30"/>
      <c r="AA279" s="32" t="inlineStr">
        <is>
          <t xml:space="preserve">Surplus Lines</t>
        </is>
      </c>
      <c r="AB279" s="35">
        <v>9450.71</v>
      </c>
      <c r="AC279" s="37">
        <v>0</v>
      </c>
      <c r="AD279" s="38">
        <f>IF(ISNUMBER($AB279),$AB279*(1+N($AC279)),"")</f>
      </c>
      <c r="AE279" s="35">
        <v>350</v>
      </c>
      <c r="AF279" s="35">
        <v>0</v>
      </c>
      <c r="AG279" s="37"/>
      <c r="AH279" s="39">
        <f>IF(ISNUMBER($AD279),($AD279+$AE279+$AF279)*$AG279,"")</f>
      </c>
      <c r="AI279" s="35"/>
      <c r="AJ279" s="38">
        <f>IF(ISNUMBER($AD279),SUM($AD279:$AH279),"")</f>
      </c>
      <c r="AK279" s="40">
        <f>IF(AND(ISNUMBER($AB279),ISNUMBER($AD279)),IF($AB279&gt;0,$AD279/$AB279,""),"")</f>
      </c>
      <c r="AL279" s="32" t="inlineStr">
        <is>
          <t xml:space="preserve">At technical</t>
        </is>
      </c>
      <c r="AM279" s="41">
        <f>IF(ISNUMBER($AD279),Header!$I$3,"")</f>
      </c>
      <c r="AN279" s="39">
        <f>IF(ISNUMBER($AD279),$AO279+$AP279,"")</f>
      </c>
      <c r="AO279" s="39">
        <f>IF(ISNUMBER($AD279),ROUND($AD279*Header!$K$3,2),"")</f>
      </c>
      <c r="AP279" s="39">
        <f>IF(ISNUMBER($AD279),ROUND($AD279*Header!$M$3,2),"")</f>
      </c>
      <c r="AQ279" s="38">
        <f>IF(ISNUMBER($AD279),ROUND($AD279,2)-$AO279-$AP279,"")</f>
      </c>
      <c r="AR279" s="39">
        <f>IF(ISNUMBER($AD279),IF(Header!$D$34="","?",$AD279*Header!$D$34),"")</f>
      </c>
      <c r="AS279" s="39">
        <f>IF(ISNUMBER($AB279),IF(Header!$D$34="","?",$AB279*Header!$D$34),"")</f>
      </c>
      <c r="AT279" s="42">
        <f>IF(AND(ISNUMBER($AB279),$M279&gt;0),$AB279/$M279*100,"")</f>
      </c>
      <c r="AU279" s="42">
        <f>IF(AND(ISNUMBER($AD279),$M279&gt;0),$AD279/$M279*100,"")</f>
      </c>
      <c r="AV279" s="40">
        <f>IF(AND(ISNUMBER($AB279),ISNUMBER($AD279),ABS($AB279)&gt;0),$AD279/$AB279,"")</f>
      </c>
      <c r="AW279" s="39">
        <f>IF(ISNUMBER($AD279),MAX(0,(1-0.55-Header!$O$3)*Header!$Q$3*$AQ279),"")</f>
      </c>
      <c r="AX279" s="43">
        <f>IF($A279="","",IF(TRIM(IF($A279="","Missing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",""))="","PASS","FAIL: "&amp;TRIM(IF($A279="","Missing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f>
      </c>
      <c r="AY279" s="44">
        <f>IF($M279="","",IF(ISNUMBER($M279),IF($M279&gt;=Header!$C$18,"YES — refer","No"),""))</f>
      </c>
      <c r="AZ279" s="44">
        <f>IF($AD279="","",IF(ISNUMBER($AD279),IF($AD279&lt;Header!$C$20,"BELOW MIN PREMIUM","OK"),""))</f>
      </c>
      <c r="BA279" s="32" t="inlineStr">
        <is>
          <t xml:space="preserve">Yes</t>
        </is>
      </c>
      <c r="BB279" s="32" t="inlineStr">
        <is>
          <t xml:space="preserve">Yes</t>
        </is>
      </c>
      <c r="BC279" s="30" t="inlineStr">
        <is>
          <t xml:space="preserve">Synthetic demo data</t>
        </is>
      </c>
      <c r="BE279" s="45">
        <f>IF(OR($A279="",$L279="",$H279=""),"",IF(AND(LEFT($L279,2)="06",$H279&gt;1945),"FAIL - pre-war class, year "&amp;$H279,IF(AND(LEFT($L279,2)="07",OR($H279&lt;1946,$H279&gt;1972)),"FAIL - 1946-72 class, year "&amp;$H279,IF(AND(LEFT($L279,2)="08",OR($H279&lt;1973,$H279&gt;1999)),"FAIL - 1973-99 class, year "&amp;$H279,IF(AND(LEFT($L279,2)="09",OR($H279&lt;2000,$H279&gt;2010)),"FAIL - 2000-10 class, year "&amp;$H279,"OK")))))</f>
      </c>
      <c r="BF279" s="45">
        <f>IF($AD279="","",IF(ROUND($AO279+$AP279+$AQ279-$AD279,2)=0,"OK","FAIL - out by "&amp;TEXT($AO279+$AP279+$AQ279-$AD279,"$0.00")))</f>
      </c>
    </row>
    <row r="280" spans="1:58" ht="18.75" customHeight="1" x14ac:dyDescent="0.25">
      <c r="A280" s="46" t="inlineStr">
        <is>
          <t xml:space="preserve">CANON-202508-000374</t>
        </is>
      </c>
      <c r="B280" s="46" t="inlineStr">
        <is>
          <t xml:space="preserve">Ramona Fairweather</t>
        </is>
      </c>
      <c r="C280" s="47">
        <v>45882</v>
      </c>
      <c r="D280" s="48" t="inlineStr">
        <is>
          <t xml:space="preserve">Bound - within authority</t>
        </is>
      </c>
      <c r="E280" s="48" t="inlineStr">
        <is>
          <t xml:space="preserve">New business</t>
        </is>
      </c>
      <c r="F280" s="46" t="inlineStr">
        <is>
          <t xml:space="preserve">B1234EXOTIC26</t>
        </is>
      </c>
      <c r="G280" s="33">
        <f>IF($A280="","",IF($C280="","",YEAR($C280)))</f>
      </c>
      <c r="H280" s="49">
        <v>1995</v>
      </c>
      <c r="I280" s="46" t="inlineStr">
        <is>
          <t xml:space="preserve">Ferrari</t>
        </is>
      </c>
      <c r="J280" s="46" t="inlineStr">
        <is>
          <t xml:space="preserve">SF90 Stradale</t>
        </is>
      </c>
      <c r="K280" s="46" t="inlineStr">
        <is>
          <t xml:space="preserve">2E0SK8APSHN56ZM16</t>
        </is>
      </c>
      <c r="L280" s="48" t="inlineStr">
        <is>
          <t xml:space="preserve">03 - Supercar</t>
        </is>
      </c>
      <c r="M280" s="50">
        <v>570000</v>
      </c>
      <c r="N280" s="48" t="inlineStr">
        <is>
          <t xml:space="preserve">Personal</t>
        </is>
      </c>
      <c r="O280" s="46" t="inlineStr">
        <is>
          <t xml:space="preserve">Personal - regular use</t>
        </is>
      </c>
      <c r="P280" s="46" t="inlineStr">
        <is>
          <t xml:space="preserve">Under 1,000</t>
        </is>
      </c>
      <c r="Q280" s="46" t="inlineStr">
        <is>
          <t xml:space="preserve">Texas</t>
        </is>
      </c>
      <c r="R280" s="46" t="inlineStr">
        <is>
          <t xml:space="preserve">75201</t>
        </is>
      </c>
      <c r="S280" s="48" t="inlineStr">
        <is>
          <t xml:space="preserve">Tier 2 - Coastal wind (1-25 miles)</t>
        </is>
      </c>
      <c r="T280" s="36">
        <f>IF($A280="","",IF($S280="","",IFERROR(INDEX('[1]natural catastrophe'!$D$6:$D$17,MATCH($S280,'[1]natural catastrophe'!$B$6:$B$17,0)),"?")))</f>
      </c>
      <c r="U280" s="46" t="inlineStr">
        <is>
          <t xml:space="preserve">2% of agreed value, minimum $10,000</t>
        </is>
      </c>
      <c r="V280" s="48" t="inlineStr">
        <is>
          <t xml:space="preserve">Agreed Value</t>
        </is>
      </c>
      <c r="W280" s="46" t="inlineStr">
        <is>
          <t xml:space="preserve">$1,000</t>
        </is>
      </c>
      <c r="X280" s="48" t="inlineStr">
        <is>
          <t xml:space="preserve">$1,000,000 CSL</t>
        </is>
      </c>
      <c r="Y280" s="46"/>
      <c r="Z280" s="46"/>
      <c r="AA280" s="48" t="inlineStr">
        <is>
          <t xml:space="preserve">Surplus Lines</t>
        </is>
      </c>
      <c r="AB280" s="50">
        <v>11749.53</v>
      </c>
      <c r="AC280" s="51">
        <v>0</v>
      </c>
      <c r="AD280" s="38">
        <f>IF(ISNUMBER($AB280),$AB280*(1+N($AC280)),"")</f>
      </c>
      <c r="AE280" s="50">
        <v>350</v>
      </c>
      <c r="AF280" s="50">
        <v>0</v>
      </c>
      <c r="AG280" s="51"/>
      <c r="AH280" s="39">
        <f>IF(ISNUMBER($AD280),($AD280+$AE280+$AF280)*$AG280,"")</f>
      </c>
      <c r="AI280" s="50"/>
      <c r="AJ280" s="38">
        <f>IF(ISNUMBER($AD280),SUM($AD280:$AH280),"")</f>
      </c>
      <c r="AK280" s="40">
        <f>IF(AND(ISNUMBER($AB280),ISNUMBER($AD280)),IF($AB280&gt;0,$AD280/$AB280,""),"")</f>
      </c>
      <c r="AL280" s="48" t="inlineStr">
        <is>
          <t xml:space="preserve">At technical</t>
        </is>
      </c>
      <c r="AM280" s="41">
        <f>IF(ISNUMBER($AD280),Header!$I$3,"")</f>
      </c>
      <c r="AN280" s="39">
        <f>IF(ISNUMBER($AD280),$AO280+$AP280,"")</f>
      </c>
      <c r="AO280" s="39">
        <f>IF(ISNUMBER($AD280),ROUND($AD280*Header!$K$3,2),"")</f>
      </c>
      <c r="AP280" s="39">
        <f>IF(ISNUMBER($AD280),ROUND($AD280*Header!$M$3,2),"")</f>
      </c>
      <c r="AQ280" s="38">
        <f>IF(ISNUMBER($AD280),ROUND($AD280,2)-$AO280-$AP280,"")</f>
      </c>
      <c r="AR280" s="39">
        <f>IF(ISNUMBER($AD280),IF(Header!$D$34="","?",$AD280*Header!$D$34),"")</f>
      </c>
      <c r="AS280" s="39">
        <f>IF(ISNUMBER($AB280),IF(Header!$D$34="","?",$AB280*Header!$D$34),"")</f>
      </c>
      <c r="AT280" s="42">
        <f>IF(AND(ISNUMBER($AB280),$M280&gt;0),$AB280/$M280*100,"")</f>
      </c>
      <c r="AU280" s="42">
        <f>IF(AND(ISNUMBER($AD280),$M280&gt;0),$AD280/$M280*100,"")</f>
      </c>
      <c r="AV280" s="40">
        <f>IF(AND(ISNUMBER($AB280),ISNUMBER($AD280),ABS($AB280)&gt;0),$AD280/$AB280,"")</f>
      </c>
      <c r="AW280" s="39">
        <f>IF(ISNUMBER($AD280),MAX(0,(1-0.55-Header!$O$3)*Header!$Q$3*$AQ280),"")</f>
      </c>
      <c r="AX280" s="43">
        <f>IF($A280="","",IF(TRIM(IF($A280="","Missing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",""))="","PASS","FAIL: "&amp;TRIM(IF($A280="","Missing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f>
      </c>
      <c r="AY280" s="44">
        <f>IF($M280="","",IF(ISNUMBER($M280),IF($M280&gt;=Header!$C$18,"YES — refer","No"),""))</f>
      </c>
      <c r="AZ280" s="44">
        <f>IF($AD280="","",IF(ISNUMBER($AD280),IF($AD280&lt;Header!$C$20,"BELOW MIN PREMIUM","OK"),""))</f>
      </c>
      <c r="BA280" s="48" t="inlineStr">
        <is>
          <t xml:space="preserve">Yes</t>
        </is>
      </c>
      <c r="BB280" s="48" t="inlineStr">
        <is>
          <t xml:space="preserve">Yes</t>
        </is>
      </c>
      <c r="BC280" s="46" t="inlineStr">
        <is>
          <t xml:space="preserve">Synthetic demo data</t>
        </is>
      </c>
      <c r="BE280" s="45">
        <f>IF(OR($A280="",$L280="",$H280=""),"",IF(AND(LEFT($L280,2)="06",$H280&gt;1945),"FAIL - pre-war class, year "&amp;$H280,IF(AND(LEFT($L280,2)="07",OR($H280&lt;1946,$H280&gt;1972)),"FAIL - 1946-72 class, year "&amp;$H280,IF(AND(LEFT($L280,2)="08",OR($H280&lt;1973,$H280&gt;1999)),"FAIL - 1973-99 class, year "&amp;$H280,IF(AND(LEFT($L280,2)="09",OR($H280&lt;2000,$H280&gt;2010)),"FAIL - 2000-10 class, year "&amp;$H280,"OK")))))</f>
      </c>
      <c r="BF280" s="45">
        <f>IF($AD280="","",IF(ROUND($AO280+$AP280+$AQ280-$AD280,2)=0,"OK","FAIL - out by "&amp;TEXT($AO280+$AP280+$AQ280-$AD280,"$0.00")))</f>
      </c>
    </row>
    <row r="281" spans="1:58" ht="18.75" customHeight="1" x14ac:dyDescent="0.25">
      <c r="A281" s="30" t="inlineStr">
        <is>
          <t xml:space="preserve">CANON-202508-000375</t>
        </is>
      </c>
      <c r="B281" s="30" t="inlineStr">
        <is>
          <t xml:space="preserve">Marisol Bellandi</t>
        </is>
      </c>
      <c r="C281" s="31">
        <v>45891</v>
      </c>
      <c r="D281" s="32" t="inlineStr">
        <is>
          <t xml:space="preserve">Bound - within authority</t>
        </is>
      </c>
      <c r="E281" s="32" t="inlineStr">
        <is>
          <t xml:space="preserve">New business</t>
        </is>
      </c>
      <c r="F281" s="30" t="inlineStr">
        <is>
          <t xml:space="preserve">B1234EXOTIC26</t>
        </is>
      </c>
      <c r="G281" s="33">
        <f>IF($A281="","",IF($C281="","",YEAR($C281)))</f>
      </c>
      <c r="H281" s="34">
        <v>2004</v>
      </c>
      <c r="I281" s="30" t="inlineStr">
        <is>
          <t xml:space="preserve">Bentley</t>
        </is>
      </c>
      <c r="J281" s="30" t="inlineStr">
        <is>
          <t xml:space="preserve">Continental GT</t>
        </is>
      </c>
      <c r="K281" s="30" t="inlineStr">
        <is>
          <t xml:space="preserve">8H7MGW8S0UKB4U3DC</t>
        </is>
      </c>
      <c r="L281" s="32" t="inlineStr">
        <is>
          <t xml:space="preserve">02 - Sports / GT</t>
        </is>
      </c>
      <c r="M281" s="35">
        <v>480000</v>
      </c>
      <c r="N281" s="32" t="inlineStr">
        <is>
          <t xml:space="preserve">Personal</t>
        </is>
      </c>
      <c r="O281" s="30" t="inlineStr">
        <is>
          <t xml:space="preserve">Personal - regular use</t>
        </is>
      </c>
      <c r="P281" s="30" t="inlineStr">
        <is>
          <t xml:space="preserve">2,500 - 5,000</t>
        </is>
      </c>
      <c r="Q281" s="30" t="inlineStr">
        <is>
          <t xml:space="preserve">Michigan</t>
        </is>
      </c>
      <c r="R281" s="30" t="inlineStr">
        <is>
          <t xml:space="preserve">48226</t>
        </is>
      </c>
      <c r="S281" s="32" t="inlineStr">
        <is>
          <t xml:space="preserve">Severe convective - hail / tornado (moderate)</t>
        </is>
      </c>
      <c r="T281" s="36">
        <f>IF($A281="","",IF($S281="","",IFERROR(INDEX('[1]natural catastrophe'!$D$6:$D$17,MATCH($S281,'[1]natural catastrophe'!$B$6:$B$17,0)),"?")))</f>
      </c>
      <c r="U281" s="30" t="inlineStr">
        <is>
          <t xml:space="preserve">$5,000</t>
        </is>
      </c>
      <c r="V281" s="32" t="inlineStr">
        <is>
          <t xml:space="preserve">Agreed Value</t>
        </is>
      </c>
      <c r="W281" s="30" t="inlineStr">
        <is>
          <t xml:space="preserve">$1,000</t>
        </is>
      </c>
      <c r="X281" s="32" t="inlineStr">
        <is>
          <t xml:space="preserve">$1,000,000 CSL</t>
        </is>
      </c>
      <c r="Y281" s="30"/>
      <c r="Z281" s="30"/>
      <c r="AA281" s="32" t="inlineStr">
        <is>
          <t xml:space="preserve">Surplus Lines</t>
        </is>
      </c>
      <c r="AB281" s="35">
        <v>10528.3</v>
      </c>
      <c r="AC281" s="37">
        <v>0</v>
      </c>
      <c r="AD281" s="38">
        <f>IF(ISNUMBER($AB281),$AB281*(1+N($AC281)),"")</f>
      </c>
      <c r="AE281" s="35">
        <v>350</v>
      </c>
      <c r="AF281" s="35">
        <v>0</v>
      </c>
      <c r="AG281" s="37"/>
      <c r="AH281" s="39">
        <f>IF(ISNUMBER($AD281),($AD281+$AE281+$AF281)*$AG281,"")</f>
      </c>
      <c r="AI281" s="35"/>
      <c r="AJ281" s="38">
        <f>IF(ISNUMBER($AD281),SUM($AD281:$AH281),"")</f>
      </c>
      <c r="AK281" s="40">
        <f>IF(AND(ISNUMBER($AB281),ISNUMBER($AD281)),IF($AB281&gt;0,$AD281/$AB281,""),"")</f>
      </c>
      <c r="AL281" s="32" t="inlineStr">
        <is>
          <t xml:space="preserve">At technical</t>
        </is>
      </c>
      <c r="AM281" s="41">
        <f>IF(ISNUMBER($AD281),Header!$I$3,"")</f>
      </c>
      <c r="AN281" s="39">
        <f>IF(ISNUMBER($AD281),$AO281+$AP281,"")</f>
      </c>
      <c r="AO281" s="39">
        <f>IF(ISNUMBER($AD281),ROUND($AD281*Header!$K$3,2),"")</f>
      </c>
      <c r="AP281" s="39">
        <f>IF(ISNUMBER($AD281),ROUND($AD281*Header!$M$3,2),"")</f>
      </c>
      <c r="AQ281" s="38">
        <f>IF(ISNUMBER($AD281),ROUND($AD281,2)-$AO281-$AP281,"")</f>
      </c>
      <c r="AR281" s="39">
        <f>IF(ISNUMBER($AD281),IF(Header!$D$34="","?",$AD281*Header!$D$34),"")</f>
      </c>
      <c r="AS281" s="39">
        <f>IF(ISNUMBER($AB281),IF(Header!$D$34="","?",$AB281*Header!$D$34),"")</f>
      </c>
      <c r="AT281" s="42">
        <f>IF(AND(ISNUMBER($AB281),$M281&gt;0),$AB281/$M281*100,"")</f>
      </c>
      <c r="AU281" s="42">
        <f>IF(AND(ISNUMBER($AD281),$M281&gt;0),$AD281/$M281*100,"")</f>
      </c>
      <c r="AV281" s="40">
        <f>IF(AND(ISNUMBER($AB281),ISNUMBER($AD281),ABS($AB281)&gt;0),$AD281/$AB281,"")</f>
      </c>
      <c r="AW281" s="39">
        <f>IF(ISNUMBER($AD281),MAX(0,(1-0.55-Header!$O$3)*Header!$Q$3*$AQ281),"")</f>
      </c>
      <c r="AX281" s="43">
        <f>IF($A281="","",IF(TRIM(IF($A281="","Missing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",""))="","PASS","FAIL: "&amp;TRIM(IF($A281="","Missing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f>
      </c>
      <c r="AY281" s="44">
        <f>IF($M281="","",IF(ISNUMBER($M281),IF($M281&gt;=Header!$C$18,"YES — refer","No"),""))</f>
      </c>
      <c r="AZ281" s="44">
        <f>IF($AD281="","",IF(ISNUMBER($AD281),IF($AD281&lt;Header!$C$20,"BELOW MIN PREMIUM","OK"),""))</f>
      </c>
      <c r="BA281" s="32" t="inlineStr">
        <is>
          <t xml:space="preserve">Yes</t>
        </is>
      </c>
      <c r="BB281" s="32" t="inlineStr">
        <is>
          <t xml:space="preserve">Yes</t>
        </is>
      </c>
      <c r="BC281" s="30" t="inlineStr">
        <is>
          <t xml:space="preserve">Synthetic demo data</t>
        </is>
      </c>
      <c r="BE281" s="45">
        <f>IF(OR($A281="",$L281="",$H281=""),"",IF(AND(LEFT($L281,2)="06",$H281&gt;1945),"FAIL - pre-war class, year "&amp;$H281,IF(AND(LEFT($L281,2)="07",OR($H281&lt;1946,$H281&gt;1972)),"FAIL - 1946-72 class, year "&amp;$H281,IF(AND(LEFT($L281,2)="08",OR($H281&lt;1973,$H281&gt;1999)),"FAIL - 1973-99 class, year "&amp;$H281,IF(AND(LEFT($L281,2)="09",OR($H281&lt;2000,$H281&gt;2010)),"FAIL - 2000-10 class, year "&amp;$H281,"OK")))))</f>
      </c>
      <c r="BF281" s="45">
        <f>IF($AD281="","",IF(ROUND($AO281+$AP281+$AQ281-$AD281,2)=0,"OK","FAIL - out by "&amp;TEXT($AO281+$AP281+$AQ281-$AD281,"$0.00")))</f>
      </c>
    </row>
    <row r="282" spans="1:58" ht="18.75" customHeight="1" x14ac:dyDescent="0.25">
      <c r="A282" s="46" t="inlineStr">
        <is>
          <t xml:space="preserve">CANON-202508-000377</t>
        </is>
      </c>
      <c r="B282" s="46" t="inlineStr">
        <is>
          <t xml:space="preserve">Desmond Ashcombe</t>
        </is>
      </c>
      <c r="C282" s="47">
        <v>45887</v>
      </c>
      <c r="D282" s="48" t="inlineStr">
        <is>
          <t xml:space="preserve">Bound - within authority</t>
        </is>
      </c>
      <c r="E282" s="48" t="inlineStr">
        <is>
          <t xml:space="preserve">New business</t>
        </is>
      </c>
      <c r="F282" s="46" t="inlineStr">
        <is>
          <t xml:space="preserve">B1234EXOTIC26</t>
        </is>
      </c>
      <c r="G282" s="33">
        <f>IF($A282="","",IF($C282="","",YEAR($C282)))</f>
      </c>
      <c r="H282" s="49">
        <v>2008</v>
      </c>
      <c r="I282" s="46" t="inlineStr">
        <is>
          <t xml:space="preserve">Maserati</t>
        </is>
      </c>
      <c r="J282" s="46" t="inlineStr">
        <is>
          <t xml:space="preserve">GranTurismo</t>
        </is>
      </c>
      <c r="K282" s="46" t="inlineStr">
        <is>
          <t xml:space="preserve">J6KV5Y1VV6JR5RCZW</t>
        </is>
      </c>
      <c r="L282" s="48" t="inlineStr">
        <is>
          <t xml:space="preserve">02 - Sports / GT</t>
        </is>
      </c>
      <c r="M282" s="50">
        <v>325000</v>
      </c>
      <c r="N282" s="48" t="inlineStr">
        <is>
          <t xml:space="preserve">Personal</t>
        </is>
      </c>
      <c r="O282" s="46" t="inlineStr">
        <is>
          <t xml:space="preserve">Personal - regular use</t>
        </is>
      </c>
      <c r="P282" s="46" t="inlineStr">
        <is>
          <t xml:space="preserve">1,000 - 2,500</t>
        </is>
      </c>
      <c r="Q282" s="46" t="inlineStr">
        <is>
          <t xml:space="preserve">Connecticut</t>
        </is>
      </c>
      <c r="R282" s="46" t="inlineStr">
        <is>
          <t xml:space="preserve">06103</t>
        </is>
      </c>
      <c r="S282" s="48" t="inlineStr">
        <is>
          <t xml:space="preserve">Tier 3 - Coastal wind (25-100 miles)</t>
        </is>
      </c>
      <c r="T282" s="36">
        <f>IF($A282="","",IF($S282="","",IFERROR(INDEX('[1]natural catastrophe'!$D$6:$D$17,MATCH($S282,'[1]natural catastrophe'!$B$6:$B$17,0)),"?")))</f>
      </c>
      <c r="U282" s="46" t="inlineStr">
        <is>
          <t xml:space="preserve">2% of agreed value, minimum $10,000</t>
        </is>
      </c>
      <c r="V282" s="48" t="inlineStr">
        <is>
          <t xml:space="preserve">Agreed Value</t>
        </is>
      </c>
      <c r="W282" s="46" t="inlineStr">
        <is>
          <t xml:space="preserve">$1,000</t>
        </is>
      </c>
      <c r="X282" s="48" t="inlineStr">
        <is>
          <t xml:space="preserve">$1,000,000 CSL</t>
        </is>
      </c>
      <c r="Y282" s="46"/>
      <c r="Z282" s="46"/>
      <c r="AA282" s="48" t="inlineStr">
        <is>
          <t xml:space="preserve">Surplus Lines</t>
        </is>
      </c>
      <c r="AB282" s="50">
        <v>5150.94</v>
      </c>
      <c r="AC282" s="51">
        <v>0</v>
      </c>
      <c r="AD282" s="38">
        <f>IF(ISNUMBER($AB282),$AB282*(1+N($AC282)),"")</f>
      </c>
      <c r="AE282" s="50">
        <v>350</v>
      </c>
      <c r="AF282" s="50">
        <v>0</v>
      </c>
      <c r="AG282" s="51"/>
      <c r="AH282" s="39">
        <f>IF(ISNUMBER($AD282),($AD282+$AE282+$AF282)*$AG282,"")</f>
      </c>
      <c r="AI282" s="50"/>
      <c r="AJ282" s="38">
        <f>IF(ISNUMBER($AD282),SUM($AD282:$AH282),"")</f>
      </c>
      <c r="AK282" s="40">
        <f>IF(AND(ISNUMBER($AB282),ISNUMBER($AD282)),IF($AB282&gt;0,$AD282/$AB282,""),"")</f>
      </c>
      <c r="AL282" s="48" t="inlineStr">
        <is>
          <t xml:space="preserve">At technical</t>
        </is>
      </c>
      <c r="AM282" s="41">
        <f>IF(ISNUMBER($AD282),Header!$I$3,"")</f>
      </c>
      <c r="AN282" s="39">
        <f>IF(ISNUMBER($AD282),$AO282+$AP282,"")</f>
      </c>
      <c r="AO282" s="39">
        <f>IF(ISNUMBER($AD282),ROUND($AD282*Header!$K$3,2),"")</f>
      </c>
      <c r="AP282" s="39">
        <f>IF(ISNUMBER($AD282),ROUND($AD282*Header!$M$3,2),"")</f>
      </c>
      <c r="AQ282" s="38">
        <f>IF(ISNUMBER($AD282),ROUND($AD282,2)-$AO282-$AP282,"")</f>
      </c>
      <c r="AR282" s="39">
        <f>IF(ISNUMBER($AD282),IF(Header!$D$34="","?",$AD282*Header!$D$34),"")</f>
      </c>
      <c r="AS282" s="39">
        <f>IF(ISNUMBER($AB282),IF(Header!$D$34="","?",$AB282*Header!$D$34),"")</f>
      </c>
      <c r="AT282" s="42">
        <f>IF(AND(ISNUMBER($AB282),$M282&gt;0),$AB282/$M282*100,"")</f>
      </c>
      <c r="AU282" s="42">
        <f>IF(AND(ISNUMBER($AD282),$M282&gt;0),$AD282/$M282*100,"")</f>
      </c>
      <c r="AV282" s="40">
        <f>IF(AND(ISNUMBER($AB282),ISNUMBER($AD282),ABS($AB282)&gt;0),$AD282/$AB282,"")</f>
      </c>
      <c r="AW282" s="39">
        <f>IF(ISNUMBER($AD282),MAX(0,(1-0.55-Header!$O$3)*Header!$Q$3*$AQ282),"")</f>
      </c>
      <c r="AX282" s="43">
        <f>IF($A282="","",IF(TRIM(IF($A282="","Missing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",""))="","PASS","FAIL: "&amp;TRIM(IF($A282="","Missing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f>
      </c>
      <c r="AY282" s="44">
        <f>IF($M282="","",IF(ISNUMBER($M282),IF($M282&gt;=Header!$C$18,"YES — refer","No"),""))</f>
      </c>
      <c r="AZ282" s="44">
        <f>IF($AD282="","",IF(ISNUMBER($AD282),IF($AD282&lt;Header!$C$20,"BELOW MIN PREMIUM","OK"),""))</f>
      </c>
      <c r="BA282" s="48" t="inlineStr">
        <is>
          <t xml:space="preserve">Yes</t>
        </is>
      </c>
      <c r="BB282" s="48" t="inlineStr">
        <is>
          <t xml:space="preserve">Yes</t>
        </is>
      </c>
      <c r="BC282" s="46" t="inlineStr">
        <is>
          <t xml:space="preserve">Synthetic demo data</t>
        </is>
      </c>
      <c r="BE282" s="45">
        <f>IF(OR($A282="",$L282="",$H282=""),"",IF(AND(LEFT($L282,2)="06",$H282&gt;1945),"FAIL - pre-war class, year "&amp;$H282,IF(AND(LEFT($L282,2)="07",OR($H282&lt;1946,$H282&gt;1972)),"FAIL - 1946-72 class, year "&amp;$H282,IF(AND(LEFT($L282,2)="08",OR($H282&lt;1973,$H282&gt;1999)),"FAIL - 1973-99 class, year "&amp;$H282,IF(AND(LEFT($L282,2)="09",OR($H282&lt;2000,$H282&gt;2010)),"FAIL - 2000-10 class, year "&amp;$H282,"OK")))))</f>
      </c>
      <c r="BF282" s="45">
        <f>IF($AD282="","",IF(ROUND($AO282+$AP282+$AQ282-$AD282,2)=0,"OK","FAIL - out by "&amp;TEXT($AO282+$AP282+$AQ282-$AD282,"$0.00")))</f>
      </c>
    </row>
    <row r="283" spans="1:58" ht="18.75" customHeight="1" x14ac:dyDescent="0.25">
      <c r="A283" s="30" t="inlineStr">
        <is>
          <t xml:space="preserve">CANON-202508-000378</t>
        </is>
      </c>
      <c r="B283" s="30" t="inlineStr">
        <is>
          <t xml:space="preserve">Aurelio Chattopadhyay</t>
        </is>
      </c>
      <c r="C283" s="31">
        <v>45879</v>
      </c>
      <c r="D283" s="32" t="inlineStr">
        <is>
          <t xml:space="preserve">Bound - within authority</t>
        </is>
      </c>
      <c r="E283" s="32" t="inlineStr">
        <is>
          <t xml:space="preserve">New business</t>
        </is>
      </c>
      <c r="F283" s="30" t="inlineStr">
        <is>
          <t xml:space="preserve">B1234EXOTIC26</t>
        </is>
      </c>
      <c r="G283" s="33">
        <f>IF($A283="","",IF($C283="","",YEAR($C283)))</f>
      </c>
      <c r="H283" s="34">
        <v>1983</v>
      </c>
      <c r="I283" s="30" t="inlineStr">
        <is>
          <t xml:space="preserve">Aston Martin</t>
        </is>
      </c>
      <c r="J283" s="30" t="inlineStr">
        <is>
          <t xml:space="preserve">DB12</t>
        </is>
      </c>
      <c r="K283" s="30" t="inlineStr">
        <is>
          <t xml:space="preserve">RGH64CLND5KM44TKD</t>
        </is>
      </c>
      <c r="L283" s="32" t="inlineStr">
        <is>
          <t xml:space="preserve">02 - Sports / GT</t>
        </is>
      </c>
      <c r="M283" s="35">
        <v>770000</v>
      </c>
      <c r="N283" s="32" t="inlineStr">
        <is>
          <t xml:space="preserve">Personal</t>
        </is>
      </c>
      <c r="O283" s="30" t="inlineStr">
        <is>
          <t xml:space="preserve">Personal - regular use</t>
        </is>
      </c>
      <c r="P283" s="30" t="inlineStr">
        <is>
          <t xml:space="preserve">1,000 - 2,500</t>
        </is>
      </c>
      <c r="Q283" s="30" t="inlineStr">
        <is>
          <t xml:space="preserve">Colorado</t>
        </is>
      </c>
      <c r="R283" s="30" t="inlineStr">
        <is>
          <t xml:space="preserve">80202</t>
        </is>
      </c>
      <c r="S283" s="32" t="inlineStr">
        <is>
          <t xml:space="preserve">Severe convective - hail alley (high)</t>
        </is>
      </c>
      <c r="T283" s="36">
        <f>IF($A283="","",IF($S283="","",IFERROR(INDEX('[1]natural catastrophe'!$D$6:$D$17,MATCH($S283,'[1]natural catastrophe'!$B$6:$B$17,0)),"?")))</f>
      </c>
      <c r="U283" s="30" t="inlineStr">
        <is>
          <t xml:space="preserve">$5,000</t>
        </is>
      </c>
      <c r="V283" s="32" t="inlineStr">
        <is>
          <t xml:space="preserve">Agreed Value</t>
        </is>
      </c>
      <c r="W283" s="30" t="inlineStr">
        <is>
          <t xml:space="preserve">$1,000</t>
        </is>
      </c>
      <c r="X283" s="32" t="inlineStr">
        <is>
          <t xml:space="preserve">$1,000,000 CSL</t>
        </is>
      </c>
      <c r="Y283" s="30"/>
      <c r="Z283" s="30"/>
      <c r="AA283" s="32" t="inlineStr">
        <is>
          <t xml:space="preserve">Surplus Lines</t>
        </is>
      </c>
      <c r="AB283" s="35">
        <v>10387.74</v>
      </c>
      <c r="AC283" s="37">
        <v>0</v>
      </c>
      <c r="AD283" s="38">
        <f>IF(ISNUMBER($AB283),$AB283*(1+N($AC283)),"")</f>
      </c>
      <c r="AE283" s="35">
        <v>350</v>
      </c>
      <c r="AF283" s="35">
        <v>0</v>
      </c>
      <c r="AG283" s="37"/>
      <c r="AH283" s="39">
        <f>IF(ISNUMBER($AD283),($AD283+$AE283+$AF283)*$AG283,"")</f>
      </c>
      <c r="AI283" s="35"/>
      <c r="AJ283" s="38">
        <f>IF(ISNUMBER($AD283),SUM($AD283:$AH283),"")</f>
      </c>
      <c r="AK283" s="40">
        <f>IF(AND(ISNUMBER($AB283),ISNUMBER($AD283)),IF($AB283&gt;0,$AD283/$AB283,""),"")</f>
      </c>
      <c r="AL283" s="32" t="inlineStr">
        <is>
          <t xml:space="preserve">At technical</t>
        </is>
      </c>
      <c r="AM283" s="41">
        <f>IF(ISNUMBER($AD283),Header!$I$3,"")</f>
      </c>
      <c r="AN283" s="39">
        <f>IF(ISNUMBER($AD283),$AO283+$AP283,"")</f>
      </c>
      <c r="AO283" s="39">
        <f>IF(ISNUMBER($AD283),ROUND($AD283*Header!$K$3,2),"")</f>
      </c>
      <c r="AP283" s="39">
        <f>IF(ISNUMBER($AD283),ROUND($AD283*Header!$M$3,2),"")</f>
      </c>
      <c r="AQ283" s="38">
        <f>IF(ISNUMBER($AD283),ROUND($AD283,2)-$AO283-$AP283,"")</f>
      </c>
      <c r="AR283" s="39">
        <f>IF(ISNUMBER($AD283),IF(Header!$D$34="","?",$AD283*Header!$D$34),"")</f>
      </c>
      <c r="AS283" s="39">
        <f>IF(ISNUMBER($AB283),IF(Header!$D$34="","?",$AB283*Header!$D$34),"")</f>
      </c>
      <c r="AT283" s="42">
        <f>IF(AND(ISNUMBER($AB283),$M283&gt;0),$AB283/$M283*100,"")</f>
      </c>
      <c r="AU283" s="42">
        <f>IF(AND(ISNUMBER($AD283),$M283&gt;0),$AD283/$M283*100,"")</f>
      </c>
      <c r="AV283" s="40">
        <f>IF(AND(ISNUMBER($AB283),ISNUMBER($AD283),ABS($AB283)&gt;0),$AD283/$AB283,"")</f>
      </c>
      <c r="AW283" s="39">
        <f>IF(ISNUMBER($AD283),MAX(0,(1-0.55-Header!$O$3)*Header!$Q$3*$AQ283),"")</f>
      </c>
      <c r="AX283" s="43">
        <f>IF($A283="","",IF(TRIM(IF($A283="","Missing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",""))="","PASS","FAIL: "&amp;TRIM(IF($A283="","Missing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f>
      </c>
      <c r="AY283" s="44">
        <f>IF($M283="","",IF(ISNUMBER($M283),IF($M283&gt;=Header!$C$18,"YES — refer","No"),""))</f>
      </c>
      <c r="AZ283" s="44">
        <f>IF($AD283="","",IF(ISNUMBER($AD283),IF($AD283&lt;Header!$C$20,"BELOW MIN PREMIUM","OK"),""))</f>
      </c>
      <c r="BA283" s="32" t="inlineStr">
        <is>
          <t xml:space="preserve">Yes</t>
        </is>
      </c>
      <c r="BB283" s="32" t="inlineStr">
        <is>
          <t xml:space="preserve">Yes</t>
        </is>
      </c>
      <c r="BC283" s="30" t="inlineStr">
        <is>
          <t xml:space="preserve">Synthetic demo data</t>
        </is>
      </c>
      <c r="BE283" s="45">
        <f>IF(OR($A283="",$L283="",$H283=""),"",IF(AND(LEFT($L283,2)="06",$H283&gt;1945),"FAIL - pre-war class, year "&amp;$H283,IF(AND(LEFT($L283,2)="07",OR($H283&lt;1946,$H283&gt;1972)),"FAIL - 1946-72 class, year "&amp;$H283,IF(AND(LEFT($L283,2)="08",OR($H283&lt;1973,$H283&gt;1999)),"FAIL - 1973-99 class, year "&amp;$H283,IF(AND(LEFT($L283,2)="09",OR($H283&lt;2000,$H283&gt;2010)),"FAIL - 2000-10 class, year "&amp;$H283,"OK")))))</f>
      </c>
      <c r="BF283" s="45">
        <f>IF($AD283="","",IF(ROUND($AO283+$AP283+$AQ283-$AD283,2)=0,"OK","FAIL - out by "&amp;TEXT($AO283+$AP283+$AQ283-$AD283,"$0.00")))</f>
      </c>
    </row>
    <row r="284" spans="1:58" ht="18.75" customHeight="1" x14ac:dyDescent="0.25">
      <c r="A284" s="46" t="inlineStr">
        <is>
          <t xml:space="preserve">CANON-202508-000379</t>
        </is>
      </c>
      <c r="B284" s="46" t="inlineStr">
        <is>
          <t xml:space="preserve">Ingrid Chattopadhyay</t>
        </is>
      </c>
      <c r="C284" s="47">
        <v>45900</v>
      </c>
      <c r="D284" s="48" t="inlineStr">
        <is>
          <t xml:space="preserve">Bound - within authority</t>
        </is>
      </c>
      <c r="E284" s="48" t="inlineStr">
        <is>
          <t xml:space="preserve">New business</t>
        </is>
      </c>
      <c r="F284" s="46" t="inlineStr">
        <is>
          <t xml:space="preserve">B1234EXOTIC26</t>
        </is>
      </c>
      <c r="G284" s="33">
        <f>IF($A284="","",IF($C284="","",YEAR($C284)))</f>
      </c>
      <c r="H284" s="49">
        <v>1959</v>
      </c>
      <c r="I284" s="46" t="inlineStr">
        <is>
          <t xml:space="preserve">Lamborghini</t>
        </is>
      </c>
      <c r="J284" s="46" t="inlineStr">
        <is>
          <t xml:space="preserve">Huracan EVO</t>
        </is>
      </c>
      <c r="K284" s="46" t="inlineStr">
        <is>
          <t xml:space="preserve">PSFE3L7C9EBS2TEPE</t>
        </is>
      </c>
      <c r="L284" s="48" t="inlineStr">
        <is>
          <t xml:space="preserve">03 - Supercar</t>
        </is>
      </c>
      <c r="M284" s="50">
        <v>1950000</v>
      </c>
      <c r="N284" s="48" t="inlineStr">
        <is>
          <t xml:space="preserve">Personal</t>
        </is>
      </c>
      <c r="O284" s="46" t="inlineStr">
        <is>
          <t xml:space="preserve">Personal - regular use</t>
        </is>
      </c>
      <c r="P284" s="46" t="inlineStr">
        <is>
          <t xml:space="preserve">Under 1,000</t>
        </is>
      </c>
      <c r="Q284" s="46" t="inlineStr">
        <is>
          <t xml:space="preserve">Kentucky</t>
        </is>
      </c>
      <c r="R284" s="46" t="inlineStr">
        <is>
          <t xml:space="preserve">40202</t>
        </is>
      </c>
      <c r="S284" s="48" t="inlineStr">
        <is>
          <t xml:space="preserve">Severe convective - hail / tornado (moderate)</t>
        </is>
      </c>
      <c r="T284" s="36">
        <f>IF($A284="","",IF($S284="","",IFERROR(INDEX('[1]natural catastrophe'!$D$6:$D$17,MATCH($S284,'[1]natural catastrophe'!$B$6:$B$17,0)),"?")))</f>
      </c>
      <c r="U284" s="46" t="inlineStr">
        <is>
          <t xml:space="preserve">$5,000</t>
        </is>
      </c>
      <c r="V284" s="48" t="inlineStr">
        <is>
          <t xml:space="preserve">Agreed Value</t>
        </is>
      </c>
      <c r="W284" s="46" t="inlineStr">
        <is>
          <t xml:space="preserve">$1,000</t>
        </is>
      </c>
      <c r="X284" s="48" t="inlineStr">
        <is>
          <t xml:space="preserve">$1,000,000 CSL</t>
        </is>
      </c>
      <c r="Y284" s="46"/>
      <c r="Z284" s="46"/>
      <c r="AA284" s="48" t="inlineStr">
        <is>
          <t xml:space="preserve">Surplus Lines</t>
        </is>
      </c>
      <c r="AB284" s="50">
        <v>39441.51</v>
      </c>
      <c r="AC284" s="51">
        <v>0</v>
      </c>
      <c r="AD284" s="38">
        <f>IF(ISNUMBER($AB284),$AB284*(1+N($AC284)),"")</f>
      </c>
      <c r="AE284" s="50">
        <v>350</v>
      </c>
      <c r="AF284" s="50">
        <v>250</v>
      </c>
      <c r="AG284" s="51"/>
      <c r="AH284" s="39">
        <f>IF(ISNUMBER($AD284),($AD284+$AE284+$AF284)*$AG284,"")</f>
      </c>
      <c r="AI284" s="50"/>
      <c r="AJ284" s="38">
        <f>IF(ISNUMBER($AD284),SUM($AD284:$AH284),"")</f>
      </c>
      <c r="AK284" s="40">
        <f>IF(AND(ISNUMBER($AB284),ISNUMBER($AD284)),IF($AB284&gt;0,$AD284/$AB284,""),"")</f>
      </c>
      <c r="AL284" s="48" t="inlineStr">
        <is>
          <t xml:space="preserve">At technical</t>
        </is>
      </c>
      <c r="AM284" s="41">
        <f>IF(ISNUMBER($AD284),Header!$I$3,"")</f>
      </c>
      <c r="AN284" s="39">
        <f>IF(ISNUMBER($AD284),$AO284+$AP284,"")</f>
      </c>
      <c r="AO284" s="39">
        <f>IF(ISNUMBER($AD284),ROUND($AD284*Header!$K$3,2),"")</f>
      </c>
      <c r="AP284" s="39">
        <f>IF(ISNUMBER($AD284),ROUND($AD284*Header!$M$3,2),"")</f>
      </c>
      <c r="AQ284" s="38">
        <f>IF(ISNUMBER($AD284),ROUND($AD284,2)-$AO284-$AP284,"")</f>
      </c>
      <c r="AR284" s="39">
        <f>IF(ISNUMBER($AD284),IF(Header!$D$34="","?",$AD284*Header!$D$34),"")</f>
      </c>
      <c r="AS284" s="39">
        <f>IF(ISNUMBER($AB284),IF(Header!$D$34="","?",$AB284*Header!$D$34),"")</f>
      </c>
      <c r="AT284" s="42">
        <f>IF(AND(ISNUMBER($AB284),$M284&gt;0),$AB284/$M284*100,"")</f>
      </c>
      <c r="AU284" s="42">
        <f>IF(AND(ISNUMBER($AD284),$M284&gt;0),$AD284/$M284*100,"")</f>
      </c>
      <c r="AV284" s="40">
        <f>IF(AND(ISNUMBER($AB284),ISNUMBER($AD284),ABS($AB284)&gt;0),$AD284/$AB284,"")</f>
      </c>
      <c r="AW284" s="39">
        <f>IF(ISNUMBER($AD284),MAX(0,(1-0.55-Header!$O$3)*Header!$Q$3*$AQ284),"")</f>
      </c>
      <c r="AX284" s="43">
        <f>IF($A284="","",IF(TRIM(IF($A284="","Missing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",""))="","PASS","FAIL: "&amp;TRIM(IF($A284="","Missing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f>
      </c>
      <c r="AY284" s="44">
        <f>IF($M284="","",IF(ISNUMBER($M284),IF($M284&gt;=Header!$C$18,"YES — refer","No"),""))</f>
      </c>
      <c r="AZ284" s="44">
        <f>IF($AD284="","",IF(ISNUMBER($AD284),IF($AD284&lt;Header!$C$20,"BELOW MIN PREMIUM","OK"),""))</f>
      </c>
      <c r="BA284" s="48" t="inlineStr">
        <is>
          <t xml:space="preserve">Yes</t>
        </is>
      </c>
      <c r="BB284" s="48" t="inlineStr">
        <is>
          <t xml:space="preserve">Yes</t>
        </is>
      </c>
      <c r="BC284" s="46" t="inlineStr">
        <is>
          <t xml:space="preserve">Synthetic demo data</t>
        </is>
      </c>
      <c r="BE284" s="45">
        <f>IF(OR($A284="",$L284="",$H284=""),"",IF(AND(LEFT($L284,2)="06",$H284&gt;1945),"FAIL - pre-war class, year "&amp;$H284,IF(AND(LEFT($L284,2)="07",OR($H284&lt;1946,$H284&gt;1972)),"FAIL - 1946-72 class, year "&amp;$H284,IF(AND(LEFT($L284,2)="08",OR($H284&lt;1973,$H284&gt;1999)),"FAIL - 1973-99 class, year "&amp;$H284,IF(AND(LEFT($L284,2)="09",OR($H284&lt;2000,$H284&gt;2010)),"FAIL - 2000-10 class, year "&amp;$H284,"OK")))))</f>
      </c>
      <c r="BF284" s="45">
        <f>IF($AD284="","",IF(ROUND($AO284+$AP284+$AQ284-$AD284,2)=0,"OK","FAIL - out by "&amp;TEXT($AO284+$AP284+$AQ284-$AD284,"$0.00")))</f>
      </c>
    </row>
    <row r="285" spans="1:58" ht="18.75" customHeight="1" x14ac:dyDescent="0.25">
      <c r="A285" s="30" t="inlineStr">
        <is>
          <t xml:space="preserve">CANON-202508-000382</t>
        </is>
      </c>
      <c r="B285" s="30" t="inlineStr">
        <is>
          <t xml:space="preserve">Ottilie Thistlewood</t>
        </is>
      </c>
      <c r="C285" s="31">
        <v>45880</v>
      </c>
      <c r="D285" s="32" t="inlineStr">
        <is>
          <t xml:space="preserve">Bound - within authority</t>
        </is>
      </c>
      <c r="E285" s="32" t="inlineStr">
        <is>
          <t xml:space="preserve">New business</t>
        </is>
      </c>
      <c r="F285" s="30" t="inlineStr">
        <is>
          <t xml:space="preserve">B1234EXOTIC26</t>
        </is>
      </c>
      <c r="G285" s="33">
        <f>IF($A285="","",IF($C285="","",YEAR($C285)))</f>
      </c>
      <c r="H285" s="34">
        <v>2008</v>
      </c>
      <c r="I285" s="30" t="inlineStr">
        <is>
          <t xml:space="preserve">Lamborghini</t>
        </is>
      </c>
      <c r="J285" s="30" t="inlineStr">
        <is>
          <t xml:space="preserve">Huracan EVO</t>
        </is>
      </c>
      <c r="K285" s="30" t="inlineStr">
        <is>
          <t xml:space="preserve">BYHV60ZRMFJEBAK1N</t>
        </is>
      </c>
      <c r="L285" s="32" t="inlineStr">
        <is>
          <t xml:space="preserve">03 - Supercar</t>
        </is>
      </c>
      <c r="M285" s="35">
        <v>1950000</v>
      </c>
      <c r="N285" s="32" t="inlineStr">
        <is>
          <t xml:space="preserve">Personal</t>
        </is>
      </c>
      <c r="O285" s="30" t="inlineStr">
        <is>
          <t xml:space="preserve">Personal - regular use</t>
        </is>
      </c>
      <c r="P285" s="30" t="inlineStr">
        <is>
          <t xml:space="preserve">2,500 - 5,000</t>
        </is>
      </c>
      <c r="Q285" s="30" t="inlineStr">
        <is>
          <t xml:space="preserve">Louisiana</t>
        </is>
      </c>
      <c r="R285" s="30" t="inlineStr">
        <is>
          <t xml:space="preserve">70112</t>
        </is>
      </c>
      <c r="S285" s="32" t="inlineStr">
        <is>
          <t xml:space="preserve">Tier 2 - Coastal wind (1-25 miles)</t>
        </is>
      </c>
      <c r="T285" s="36">
        <f>IF($A285="","",IF($S285="","",IFERROR(INDEX('[1]natural catastrophe'!$D$6:$D$17,MATCH($S285,'[1]natural catastrophe'!$B$6:$B$17,0)),"?")))</f>
      </c>
      <c r="U285" s="30" t="inlineStr">
        <is>
          <t xml:space="preserve">2% of agreed value, minimum $10,000</t>
        </is>
      </c>
      <c r="V285" s="32" t="inlineStr">
        <is>
          <t xml:space="preserve">Agreed Value</t>
        </is>
      </c>
      <c r="W285" s="30" t="inlineStr">
        <is>
          <t xml:space="preserve">$1,000</t>
        </is>
      </c>
      <c r="X285" s="32" t="inlineStr">
        <is>
          <t xml:space="preserve">$1,000,000 CSL</t>
        </is>
      </c>
      <c r="Y285" s="30"/>
      <c r="Z285" s="30"/>
      <c r="AA285" s="32" t="inlineStr">
        <is>
          <t xml:space="preserve">Surplus Lines</t>
        </is>
      </c>
      <c r="AB285" s="35">
        <v>35615.09</v>
      </c>
      <c r="AC285" s="37">
        <v>0</v>
      </c>
      <c r="AD285" s="38">
        <f>IF(ISNUMBER($AB285),$AB285*(1+N($AC285)),"")</f>
      </c>
      <c r="AE285" s="35">
        <v>350</v>
      </c>
      <c r="AF285" s="35">
        <v>250</v>
      </c>
      <c r="AG285" s="37"/>
      <c r="AH285" s="39">
        <f>IF(ISNUMBER($AD285),($AD285+$AE285+$AF285)*$AG285,"")</f>
      </c>
      <c r="AI285" s="35"/>
      <c r="AJ285" s="38">
        <f>IF(ISNUMBER($AD285),SUM($AD285:$AH285),"")</f>
      </c>
      <c r="AK285" s="40">
        <f>IF(AND(ISNUMBER($AB285),ISNUMBER($AD285)),IF($AB285&gt;0,$AD285/$AB285,""),"")</f>
      </c>
      <c r="AL285" s="32" t="inlineStr">
        <is>
          <t xml:space="preserve">At technical</t>
        </is>
      </c>
      <c r="AM285" s="41">
        <f>IF(ISNUMBER($AD285),Header!$I$3,"")</f>
      </c>
      <c r="AN285" s="39">
        <f>IF(ISNUMBER($AD285),$AO285+$AP285,"")</f>
      </c>
      <c r="AO285" s="39">
        <f>IF(ISNUMBER($AD285),ROUND($AD285*Header!$K$3,2),"")</f>
      </c>
      <c r="AP285" s="39">
        <f>IF(ISNUMBER($AD285),ROUND($AD285*Header!$M$3,2),"")</f>
      </c>
      <c r="AQ285" s="38">
        <f>IF(ISNUMBER($AD285),ROUND($AD285,2)-$AO285-$AP285,"")</f>
      </c>
      <c r="AR285" s="39">
        <f>IF(ISNUMBER($AD285),IF(Header!$D$34="","?",$AD285*Header!$D$34),"")</f>
      </c>
      <c r="AS285" s="39">
        <f>IF(ISNUMBER($AB285),IF(Header!$D$34="","?",$AB285*Header!$D$34),"")</f>
      </c>
      <c r="AT285" s="42">
        <f>IF(AND(ISNUMBER($AB285),$M285&gt;0),$AB285/$M285*100,"")</f>
      </c>
      <c r="AU285" s="42">
        <f>IF(AND(ISNUMBER($AD285),$M285&gt;0),$AD285/$M285*100,"")</f>
      </c>
      <c r="AV285" s="40">
        <f>IF(AND(ISNUMBER($AB285),ISNUMBER($AD285),ABS($AB285)&gt;0),$AD285/$AB285,"")</f>
      </c>
      <c r="AW285" s="39">
        <f>IF(ISNUMBER($AD285),MAX(0,(1-0.55-Header!$O$3)*Header!$Q$3*$AQ285),"")</f>
      </c>
      <c r="AX285" s="43">
        <f>IF($A285="","",IF(TRIM(IF($A285="","Missing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",""))="","PASS","FAIL: "&amp;TRIM(IF($A285="","Missing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f>
      </c>
      <c r="AY285" s="44">
        <f>IF($M285="","",IF(ISNUMBER($M285),IF($M285&gt;=Header!$C$18,"YES — refer","No"),""))</f>
      </c>
      <c r="AZ285" s="44">
        <f>IF($AD285="","",IF(ISNUMBER($AD285),IF($AD285&lt;Header!$C$20,"BELOW MIN PREMIUM","OK"),""))</f>
      </c>
      <c r="BA285" s="32" t="inlineStr">
        <is>
          <t xml:space="preserve">Yes</t>
        </is>
      </c>
      <c r="BB285" s="32" t="inlineStr">
        <is>
          <t xml:space="preserve">Yes</t>
        </is>
      </c>
      <c r="BC285" s="30" t="inlineStr">
        <is>
          <t xml:space="preserve">Synthetic demo data</t>
        </is>
      </c>
      <c r="BE285" s="45">
        <f>IF(OR($A285="",$L285="",$H285=""),"",IF(AND(LEFT($L285,2)="06",$H285&gt;1945),"FAIL - pre-war class, year "&amp;$H285,IF(AND(LEFT($L285,2)="07",OR($H285&lt;1946,$H285&gt;1972)),"FAIL - 1946-72 class, year "&amp;$H285,IF(AND(LEFT($L285,2)="08",OR($H285&lt;1973,$H285&gt;1999)),"FAIL - 1973-99 class, year "&amp;$H285,IF(AND(LEFT($L285,2)="09",OR($H285&lt;2000,$H285&gt;2010)),"FAIL - 2000-10 class, year "&amp;$H285,"OK")))))</f>
      </c>
      <c r="BF285" s="45">
        <f>IF($AD285="","",IF(ROUND($AO285+$AP285+$AQ285-$AD285,2)=0,"OK","FAIL - out by "&amp;TEXT($AO285+$AP285+$AQ285-$AD285,"$0.00")))</f>
      </c>
    </row>
    <row r="286" spans="1:58" ht="18.75" customHeight="1" x14ac:dyDescent="0.25">
      <c r="A286" s="46" t="inlineStr">
        <is>
          <t xml:space="preserve">CANON-202508-000385</t>
        </is>
      </c>
      <c r="B286" s="46" t="inlineStr">
        <is>
          <t xml:space="preserve">Delphine Montoya</t>
        </is>
      </c>
      <c r="C286" s="47">
        <v>45881</v>
      </c>
      <c r="D286" s="48" t="inlineStr">
        <is>
          <t xml:space="preserve">Bound - within authority</t>
        </is>
      </c>
      <c r="E286" s="48" t="inlineStr">
        <is>
          <t xml:space="preserve">New business</t>
        </is>
      </c>
      <c r="F286" s="46" t="inlineStr">
        <is>
          <t xml:space="preserve">B1234EXOTIC26</t>
        </is>
      </c>
      <c r="G286" s="33">
        <f>IF($A286="","",IF($C286="","",YEAR($C286)))</f>
      </c>
      <c r="H286" s="49">
        <v>2013</v>
      </c>
      <c r="I286" s="46" t="inlineStr">
        <is>
          <t xml:space="preserve">Porsche</t>
        </is>
      </c>
      <c r="J286" s="46" t="inlineStr">
        <is>
          <t xml:space="preserve">911 Turbo S</t>
        </is>
      </c>
      <c r="K286" s="46" t="inlineStr">
        <is>
          <t xml:space="preserve">MKMWUXL15S515NVV4</t>
        </is>
      </c>
      <c r="L286" s="48" t="inlineStr">
        <is>
          <t xml:space="preserve">02 - Sports / GT</t>
        </is>
      </c>
      <c r="M286" s="50">
        <v>920000</v>
      </c>
      <c r="N286" s="48" t="inlineStr">
        <is>
          <t xml:space="preserve">Personal</t>
        </is>
      </c>
      <c r="O286" s="46" t="inlineStr">
        <is>
          <t xml:space="preserve">Personal - regular use</t>
        </is>
      </c>
      <c r="P286" s="46" t="inlineStr">
        <is>
          <t xml:space="preserve">Under 1,000</t>
        </is>
      </c>
      <c r="Q286" s="46" t="inlineStr">
        <is>
          <t xml:space="preserve">Pennsylvania</t>
        </is>
      </c>
      <c r="R286" s="46" t="inlineStr">
        <is>
          <t xml:space="preserve">19103</t>
        </is>
      </c>
      <c r="S286" s="48" t="inlineStr">
        <is>
          <t xml:space="preserve">Low hazard - inland benign</t>
        </is>
      </c>
      <c r="T286" s="36">
        <f>IF($A286="","",IF($S286="","",IFERROR(INDEX('[1]natural catastrophe'!$D$6:$D$17,MATCH($S286,'[1]natural catastrophe'!$B$6:$B$17,0)),"?")))</f>
      </c>
      <c r="U286" s="46" t="inlineStr">
        <is>
          <t xml:space="preserve">$5,000</t>
        </is>
      </c>
      <c r="V286" s="48" t="inlineStr">
        <is>
          <t xml:space="preserve">Agreed Value</t>
        </is>
      </c>
      <c r="W286" s="46" t="inlineStr">
        <is>
          <t xml:space="preserve">$1,000</t>
        </is>
      </c>
      <c r="X286" s="48" t="inlineStr">
        <is>
          <t xml:space="preserve">$1,000,000 CSL</t>
        </is>
      </c>
      <c r="Y286" s="46"/>
      <c r="Z286" s="46"/>
      <c r="AA286" s="48" t="inlineStr">
        <is>
          <t xml:space="preserve">Surplus Lines</t>
        </is>
      </c>
      <c r="AB286" s="50">
        <v>11283.02</v>
      </c>
      <c r="AC286" s="51">
        <v>0</v>
      </c>
      <c r="AD286" s="38">
        <f>IF(ISNUMBER($AB286),$AB286*(1+N($AC286)),"")</f>
      </c>
      <c r="AE286" s="50">
        <v>350</v>
      </c>
      <c r="AF286" s="50">
        <v>0</v>
      </c>
      <c r="AG286" s="51"/>
      <c r="AH286" s="39">
        <f>IF(ISNUMBER($AD286),($AD286+$AE286+$AF286)*$AG286,"")</f>
      </c>
      <c r="AI286" s="50"/>
      <c r="AJ286" s="38">
        <f>IF(ISNUMBER($AD286),SUM($AD286:$AH286),"")</f>
      </c>
      <c r="AK286" s="40">
        <f>IF(AND(ISNUMBER($AB286),ISNUMBER($AD286)),IF($AB286&gt;0,$AD286/$AB286,""),"")</f>
      </c>
      <c r="AL286" s="48" t="inlineStr">
        <is>
          <t xml:space="preserve">At technical</t>
        </is>
      </c>
      <c r="AM286" s="41">
        <f>IF(ISNUMBER($AD286),Header!$I$3,"")</f>
      </c>
      <c r="AN286" s="39">
        <f>IF(ISNUMBER($AD286),$AO286+$AP286,"")</f>
      </c>
      <c r="AO286" s="39">
        <f>IF(ISNUMBER($AD286),ROUND($AD286*Header!$K$3,2),"")</f>
      </c>
      <c r="AP286" s="39">
        <f>IF(ISNUMBER($AD286),ROUND($AD286*Header!$M$3,2),"")</f>
      </c>
      <c r="AQ286" s="38">
        <f>IF(ISNUMBER($AD286),ROUND($AD286,2)-$AO286-$AP286,"")</f>
      </c>
      <c r="AR286" s="39">
        <f>IF(ISNUMBER($AD286),IF(Header!$D$34="","?",$AD286*Header!$D$34),"")</f>
      </c>
      <c r="AS286" s="39">
        <f>IF(ISNUMBER($AB286),IF(Header!$D$34="","?",$AB286*Header!$D$34),"")</f>
      </c>
      <c r="AT286" s="42">
        <f>IF(AND(ISNUMBER($AB286),$M286&gt;0),$AB286/$M286*100,"")</f>
      </c>
      <c r="AU286" s="42">
        <f>IF(AND(ISNUMBER($AD286),$M286&gt;0),$AD286/$M286*100,"")</f>
      </c>
      <c r="AV286" s="40">
        <f>IF(AND(ISNUMBER($AB286),ISNUMBER($AD286),ABS($AB286)&gt;0),$AD286/$AB286,"")</f>
      </c>
      <c r="AW286" s="39">
        <f>IF(ISNUMBER($AD286),MAX(0,(1-0.55-Header!$O$3)*Header!$Q$3*$AQ286),"")</f>
      </c>
      <c r="AX286" s="43">
        <f>IF($A286="","",IF(TRIM(IF($A286="","Missing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",""))="","PASS","FAIL: "&amp;TRIM(IF($A286="","Missing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f>
      </c>
      <c r="AY286" s="44">
        <f>IF($M286="","",IF(ISNUMBER($M286),IF($M286&gt;=Header!$C$18,"YES — refer","No"),""))</f>
      </c>
      <c r="AZ286" s="44">
        <f>IF($AD286="","",IF(ISNUMBER($AD286),IF($AD286&lt;Header!$C$20,"BELOW MIN PREMIUM","OK"),""))</f>
      </c>
      <c r="BA286" s="48" t="inlineStr">
        <is>
          <t xml:space="preserve">Yes</t>
        </is>
      </c>
      <c r="BB286" s="48" t="inlineStr">
        <is>
          <t xml:space="preserve">Yes</t>
        </is>
      </c>
      <c r="BC286" s="46" t="inlineStr">
        <is>
          <t xml:space="preserve">Synthetic demo data</t>
        </is>
      </c>
      <c r="BE286" s="45">
        <f>IF(OR($A286="",$L286="",$H286=""),"",IF(AND(LEFT($L286,2)="06",$H286&gt;1945),"FAIL - pre-war class, year "&amp;$H286,IF(AND(LEFT($L286,2)="07",OR($H286&lt;1946,$H286&gt;1972)),"FAIL - 1946-72 class, year "&amp;$H286,IF(AND(LEFT($L286,2)="08",OR($H286&lt;1973,$H286&gt;1999)),"FAIL - 1973-99 class, year "&amp;$H286,IF(AND(LEFT($L286,2)="09",OR($H286&lt;2000,$H286&gt;2010)),"FAIL - 2000-10 class, year "&amp;$H286,"OK")))))</f>
      </c>
      <c r="BF286" s="45">
        <f>IF($AD286="","",IF(ROUND($AO286+$AP286+$AQ286-$AD286,2)=0,"OK","FAIL - out by "&amp;TEXT($AO286+$AP286+$AQ286-$AD286,"$0.00")))</f>
      </c>
    </row>
    <row r="287" spans="1:58" ht="18.75" customHeight="1" x14ac:dyDescent="0.25">
      <c r="A287" s="30" t="inlineStr">
        <is>
          <t xml:space="preserve">CANON-202508-000386</t>
        </is>
      </c>
      <c r="B287" s="30" t="inlineStr">
        <is>
          <t xml:space="preserve">Leopold Vandermeer</t>
        </is>
      </c>
      <c r="C287" s="31">
        <v>45872</v>
      </c>
      <c r="D287" s="32" t="inlineStr">
        <is>
          <t xml:space="preserve">Bound - within authority</t>
        </is>
      </c>
      <c r="E287" s="32" t="inlineStr">
        <is>
          <t xml:space="preserve">New business</t>
        </is>
      </c>
      <c r="F287" s="30" t="inlineStr">
        <is>
          <t xml:space="preserve">B1234EXOTIC26</t>
        </is>
      </c>
      <c r="G287" s="33">
        <f>IF($A287="","",IF($C287="","",YEAR($C287)))</f>
      </c>
      <c r="H287" s="34">
        <v>1969</v>
      </c>
      <c r="I287" s="30" t="inlineStr">
        <is>
          <t xml:space="preserve">Maserati</t>
        </is>
      </c>
      <c r="J287" s="30" t="inlineStr">
        <is>
          <t xml:space="preserve">GranTurismo</t>
        </is>
      </c>
      <c r="K287" s="30" t="inlineStr">
        <is>
          <t xml:space="preserve">WL72H6AN5WHN94EPW</t>
        </is>
      </c>
      <c r="L287" s="32" t="inlineStr">
        <is>
          <t xml:space="preserve">02 - Sports / GT</t>
        </is>
      </c>
      <c r="M287" s="35">
        <v>1390000</v>
      </c>
      <c r="N287" s="32" t="inlineStr">
        <is>
          <t xml:space="preserve">Personal</t>
        </is>
      </c>
      <c r="O287" s="30" t="inlineStr">
        <is>
          <t xml:space="preserve">Personal - regular use</t>
        </is>
      </c>
      <c r="P287" s="30" t="inlineStr">
        <is>
          <t xml:space="preserve">2,500 - 5,000</t>
        </is>
      </c>
      <c r="Q287" s="30" t="inlineStr">
        <is>
          <t xml:space="preserve">New York</t>
        </is>
      </c>
      <c r="R287" s="30" t="inlineStr">
        <is>
          <t xml:space="preserve">10022</t>
        </is>
      </c>
      <c r="S287" s="32" t="inlineStr">
        <is>
          <t xml:space="preserve">Tier 3 - Coastal wind (25-100 miles)</t>
        </is>
      </c>
      <c r="T287" s="36">
        <f>IF($A287="","",IF($S287="","",IFERROR(INDEX('[1]natural catastrophe'!$D$6:$D$17,MATCH($S287,'[1]natural catastrophe'!$B$6:$B$17,0)),"?")))</f>
      </c>
      <c r="U287" s="30" t="inlineStr">
        <is>
          <t xml:space="preserve">2% of agreed value, minimum $10,000</t>
        </is>
      </c>
      <c r="V287" s="32" t="inlineStr">
        <is>
          <t xml:space="preserve">Agreed Value</t>
        </is>
      </c>
      <c r="W287" s="30" t="inlineStr">
        <is>
          <t xml:space="preserve">$1,000</t>
        </is>
      </c>
      <c r="X287" s="32" t="inlineStr">
        <is>
          <t xml:space="preserve">$1,000,000 CSL</t>
        </is>
      </c>
      <c r="Y287" s="30"/>
      <c r="Z287" s="30"/>
      <c r="AA287" s="32" t="inlineStr">
        <is>
          <t xml:space="preserve">Surplus Lines</t>
        </is>
      </c>
      <c r="AB287" s="35">
        <v>18463.4</v>
      </c>
      <c r="AC287" s="37">
        <v>0</v>
      </c>
      <c r="AD287" s="38">
        <f>IF(ISNUMBER($AB287),$AB287*(1+N($AC287)),"")</f>
      </c>
      <c r="AE287" s="35">
        <v>350</v>
      </c>
      <c r="AF287" s="35">
        <v>250</v>
      </c>
      <c r="AG287" s="37"/>
      <c r="AH287" s="39">
        <f>IF(ISNUMBER($AD287),($AD287+$AE287+$AF287)*$AG287,"")</f>
      </c>
      <c r="AI287" s="35"/>
      <c r="AJ287" s="38">
        <f>IF(ISNUMBER($AD287),SUM($AD287:$AH287),"")</f>
      </c>
      <c r="AK287" s="40">
        <f>IF(AND(ISNUMBER($AB287),ISNUMBER($AD287)),IF($AB287&gt;0,$AD287/$AB287,""),"")</f>
      </c>
      <c r="AL287" s="32" t="inlineStr">
        <is>
          <t xml:space="preserve">At technical</t>
        </is>
      </c>
      <c r="AM287" s="41">
        <f>IF(ISNUMBER($AD287),Header!$I$3,"")</f>
      </c>
      <c r="AN287" s="39">
        <f>IF(ISNUMBER($AD287),$AO287+$AP287,"")</f>
      </c>
      <c r="AO287" s="39">
        <f>IF(ISNUMBER($AD287),ROUND($AD287*Header!$K$3,2),"")</f>
      </c>
      <c r="AP287" s="39">
        <f>IF(ISNUMBER($AD287),ROUND($AD287*Header!$M$3,2),"")</f>
      </c>
      <c r="AQ287" s="38">
        <f>IF(ISNUMBER($AD287),ROUND($AD287,2)-$AO287-$AP287,"")</f>
      </c>
      <c r="AR287" s="39">
        <f>IF(ISNUMBER($AD287),IF(Header!$D$34="","?",$AD287*Header!$D$34),"")</f>
      </c>
      <c r="AS287" s="39">
        <f>IF(ISNUMBER($AB287),IF(Header!$D$34="","?",$AB287*Header!$D$34),"")</f>
      </c>
      <c r="AT287" s="42">
        <f>IF(AND(ISNUMBER($AB287),$M287&gt;0),$AB287/$M287*100,"")</f>
      </c>
      <c r="AU287" s="42">
        <f>IF(AND(ISNUMBER($AD287),$M287&gt;0),$AD287/$M287*100,"")</f>
      </c>
      <c r="AV287" s="40">
        <f>IF(AND(ISNUMBER($AB287),ISNUMBER($AD287),ABS($AB287)&gt;0),$AD287/$AB287,"")</f>
      </c>
      <c r="AW287" s="39">
        <f>IF(ISNUMBER($AD287),MAX(0,(1-0.55-Header!$O$3)*Header!$Q$3*$AQ287),"")</f>
      </c>
      <c r="AX287" s="43">
        <f>IF($A287="","",IF(TRIM(IF($A287="","Missing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",""))="","PASS","FAIL: "&amp;TRIM(IF($A287="","Missing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f>
      </c>
      <c r="AY287" s="44">
        <f>IF($M287="","",IF(ISNUMBER($M287),IF($M287&gt;=Header!$C$18,"YES — refer","No"),""))</f>
      </c>
      <c r="AZ287" s="44">
        <f>IF($AD287="","",IF(ISNUMBER($AD287),IF($AD287&lt;Header!$C$20,"BELOW MIN PREMIUM","OK"),""))</f>
      </c>
      <c r="BA287" s="32" t="inlineStr">
        <is>
          <t xml:space="preserve">Yes</t>
        </is>
      </c>
      <c r="BB287" s="32" t="inlineStr">
        <is>
          <t xml:space="preserve">Yes</t>
        </is>
      </c>
      <c r="BC287" s="30" t="inlineStr">
        <is>
          <t xml:space="preserve">Synthetic demo data</t>
        </is>
      </c>
      <c r="BE287" s="45">
        <f>IF(OR($A287="",$L287="",$H287=""),"",IF(AND(LEFT($L287,2)="06",$H287&gt;1945),"FAIL - pre-war class, year "&amp;$H287,IF(AND(LEFT($L287,2)="07",OR($H287&lt;1946,$H287&gt;1972)),"FAIL - 1946-72 class, year "&amp;$H287,IF(AND(LEFT($L287,2)="08",OR($H287&lt;1973,$H287&gt;1999)),"FAIL - 1973-99 class, year "&amp;$H287,IF(AND(LEFT($L287,2)="09",OR($H287&lt;2000,$H287&gt;2010)),"FAIL - 2000-10 class, year "&amp;$H287,"OK")))))</f>
      </c>
      <c r="BF287" s="45">
        <f>IF($AD287="","",IF(ROUND($AO287+$AP287+$AQ287-$AD287,2)=0,"OK","FAIL - out by "&amp;TEXT($AO287+$AP287+$AQ287-$AD287,"$0.00")))</f>
      </c>
    </row>
    <row r="288" spans="1:58" ht="18.75" customHeight="1" x14ac:dyDescent="0.25">
      <c r="A288" s="46" t="inlineStr">
        <is>
          <t xml:space="preserve">CANON-202508-000387</t>
        </is>
      </c>
      <c r="B288" s="46" t="inlineStr">
        <is>
          <t xml:space="preserve">Beatrix Ashcombe</t>
        </is>
      </c>
      <c r="C288" s="47">
        <v>45898</v>
      </c>
      <c r="D288" s="48" t="inlineStr">
        <is>
          <t xml:space="preserve">Bound - within authority</t>
        </is>
      </c>
      <c r="E288" s="48" t="inlineStr">
        <is>
          <t xml:space="preserve">New business</t>
        </is>
      </c>
      <c r="F288" s="46" t="inlineStr">
        <is>
          <t xml:space="preserve">B1234EXOTIC26</t>
        </is>
      </c>
      <c r="G288" s="33">
        <f>IF($A288="","",IF($C288="","",YEAR($C288)))</f>
      </c>
      <c r="H288" s="49">
        <v>1960</v>
      </c>
      <c r="I288" s="46" t="inlineStr">
        <is>
          <t xml:space="preserve">Aston Martin</t>
        </is>
      </c>
      <c r="J288" s="46" t="inlineStr">
        <is>
          <t xml:space="preserve">DB12</t>
        </is>
      </c>
      <c r="K288" s="46" t="inlineStr">
        <is>
          <t xml:space="preserve">MDG0XXT4F50AAC6H4</t>
        </is>
      </c>
      <c r="L288" s="48" t="inlineStr">
        <is>
          <t xml:space="preserve">02 - Sports / GT</t>
        </is>
      </c>
      <c r="M288" s="50">
        <v>770000</v>
      </c>
      <c r="N288" s="48" t="inlineStr">
        <is>
          <t xml:space="preserve">Personal</t>
        </is>
      </c>
      <c r="O288" s="46" t="inlineStr">
        <is>
          <t xml:space="preserve">Personal - regular use</t>
        </is>
      </c>
      <c r="P288" s="46" t="inlineStr">
        <is>
          <t xml:space="preserve">Under 1,000</t>
        </is>
      </c>
      <c r="Q288" s="46" t="inlineStr">
        <is>
          <t xml:space="preserve">Tennessee</t>
        </is>
      </c>
      <c r="R288" s="46" t="inlineStr">
        <is>
          <t xml:space="preserve">37203</t>
        </is>
      </c>
      <c r="S288" s="48" t="inlineStr">
        <is>
          <t xml:space="preserve">Severe convective - hail / tornado (moderate)</t>
        </is>
      </c>
      <c r="T288" s="36">
        <f>IF($A288="","",IF($S288="","",IFERROR(INDEX('[1]natural catastrophe'!$D$6:$D$17,MATCH($S288,'[1]natural catastrophe'!$B$6:$B$17,0)),"?")))</f>
      </c>
      <c r="U288" s="46" t="inlineStr">
        <is>
          <t xml:space="preserve">$5,000</t>
        </is>
      </c>
      <c r="V288" s="48" t="inlineStr">
        <is>
          <t xml:space="preserve">Agreed Value</t>
        </is>
      </c>
      <c r="W288" s="46" t="inlineStr">
        <is>
          <t xml:space="preserve">$1,000</t>
        </is>
      </c>
      <c r="X288" s="48" t="inlineStr">
        <is>
          <t xml:space="preserve">$1,000,000 CSL</t>
        </is>
      </c>
      <c r="Y288" s="46"/>
      <c r="Z288" s="46"/>
      <c r="AA288" s="48" t="inlineStr">
        <is>
          <t xml:space="preserve">Surplus Lines</t>
        </is>
      </c>
      <c r="AB288" s="50">
        <v>9254.53</v>
      </c>
      <c r="AC288" s="51">
        <v>0</v>
      </c>
      <c r="AD288" s="38">
        <f>IF(ISNUMBER($AB288),$AB288*(1+N($AC288)),"")</f>
      </c>
      <c r="AE288" s="50">
        <v>350</v>
      </c>
      <c r="AF288" s="50">
        <v>0</v>
      </c>
      <c r="AG288" s="51"/>
      <c r="AH288" s="39">
        <f>IF(ISNUMBER($AD288),($AD288+$AE288+$AF288)*$AG288,"")</f>
      </c>
      <c r="AI288" s="50"/>
      <c r="AJ288" s="38">
        <f>IF(ISNUMBER($AD288),SUM($AD288:$AH288),"")</f>
      </c>
      <c r="AK288" s="40">
        <f>IF(AND(ISNUMBER($AB288),ISNUMBER($AD288)),IF($AB288&gt;0,$AD288/$AB288,""),"")</f>
      </c>
      <c r="AL288" s="48" t="inlineStr">
        <is>
          <t xml:space="preserve">At technical</t>
        </is>
      </c>
      <c r="AM288" s="41">
        <f>IF(ISNUMBER($AD288),Header!$I$3,"")</f>
      </c>
      <c r="AN288" s="39">
        <f>IF(ISNUMBER($AD288),$AO288+$AP288,"")</f>
      </c>
      <c r="AO288" s="39">
        <f>IF(ISNUMBER($AD288),ROUND($AD288*Header!$K$3,2),"")</f>
      </c>
      <c r="AP288" s="39">
        <f>IF(ISNUMBER($AD288),ROUND($AD288*Header!$M$3,2),"")</f>
      </c>
      <c r="AQ288" s="38">
        <f>IF(ISNUMBER($AD288),ROUND($AD288,2)-$AO288-$AP288,"")</f>
      </c>
      <c r="AR288" s="39">
        <f>IF(ISNUMBER($AD288),IF(Header!$D$34="","?",$AD288*Header!$D$34),"")</f>
      </c>
      <c r="AS288" s="39">
        <f>IF(ISNUMBER($AB288),IF(Header!$D$34="","?",$AB288*Header!$D$34),"")</f>
      </c>
      <c r="AT288" s="42">
        <f>IF(AND(ISNUMBER($AB288),$M288&gt;0),$AB288/$M288*100,"")</f>
      </c>
      <c r="AU288" s="42">
        <f>IF(AND(ISNUMBER($AD288),$M288&gt;0),$AD288/$M288*100,"")</f>
      </c>
      <c r="AV288" s="40">
        <f>IF(AND(ISNUMBER($AB288),ISNUMBER($AD288),ABS($AB288)&gt;0),$AD288/$AB288,"")</f>
      </c>
      <c r="AW288" s="39">
        <f>IF(ISNUMBER($AD288),MAX(0,(1-0.55-Header!$O$3)*Header!$Q$3*$AQ288),"")</f>
      </c>
      <c r="AX288" s="43">
        <f>IF($A288="","",IF(TRIM(IF($A288="","Missing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",""))="","PASS","FAIL: "&amp;TRIM(IF($A288="","Missing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f>
      </c>
      <c r="AY288" s="44">
        <f>IF($M288="","",IF(ISNUMBER($M288),IF($M288&gt;=Header!$C$18,"YES — refer","No"),""))</f>
      </c>
      <c r="AZ288" s="44">
        <f>IF($AD288="","",IF(ISNUMBER($AD288),IF($AD288&lt;Header!$C$20,"BELOW MIN PREMIUM","OK"),""))</f>
      </c>
      <c r="BA288" s="48" t="inlineStr">
        <is>
          <t xml:space="preserve">Yes</t>
        </is>
      </c>
      <c r="BB288" s="48" t="inlineStr">
        <is>
          <t xml:space="preserve">Yes</t>
        </is>
      </c>
      <c r="BC288" s="46" t="inlineStr">
        <is>
          <t xml:space="preserve">Synthetic demo data</t>
        </is>
      </c>
      <c r="BE288" s="45">
        <f>IF(OR($A288="",$L288="",$H288=""),"",IF(AND(LEFT($L288,2)="06",$H288&gt;1945),"FAIL - pre-war class, year "&amp;$H288,IF(AND(LEFT($L288,2)="07",OR($H288&lt;1946,$H288&gt;1972)),"FAIL - 1946-72 class, year "&amp;$H288,IF(AND(LEFT($L288,2)="08",OR($H288&lt;1973,$H288&gt;1999)),"FAIL - 1973-99 class, year "&amp;$H288,IF(AND(LEFT($L288,2)="09",OR($H288&lt;2000,$H288&gt;2010)),"FAIL - 2000-10 class, year "&amp;$H288,"OK")))))</f>
      </c>
      <c r="BF288" s="45">
        <f>IF($AD288="","",IF(ROUND($AO288+$AP288+$AQ288-$AD288,2)=0,"OK","FAIL - out by "&amp;TEXT($AO288+$AP288+$AQ288-$AD288,"$0.00")))</f>
      </c>
    </row>
    <row r="289" spans="1:58" ht="18.75" customHeight="1" x14ac:dyDescent="0.25">
      <c r="A289" s="30" t="inlineStr">
        <is>
          <t xml:space="preserve">CANON-202508-000389</t>
        </is>
      </c>
      <c r="B289" s="30" t="inlineStr">
        <is>
          <t xml:space="preserve">Aurelio Merriweather</t>
        </is>
      </c>
      <c r="C289" s="31">
        <v>45870</v>
      </c>
      <c r="D289" s="32" t="inlineStr">
        <is>
          <t xml:space="preserve">Bound - within authority</t>
        </is>
      </c>
      <c r="E289" s="32" t="inlineStr">
        <is>
          <t xml:space="preserve">New business</t>
        </is>
      </c>
      <c r="F289" s="30" t="inlineStr">
        <is>
          <t xml:space="preserve">B1234EXOTIC26</t>
        </is>
      </c>
      <c r="G289" s="33">
        <f>IF($A289="","",IF($C289="","",YEAR($C289)))</f>
      </c>
      <c r="H289" s="34">
        <v>2016</v>
      </c>
      <c r="I289" s="30" t="inlineStr">
        <is>
          <t xml:space="preserve">Maserati</t>
        </is>
      </c>
      <c r="J289" s="30" t="inlineStr">
        <is>
          <t xml:space="preserve">GranTurismo</t>
        </is>
      </c>
      <c r="K289" s="30" t="inlineStr">
        <is>
          <t xml:space="preserve">TLDD65126AAU6250R</t>
        </is>
      </c>
      <c r="L289" s="32" t="inlineStr">
        <is>
          <t xml:space="preserve">02 - Sports / GT</t>
        </is>
      </c>
      <c r="M289" s="35">
        <v>380000</v>
      </c>
      <c r="N289" s="32" t="inlineStr">
        <is>
          <t xml:space="preserve">Personal</t>
        </is>
      </c>
      <c r="O289" s="30" t="inlineStr">
        <is>
          <t xml:space="preserve">Personal - regular use</t>
        </is>
      </c>
      <c r="P289" s="30" t="inlineStr">
        <is>
          <t xml:space="preserve">1,000 - 2,500</t>
        </is>
      </c>
      <c r="Q289" s="30" t="inlineStr">
        <is>
          <t xml:space="preserve">Texas</t>
        </is>
      </c>
      <c r="R289" s="30" t="inlineStr">
        <is>
          <t xml:space="preserve">75201</t>
        </is>
      </c>
      <c r="S289" s="32" t="inlineStr">
        <is>
          <t xml:space="preserve">Tier 2 - Coastal wind (1-25 miles)</t>
        </is>
      </c>
      <c r="T289" s="36">
        <f>IF($A289="","",IF($S289="","",IFERROR(INDEX('[1]natural catastrophe'!$D$6:$D$17,MATCH($S289,'[1]natural catastrophe'!$B$6:$B$17,0)),"?")))</f>
      </c>
      <c r="U289" s="30" t="inlineStr">
        <is>
          <t xml:space="preserve">2% of agreed value, minimum $10,000</t>
        </is>
      </c>
      <c r="V289" s="32" t="inlineStr">
        <is>
          <t xml:space="preserve">Agreed Value</t>
        </is>
      </c>
      <c r="W289" s="30" t="inlineStr">
        <is>
          <t xml:space="preserve">$1,000</t>
        </is>
      </c>
      <c r="X289" s="32" t="inlineStr">
        <is>
          <t xml:space="preserve">$1,000,000 CSL</t>
        </is>
      </c>
      <c r="Y289" s="30"/>
      <c r="Z289" s="30"/>
      <c r="AA289" s="32" t="inlineStr">
        <is>
          <t xml:space="preserve">Surplus Lines</t>
        </is>
      </c>
      <c r="AB289" s="35">
        <v>6183.96</v>
      </c>
      <c r="AC289" s="37">
        <v>0</v>
      </c>
      <c r="AD289" s="38">
        <f>IF(ISNUMBER($AB289),$AB289*(1+N($AC289)),"")</f>
      </c>
      <c r="AE289" s="35">
        <v>350</v>
      </c>
      <c r="AF289" s="35">
        <v>0</v>
      </c>
      <c r="AG289" s="37"/>
      <c r="AH289" s="39">
        <f>IF(ISNUMBER($AD289),($AD289+$AE289+$AF289)*$AG289,"")</f>
      </c>
      <c r="AI289" s="35"/>
      <c r="AJ289" s="38">
        <f>IF(ISNUMBER($AD289),SUM($AD289:$AH289),"")</f>
      </c>
      <c r="AK289" s="40">
        <f>IF(AND(ISNUMBER($AB289),ISNUMBER($AD289)),IF($AB289&gt;0,$AD289/$AB289,""),"")</f>
      </c>
      <c r="AL289" s="32" t="inlineStr">
        <is>
          <t xml:space="preserve">At technical</t>
        </is>
      </c>
      <c r="AM289" s="41">
        <f>IF(ISNUMBER($AD289),Header!$I$3,"")</f>
      </c>
      <c r="AN289" s="39">
        <f>IF(ISNUMBER($AD289),$AO289+$AP289,"")</f>
      </c>
      <c r="AO289" s="39">
        <f>IF(ISNUMBER($AD289),ROUND($AD289*Header!$K$3,2),"")</f>
      </c>
      <c r="AP289" s="39">
        <f>IF(ISNUMBER($AD289),ROUND($AD289*Header!$M$3,2),"")</f>
      </c>
      <c r="AQ289" s="38">
        <f>IF(ISNUMBER($AD289),ROUND($AD289,2)-$AO289-$AP289,"")</f>
      </c>
      <c r="AR289" s="39">
        <f>IF(ISNUMBER($AD289),IF(Header!$D$34="","?",$AD289*Header!$D$34),"")</f>
      </c>
      <c r="AS289" s="39">
        <f>IF(ISNUMBER($AB289),IF(Header!$D$34="","?",$AB289*Header!$D$34),"")</f>
      </c>
      <c r="AT289" s="42">
        <f>IF(AND(ISNUMBER($AB289),$M289&gt;0),$AB289/$M289*100,"")</f>
      </c>
      <c r="AU289" s="42">
        <f>IF(AND(ISNUMBER($AD289),$M289&gt;0),$AD289/$M289*100,"")</f>
      </c>
      <c r="AV289" s="40">
        <f>IF(AND(ISNUMBER($AB289),ISNUMBER($AD289),ABS($AB289)&gt;0),$AD289/$AB289,"")</f>
      </c>
      <c r="AW289" s="39">
        <f>IF(ISNUMBER($AD289),MAX(0,(1-0.55-Header!$O$3)*Header!$Q$3*$AQ289),"")</f>
      </c>
      <c r="AX289" s="43">
        <f>IF($A289="","",IF(TRIM(IF($A289="","Missing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",""))="","PASS","FAIL: "&amp;TRIM(IF($A289="","Missing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f>
      </c>
      <c r="AY289" s="44">
        <f>IF($M289="","",IF(ISNUMBER($M289),IF($M289&gt;=Header!$C$18,"YES — refer","No"),""))</f>
      </c>
      <c r="AZ289" s="44">
        <f>IF($AD289="","",IF(ISNUMBER($AD289),IF($AD289&lt;Header!$C$20,"BELOW MIN PREMIUM","OK"),""))</f>
      </c>
      <c r="BA289" s="32" t="inlineStr">
        <is>
          <t xml:space="preserve">Yes</t>
        </is>
      </c>
      <c r="BB289" s="32" t="inlineStr">
        <is>
          <t xml:space="preserve">Yes</t>
        </is>
      </c>
      <c r="BC289" s="30" t="inlineStr">
        <is>
          <t xml:space="preserve">Synthetic demo data</t>
        </is>
      </c>
      <c r="BE289" s="45">
        <f>IF(OR($A289="",$L289="",$H289=""),"",IF(AND(LEFT($L289,2)="06",$H289&gt;1945),"FAIL - pre-war class, year "&amp;$H289,IF(AND(LEFT($L289,2)="07",OR($H289&lt;1946,$H289&gt;1972)),"FAIL - 1946-72 class, year "&amp;$H289,IF(AND(LEFT($L289,2)="08",OR($H289&lt;1973,$H289&gt;1999)),"FAIL - 1973-99 class, year "&amp;$H289,IF(AND(LEFT($L289,2)="09",OR($H289&lt;2000,$H289&gt;2010)),"FAIL - 2000-10 class, year "&amp;$H289,"OK")))))</f>
      </c>
      <c r="BF289" s="45">
        <f>IF($AD289="","",IF(ROUND($AO289+$AP289+$AQ289-$AD289,2)=0,"OK","FAIL - out by "&amp;TEXT($AO289+$AP289+$AQ289-$AD289,"$0.00")))</f>
      </c>
    </row>
    <row r="290" spans="1:58" ht="18.75" customHeight="1" x14ac:dyDescent="0.25">
      <c r="A290" s="46" t="inlineStr">
        <is>
          <t xml:space="preserve">CANON-202508-000390</t>
        </is>
      </c>
      <c r="B290" s="46" t="inlineStr">
        <is>
          <t xml:space="preserve">Wilhelmina Castellanos</t>
        </is>
      </c>
      <c r="C290" s="47">
        <v>45885</v>
      </c>
      <c r="D290" s="48" t="inlineStr">
        <is>
          <t xml:space="preserve">Bound - within authority</t>
        </is>
      </c>
      <c r="E290" s="48" t="inlineStr">
        <is>
          <t xml:space="preserve">New business</t>
        </is>
      </c>
      <c r="F290" s="46" t="inlineStr">
        <is>
          <t xml:space="preserve">B1234EXOTIC26</t>
        </is>
      </c>
      <c r="G290" s="33">
        <f>IF($A290="","",IF($C290="","",YEAR($C290)))</f>
      </c>
      <c r="H290" s="49">
        <v>1973</v>
      </c>
      <c r="I290" s="46" t="inlineStr">
        <is>
          <t xml:space="preserve">Mercedes-Benz</t>
        </is>
      </c>
      <c r="J290" s="46" t="inlineStr">
        <is>
          <t xml:space="preserve">280SL Pagoda</t>
        </is>
      </c>
      <c r="K290" s="46" t="inlineStr">
        <is>
          <t xml:space="preserve">8STD4K6DGFVSLN7HY</t>
        </is>
      </c>
      <c r="L290" s="48" t="inlineStr">
        <is>
          <t xml:space="preserve">08 - Modern Classic (1973-1999)</t>
        </is>
      </c>
      <c r="M290" s="50">
        <v>920000</v>
      </c>
      <c r="N290" s="48" t="inlineStr">
        <is>
          <t xml:space="preserve">Personal</t>
        </is>
      </c>
      <c r="O290" s="46" t="inlineStr">
        <is>
          <t xml:space="preserve">Personal - regular use</t>
        </is>
      </c>
      <c r="P290" s="46" t="inlineStr">
        <is>
          <t xml:space="preserve">1,000 - 2,500</t>
        </is>
      </c>
      <c r="Q290" s="46" t="inlineStr">
        <is>
          <t xml:space="preserve">California</t>
        </is>
      </c>
      <c r="R290" s="46" t="inlineStr">
        <is>
          <t xml:space="preserve">90012</t>
        </is>
      </c>
      <c r="S290" s="48" t="inlineStr">
        <is>
          <t xml:space="preserve">Earthquake - high (CA, Cascadia, New Madrid)</t>
        </is>
      </c>
      <c r="T290" s="36">
        <f>IF($A290="","",IF($S290="","",IFERROR(INDEX('[1]natural catastrophe'!$D$6:$D$17,MATCH($S290,'[1]natural catastrophe'!$B$6:$B$17,0)),"?")))</f>
      </c>
      <c r="U290" s="46" t="inlineStr">
        <is>
          <t xml:space="preserve">$5,000</t>
        </is>
      </c>
      <c r="V290" s="48" t="inlineStr">
        <is>
          <t xml:space="preserve">Agreed Value</t>
        </is>
      </c>
      <c r="W290" s="46" t="inlineStr">
        <is>
          <t xml:space="preserve">$1,000</t>
        </is>
      </c>
      <c r="X290" s="48" t="inlineStr">
        <is>
          <t xml:space="preserve">$1,000,000 CSL</t>
        </is>
      </c>
      <c r="Y290" s="46"/>
      <c r="Z290" s="46"/>
      <c r="AA290" s="48" t="inlineStr">
        <is>
          <t xml:space="preserve">Surplus Lines</t>
        </is>
      </c>
      <c r="AB290" s="50">
        <v>10076.6</v>
      </c>
      <c r="AC290" s="51">
        <v>0</v>
      </c>
      <c r="AD290" s="38">
        <f>IF(ISNUMBER($AB290),$AB290*(1+N($AC290)),"")</f>
      </c>
      <c r="AE290" s="50">
        <v>350</v>
      </c>
      <c r="AF290" s="50">
        <v>0</v>
      </c>
      <c r="AG290" s="51"/>
      <c r="AH290" s="39">
        <f>IF(ISNUMBER($AD290),($AD290+$AE290+$AF290)*$AG290,"")</f>
      </c>
      <c r="AI290" s="50"/>
      <c r="AJ290" s="38">
        <f>IF(ISNUMBER($AD290),SUM($AD290:$AH290),"")</f>
      </c>
      <c r="AK290" s="40">
        <f>IF(AND(ISNUMBER($AB290),ISNUMBER($AD290)),IF($AB290&gt;0,$AD290/$AB290,""),"")</f>
      </c>
      <c r="AL290" s="48" t="inlineStr">
        <is>
          <t xml:space="preserve">At technical</t>
        </is>
      </c>
      <c r="AM290" s="41">
        <f>IF(ISNUMBER($AD290),Header!$I$3,"")</f>
      </c>
      <c r="AN290" s="39">
        <f>IF(ISNUMBER($AD290),$AO290+$AP290,"")</f>
      </c>
      <c r="AO290" s="39">
        <f>IF(ISNUMBER($AD290),ROUND($AD290*Header!$K$3,2),"")</f>
      </c>
      <c r="AP290" s="39">
        <f>IF(ISNUMBER($AD290),ROUND($AD290*Header!$M$3,2),"")</f>
      </c>
      <c r="AQ290" s="38">
        <f>IF(ISNUMBER($AD290),ROUND($AD290,2)-$AO290-$AP290,"")</f>
      </c>
      <c r="AR290" s="39">
        <f>IF(ISNUMBER($AD290),IF(Header!$D$34="","?",$AD290*Header!$D$34),"")</f>
      </c>
      <c r="AS290" s="39">
        <f>IF(ISNUMBER($AB290),IF(Header!$D$34="","?",$AB290*Header!$D$34),"")</f>
      </c>
      <c r="AT290" s="42">
        <f>IF(AND(ISNUMBER($AB290),$M290&gt;0),$AB290/$M290*100,"")</f>
      </c>
      <c r="AU290" s="42">
        <f>IF(AND(ISNUMBER($AD290),$M290&gt;0),$AD290/$M290*100,"")</f>
      </c>
      <c r="AV290" s="40">
        <f>IF(AND(ISNUMBER($AB290),ISNUMBER($AD290),ABS($AB290)&gt;0),$AD290/$AB290,"")</f>
      </c>
      <c r="AW290" s="39">
        <f>IF(ISNUMBER($AD290),MAX(0,(1-0.55-Header!$O$3)*Header!$Q$3*$AQ290),"")</f>
      </c>
      <c r="AX290" s="43">
        <f>IF($A290="","",IF(TRIM(IF($A290="","Missing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",""))="","PASS","FAIL: "&amp;TRIM(IF($A290="","Missing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f>
      </c>
      <c r="AY290" s="44">
        <f>IF($M290="","",IF(ISNUMBER($M290),IF($M290&gt;=Header!$C$18,"YES — refer","No"),""))</f>
      </c>
      <c r="AZ290" s="44">
        <f>IF($AD290="","",IF(ISNUMBER($AD290),IF($AD290&lt;Header!$C$20,"BELOW MIN PREMIUM","OK"),""))</f>
      </c>
      <c r="BA290" s="48" t="inlineStr">
        <is>
          <t xml:space="preserve">Yes</t>
        </is>
      </c>
      <c r="BB290" s="48" t="inlineStr">
        <is>
          <t xml:space="preserve">Yes</t>
        </is>
      </c>
      <c r="BC290" s="46" t="inlineStr">
        <is>
          <t xml:space="preserve">Synthetic demo data</t>
        </is>
      </c>
      <c r="BE290" s="45">
        <f>IF(OR($A290="",$L290="",$H290=""),"",IF(AND(LEFT($L290,2)="06",$H290&gt;1945),"FAIL - pre-war class, year "&amp;$H290,IF(AND(LEFT($L290,2)="07",OR($H290&lt;1946,$H290&gt;1972)),"FAIL - 1946-72 class, year "&amp;$H290,IF(AND(LEFT($L290,2)="08",OR($H290&lt;1973,$H290&gt;1999)),"FAIL - 1973-99 class, year "&amp;$H290,IF(AND(LEFT($L290,2)="09",OR($H290&lt;2000,$H290&gt;2010)),"FAIL - 2000-10 class, year "&amp;$H290,"OK")))))</f>
      </c>
      <c r="BF290" s="45">
        <f>IF($AD290="","",IF(ROUND($AO290+$AP290+$AQ290-$AD290,2)=0,"OK","FAIL - out by "&amp;TEXT($AO290+$AP290+$AQ290-$AD290,"$0.00")))</f>
      </c>
    </row>
    <row r="291" spans="1:58" ht="18.75" customHeight="1" x14ac:dyDescent="0.25">
      <c r="A291" s="30" t="inlineStr">
        <is>
          <t xml:space="preserve">CANON-202508-000391</t>
        </is>
      </c>
      <c r="B291" s="30" t="inlineStr">
        <is>
          <t xml:space="preserve">Saoirse Farkas</t>
        </is>
      </c>
      <c r="C291" s="31">
        <v>45900</v>
      </c>
      <c r="D291" s="32" t="inlineStr">
        <is>
          <t xml:space="preserve">Bound - within authority</t>
        </is>
      </c>
      <c r="E291" s="32" t="inlineStr">
        <is>
          <t xml:space="preserve">New business</t>
        </is>
      </c>
      <c r="F291" s="30" t="inlineStr">
        <is>
          <t xml:space="preserve">B1234EXOTIC26</t>
        </is>
      </c>
      <c r="G291" s="33">
        <f>IF($A291="","",IF($C291="","",YEAR($C291)))</f>
      </c>
      <c r="H291" s="34">
        <v>2024</v>
      </c>
      <c r="I291" s="30" t="inlineStr">
        <is>
          <t xml:space="preserve">Maserati</t>
        </is>
      </c>
      <c r="J291" s="30" t="inlineStr">
        <is>
          <t xml:space="preserve">GranTurismo</t>
        </is>
      </c>
      <c r="K291" s="30" t="inlineStr">
        <is>
          <t xml:space="preserve">JBEJ97GL2PWGE53VL</t>
        </is>
      </c>
      <c r="L291" s="32" t="inlineStr">
        <is>
          <t xml:space="preserve">02 - Sports / GT</t>
        </is>
      </c>
      <c r="M291" s="35">
        <v>1080000</v>
      </c>
      <c r="N291" s="32" t="inlineStr">
        <is>
          <t xml:space="preserve">Personal</t>
        </is>
      </c>
      <c r="O291" s="30" t="inlineStr">
        <is>
          <t xml:space="preserve">Personal - regular use</t>
        </is>
      </c>
      <c r="P291" s="30" t="inlineStr">
        <is>
          <t xml:space="preserve">1,000 - 2,500</t>
        </is>
      </c>
      <c r="Q291" s="30" t="inlineStr">
        <is>
          <t xml:space="preserve">Pennsylvania</t>
        </is>
      </c>
      <c r="R291" s="30" t="inlineStr">
        <is>
          <t xml:space="preserve">19103</t>
        </is>
      </c>
      <c r="S291" s="32" t="inlineStr">
        <is>
          <t xml:space="preserve">Low hazard - inland benign</t>
        </is>
      </c>
      <c r="T291" s="36">
        <f>IF($A291="","",IF($S291="","",IFERROR(INDEX('[1]natural catastrophe'!$D$6:$D$17,MATCH($S291,'[1]natural catastrophe'!$B$6:$B$17,0)),"?")))</f>
      </c>
      <c r="U291" s="30" t="inlineStr">
        <is>
          <t xml:space="preserve">$5,000</t>
        </is>
      </c>
      <c r="V291" s="32" t="inlineStr">
        <is>
          <t xml:space="preserve">Agreed Value</t>
        </is>
      </c>
      <c r="W291" s="30" t="inlineStr">
        <is>
          <t xml:space="preserve">$1,000</t>
        </is>
      </c>
      <c r="X291" s="32" t="inlineStr">
        <is>
          <t xml:space="preserve">$1,000,000 CSL</t>
        </is>
      </c>
      <c r="Y291" s="30"/>
      <c r="Z291" s="30"/>
      <c r="AA291" s="32" t="inlineStr">
        <is>
          <t xml:space="preserve">Surplus Lines</t>
        </is>
      </c>
      <c r="AB291" s="35">
        <v>11207.55</v>
      </c>
      <c r="AC291" s="37">
        <v>0</v>
      </c>
      <c r="AD291" s="38">
        <f>IF(ISNUMBER($AB291),$AB291*(1+N($AC291)),"")</f>
      </c>
      <c r="AE291" s="35">
        <v>350</v>
      </c>
      <c r="AF291" s="35">
        <v>250</v>
      </c>
      <c r="AG291" s="37"/>
      <c r="AH291" s="39">
        <f>IF(ISNUMBER($AD291),($AD291+$AE291+$AF291)*$AG291,"")</f>
      </c>
      <c r="AI291" s="35"/>
      <c r="AJ291" s="38">
        <f>IF(ISNUMBER($AD291),SUM($AD291:$AH291),"")</f>
      </c>
      <c r="AK291" s="40">
        <f>IF(AND(ISNUMBER($AB291),ISNUMBER($AD291)),IF($AB291&gt;0,$AD291/$AB291,""),"")</f>
      </c>
      <c r="AL291" s="32" t="inlineStr">
        <is>
          <t xml:space="preserve">At technical</t>
        </is>
      </c>
      <c r="AM291" s="41">
        <f>IF(ISNUMBER($AD291),Header!$I$3,"")</f>
      </c>
      <c r="AN291" s="39">
        <f>IF(ISNUMBER($AD291),$AO291+$AP291,"")</f>
      </c>
      <c r="AO291" s="39">
        <f>IF(ISNUMBER($AD291),ROUND($AD291*Header!$K$3,2),"")</f>
      </c>
      <c r="AP291" s="39">
        <f>IF(ISNUMBER($AD291),ROUND($AD291*Header!$M$3,2),"")</f>
      </c>
      <c r="AQ291" s="38">
        <f>IF(ISNUMBER($AD291),ROUND($AD291,2)-$AO291-$AP291,"")</f>
      </c>
      <c r="AR291" s="39">
        <f>IF(ISNUMBER($AD291),IF(Header!$D$34="","?",$AD291*Header!$D$34),"")</f>
      </c>
      <c r="AS291" s="39">
        <f>IF(ISNUMBER($AB291),IF(Header!$D$34="","?",$AB291*Header!$D$34),"")</f>
      </c>
      <c r="AT291" s="42">
        <f>IF(AND(ISNUMBER($AB291),$M291&gt;0),$AB291/$M291*100,"")</f>
      </c>
      <c r="AU291" s="42">
        <f>IF(AND(ISNUMBER($AD291),$M291&gt;0),$AD291/$M291*100,"")</f>
      </c>
      <c r="AV291" s="40">
        <f>IF(AND(ISNUMBER($AB291),ISNUMBER($AD291),ABS($AB291)&gt;0),$AD291/$AB291,"")</f>
      </c>
      <c r="AW291" s="39">
        <f>IF(ISNUMBER($AD291),MAX(0,(1-0.55-Header!$O$3)*Header!$Q$3*$AQ291),"")</f>
      </c>
      <c r="AX291" s="43">
        <f>IF($A291="","",IF(TRIM(IF($A291="","Missing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",""))="","PASS","FAIL: "&amp;TRIM(IF($A291="","Missing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f>
      </c>
      <c r="AY291" s="44">
        <f>IF($M291="","",IF(ISNUMBER($M291),IF($M291&gt;=Header!$C$18,"YES — refer","No"),""))</f>
      </c>
      <c r="AZ291" s="44">
        <f>IF($AD291="","",IF(ISNUMBER($AD291),IF($AD291&lt;Header!$C$20,"BELOW MIN PREMIUM","OK"),""))</f>
      </c>
      <c r="BA291" s="32" t="inlineStr">
        <is>
          <t xml:space="preserve">Yes</t>
        </is>
      </c>
      <c r="BB291" s="32" t="inlineStr">
        <is>
          <t xml:space="preserve">Yes</t>
        </is>
      </c>
      <c r="BC291" s="30" t="inlineStr">
        <is>
          <t xml:space="preserve">Synthetic demo data</t>
        </is>
      </c>
      <c r="BE291" s="45">
        <f>IF(OR($A291="",$L291="",$H291=""),"",IF(AND(LEFT($L291,2)="06",$H291&gt;1945),"FAIL - pre-war class, year "&amp;$H291,IF(AND(LEFT($L291,2)="07",OR($H291&lt;1946,$H291&gt;1972)),"FAIL - 1946-72 class, year "&amp;$H291,IF(AND(LEFT($L291,2)="08",OR($H291&lt;1973,$H291&gt;1999)),"FAIL - 1973-99 class, year "&amp;$H291,IF(AND(LEFT($L291,2)="09",OR($H291&lt;2000,$H291&gt;2010)),"FAIL - 2000-10 class, year "&amp;$H291,"OK")))))</f>
      </c>
      <c r="BF291" s="45">
        <f>IF($AD291="","",IF(ROUND($AO291+$AP291+$AQ291-$AD291,2)=0,"OK","FAIL - out by "&amp;TEXT($AO291+$AP291+$AQ291-$AD291,"$0.00")))</f>
      </c>
    </row>
    <row r="292" spans="1:58" ht="18.75" customHeight="1" x14ac:dyDescent="0.25">
      <c r="A292" s="46" t="inlineStr">
        <is>
          <t xml:space="preserve">CANON-202508-000392</t>
        </is>
      </c>
      <c r="B292" s="46" t="inlineStr">
        <is>
          <t xml:space="preserve">Aurelio Nakashima</t>
        </is>
      </c>
      <c r="C292" s="47">
        <v>45899</v>
      </c>
      <c r="D292" s="48" t="inlineStr">
        <is>
          <t xml:space="preserve">Bound - within authority</t>
        </is>
      </c>
      <c r="E292" s="48" t="inlineStr">
        <is>
          <t xml:space="preserve">New business</t>
        </is>
      </c>
      <c r="F292" s="46" t="inlineStr">
        <is>
          <t xml:space="preserve">B1234EXOTIC26</t>
        </is>
      </c>
      <c r="G292" s="33">
        <f>IF($A292="","",IF($C292="","",YEAR($C292)))</f>
      </c>
      <c r="H292" s="49">
        <v>2024</v>
      </c>
      <c r="I292" s="46" t="inlineStr">
        <is>
          <t xml:space="preserve">Alfa Romeo</t>
        </is>
      </c>
      <c r="J292" s="46" t="inlineStr">
        <is>
          <t xml:space="preserve">8C 2900</t>
        </is>
      </c>
      <c r="K292" s="46" t="inlineStr">
        <is>
          <t xml:space="preserve">RNE9RB1PM0RFN2GT7</t>
        </is>
      </c>
      <c r="L292" s="48" t="inlineStr">
        <is>
          <t xml:space="preserve">02 - Sports / GT</t>
        </is>
      </c>
      <c r="M292" s="50">
        <v>690000</v>
      </c>
      <c r="N292" s="48" t="inlineStr">
        <is>
          <t xml:space="preserve">Personal</t>
        </is>
      </c>
      <c r="O292" s="46" t="inlineStr">
        <is>
          <t xml:space="preserve">Personal - regular use</t>
        </is>
      </c>
      <c r="P292" s="46" t="inlineStr">
        <is>
          <t xml:space="preserve">1,000 - 2,500</t>
        </is>
      </c>
      <c r="Q292" s="46" t="inlineStr">
        <is>
          <t xml:space="preserve">California</t>
        </is>
      </c>
      <c r="R292" s="46" t="inlineStr">
        <is>
          <t xml:space="preserve">90012</t>
        </is>
      </c>
      <c r="S292" s="48" t="inlineStr">
        <is>
          <t xml:space="preserve">Earthquake - high (CA, Cascadia, New Madrid)</t>
        </is>
      </c>
      <c r="T292" s="36">
        <f>IF($A292="","",IF($S292="","",IFERROR(INDEX('[1]natural catastrophe'!$D$6:$D$17,MATCH($S292,'[1]natural catastrophe'!$B$6:$B$17,0)),"?")))</f>
      </c>
      <c r="U292" s="46" t="inlineStr">
        <is>
          <t xml:space="preserve">$5,000</t>
        </is>
      </c>
      <c r="V292" s="48" t="inlineStr">
        <is>
          <t xml:space="preserve">Agreed Value</t>
        </is>
      </c>
      <c r="W292" s="46" t="inlineStr">
        <is>
          <t xml:space="preserve">$1,000</t>
        </is>
      </c>
      <c r="X292" s="48" t="inlineStr">
        <is>
          <t xml:space="preserve">$1,000,000 CSL</t>
        </is>
      </c>
      <c r="Y292" s="46"/>
      <c r="Z292" s="46"/>
      <c r="AA292" s="48" t="inlineStr">
        <is>
          <t xml:space="preserve">Surplus Lines</t>
        </is>
      </c>
      <c r="AB292" s="50">
        <v>6678.68</v>
      </c>
      <c r="AC292" s="51">
        <v>0</v>
      </c>
      <c r="AD292" s="38">
        <f>IF(ISNUMBER($AB292),$AB292*(1+N($AC292)),"")</f>
      </c>
      <c r="AE292" s="50">
        <v>350</v>
      </c>
      <c r="AF292" s="50">
        <v>0</v>
      </c>
      <c r="AG292" s="51"/>
      <c r="AH292" s="39">
        <f>IF(ISNUMBER($AD292),($AD292+$AE292+$AF292)*$AG292,"")</f>
      </c>
      <c r="AI292" s="50"/>
      <c r="AJ292" s="38">
        <f>IF(ISNUMBER($AD292),SUM($AD292:$AH292),"")</f>
      </c>
      <c r="AK292" s="40">
        <f>IF(AND(ISNUMBER($AB292),ISNUMBER($AD292)),IF($AB292&gt;0,$AD292/$AB292,""),"")</f>
      </c>
      <c r="AL292" s="48" t="inlineStr">
        <is>
          <t xml:space="preserve">At technical</t>
        </is>
      </c>
      <c r="AM292" s="41">
        <f>IF(ISNUMBER($AD292),Header!$I$3,"")</f>
      </c>
      <c r="AN292" s="39">
        <f>IF(ISNUMBER($AD292),$AO292+$AP292,"")</f>
      </c>
      <c r="AO292" s="39">
        <f>IF(ISNUMBER($AD292),ROUND($AD292*Header!$K$3,2),"")</f>
      </c>
      <c r="AP292" s="39">
        <f>IF(ISNUMBER($AD292),ROUND($AD292*Header!$M$3,2),"")</f>
      </c>
      <c r="AQ292" s="38">
        <f>IF(ISNUMBER($AD292),ROUND($AD292,2)-$AO292-$AP292,"")</f>
      </c>
      <c r="AR292" s="39">
        <f>IF(ISNUMBER($AD292),IF(Header!$D$34="","?",$AD292*Header!$D$34),"")</f>
      </c>
      <c r="AS292" s="39">
        <f>IF(ISNUMBER($AB292),IF(Header!$D$34="","?",$AB292*Header!$D$34),"")</f>
      </c>
      <c r="AT292" s="42">
        <f>IF(AND(ISNUMBER($AB292),$M292&gt;0),$AB292/$M292*100,"")</f>
      </c>
      <c r="AU292" s="42">
        <f>IF(AND(ISNUMBER($AD292),$M292&gt;0),$AD292/$M292*100,"")</f>
      </c>
      <c r="AV292" s="40">
        <f>IF(AND(ISNUMBER($AB292),ISNUMBER($AD292),ABS($AB292)&gt;0),$AD292/$AB292,"")</f>
      </c>
      <c r="AW292" s="39">
        <f>IF(ISNUMBER($AD292),MAX(0,(1-0.55-Header!$O$3)*Header!$Q$3*$AQ292),"")</f>
      </c>
      <c r="AX292" s="43">
        <f>IF($A292="","",IF(TRIM(IF($A292="","Missing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",""))="","PASS","FAIL: "&amp;TRIM(IF($A292="","Missing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f>
      </c>
      <c r="AY292" s="44">
        <f>IF($M292="","",IF(ISNUMBER($M292),IF($M292&gt;=Header!$C$18,"YES — refer","No"),""))</f>
      </c>
      <c r="AZ292" s="44">
        <f>IF($AD292="","",IF(ISNUMBER($AD292),IF($AD292&lt;Header!$C$20,"BELOW MIN PREMIUM","OK"),""))</f>
      </c>
      <c r="BA292" s="48" t="inlineStr">
        <is>
          <t xml:space="preserve">Yes</t>
        </is>
      </c>
      <c r="BB292" s="48" t="inlineStr">
        <is>
          <t xml:space="preserve">Yes</t>
        </is>
      </c>
      <c r="BC292" s="46" t="inlineStr">
        <is>
          <t xml:space="preserve">Synthetic demo data</t>
        </is>
      </c>
      <c r="BE292" s="45">
        <f>IF(OR($A292="",$L292="",$H292=""),"",IF(AND(LEFT($L292,2)="06",$H292&gt;1945),"FAIL - pre-war class, year "&amp;$H292,IF(AND(LEFT($L292,2)="07",OR($H292&lt;1946,$H292&gt;1972)),"FAIL - 1946-72 class, year "&amp;$H292,IF(AND(LEFT($L292,2)="08",OR($H292&lt;1973,$H292&gt;1999)),"FAIL - 1973-99 class, year "&amp;$H292,IF(AND(LEFT($L292,2)="09",OR($H292&lt;2000,$H292&gt;2010)),"FAIL - 2000-10 class, year "&amp;$H292,"OK")))))</f>
      </c>
      <c r="BF292" s="45">
        <f>IF($AD292="","",IF(ROUND($AO292+$AP292+$AQ292-$AD292,2)=0,"OK","FAIL - out by "&amp;TEXT($AO292+$AP292+$AQ292-$AD292,"$0.00")))</f>
      </c>
    </row>
    <row r="293" spans="1:58" ht="18.75" customHeight="1" x14ac:dyDescent="0.25">
      <c r="A293" s="30" t="inlineStr">
        <is>
          <t xml:space="preserve">CANON-202508-000394</t>
        </is>
      </c>
      <c r="B293" s="30" t="inlineStr">
        <is>
          <t xml:space="preserve">Fenwick Vasquez</t>
        </is>
      </c>
      <c r="C293" s="31">
        <v>45891</v>
      </c>
      <c r="D293" s="32" t="inlineStr">
        <is>
          <t xml:space="preserve">Bound - within authority</t>
        </is>
      </c>
      <c r="E293" s="32" t="inlineStr">
        <is>
          <t xml:space="preserve">New business</t>
        </is>
      </c>
      <c r="F293" s="30" t="inlineStr">
        <is>
          <t xml:space="preserve">B1234EXOTIC26</t>
        </is>
      </c>
      <c r="G293" s="33">
        <f>IF($A293="","",IF($C293="","",YEAR($C293)))</f>
      </c>
      <c r="H293" s="34">
        <v>1980</v>
      </c>
      <c r="I293" s="30" t="inlineStr">
        <is>
          <t xml:space="preserve">Aston Martin</t>
        </is>
      </c>
      <c r="J293" s="30" t="inlineStr">
        <is>
          <t xml:space="preserve">DB12</t>
        </is>
      </c>
      <c r="K293" s="30" t="inlineStr">
        <is>
          <t xml:space="preserve">Z35YSNKLZ0W4TCFP1</t>
        </is>
      </c>
      <c r="L293" s="32" t="inlineStr">
        <is>
          <t xml:space="preserve">02 - Sports / GT</t>
        </is>
      </c>
      <c r="M293" s="35">
        <v>765000</v>
      </c>
      <c r="N293" s="32" t="inlineStr">
        <is>
          <t xml:space="preserve">Personal</t>
        </is>
      </c>
      <c r="O293" s="30" t="inlineStr">
        <is>
          <t xml:space="preserve">Personal - regular use</t>
        </is>
      </c>
      <c r="P293" s="30" t="inlineStr">
        <is>
          <t xml:space="preserve">2,500 - 5,000</t>
        </is>
      </c>
      <c r="Q293" s="30" t="inlineStr">
        <is>
          <t xml:space="preserve">Vermont</t>
        </is>
      </c>
      <c r="R293" s="30" t="inlineStr">
        <is>
          <t xml:space="preserve">05601</t>
        </is>
      </c>
      <c r="S293" s="32" t="inlineStr">
        <is>
          <t xml:space="preserve">Low hazard - inland benign</t>
        </is>
      </c>
      <c r="T293" s="36">
        <f>IF($A293="","",IF($S293="","",IFERROR(INDEX('[1]natural catastrophe'!$D$6:$D$17,MATCH($S293,'[1]natural catastrophe'!$B$6:$B$17,0)),"?")))</f>
      </c>
      <c r="U293" s="30" t="inlineStr">
        <is>
          <t xml:space="preserve">$5,000</t>
        </is>
      </c>
      <c r="V293" s="32" t="inlineStr">
        <is>
          <t xml:space="preserve">Agreed Value</t>
        </is>
      </c>
      <c r="W293" s="30" t="inlineStr">
        <is>
          <t xml:space="preserve">$1,000</t>
        </is>
      </c>
      <c r="X293" s="32" t="inlineStr">
        <is>
          <t xml:space="preserve">$1,000,000 CSL</t>
        </is>
      </c>
      <c r="Y293" s="30"/>
      <c r="Z293" s="30"/>
      <c r="AA293" s="32" t="inlineStr">
        <is>
          <t xml:space="preserve">Surplus Lines</t>
        </is>
      </c>
      <c r="AB293" s="35">
        <v>11446.13</v>
      </c>
      <c r="AC293" s="37">
        <v>0</v>
      </c>
      <c r="AD293" s="38">
        <f>IF(ISNUMBER($AB293),$AB293*(1+N($AC293)),"")</f>
      </c>
      <c r="AE293" s="35">
        <v>350</v>
      </c>
      <c r="AF293" s="35">
        <v>0</v>
      </c>
      <c r="AG293" s="37"/>
      <c r="AH293" s="39">
        <f>IF(ISNUMBER($AD293),($AD293+$AE293+$AF293)*$AG293,"")</f>
      </c>
      <c r="AI293" s="35"/>
      <c r="AJ293" s="38">
        <f>IF(ISNUMBER($AD293),SUM($AD293:$AH293),"")</f>
      </c>
      <c r="AK293" s="40">
        <f>IF(AND(ISNUMBER($AB293),ISNUMBER($AD293)),IF($AB293&gt;0,$AD293/$AB293,""),"")</f>
      </c>
      <c r="AL293" s="32" t="inlineStr">
        <is>
          <t xml:space="preserve">At technical</t>
        </is>
      </c>
      <c r="AM293" s="41">
        <f>IF(ISNUMBER($AD293),Header!$I$3,"")</f>
      </c>
      <c r="AN293" s="39">
        <f>IF(ISNUMBER($AD293),$AO293+$AP293,"")</f>
      </c>
      <c r="AO293" s="39">
        <f>IF(ISNUMBER($AD293),ROUND($AD293*Header!$K$3,2),"")</f>
      </c>
      <c r="AP293" s="39">
        <f>IF(ISNUMBER($AD293),ROUND($AD293*Header!$M$3,2),"")</f>
      </c>
      <c r="AQ293" s="38">
        <f>IF(ISNUMBER($AD293),ROUND($AD293,2)-$AO293-$AP293,"")</f>
      </c>
      <c r="AR293" s="39">
        <f>IF(ISNUMBER($AD293),IF(Header!$D$34="","?",$AD293*Header!$D$34),"")</f>
      </c>
      <c r="AS293" s="39">
        <f>IF(ISNUMBER($AB293),IF(Header!$D$34="","?",$AB293*Header!$D$34),"")</f>
      </c>
      <c r="AT293" s="42">
        <f>IF(AND(ISNUMBER($AB293),$M293&gt;0),$AB293/$M293*100,"")</f>
      </c>
      <c r="AU293" s="42">
        <f>IF(AND(ISNUMBER($AD293),$M293&gt;0),$AD293/$M293*100,"")</f>
      </c>
      <c r="AV293" s="40">
        <f>IF(AND(ISNUMBER($AB293),ISNUMBER($AD293),ABS($AB293)&gt;0),$AD293/$AB293,"")</f>
      </c>
      <c r="AW293" s="39">
        <f>IF(ISNUMBER($AD293),MAX(0,(1-0.55-Header!$O$3)*Header!$Q$3*$AQ293),"")</f>
      </c>
      <c r="AX293" s="43">
        <f>IF($A293="","",IF(TRIM(IF($A293="","Missing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",""))="","PASS","FAIL: "&amp;TRIM(IF($A293="","Missing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f>
      </c>
      <c r="AY293" s="44">
        <f>IF($M293="","",IF(ISNUMBER($M293),IF($M293&gt;=Header!$C$18,"YES — refer","No"),""))</f>
      </c>
      <c r="AZ293" s="44">
        <f>IF($AD293="","",IF(ISNUMBER($AD293),IF($AD293&lt;Header!$C$20,"BELOW MIN PREMIUM","OK"),""))</f>
      </c>
      <c r="BA293" s="32" t="inlineStr">
        <is>
          <t xml:space="preserve">Yes</t>
        </is>
      </c>
      <c r="BB293" s="32" t="inlineStr">
        <is>
          <t xml:space="preserve">Yes</t>
        </is>
      </c>
      <c r="BC293" s="30" t="inlineStr">
        <is>
          <t xml:space="preserve">Synthetic demo data</t>
        </is>
      </c>
      <c r="BE293" s="45">
        <f>IF(OR($A293="",$L293="",$H293=""),"",IF(AND(LEFT($L293,2)="06",$H293&gt;1945),"FAIL - pre-war class, year "&amp;$H293,IF(AND(LEFT($L293,2)="07",OR($H293&lt;1946,$H293&gt;1972)),"FAIL - 1946-72 class, year "&amp;$H293,IF(AND(LEFT($L293,2)="08",OR($H293&lt;1973,$H293&gt;1999)),"FAIL - 1973-99 class, year "&amp;$H293,IF(AND(LEFT($L293,2)="09",OR($H293&lt;2000,$H293&gt;2010)),"FAIL - 2000-10 class, year "&amp;$H293,"OK")))))</f>
      </c>
      <c r="BF293" s="45">
        <f>IF($AD293="","",IF(ROUND($AO293+$AP293+$AQ293-$AD293,2)=0,"OK","FAIL - out by "&amp;TEXT($AO293+$AP293+$AQ293-$AD293,"$0.00")))</f>
      </c>
    </row>
    <row r="294" spans="1:58" ht="18.75" customHeight="1" x14ac:dyDescent="0.25">
      <c r="A294" s="46" t="inlineStr">
        <is>
          <t xml:space="preserve">CANON-202508-000396</t>
        </is>
      </c>
      <c r="B294" s="46" t="inlineStr">
        <is>
          <t xml:space="preserve">Sunniva Montoya</t>
        </is>
      </c>
      <c r="C294" s="47">
        <v>45887</v>
      </c>
      <c r="D294" s="48" t="inlineStr">
        <is>
          <t xml:space="preserve">Bound - within authority</t>
        </is>
      </c>
      <c r="E294" s="48" t="inlineStr">
        <is>
          <t xml:space="preserve">New business</t>
        </is>
      </c>
      <c r="F294" s="46" t="inlineStr">
        <is>
          <t xml:space="preserve">B1234EXOTIC26</t>
        </is>
      </c>
      <c r="G294" s="33">
        <f>IF($A294="","",IF($C294="","",YEAR($C294)))</f>
      </c>
      <c r="H294" s="49">
        <v>1963</v>
      </c>
      <c r="I294" s="46" t="inlineStr">
        <is>
          <t xml:space="preserve">Aston Martin</t>
        </is>
      </c>
      <c r="J294" s="46" t="inlineStr">
        <is>
          <t xml:space="preserve">DB12</t>
        </is>
      </c>
      <c r="K294" s="46" t="inlineStr">
        <is>
          <t xml:space="preserve">5A3CV23H9NSAM0C8K</t>
        </is>
      </c>
      <c r="L294" s="48" t="inlineStr">
        <is>
          <t xml:space="preserve">02 - Sports / GT</t>
        </is>
      </c>
      <c r="M294" s="50">
        <v>885000</v>
      </c>
      <c r="N294" s="48" t="inlineStr">
        <is>
          <t xml:space="preserve">Personal</t>
        </is>
      </c>
      <c r="O294" s="46" t="inlineStr">
        <is>
          <t xml:space="preserve">Personal - regular use</t>
        </is>
      </c>
      <c r="P294" s="46" t="inlineStr">
        <is>
          <t xml:space="preserve">2,500 - 5,000</t>
        </is>
      </c>
      <c r="Q294" s="46" t="inlineStr">
        <is>
          <t xml:space="preserve">Georgia</t>
        </is>
      </c>
      <c r="R294" s="46" t="inlineStr">
        <is>
          <t xml:space="preserve">30303</t>
        </is>
      </c>
      <c r="S294" s="48" t="inlineStr">
        <is>
          <t xml:space="preserve">Tier 2 - Coastal wind (1-25 miles)</t>
        </is>
      </c>
      <c r="T294" s="36">
        <f>IF($A294="","",IF($S294="","",IFERROR(INDEX('[1]natural catastrophe'!$D$6:$D$17,MATCH($S294,'[1]natural catastrophe'!$B$6:$B$17,0)),"?")))</f>
      </c>
      <c r="U294" s="46" t="inlineStr">
        <is>
          <t xml:space="preserve">2% of agreed value, minimum $10,000</t>
        </is>
      </c>
      <c r="V294" s="48" t="inlineStr">
        <is>
          <t xml:space="preserve">Agreed Value</t>
        </is>
      </c>
      <c r="W294" s="46" t="inlineStr">
        <is>
          <t xml:space="preserve">$1,000</t>
        </is>
      </c>
      <c r="X294" s="48" t="inlineStr">
        <is>
          <t xml:space="preserve">$1,000,000 CSL</t>
        </is>
      </c>
      <c r="Y294" s="46"/>
      <c r="Z294" s="46"/>
      <c r="AA294" s="48" t="inlineStr">
        <is>
          <t xml:space="preserve">Surplus Lines</t>
        </is>
      </c>
      <c r="AB294" s="50">
        <v>12156.23</v>
      </c>
      <c r="AC294" s="51">
        <v>0</v>
      </c>
      <c r="AD294" s="38">
        <f>IF(ISNUMBER($AB294),$AB294*(1+N($AC294)),"")</f>
      </c>
      <c r="AE294" s="50">
        <v>350</v>
      </c>
      <c r="AF294" s="50">
        <v>0</v>
      </c>
      <c r="AG294" s="51"/>
      <c r="AH294" s="39">
        <f>IF(ISNUMBER($AD294),($AD294+$AE294+$AF294)*$AG294,"")</f>
      </c>
      <c r="AI294" s="50"/>
      <c r="AJ294" s="38">
        <f>IF(ISNUMBER($AD294),SUM($AD294:$AH294),"")</f>
      </c>
      <c r="AK294" s="40">
        <f>IF(AND(ISNUMBER($AB294),ISNUMBER($AD294)),IF($AB294&gt;0,$AD294/$AB294,""),"")</f>
      </c>
      <c r="AL294" s="48" t="inlineStr">
        <is>
          <t xml:space="preserve">At technical</t>
        </is>
      </c>
      <c r="AM294" s="41">
        <f>IF(ISNUMBER($AD294),Header!$I$3,"")</f>
      </c>
      <c r="AN294" s="39">
        <f>IF(ISNUMBER($AD294),$AO294+$AP294,"")</f>
      </c>
      <c r="AO294" s="39">
        <f>IF(ISNUMBER($AD294),ROUND($AD294*Header!$K$3,2),"")</f>
      </c>
      <c r="AP294" s="39">
        <f>IF(ISNUMBER($AD294),ROUND($AD294*Header!$M$3,2),"")</f>
      </c>
      <c r="AQ294" s="38">
        <f>IF(ISNUMBER($AD294),ROUND($AD294,2)-$AO294-$AP294,"")</f>
      </c>
      <c r="AR294" s="39">
        <f>IF(ISNUMBER($AD294),IF(Header!$D$34="","?",$AD294*Header!$D$34),"")</f>
      </c>
      <c r="AS294" s="39">
        <f>IF(ISNUMBER($AB294),IF(Header!$D$34="","?",$AB294*Header!$D$34),"")</f>
      </c>
      <c r="AT294" s="42">
        <f>IF(AND(ISNUMBER($AB294),$M294&gt;0),$AB294/$M294*100,"")</f>
      </c>
      <c r="AU294" s="42">
        <f>IF(AND(ISNUMBER($AD294),$M294&gt;0),$AD294/$M294*100,"")</f>
      </c>
      <c r="AV294" s="40">
        <f>IF(AND(ISNUMBER($AB294),ISNUMBER($AD294),ABS($AB294)&gt;0),$AD294/$AB294,"")</f>
      </c>
      <c r="AW294" s="39">
        <f>IF(ISNUMBER($AD294),MAX(0,(1-0.55-Header!$O$3)*Header!$Q$3*$AQ294),"")</f>
      </c>
      <c r="AX294" s="43">
        <f>IF($A294="","",IF(TRIM(IF($A294="","Missing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",""))="","PASS","FAIL: "&amp;TRIM(IF($A294="","Missing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f>
      </c>
      <c r="AY294" s="44">
        <f>IF($M294="","",IF(ISNUMBER($M294),IF($M294&gt;=Header!$C$18,"YES — refer","No"),""))</f>
      </c>
      <c r="AZ294" s="44">
        <f>IF($AD294="","",IF(ISNUMBER($AD294),IF($AD294&lt;Header!$C$20,"BELOW MIN PREMIUM","OK"),""))</f>
      </c>
      <c r="BA294" s="48" t="inlineStr">
        <is>
          <t xml:space="preserve">Yes</t>
        </is>
      </c>
      <c r="BB294" s="48" t="inlineStr">
        <is>
          <t xml:space="preserve">Yes</t>
        </is>
      </c>
      <c r="BC294" s="46" t="inlineStr">
        <is>
          <t xml:space="preserve">Synthetic demo data</t>
        </is>
      </c>
      <c r="BE294" s="45">
        <f>IF(OR($A294="",$L294="",$H294=""),"",IF(AND(LEFT($L294,2)="06",$H294&gt;1945),"FAIL - pre-war class, year "&amp;$H294,IF(AND(LEFT($L294,2)="07",OR($H294&lt;1946,$H294&gt;1972)),"FAIL - 1946-72 class, year "&amp;$H294,IF(AND(LEFT($L294,2)="08",OR($H294&lt;1973,$H294&gt;1999)),"FAIL - 1973-99 class, year "&amp;$H294,IF(AND(LEFT($L294,2)="09",OR($H294&lt;2000,$H294&gt;2010)),"FAIL - 2000-10 class, year "&amp;$H294,"OK")))))</f>
      </c>
      <c r="BF294" s="45">
        <f>IF($AD294="","",IF(ROUND($AO294+$AP294+$AQ294-$AD294,2)=0,"OK","FAIL - out by "&amp;TEXT($AO294+$AP294+$AQ294-$AD294,"$0.00")))</f>
      </c>
    </row>
    <row r="295" spans="1:58" ht="18.75" customHeight="1" x14ac:dyDescent="0.25">
      <c r="A295" s="30" t="inlineStr">
        <is>
          <t xml:space="preserve">CANON-202508-000397</t>
        </is>
      </c>
      <c r="B295" s="30" t="inlineStr">
        <is>
          <t xml:space="preserve">Priya Harrington</t>
        </is>
      </c>
      <c r="C295" s="31">
        <v>45883</v>
      </c>
      <c r="D295" s="32" t="inlineStr">
        <is>
          <t xml:space="preserve">Bound - within authority</t>
        </is>
      </c>
      <c r="E295" s="32" t="inlineStr">
        <is>
          <t xml:space="preserve">New business</t>
        </is>
      </c>
      <c r="F295" s="30" t="inlineStr">
        <is>
          <t xml:space="preserve">B1234EXOTIC26</t>
        </is>
      </c>
      <c r="G295" s="33">
        <f>IF($A295="","",IF($C295="","",YEAR($C295)))</f>
      </c>
      <c r="H295" s="34">
        <v>2019</v>
      </c>
      <c r="I295" s="30" t="inlineStr">
        <is>
          <t xml:space="preserve">Mercedes-Benz</t>
        </is>
      </c>
      <c r="J295" s="30" t="inlineStr">
        <is>
          <t xml:space="preserve">280SL Pagoda</t>
        </is>
      </c>
      <c r="K295" s="30" t="inlineStr">
        <is>
          <t xml:space="preserve">RUDE7YFF8NC874B4P</t>
        </is>
      </c>
      <c r="L295" s="32" t="inlineStr">
        <is>
          <t xml:space="preserve">02 - Sports / GT</t>
        </is>
      </c>
      <c r="M295" s="35">
        <v>710000</v>
      </c>
      <c r="N295" s="32" t="inlineStr">
        <is>
          <t xml:space="preserve">Personal</t>
        </is>
      </c>
      <c r="O295" s="30" t="inlineStr">
        <is>
          <t xml:space="preserve">Personal - regular use</t>
        </is>
      </c>
      <c r="P295" s="30" t="inlineStr">
        <is>
          <t xml:space="preserve">Under 1,000</t>
        </is>
      </c>
      <c r="Q295" s="30" t="inlineStr">
        <is>
          <t xml:space="preserve">Pennsylvania</t>
        </is>
      </c>
      <c r="R295" s="30" t="inlineStr">
        <is>
          <t xml:space="preserve">19103</t>
        </is>
      </c>
      <c r="S295" s="32" t="inlineStr">
        <is>
          <t xml:space="preserve">Low hazard - inland benign</t>
        </is>
      </c>
      <c r="T295" s="36">
        <f>IF($A295="","",IF($S295="","",IFERROR(INDEX('[1]natural catastrophe'!$D$6:$D$17,MATCH($S295,'[1]natural catastrophe'!$B$6:$B$17,0)),"?")))</f>
      </c>
      <c r="U295" s="30" t="inlineStr">
        <is>
          <t xml:space="preserve">$5,000</t>
        </is>
      </c>
      <c r="V295" s="32" t="inlineStr">
        <is>
          <t xml:space="preserve">Agreed Value</t>
        </is>
      </c>
      <c r="W295" s="30" t="inlineStr">
        <is>
          <t xml:space="preserve">$1,000</t>
        </is>
      </c>
      <c r="X295" s="32" t="inlineStr">
        <is>
          <t xml:space="preserve">$1,000,000 CSL</t>
        </is>
      </c>
      <c r="Y295" s="30"/>
      <c r="Z295" s="30"/>
      <c r="AA295" s="32" t="inlineStr">
        <is>
          <t xml:space="preserve">Surplus Lines</t>
        </is>
      </c>
      <c r="AB295" s="35">
        <v>5760.38</v>
      </c>
      <c r="AC295" s="37">
        <v>0</v>
      </c>
      <c r="AD295" s="38">
        <f>IF(ISNUMBER($AB295),$AB295*(1+N($AC295)),"")</f>
      </c>
      <c r="AE295" s="35">
        <v>350</v>
      </c>
      <c r="AF295" s="35">
        <v>0</v>
      </c>
      <c r="AG295" s="37"/>
      <c r="AH295" s="39">
        <f>IF(ISNUMBER($AD295),($AD295+$AE295+$AF295)*$AG295,"")</f>
      </c>
      <c r="AI295" s="35"/>
      <c r="AJ295" s="38">
        <f>IF(ISNUMBER($AD295),SUM($AD295:$AH295),"")</f>
      </c>
      <c r="AK295" s="40">
        <f>IF(AND(ISNUMBER($AB295),ISNUMBER($AD295)),IF($AB295&gt;0,$AD295/$AB295,""),"")</f>
      </c>
      <c r="AL295" s="32" t="inlineStr">
        <is>
          <t xml:space="preserve">At technical</t>
        </is>
      </c>
      <c r="AM295" s="41">
        <f>IF(ISNUMBER($AD295),Header!$I$3,"")</f>
      </c>
      <c r="AN295" s="39">
        <f>IF(ISNUMBER($AD295),$AO295+$AP295,"")</f>
      </c>
      <c r="AO295" s="39">
        <f>IF(ISNUMBER($AD295),ROUND($AD295*Header!$K$3,2),"")</f>
      </c>
      <c r="AP295" s="39">
        <f>IF(ISNUMBER($AD295),ROUND($AD295*Header!$M$3,2),"")</f>
      </c>
      <c r="AQ295" s="38">
        <f>IF(ISNUMBER($AD295),ROUND($AD295,2)-$AO295-$AP295,"")</f>
      </c>
      <c r="AR295" s="39">
        <f>IF(ISNUMBER($AD295),IF(Header!$D$34="","?",$AD295*Header!$D$34),"")</f>
      </c>
      <c r="AS295" s="39">
        <f>IF(ISNUMBER($AB295),IF(Header!$D$34="","?",$AB295*Header!$D$34),"")</f>
      </c>
      <c r="AT295" s="42">
        <f>IF(AND(ISNUMBER($AB295),$M295&gt;0),$AB295/$M295*100,"")</f>
      </c>
      <c r="AU295" s="42">
        <f>IF(AND(ISNUMBER($AD295),$M295&gt;0),$AD295/$M295*100,"")</f>
      </c>
      <c r="AV295" s="40">
        <f>IF(AND(ISNUMBER($AB295),ISNUMBER($AD295),ABS($AB295)&gt;0),$AD295/$AB295,"")</f>
      </c>
      <c r="AW295" s="39">
        <f>IF(ISNUMBER($AD295),MAX(0,(1-0.55-Header!$O$3)*Header!$Q$3*$AQ295),"")</f>
      </c>
      <c r="AX295" s="43">
        <f>IF($A295="","",IF(TRIM(IF($A295="","Missing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",""))="","PASS","FAIL: "&amp;TRIM(IF($A295="","Missing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f>
      </c>
      <c r="AY295" s="44">
        <f>IF($M295="","",IF(ISNUMBER($M295),IF($M295&gt;=Header!$C$18,"YES — refer","No"),""))</f>
      </c>
      <c r="AZ295" s="44">
        <f>IF($AD295="","",IF(ISNUMBER($AD295),IF($AD295&lt;Header!$C$20,"BELOW MIN PREMIUM","OK"),""))</f>
      </c>
      <c r="BA295" s="32" t="inlineStr">
        <is>
          <t xml:space="preserve">Yes</t>
        </is>
      </c>
      <c r="BB295" s="32" t="inlineStr">
        <is>
          <t xml:space="preserve">Yes</t>
        </is>
      </c>
      <c r="BC295" s="30" t="inlineStr">
        <is>
          <t xml:space="preserve">Synthetic demo data</t>
        </is>
      </c>
      <c r="BE295" s="45">
        <f>IF(OR($A295="",$L295="",$H295=""),"",IF(AND(LEFT($L295,2)="06",$H295&gt;1945),"FAIL - pre-war class, year "&amp;$H295,IF(AND(LEFT($L295,2)="07",OR($H295&lt;1946,$H295&gt;1972)),"FAIL - 1946-72 class, year "&amp;$H295,IF(AND(LEFT($L295,2)="08",OR($H295&lt;1973,$H295&gt;1999)),"FAIL - 1973-99 class, year "&amp;$H295,IF(AND(LEFT($L295,2)="09",OR($H295&lt;2000,$H295&gt;2010)),"FAIL - 2000-10 class, year "&amp;$H295,"OK")))))</f>
      </c>
      <c r="BF295" s="45">
        <f>IF($AD295="","",IF(ROUND($AO295+$AP295+$AQ295-$AD295,2)=0,"OK","FAIL - out by "&amp;TEXT($AO295+$AP295+$AQ295-$AD295,"$0.00")))</f>
      </c>
    </row>
    <row r="296" spans="1:58" ht="18.75" customHeight="1" x14ac:dyDescent="0.25">
      <c r="A296" s="46" t="inlineStr">
        <is>
          <t xml:space="preserve">CANON-202508-000399</t>
        </is>
      </c>
      <c r="B296" s="46" t="inlineStr">
        <is>
          <t xml:space="preserve">Noor Kingsford</t>
        </is>
      </c>
      <c r="C296" s="47">
        <v>45889</v>
      </c>
      <c r="D296" s="48" t="inlineStr">
        <is>
          <t xml:space="preserve">Bound - within authority</t>
        </is>
      </c>
      <c r="E296" s="48" t="inlineStr">
        <is>
          <t xml:space="preserve">New business</t>
        </is>
      </c>
      <c r="F296" s="46" t="inlineStr">
        <is>
          <t xml:space="preserve">B1234EXOTIC26</t>
        </is>
      </c>
      <c r="G296" s="33">
        <f>IF($A296="","",IF($C296="","",YEAR($C296)))</f>
      </c>
      <c r="H296" s="49">
        <v>1967</v>
      </c>
      <c r="I296" s="46" t="inlineStr">
        <is>
          <t xml:space="preserve">BMW</t>
        </is>
      </c>
      <c r="J296" s="46" t="inlineStr">
        <is>
          <t xml:space="preserve">M8 Competition</t>
        </is>
      </c>
      <c r="K296" s="46" t="inlineStr">
        <is>
          <t xml:space="preserve">F57C3UM5FF3F93VDS</t>
        </is>
      </c>
      <c r="L296" s="48" t="inlineStr">
        <is>
          <t xml:space="preserve">02 - Sports / GT</t>
        </is>
      </c>
      <c r="M296" s="50">
        <v>1175000</v>
      </c>
      <c r="N296" s="48" t="inlineStr">
        <is>
          <t xml:space="preserve">Personal</t>
        </is>
      </c>
      <c r="O296" s="46" t="inlineStr">
        <is>
          <t xml:space="preserve">Personal - regular use</t>
        </is>
      </c>
      <c r="P296" s="46" t="inlineStr">
        <is>
          <t xml:space="preserve">1,000 - 2,500</t>
        </is>
      </c>
      <c r="Q296" s="46" t="inlineStr">
        <is>
          <t xml:space="preserve">Mississippi</t>
        </is>
      </c>
      <c r="R296" s="46" t="inlineStr">
        <is>
          <t xml:space="preserve">39201</t>
        </is>
      </c>
      <c r="S296" s="48" t="inlineStr">
        <is>
          <t xml:space="preserve">Tier 2 - Coastal wind (1-25 miles)</t>
        </is>
      </c>
      <c r="T296" s="36">
        <f>IF($A296="","",IF($S296="","",IFERROR(INDEX('[1]natural catastrophe'!$D$6:$D$17,MATCH($S296,'[1]natural catastrophe'!$B$6:$B$17,0)),"?")))</f>
      </c>
      <c r="U296" s="46" t="inlineStr">
        <is>
          <t xml:space="preserve">2% of agreed value, minimum $10,000</t>
        </is>
      </c>
      <c r="V296" s="48" t="inlineStr">
        <is>
          <t xml:space="preserve">Agreed Value</t>
        </is>
      </c>
      <c r="W296" s="46" t="inlineStr">
        <is>
          <t xml:space="preserve">$1,000</t>
        </is>
      </c>
      <c r="X296" s="48" t="inlineStr">
        <is>
          <t xml:space="preserve">$1,000,000 CSL</t>
        </is>
      </c>
      <c r="Y296" s="46"/>
      <c r="Z296" s="46"/>
      <c r="AA296" s="48" t="inlineStr">
        <is>
          <t xml:space="preserve">Surplus Lines</t>
        </is>
      </c>
      <c r="AB296" s="50">
        <v>14510.14</v>
      </c>
      <c r="AC296" s="51">
        <v>0</v>
      </c>
      <c r="AD296" s="38">
        <f>IF(ISNUMBER($AB296),$AB296*(1+N($AC296)),"")</f>
      </c>
      <c r="AE296" s="50">
        <v>350</v>
      </c>
      <c r="AF296" s="50">
        <v>250</v>
      </c>
      <c r="AG296" s="51"/>
      <c r="AH296" s="39">
        <f>IF(ISNUMBER($AD296),($AD296+$AE296+$AF296)*$AG296,"")</f>
      </c>
      <c r="AI296" s="50"/>
      <c r="AJ296" s="38">
        <f>IF(ISNUMBER($AD296),SUM($AD296:$AH296),"")</f>
      </c>
      <c r="AK296" s="40">
        <f>IF(AND(ISNUMBER($AB296),ISNUMBER($AD296)),IF($AB296&gt;0,$AD296/$AB296,""),"")</f>
      </c>
      <c r="AL296" s="48" t="inlineStr">
        <is>
          <t xml:space="preserve">At technical</t>
        </is>
      </c>
      <c r="AM296" s="41">
        <f>IF(ISNUMBER($AD296),Header!$I$3,"")</f>
      </c>
      <c r="AN296" s="39">
        <f>IF(ISNUMBER($AD296),$AO296+$AP296,"")</f>
      </c>
      <c r="AO296" s="39">
        <f>IF(ISNUMBER($AD296),ROUND($AD296*Header!$K$3,2),"")</f>
      </c>
      <c r="AP296" s="39">
        <f>IF(ISNUMBER($AD296),ROUND($AD296*Header!$M$3,2),"")</f>
      </c>
      <c r="AQ296" s="38">
        <f>IF(ISNUMBER($AD296),ROUND($AD296,2)-$AO296-$AP296,"")</f>
      </c>
      <c r="AR296" s="39">
        <f>IF(ISNUMBER($AD296),IF(Header!$D$34="","?",$AD296*Header!$D$34),"")</f>
      </c>
      <c r="AS296" s="39">
        <f>IF(ISNUMBER($AB296),IF(Header!$D$34="","?",$AB296*Header!$D$34),"")</f>
      </c>
      <c r="AT296" s="42">
        <f>IF(AND(ISNUMBER($AB296),$M296&gt;0),$AB296/$M296*100,"")</f>
      </c>
      <c r="AU296" s="42">
        <f>IF(AND(ISNUMBER($AD296),$M296&gt;0),$AD296/$M296*100,"")</f>
      </c>
      <c r="AV296" s="40">
        <f>IF(AND(ISNUMBER($AB296),ISNUMBER($AD296),ABS($AB296)&gt;0),$AD296/$AB296,"")</f>
      </c>
      <c r="AW296" s="39">
        <f>IF(ISNUMBER($AD296),MAX(0,(1-0.55-Header!$O$3)*Header!$Q$3*$AQ296),"")</f>
      </c>
      <c r="AX296" s="43">
        <f>IF($A296="","",IF(TRIM(IF($A296="","Missing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",""))="","PASS","FAIL: "&amp;TRIM(IF($A296="","Missing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f>
      </c>
      <c r="AY296" s="44">
        <f>IF($M296="","",IF(ISNUMBER($M296),IF($M296&gt;=Header!$C$18,"YES — refer","No"),""))</f>
      </c>
      <c r="AZ296" s="44">
        <f>IF($AD296="","",IF(ISNUMBER($AD296),IF($AD296&lt;Header!$C$20,"BELOW MIN PREMIUM","OK"),""))</f>
      </c>
      <c r="BA296" s="48" t="inlineStr">
        <is>
          <t xml:space="preserve">Yes</t>
        </is>
      </c>
      <c r="BB296" s="48" t="inlineStr">
        <is>
          <t xml:space="preserve">Yes</t>
        </is>
      </c>
      <c r="BC296" s="46" t="inlineStr">
        <is>
          <t xml:space="preserve">Synthetic demo data</t>
        </is>
      </c>
      <c r="BE296" s="45">
        <f>IF(OR($A296="",$L296="",$H296=""),"",IF(AND(LEFT($L296,2)="06",$H296&gt;1945),"FAIL - pre-war class, year "&amp;$H296,IF(AND(LEFT($L296,2)="07",OR($H296&lt;1946,$H296&gt;1972)),"FAIL - 1946-72 class, year "&amp;$H296,IF(AND(LEFT($L296,2)="08",OR($H296&lt;1973,$H296&gt;1999)),"FAIL - 1973-99 class, year "&amp;$H296,IF(AND(LEFT($L296,2)="09",OR($H296&lt;2000,$H296&gt;2010)),"FAIL - 2000-10 class, year "&amp;$H296,"OK")))))</f>
      </c>
      <c r="BF296" s="45">
        <f>IF($AD296="","",IF(ROUND($AO296+$AP296+$AQ296-$AD296,2)=0,"OK","FAIL - out by "&amp;TEXT($AO296+$AP296+$AQ296-$AD296,"$0.00")))</f>
      </c>
    </row>
    <row r="297" spans="1:58" ht="18.75" customHeight="1" x14ac:dyDescent="0.25">
      <c r="A297" s="30" t="inlineStr">
        <is>
          <t xml:space="preserve">CANON-202508-000400</t>
        </is>
      </c>
      <c r="B297" s="30" t="inlineStr">
        <is>
          <t xml:space="preserve">Leopold Underwood</t>
        </is>
      </c>
      <c r="C297" s="31">
        <v>45887</v>
      </c>
      <c r="D297" s="32" t="inlineStr">
        <is>
          <t xml:space="preserve">Bound - within authority</t>
        </is>
      </c>
      <c r="E297" s="32" t="inlineStr">
        <is>
          <t xml:space="preserve">New business</t>
        </is>
      </c>
      <c r="F297" s="30" t="inlineStr">
        <is>
          <t xml:space="preserve">B1234EXOTIC26</t>
        </is>
      </c>
      <c r="G297" s="33">
        <f>IF($A297="","",IF($C297="","",YEAR($C297)))</f>
      </c>
      <c r="H297" s="34">
        <v>2015</v>
      </c>
      <c r="I297" s="30" t="inlineStr">
        <is>
          <t xml:space="preserve">Ferrari</t>
        </is>
      </c>
      <c r="J297" s="30" t="inlineStr">
        <is>
          <t xml:space="preserve">SF90 Stradale</t>
        </is>
      </c>
      <c r="K297" s="30" t="inlineStr">
        <is>
          <t xml:space="preserve">LRGAG3W19HCD40C24</t>
        </is>
      </c>
      <c r="L297" s="32" t="inlineStr">
        <is>
          <t xml:space="preserve">03 - Supercar</t>
        </is>
      </c>
      <c r="M297" s="35">
        <v>1950000</v>
      </c>
      <c r="N297" s="32" t="inlineStr">
        <is>
          <t xml:space="preserve">Personal</t>
        </is>
      </c>
      <c r="O297" s="30" t="inlineStr">
        <is>
          <t xml:space="preserve">Personal - regular use</t>
        </is>
      </c>
      <c r="P297" s="30" t="inlineStr">
        <is>
          <t xml:space="preserve">2,500 - 5,000</t>
        </is>
      </c>
      <c r="Q297" s="30" t="inlineStr">
        <is>
          <t xml:space="preserve">Louisiana</t>
        </is>
      </c>
      <c r="R297" s="30" t="inlineStr">
        <is>
          <t xml:space="preserve">70112</t>
        </is>
      </c>
      <c r="S297" s="32" t="inlineStr">
        <is>
          <t xml:space="preserve">Tier 2 - Coastal wind (1-25 miles)</t>
        </is>
      </c>
      <c r="T297" s="36">
        <f>IF($A297="","",IF($S297="","",IFERROR(INDEX('[1]natural catastrophe'!$D$6:$D$17,MATCH($S297,'[1]natural catastrophe'!$B$6:$B$17,0)),"?")))</f>
      </c>
      <c r="U297" s="30" t="inlineStr">
        <is>
          <t xml:space="preserve">2% of agreed value, minimum $10,000</t>
        </is>
      </c>
      <c r="V297" s="32" t="inlineStr">
        <is>
          <t xml:space="preserve">Agreed Value</t>
        </is>
      </c>
      <c r="W297" s="30" t="inlineStr">
        <is>
          <t xml:space="preserve">$1,000</t>
        </is>
      </c>
      <c r="X297" s="32" t="inlineStr">
        <is>
          <t xml:space="preserve">$1,000,000 CSL</t>
        </is>
      </c>
      <c r="Y297" s="30"/>
      <c r="Z297" s="30"/>
      <c r="AA297" s="32" t="inlineStr">
        <is>
          <t xml:space="preserve">Surplus Lines</t>
        </is>
      </c>
      <c r="AB297" s="35">
        <v>35615.09</v>
      </c>
      <c r="AC297" s="37">
        <v>0</v>
      </c>
      <c r="AD297" s="38">
        <f>IF(ISNUMBER($AB297),$AB297*(1+N($AC297)),"")</f>
      </c>
      <c r="AE297" s="35">
        <v>350</v>
      </c>
      <c r="AF297" s="35">
        <v>250</v>
      </c>
      <c r="AG297" s="37"/>
      <c r="AH297" s="39">
        <f>IF(ISNUMBER($AD297),($AD297+$AE297+$AF297)*$AG297,"")</f>
      </c>
      <c r="AI297" s="35"/>
      <c r="AJ297" s="38">
        <f>IF(ISNUMBER($AD297),SUM($AD297:$AH297),"")</f>
      </c>
      <c r="AK297" s="40">
        <f>IF(AND(ISNUMBER($AB297),ISNUMBER($AD297)),IF($AB297&gt;0,$AD297/$AB297,""),"")</f>
      </c>
      <c r="AL297" s="32" t="inlineStr">
        <is>
          <t xml:space="preserve">At technical</t>
        </is>
      </c>
      <c r="AM297" s="41">
        <f>IF(ISNUMBER($AD297),Header!$I$3,"")</f>
      </c>
      <c r="AN297" s="39">
        <f>IF(ISNUMBER($AD297),$AO297+$AP297,"")</f>
      </c>
      <c r="AO297" s="39">
        <f>IF(ISNUMBER($AD297),ROUND($AD297*Header!$K$3,2),"")</f>
      </c>
      <c r="AP297" s="39">
        <f>IF(ISNUMBER($AD297),ROUND($AD297*Header!$M$3,2),"")</f>
      </c>
      <c r="AQ297" s="38">
        <f>IF(ISNUMBER($AD297),ROUND($AD297,2)-$AO297-$AP297,"")</f>
      </c>
      <c r="AR297" s="39">
        <f>IF(ISNUMBER($AD297),IF(Header!$D$34="","?",$AD297*Header!$D$34),"")</f>
      </c>
      <c r="AS297" s="39">
        <f>IF(ISNUMBER($AB297),IF(Header!$D$34="","?",$AB297*Header!$D$34),"")</f>
      </c>
      <c r="AT297" s="42">
        <f>IF(AND(ISNUMBER($AB297),$M297&gt;0),$AB297/$M297*100,"")</f>
      </c>
      <c r="AU297" s="42">
        <f>IF(AND(ISNUMBER($AD297),$M297&gt;0),$AD297/$M297*100,"")</f>
      </c>
      <c r="AV297" s="40">
        <f>IF(AND(ISNUMBER($AB297),ISNUMBER($AD297),ABS($AB297)&gt;0),$AD297/$AB297,"")</f>
      </c>
      <c r="AW297" s="39">
        <f>IF(ISNUMBER($AD297),MAX(0,(1-0.55-Header!$O$3)*Header!$Q$3*$AQ297),"")</f>
      </c>
      <c r="AX297" s="43">
        <f>IF($A297="","",IF(TRIM(IF($A297="","Missing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",""))="","PASS","FAIL: "&amp;TRIM(IF($A297="","Missing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f>
      </c>
      <c r="AY297" s="44">
        <f>IF($M297="","",IF(ISNUMBER($M297),IF($M297&gt;=Header!$C$18,"YES — refer","No"),""))</f>
      </c>
      <c r="AZ297" s="44">
        <f>IF($AD297="","",IF(ISNUMBER($AD297),IF($AD297&lt;Header!$C$20,"BELOW MIN PREMIUM","OK"),""))</f>
      </c>
      <c r="BA297" s="32" t="inlineStr">
        <is>
          <t xml:space="preserve">Yes</t>
        </is>
      </c>
      <c r="BB297" s="32" t="inlineStr">
        <is>
          <t xml:space="preserve">Yes</t>
        </is>
      </c>
      <c r="BC297" s="30" t="inlineStr">
        <is>
          <t xml:space="preserve">Synthetic demo data</t>
        </is>
      </c>
      <c r="BE297" s="45">
        <f>IF(OR($A297="",$L297="",$H297=""),"",IF(AND(LEFT($L297,2)="06",$H297&gt;1945),"FAIL - pre-war class, year "&amp;$H297,IF(AND(LEFT($L297,2)="07",OR($H297&lt;1946,$H297&gt;1972)),"FAIL - 1946-72 class, year "&amp;$H297,IF(AND(LEFT($L297,2)="08",OR($H297&lt;1973,$H297&gt;1999)),"FAIL - 1973-99 class, year "&amp;$H297,IF(AND(LEFT($L297,2)="09",OR($H297&lt;2000,$H297&gt;2010)),"FAIL - 2000-10 class, year "&amp;$H297,"OK")))))</f>
      </c>
      <c r="BF297" s="45">
        <f>IF($AD297="","",IF(ROUND($AO297+$AP297+$AQ297-$AD297,2)=0,"OK","FAIL - out by "&amp;TEXT($AO297+$AP297+$AQ297-$AD297,"$0.00")))</f>
      </c>
    </row>
    <row r="298" spans="1:58" ht="18.75" customHeight="1" x14ac:dyDescent="0.25">
      <c r="A298" s="46" t="inlineStr">
        <is>
          <t xml:space="preserve">CANON-202508-000401</t>
        </is>
      </c>
      <c r="B298" s="46" t="inlineStr">
        <is>
          <t xml:space="preserve">Emiliano Kingsford</t>
        </is>
      </c>
      <c r="C298" s="47">
        <v>45891</v>
      </c>
      <c r="D298" s="48" t="inlineStr">
        <is>
          <t xml:space="preserve">Bound - within authority</t>
        </is>
      </c>
      <c r="E298" s="48" t="inlineStr">
        <is>
          <t xml:space="preserve">New business</t>
        </is>
      </c>
      <c r="F298" s="46" t="inlineStr">
        <is>
          <t xml:space="preserve">B1234EXOTIC26</t>
        </is>
      </c>
      <c r="G298" s="33">
        <f>IF($A298="","",IF($C298="","",YEAR($C298)))</f>
      </c>
      <c r="H298" s="49">
        <v>1957</v>
      </c>
      <c r="I298" s="46" t="inlineStr">
        <is>
          <t xml:space="preserve">Lamborghini</t>
        </is>
      </c>
      <c r="J298" s="46" t="inlineStr">
        <is>
          <t xml:space="preserve">Huracan EVO</t>
        </is>
      </c>
      <c r="K298" s="46" t="inlineStr">
        <is>
          <t xml:space="preserve">VPUWUA4872RK4CPS0</t>
        </is>
      </c>
      <c r="L298" s="48" t="inlineStr">
        <is>
          <t xml:space="preserve">03 - Supercar</t>
        </is>
      </c>
      <c r="M298" s="50">
        <v>770000</v>
      </c>
      <c r="N298" s="48" t="inlineStr">
        <is>
          <t xml:space="preserve">Personal</t>
        </is>
      </c>
      <c r="O298" s="46" t="inlineStr">
        <is>
          <t xml:space="preserve">Personal - regular use</t>
        </is>
      </c>
      <c r="P298" s="46" t="inlineStr">
        <is>
          <t xml:space="preserve">1,000 - 2,500</t>
        </is>
      </c>
      <c r="Q298" s="46" t="inlineStr">
        <is>
          <t xml:space="preserve">New York</t>
        </is>
      </c>
      <c r="R298" s="46" t="inlineStr">
        <is>
          <t xml:space="preserve">10022</t>
        </is>
      </c>
      <c r="S298" s="48" t="inlineStr">
        <is>
          <t xml:space="preserve">Tier 3 - Coastal wind (25-100 miles)</t>
        </is>
      </c>
      <c r="T298" s="36">
        <f>IF($A298="","",IF($S298="","",IFERROR(INDEX('[1]natural catastrophe'!$D$6:$D$17,MATCH($S298,'[1]natural catastrophe'!$B$6:$B$17,0)),"?")))</f>
      </c>
      <c r="U298" s="46" t="inlineStr">
        <is>
          <t xml:space="preserve">2% of agreed value, minimum $10,000</t>
        </is>
      </c>
      <c r="V298" s="48" t="inlineStr">
        <is>
          <t xml:space="preserve">Agreed Value</t>
        </is>
      </c>
      <c r="W298" s="46" t="inlineStr">
        <is>
          <t xml:space="preserve">$1,000</t>
        </is>
      </c>
      <c r="X298" s="48" t="inlineStr">
        <is>
          <t xml:space="preserve">$1,000,000 CSL</t>
        </is>
      </c>
      <c r="Y298" s="46"/>
      <c r="Z298" s="46"/>
      <c r="AA298" s="48" t="inlineStr">
        <is>
          <t xml:space="preserve">Surplus Lines</t>
        </is>
      </c>
      <c r="AB298" s="50">
        <v>17666.42</v>
      </c>
      <c r="AC298" s="51">
        <v>0</v>
      </c>
      <c r="AD298" s="38">
        <f>IF(ISNUMBER($AB298),$AB298*(1+N($AC298)),"")</f>
      </c>
      <c r="AE298" s="50">
        <v>350</v>
      </c>
      <c r="AF298" s="50">
        <v>0</v>
      </c>
      <c r="AG298" s="51"/>
      <c r="AH298" s="39">
        <f>IF(ISNUMBER($AD298),($AD298+$AE298+$AF298)*$AG298,"")</f>
      </c>
      <c r="AI298" s="50"/>
      <c r="AJ298" s="38">
        <f>IF(ISNUMBER($AD298),SUM($AD298:$AH298),"")</f>
      </c>
      <c r="AK298" s="40">
        <f>IF(AND(ISNUMBER($AB298),ISNUMBER($AD298)),IF($AB298&gt;0,$AD298/$AB298,""),"")</f>
      </c>
      <c r="AL298" s="48" t="inlineStr">
        <is>
          <t xml:space="preserve">At technical</t>
        </is>
      </c>
      <c r="AM298" s="41">
        <f>IF(ISNUMBER($AD298),Header!$I$3,"")</f>
      </c>
      <c r="AN298" s="39">
        <f>IF(ISNUMBER($AD298),$AO298+$AP298,"")</f>
      </c>
      <c r="AO298" s="39">
        <f>IF(ISNUMBER($AD298),ROUND($AD298*Header!$K$3,2),"")</f>
      </c>
      <c r="AP298" s="39">
        <f>IF(ISNUMBER($AD298),ROUND($AD298*Header!$M$3,2),"")</f>
      </c>
      <c r="AQ298" s="38">
        <f>IF(ISNUMBER($AD298),ROUND($AD298,2)-$AO298-$AP298,"")</f>
      </c>
      <c r="AR298" s="39">
        <f>IF(ISNUMBER($AD298),IF(Header!$D$34="","?",$AD298*Header!$D$34),"")</f>
      </c>
      <c r="AS298" s="39">
        <f>IF(ISNUMBER($AB298),IF(Header!$D$34="","?",$AB298*Header!$D$34),"")</f>
      </c>
      <c r="AT298" s="42">
        <f>IF(AND(ISNUMBER($AB298),$M298&gt;0),$AB298/$M298*100,"")</f>
      </c>
      <c r="AU298" s="42">
        <f>IF(AND(ISNUMBER($AD298),$M298&gt;0),$AD298/$M298*100,"")</f>
      </c>
      <c r="AV298" s="40">
        <f>IF(AND(ISNUMBER($AB298),ISNUMBER($AD298),ABS($AB298)&gt;0),$AD298/$AB298,"")</f>
      </c>
      <c r="AW298" s="39">
        <f>IF(ISNUMBER($AD298),MAX(0,(1-0.55-Header!$O$3)*Header!$Q$3*$AQ298),"")</f>
      </c>
      <c r="AX298" s="43">
        <f>IF($A298="","",IF(TRIM(IF($A298="","Missing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",""))="","PASS","FAIL: "&amp;TRIM(IF($A298="","Missing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f>
      </c>
      <c r="AY298" s="44">
        <f>IF($M298="","",IF(ISNUMBER($M298),IF($M298&gt;=Header!$C$18,"YES — refer","No"),""))</f>
      </c>
      <c r="AZ298" s="44">
        <f>IF($AD298="","",IF(ISNUMBER($AD298),IF($AD298&lt;Header!$C$20,"BELOW MIN PREMIUM","OK"),""))</f>
      </c>
      <c r="BA298" s="48" t="inlineStr">
        <is>
          <t xml:space="preserve">Yes</t>
        </is>
      </c>
      <c r="BB298" s="48" t="inlineStr">
        <is>
          <t xml:space="preserve">Yes</t>
        </is>
      </c>
      <c r="BC298" s="46" t="inlineStr">
        <is>
          <t xml:space="preserve">Synthetic demo data</t>
        </is>
      </c>
      <c r="BE298" s="45">
        <f>IF(OR($A298="",$L298="",$H298=""),"",IF(AND(LEFT($L298,2)="06",$H298&gt;1945),"FAIL - pre-war class, year "&amp;$H298,IF(AND(LEFT($L298,2)="07",OR($H298&lt;1946,$H298&gt;1972)),"FAIL - 1946-72 class, year "&amp;$H298,IF(AND(LEFT($L298,2)="08",OR($H298&lt;1973,$H298&gt;1999)),"FAIL - 1973-99 class, year "&amp;$H298,IF(AND(LEFT($L298,2)="09",OR($H298&lt;2000,$H298&gt;2010)),"FAIL - 2000-10 class, year "&amp;$H298,"OK")))))</f>
      </c>
      <c r="BF298" s="45">
        <f>IF($AD298="","",IF(ROUND($AO298+$AP298+$AQ298-$AD298,2)=0,"OK","FAIL - out by "&amp;TEXT($AO298+$AP298+$AQ298-$AD298,"$0.00")))</f>
      </c>
    </row>
    <row r="299" spans="1:58" ht="18.75" customHeight="1" x14ac:dyDescent="0.25">
      <c r="A299" s="30" t="inlineStr">
        <is>
          <t xml:space="preserve">CANON-202508-000405</t>
        </is>
      </c>
      <c r="B299" s="30" t="inlineStr">
        <is>
          <t xml:space="preserve">Ottilie Fairweather</t>
        </is>
      </c>
      <c r="C299" s="31">
        <v>45898</v>
      </c>
      <c r="D299" s="32" t="inlineStr">
        <is>
          <t xml:space="preserve">Bound - within authority</t>
        </is>
      </c>
      <c r="E299" s="32" t="inlineStr">
        <is>
          <t xml:space="preserve">New business</t>
        </is>
      </c>
      <c r="F299" s="30" t="inlineStr">
        <is>
          <t xml:space="preserve">B1234EXOTIC26</t>
        </is>
      </c>
      <c r="G299" s="33">
        <f>IF($A299="","",IF($C299="","",YEAR($C299)))</f>
      </c>
      <c r="H299" s="34">
        <v>2021</v>
      </c>
      <c r="I299" s="30" t="inlineStr">
        <is>
          <t xml:space="preserve">Porsche</t>
        </is>
      </c>
      <c r="J299" s="30" t="inlineStr">
        <is>
          <t xml:space="preserve">911 Turbo S</t>
        </is>
      </c>
      <c r="K299" s="30" t="inlineStr">
        <is>
          <t xml:space="preserve">YKSXA0PPLN0VCDBLN</t>
        </is>
      </c>
      <c r="L299" s="32" t="inlineStr">
        <is>
          <t xml:space="preserve">02 - Sports / GT</t>
        </is>
      </c>
      <c r="M299" s="35">
        <v>680000</v>
      </c>
      <c r="N299" s="32" t="inlineStr">
        <is>
          <t xml:space="preserve">Personal</t>
        </is>
      </c>
      <c r="O299" s="30" t="inlineStr">
        <is>
          <t xml:space="preserve">Personal - regular use</t>
        </is>
      </c>
      <c r="P299" s="30" t="inlineStr">
        <is>
          <t xml:space="preserve">1,000 - 2,500</t>
        </is>
      </c>
      <c r="Q299" s="30" t="inlineStr">
        <is>
          <t xml:space="preserve">Mississippi</t>
        </is>
      </c>
      <c r="R299" s="30" t="inlineStr">
        <is>
          <t xml:space="preserve">39201</t>
        </is>
      </c>
      <c r="S299" s="32" t="inlineStr">
        <is>
          <t xml:space="preserve">Tier 2 - Coastal wind (1-25 miles)</t>
        </is>
      </c>
      <c r="T299" s="36">
        <f>IF($A299="","",IF($S299="","",IFERROR(INDEX('[1]natural catastrophe'!$D$6:$D$17,MATCH($S299,'[1]natural catastrophe'!$B$6:$B$17,0)),"?")))</f>
      </c>
      <c r="U299" s="30" t="inlineStr">
        <is>
          <t xml:space="preserve">2% of agreed value, minimum $10,000</t>
        </is>
      </c>
      <c r="V299" s="32" t="inlineStr">
        <is>
          <t xml:space="preserve">Agreed Value</t>
        </is>
      </c>
      <c r="W299" s="30" t="inlineStr">
        <is>
          <t xml:space="preserve">$1,000</t>
        </is>
      </c>
      <c r="X299" s="32" t="inlineStr">
        <is>
          <t xml:space="preserve">$1,000,000 CSL</t>
        </is>
      </c>
      <c r="Y299" s="30"/>
      <c r="Z299" s="30"/>
      <c r="AA299" s="32" t="inlineStr">
        <is>
          <t xml:space="preserve">Surplus Lines</t>
        </is>
      </c>
      <c r="AB299" s="35">
        <v>9924.15</v>
      </c>
      <c r="AC299" s="37">
        <v>0</v>
      </c>
      <c r="AD299" s="38">
        <f>IF(ISNUMBER($AB299),$AB299*(1+N($AC299)),"")</f>
      </c>
      <c r="AE299" s="35">
        <v>350</v>
      </c>
      <c r="AF299" s="35">
        <v>0</v>
      </c>
      <c r="AG299" s="37"/>
      <c r="AH299" s="39">
        <f>IF(ISNUMBER($AD299),($AD299+$AE299+$AF299)*$AG299,"")</f>
      </c>
      <c r="AI299" s="35"/>
      <c r="AJ299" s="38">
        <f>IF(ISNUMBER($AD299),SUM($AD299:$AH299),"")</f>
      </c>
      <c r="AK299" s="40">
        <f>IF(AND(ISNUMBER($AB299),ISNUMBER($AD299)),IF($AB299&gt;0,$AD299/$AB299,""),"")</f>
      </c>
      <c r="AL299" s="32" t="inlineStr">
        <is>
          <t xml:space="preserve">At technical</t>
        </is>
      </c>
      <c r="AM299" s="41">
        <f>IF(ISNUMBER($AD299),Header!$I$3,"")</f>
      </c>
      <c r="AN299" s="39">
        <f>IF(ISNUMBER($AD299),$AO299+$AP299,"")</f>
      </c>
      <c r="AO299" s="39">
        <f>IF(ISNUMBER($AD299),ROUND($AD299*Header!$K$3,2),"")</f>
      </c>
      <c r="AP299" s="39">
        <f>IF(ISNUMBER($AD299),ROUND($AD299*Header!$M$3,2),"")</f>
      </c>
      <c r="AQ299" s="38">
        <f>IF(ISNUMBER($AD299),ROUND($AD299,2)-$AO299-$AP299,"")</f>
      </c>
      <c r="AR299" s="39">
        <f>IF(ISNUMBER($AD299),IF(Header!$D$34="","?",$AD299*Header!$D$34),"")</f>
      </c>
      <c r="AS299" s="39">
        <f>IF(ISNUMBER($AB299),IF(Header!$D$34="","?",$AB299*Header!$D$34),"")</f>
      </c>
      <c r="AT299" s="42">
        <f>IF(AND(ISNUMBER($AB299),$M299&gt;0),$AB299/$M299*100,"")</f>
      </c>
      <c r="AU299" s="42">
        <f>IF(AND(ISNUMBER($AD299),$M299&gt;0),$AD299/$M299*100,"")</f>
      </c>
      <c r="AV299" s="40">
        <f>IF(AND(ISNUMBER($AB299),ISNUMBER($AD299),ABS($AB299)&gt;0),$AD299/$AB299,"")</f>
      </c>
      <c r="AW299" s="39">
        <f>IF(ISNUMBER($AD299),MAX(0,(1-0.55-Header!$O$3)*Header!$Q$3*$AQ299),"")</f>
      </c>
      <c r="AX299" s="43">
        <f>IF($A299="","",IF(TRIM(IF($A299="","Missing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",""))="","PASS","FAIL: "&amp;TRIM(IF($A299="","Missing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f>
      </c>
      <c r="AY299" s="44">
        <f>IF($M299="","",IF(ISNUMBER($M299),IF($M299&gt;=Header!$C$18,"YES — refer","No"),""))</f>
      </c>
      <c r="AZ299" s="44">
        <f>IF($AD299="","",IF(ISNUMBER($AD299),IF($AD299&lt;Header!$C$20,"BELOW MIN PREMIUM","OK"),""))</f>
      </c>
      <c r="BA299" s="32" t="inlineStr">
        <is>
          <t xml:space="preserve">Yes</t>
        </is>
      </c>
      <c r="BB299" s="32" t="inlineStr">
        <is>
          <t xml:space="preserve">Yes</t>
        </is>
      </c>
      <c r="BC299" s="30" t="inlineStr">
        <is>
          <t xml:space="preserve">Synthetic demo data</t>
        </is>
      </c>
      <c r="BE299" s="45">
        <f>IF(OR($A299="",$L299="",$H299=""),"",IF(AND(LEFT($L299,2)="06",$H299&gt;1945),"FAIL - pre-war class, year "&amp;$H299,IF(AND(LEFT($L299,2)="07",OR($H299&lt;1946,$H299&gt;1972)),"FAIL - 1946-72 class, year "&amp;$H299,IF(AND(LEFT($L299,2)="08",OR($H299&lt;1973,$H299&gt;1999)),"FAIL - 1973-99 class, year "&amp;$H299,IF(AND(LEFT($L299,2)="09",OR($H299&lt;2000,$H299&gt;2010)),"FAIL - 2000-10 class, year "&amp;$H299,"OK")))))</f>
      </c>
      <c r="BF299" s="45">
        <f>IF($AD299="","",IF(ROUND($AO299+$AP299+$AQ299-$AD299,2)=0,"OK","FAIL - out by "&amp;TEXT($AO299+$AP299+$AQ299-$AD299,"$0.00")))</f>
      </c>
    </row>
    <row r="300" spans="1:58" ht="18.75" customHeight="1" x14ac:dyDescent="0.25">
      <c r="A300" s="46" t="inlineStr">
        <is>
          <t xml:space="preserve">CANON-202508-000407</t>
        </is>
      </c>
      <c r="B300" s="46" t="inlineStr">
        <is>
          <t xml:space="preserve">Aurelio Chattopadhyay</t>
        </is>
      </c>
      <c r="C300" s="47">
        <v>45882</v>
      </c>
      <c r="D300" s="48" t="inlineStr">
        <is>
          <t xml:space="preserve">Bound - within authority</t>
        </is>
      </c>
      <c r="E300" s="48" t="inlineStr">
        <is>
          <t xml:space="preserve">New business</t>
        </is>
      </c>
      <c r="F300" s="46" t="inlineStr">
        <is>
          <t xml:space="preserve">B1234EXOTIC26</t>
        </is>
      </c>
      <c r="G300" s="33">
        <f>IF($A300="","",IF($C300="","",YEAR($C300)))</f>
      </c>
      <c r="H300" s="49">
        <v>2000</v>
      </c>
      <c r="I300" s="46" t="inlineStr">
        <is>
          <t xml:space="preserve">Lamborghini</t>
        </is>
      </c>
      <c r="J300" s="46" t="inlineStr">
        <is>
          <t xml:space="preserve">Huracan EVO</t>
        </is>
      </c>
      <c r="K300" s="46" t="inlineStr">
        <is>
          <t xml:space="preserve">HVKG5TCGXWTSWU78T</t>
        </is>
      </c>
      <c r="L300" s="48" t="inlineStr">
        <is>
          <t xml:space="preserve">03 - Supercar</t>
        </is>
      </c>
      <c r="M300" s="50">
        <v>1200000</v>
      </c>
      <c r="N300" s="48" t="inlineStr">
        <is>
          <t xml:space="preserve">Personal</t>
        </is>
      </c>
      <c r="O300" s="46" t="inlineStr">
        <is>
          <t xml:space="preserve">Personal - regular use</t>
        </is>
      </c>
      <c r="P300" s="46" t="inlineStr">
        <is>
          <t xml:space="preserve">2,500 - 5,000</t>
        </is>
      </c>
      <c r="Q300" s="46" t="inlineStr">
        <is>
          <t xml:space="preserve">Ohio</t>
        </is>
      </c>
      <c r="R300" s="46" t="inlineStr">
        <is>
          <t xml:space="preserve">43215</t>
        </is>
      </c>
      <c r="S300" s="48" t="inlineStr">
        <is>
          <t xml:space="preserve">Severe convective - hail / tornado (moderate)</t>
        </is>
      </c>
      <c r="T300" s="36">
        <f>IF($A300="","",IF($S300="","",IFERROR(INDEX('[1]natural catastrophe'!$D$6:$D$17,MATCH($S300,'[1]natural catastrophe'!$B$6:$B$17,0)),"?")))</f>
      </c>
      <c r="U300" s="46" t="inlineStr">
        <is>
          <t xml:space="preserve">$5,000</t>
        </is>
      </c>
      <c r="V300" s="48" t="inlineStr">
        <is>
          <t xml:space="preserve">Agreed Value</t>
        </is>
      </c>
      <c r="W300" s="46" t="inlineStr">
        <is>
          <t xml:space="preserve">$1,000</t>
        </is>
      </c>
      <c r="X300" s="48" t="inlineStr">
        <is>
          <t xml:space="preserve">$1,000,000 CSL</t>
        </is>
      </c>
      <c r="Y300" s="46"/>
      <c r="Z300" s="46"/>
      <c r="AA300" s="48" t="inlineStr">
        <is>
          <t xml:space="preserve">Surplus Lines</t>
        </is>
      </c>
      <c r="AB300" s="50">
        <v>25177.36</v>
      </c>
      <c r="AC300" s="51">
        <v>0</v>
      </c>
      <c r="AD300" s="38">
        <f>IF(ISNUMBER($AB300),$AB300*(1+N($AC300)),"")</f>
      </c>
      <c r="AE300" s="50">
        <v>350</v>
      </c>
      <c r="AF300" s="50">
        <v>250</v>
      </c>
      <c r="AG300" s="51"/>
      <c r="AH300" s="39">
        <f>IF(ISNUMBER($AD300),($AD300+$AE300+$AF300)*$AG300,"")</f>
      </c>
      <c r="AI300" s="50"/>
      <c r="AJ300" s="38">
        <f>IF(ISNUMBER($AD300),SUM($AD300:$AH300),"")</f>
      </c>
      <c r="AK300" s="40">
        <f>IF(AND(ISNUMBER($AB300),ISNUMBER($AD300)),IF($AB300&gt;0,$AD300/$AB300,""),"")</f>
      </c>
      <c r="AL300" s="48" t="inlineStr">
        <is>
          <t xml:space="preserve">At technical</t>
        </is>
      </c>
      <c r="AM300" s="41">
        <f>IF(ISNUMBER($AD300),Header!$I$3,"")</f>
      </c>
      <c r="AN300" s="39">
        <f>IF(ISNUMBER($AD300),$AO300+$AP300,"")</f>
      </c>
      <c r="AO300" s="39">
        <f>IF(ISNUMBER($AD300),ROUND($AD300*Header!$K$3,2),"")</f>
      </c>
      <c r="AP300" s="39">
        <f>IF(ISNUMBER($AD300),ROUND($AD300*Header!$M$3,2),"")</f>
      </c>
      <c r="AQ300" s="38">
        <f>IF(ISNUMBER($AD300),ROUND($AD300,2)-$AO300-$AP300,"")</f>
      </c>
      <c r="AR300" s="39">
        <f>IF(ISNUMBER($AD300),IF(Header!$D$34="","?",$AD300*Header!$D$34),"")</f>
      </c>
      <c r="AS300" s="39">
        <f>IF(ISNUMBER($AB300),IF(Header!$D$34="","?",$AB300*Header!$D$34),"")</f>
      </c>
      <c r="AT300" s="42">
        <f>IF(AND(ISNUMBER($AB300),$M300&gt;0),$AB300/$M300*100,"")</f>
      </c>
      <c r="AU300" s="42">
        <f>IF(AND(ISNUMBER($AD300),$M300&gt;0),$AD300/$M300*100,"")</f>
      </c>
      <c r="AV300" s="40">
        <f>IF(AND(ISNUMBER($AB300),ISNUMBER($AD300),ABS($AB300)&gt;0),$AD300/$AB300,"")</f>
      </c>
      <c r="AW300" s="39">
        <f>IF(ISNUMBER($AD300),MAX(0,(1-0.55-Header!$O$3)*Header!$Q$3*$AQ300),"")</f>
      </c>
      <c r="AX300" s="43">
        <f>IF($A300="","",IF(TRIM(IF($A300="","Missing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",""))="","PASS","FAIL: "&amp;TRIM(IF($A300="","Missing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f>
      </c>
      <c r="AY300" s="44">
        <f>IF($M300="","",IF(ISNUMBER($M300),IF($M300&gt;=Header!$C$18,"YES — refer","No"),""))</f>
      </c>
      <c r="AZ300" s="44">
        <f>IF($AD300="","",IF(ISNUMBER($AD300),IF($AD300&lt;Header!$C$20,"BELOW MIN PREMIUM","OK"),""))</f>
      </c>
      <c r="BA300" s="48" t="inlineStr">
        <is>
          <t xml:space="preserve">Yes</t>
        </is>
      </c>
      <c r="BB300" s="48" t="inlineStr">
        <is>
          <t xml:space="preserve">Yes</t>
        </is>
      </c>
      <c r="BC300" s="46" t="inlineStr">
        <is>
          <t xml:space="preserve">Synthetic demo data</t>
        </is>
      </c>
      <c r="BE300" s="45">
        <f>IF(OR($A300="",$L300="",$H300=""),"",IF(AND(LEFT($L300,2)="06",$H300&gt;1945),"FAIL - pre-war class, year "&amp;$H300,IF(AND(LEFT($L300,2)="07",OR($H300&lt;1946,$H300&gt;1972)),"FAIL - 1946-72 class, year "&amp;$H300,IF(AND(LEFT($L300,2)="08",OR($H300&lt;1973,$H300&gt;1999)),"FAIL - 1973-99 class, year "&amp;$H300,IF(AND(LEFT($L300,2)="09",OR($H300&lt;2000,$H300&gt;2010)),"FAIL - 2000-10 class, year "&amp;$H300,"OK")))))</f>
      </c>
      <c r="BF300" s="45">
        <f>IF($AD300="","",IF(ROUND($AO300+$AP300+$AQ300-$AD300,2)=0,"OK","FAIL - out by "&amp;TEXT($AO300+$AP300+$AQ300-$AD300,"$0.00")))</f>
      </c>
    </row>
    <row r="301" spans="1:58" ht="18.75" customHeight="1" x14ac:dyDescent="0.25">
      <c r="A301" s="30" t="inlineStr">
        <is>
          <t xml:space="preserve">CANON-202508-000408</t>
        </is>
      </c>
      <c r="B301" s="30" t="inlineStr">
        <is>
          <t xml:space="preserve">Horace Ashcombe</t>
        </is>
      </c>
      <c r="C301" s="31">
        <v>45889</v>
      </c>
      <c r="D301" s="32" t="inlineStr">
        <is>
          <t xml:space="preserve">Bound - within authority</t>
        </is>
      </c>
      <c r="E301" s="32" t="inlineStr">
        <is>
          <t xml:space="preserve">New business</t>
        </is>
      </c>
      <c r="F301" s="30" t="inlineStr">
        <is>
          <t xml:space="preserve">B1234EXOTIC26</t>
        </is>
      </c>
      <c r="G301" s="33">
        <f>IF($A301="","",IF($C301="","",YEAR($C301)))</f>
      </c>
      <c r="H301" s="34">
        <v>1991</v>
      </c>
      <c r="I301" s="30" t="inlineStr">
        <is>
          <t xml:space="preserve">Aston Martin</t>
        </is>
      </c>
      <c r="J301" s="30" t="inlineStr">
        <is>
          <t xml:space="preserve">DB12</t>
        </is>
      </c>
      <c r="K301" s="30" t="inlineStr">
        <is>
          <t xml:space="preserve">W7D46JNDSKR1U9T50</t>
        </is>
      </c>
      <c r="L301" s="32" t="inlineStr">
        <is>
          <t xml:space="preserve">02 - Sports / GT</t>
        </is>
      </c>
      <c r="M301" s="35">
        <v>790000</v>
      </c>
      <c r="N301" s="32" t="inlineStr">
        <is>
          <t xml:space="preserve">Personal</t>
        </is>
      </c>
      <c r="O301" s="30" t="inlineStr">
        <is>
          <t xml:space="preserve">Personal - regular use</t>
        </is>
      </c>
      <c r="P301" s="30" t="inlineStr">
        <is>
          <t xml:space="preserve">Under 1,000</t>
        </is>
      </c>
      <c r="Q301" s="30" t="inlineStr">
        <is>
          <t xml:space="preserve">Vermont</t>
        </is>
      </c>
      <c r="R301" s="30" t="inlineStr">
        <is>
          <t xml:space="preserve">05601</t>
        </is>
      </c>
      <c r="S301" s="32" t="inlineStr">
        <is>
          <t xml:space="preserve">Low hazard - inland benign</t>
        </is>
      </c>
      <c r="T301" s="36">
        <f>IF($A301="","",IF($S301="","",IFERROR(INDEX('[1]natural catastrophe'!$D$6:$D$17,MATCH($S301,'[1]natural catastrophe'!$B$6:$B$17,0)),"?")))</f>
      </c>
      <c r="U301" s="30" t="inlineStr">
        <is>
          <t xml:space="preserve">$5,000</t>
        </is>
      </c>
      <c r="V301" s="32" t="inlineStr">
        <is>
          <t xml:space="preserve">Agreed Value</t>
        </is>
      </c>
      <c r="W301" s="30" t="inlineStr">
        <is>
          <t xml:space="preserve">$1,000</t>
        </is>
      </c>
      <c r="X301" s="32" t="inlineStr">
        <is>
          <t xml:space="preserve">$1,000,000 CSL</t>
        </is>
      </c>
      <c r="Y301" s="30"/>
      <c r="Z301" s="30"/>
      <c r="AA301" s="32" t="inlineStr">
        <is>
          <t xml:space="preserve">Surplus Lines</t>
        </is>
      </c>
      <c r="AB301" s="35">
        <v>11820.19</v>
      </c>
      <c r="AC301" s="37">
        <v>0</v>
      </c>
      <c r="AD301" s="38">
        <f>IF(ISNUMBER($AB301),$AB301*(1+N($AC301)),"")</f>
      </c>
      <c r="AE301" s="35">
        <v>350</v>
      </c>
      <c r="AF301" s="35">
        <v>0</v>
      </c>
      <c r="AG301" s="37"/>
      <c r="AH301" s="39">
        <f>IF(ISNUMBER($AD301),($AD301+$AE301+$AF301)*$AG301,"")</f>
      </c>
      <c r="AI301" s="35"/>
      <c r="AJ301" s="38">
        <f>IF(ISNUMBER($AD301),SUM($AD301:$AH301),"")</f>
      </c>
      <c r="AK301" s="40">
        <f>IF(AND(ISNUMBER($AB301),ISNUMBER($AD301)),IF($AB301&gt;0,$AD301/$AB301,""),"")</f>
      </c>
      <c r="AL301" s="32" t="inlineStr">
        <is>
          <t xml:space="preserve">At technical</t>
        </is>
      </c>
      <c r="AM301" s="41">
        <f>IF(ISNUMBER($AD301),Header!$I$3,"")</f>
      </c>
      <c r="AN301" s="39">
        <f>IF(ISNUMBER($AD301),$AO301+$AP301,"")</f>
      </c>
      <c r="AO301" s="39">
        <f>IF(ISNUMBER($AD301),ROUND($AD301*Header!$K$3,2),"")</f>
      </c>
      <c r="AP301" s="39">
        <f>IF(ISNUMBER($AD301),ROUND($AD301*Header!$M$3,2),"")</f>
      </c>
      <c r="AQ301" s="38">
        <f>IF(ISNUMBER($AD301),ROUND($AD301,2)-$AO301-$AP301,"")</f>
      </c>
      <c r="AR301" s="39">
        <f>IF(ISNUMBER($AD301),IF(Header!$D$34="","?",$AD301*Header!$D$34),"")</f>
      </c>
      <c r="AS301" s="39">
        <f>IF(ISNUMBER($AB301),IF(Header!$D$34="","?",$AB301*Header!$D$34),"")</f>
      </c>
      <c r="AT301" s="42">
        <f>IF(AND(ISNUMBER($AB301),$M301&gt;0),$AB301/$M301*100,"")</f>
      </c>
      <c r="AU301" s="42">
        <f>IF(AND(ISNUMBER($AD301),$M301&gt;0),$AD301/$M301*100,"")</f>
      </c>
      <c r="AV301" s="40">
        <f>IF(AND(ISNUMBER($AB301),ISNUMBER($AD301),ABS($AB301)&gt;0),$AD301/$AB301,"")</f>
      </c>
      <c r="AW301" s="39">
        <f>IF(ISNUMBER($AD301),MAX(0,(1-0.55-Header!$O$3)*Header!$Q$3*$AQ301),"")</f>
      </c>
      <c r="AX301" s="43">
        <f>IF($A301="","",IF(TRIM(IF($A301="","Missing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",""))="","PASS","FAIL: "&amp;TRIM(IF($A301="","Missing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f>
      </c>
      <c r="AY301" s="44">
        <f>IF($M301="","",IF(ISNUMBER($M301),IF($M301&gt;=Header!$C$18,"YES — refer","No"),""))</f>
      </c>
      <c r="AZ301" s="44">
        <f>IF($AD301="","",IF(ISNUMBER($AD301),IF($AD301&lt;Header!$C$20,"BELOW MIN PREMIUM","OK"),""))</f>
      </c>
      <c r="BA301" s="32" t="inlineStr">
        <is>
          <t xml:space="preserve">Yes</t>
        </is>
      </c>
      <c r="BB301" s="32" t="inlineStr">
        <is>
          <t xml:space="preserve">Yes</t>
        </is>
      </c>
      <c r="BC301" s="30" t="inlineStr">
        <is>
          <t xml:space="preserve">Synthetic demo data</t>
        </is>
      </c>
      <c r="BE301" s="45">
        <f>IF(OR($A301="",$L301="",$H301=""),"",IF(AND(LEFT($L301,2)="06",$H301&gt;1945),"FAIL - pre-war class, year "&amp;$H301,IF(AND(LEFT($L301,2)="07",OR($H301&lt;1946,$H301&gt;1972)),"FAIL - 1946-72 class, year "&amp;$H301,IF(AND(LEFT($L301,2)="08",OR($H301&lt;1973,$H301&gt;1999)),"FAIL - 1973-99 class, year "&amp;$H301,IF(AND(LEFT($L301,2)="09",OR($H301&lt;2000,$H301&gt;2010)),"FAIL - 2000-10 class, year "&amp;$H301,"OK")))))</f>
      </c>
      <c r="BF301" s="45">
        <f>IF($AD301="","",IF(ROUND($AO301+$AP301+$AQ301-$AD301,2)=0,"OK","FAIL - out by "&amp;TEXT($AO301+$AP301+$AQ301-$AD301,"$0.00")))</f>
      </c>
    </row>
    <row r="302" spans="1:58" ht="18.75" customHeight="1" x14ac:dyDescent="0.25">
      <c r="A302" s="46" t="inlineStr">
        <is>
          <t xml:space="preserve">CANON-202508-000409</t>
        </is>
      </c>
      <c r="B302" s="46" t="inlineStr">
        <is>
          <t xml:space="preserve">Beatrix Whitlock</t>
        </is>
      </c>
      <c r="C302" s="47">
        <v>45877</v>
      </c>
      <c r="D302" s="48" t="inlineStr">
        <is>
          <t xml:space="preserve">Bound - within authority</t>
        </is>
      </c>
      <c r="E302" s="48" t="inlineStr">
        <is>
          <t xml:space="preserve">New business</t>
        </is>
      </c>
      <c r="F302" s="46" t="inlineStr">
        <is>
          <t xml:space="preserve">B1234EXOTIC26</t>
        </is>
      </c>
      <c r="G302" s="33">
        <f>IF($A302="","",IF($C302="","",YEAR($C302)))</f>
      </c>
      <c r="H302" s="49">
        <v>1957</v>
      </c>
      <c r="I302" s="46" t="inlineStr">
        <is>
          <t xml:space="preserve">Bentley</t>
        </is>
      </c>
      <c r="J302" s="46" t="inlineStr">
        <is>
          <t xml:space="preserve">Continental GT</t>
        </is>
      </c>
      <c r="K302" s="46" t="inlineStr">
        <is>
          <t xml:space="preserve">Z0SVB65JSR836DJ4Z</t>
        </is>
      </c>
      <c r="L302" s="48" t="inlineStr">
        <is>
          <t xml:space="preserve">02 - Sports / GT</t>
        </is>
      </c>
      <c r="M302" s="50">
        <v>115000</v>
      </c>
      <c r="N302" s="48" t="inlineStr">
        <is>
          <t xml:space="preserve">Personal</t>
        </is>
      </c>
      <c r="O302" s="46" t="inlineStr">
        <is>
          <t xml:space="preserve">Personal - regular use</t>
        </is>
      </c>
      <c r="P302" s="46" t="inlineStr">
        <is>
          <t xml:space="preserve">2,500 - 5,000</t>
        </is>
      </c>
      <c r="Q302" s="46" t="inlineStr">
        <is>
          <t xml:space="preserve">Idaho</t>
        </is>
      </c>
      <c r="R302" s="46" t="inlineStr">
        <is>
          <t xml:space="preserve">83702</t>
        </is>
      </c>
      <c r="S302" s="48" t="inlineStr">
        <is>
          <t xml:space="preserve">Wildfire - WUI high hazard</t>
        </is>
      </c>
      <c r="T302" s="36">
        <f>IF($A302="","",IF($S302="","",IFERROR(INDEX('[1]natural catastrophe'!$D$6:$D$17,MATCH($S302,'[1]natural catastrophe'!$B$6:$B$17,0)),"?")))</f>
      </c>
      <c r="U302" s="46" t="inlineStr">
        <is>
          <t xml:space="preserve">$5,000</t>
        </is>
      </c>
      <c r="V302" s="48" t="inlineStr">
        <is>
          <t xml:space="preserve">Agreed Value</t>
        </is>
      </c>
      <c r="W302" s="46" t="inlineStr">
        <is>
          <t xml:space="preserve">$1,000</t>
        </is>
      </c>
      <c r="X302" s="48" t="inlineStr">
        <is>
          <t xml:space="preserve">$1,000,000 CSL</t>
        </is>
      </c>
      <c r="Y302" s="46"/>
      <c r="Z302" s="46"/>
      <c r="AA302" s="48" t="inlineStr">
        <is>
          <t xml:space="preserve">Surplus Lines</t>
        </is>
      </c>
      <c r="AB302" s="50">
        <v>1976.26</v>
      </c>
      <c r="AC302" s="51">
        <v>0</v>
      </c>
      <c r="AD302" s="38">
        <f>IF(ISNUMBER($AB302),$AB302*(1+N($AC302)),"")</f>
      </c>
      <c r="AE302" s="50">
        <v>350</v>
      </c>
      <c r="AF302" s="50">
        <v>0</v>
      </c>
      <c r="AG302" s="51"/>
      <c r="AH302" s="39">
        <f>IF(ISNUMBER($AD302),($AD302+$AE302+$AF302)*$AG302,"")</f>
      </c>
      <c r="AI302" s="50"/>
      <c r="AJ302" s="38">
        <f>IF(ISNUMBER($AD302),SUM($AD302:$AH302),"")</f>
      </c>
      <c r="AK302" s="40">
        <f>IF(AND(ISNUMBER($AB302),ISNUMBER($AD302)),IF($AB302&gt;0,$AD302/$AB302,""),"")</f>
      </c>
      <c r="AL302" s="48" t="inlineStr">
        <is>
          <t xml:space="preserve">At technical</t>
        </is>
      </c>
      <c r="AM302" s="41">
        <f>IF(ISNUMBER($AD302),Header!$I$3,"")</f>
      </c>
      <c r="AN302" s="39">
        <f>IF(ISNUMBER($AD302),$AO302+$AP302,"")</f>
      </c>
      <c r="AO302" s="39">
        <f>IF(ISNUMBER($AD302),ROUND($AD302*Header!$K$3,2),"")</f>
      </c>
      <c r="AP302" s="39">
        <f>IF(ISNUMBER($AD302),ROUND($AD302*Header!$M$3,2),"")</f>
      </c>
      <c r="AQ302" s="38">
        <f>IF(ISNUMBER($AD302),ROUND($AD302,2)-$AO302-$AP302,"")</f>
      </c>
      <c r="AR302" s="39">
        <f>IF(ISNUMBER($AD302),IF(Header!$D$34="","?",$AD302*Header!$D$34),"")</f>
      </c>
      <c r="AS302" s="39">
        <f>IF(ISNUMBER($AB302),IF(Header!$D$34="","?",$AB302*Header!$D$34),"")</f>
      </c>
      <c r="AT302" s="42">
        <f>IF(AND(ISNUMBER($AB302),$M302&gt;0),$AB302/$M302*100,"")</f>
      </c>
      <c r="AU302" s="42">
        <f>IF(AND(ISNUMBER($AD302),$M302&gt;0),$AD302/$M302*100,"")</f>
      </c>
      <c r="AV302" s="40">
        <f>IF(AND(ISNUMBER($AB302),ISNUMBER($AD302),ABS($AB302)&gt;0),$AD302/$AB302,"")</f>
      </c>
      <c r="AW302" s="39">
        <f>IF(ISNUMBER($AD302),MAX(0,(1-0.55-Header!$O$3)*Header!$Q$3*$AQ302),"")</f>
      </c>
      <c r="AX302" s="43">
        <f>IF($A302="","",IF(TRIM(IF($A302="","Missing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",""))="","PASS","FAIL: "&amp;TRIM(IF($A302="","Missing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f>
      </c>
      <c r="AY302" s="44">
        <f>IF($M302="","",IF(ISNUMBER($M302),IF($M302&gt;=Header!$C$18,"YES — refer","No"),""))</f>
      </c>
      <c r="AZ302" s="44">
        <f>IF($AD302="","",IF(ISNUMBER($AD302),IF($AD302&lt;Header!$C$20,"BELOW MIN PREMIUM","OK"),""))</f>
      </c>
      <c r="BA302" s="48" t="inlineStr">
        <is>
          <t xml:space="preserve">Yes</t>
        </is>
      </c>
      <c r="BB302" s="48" t="inlineStr">
        <is>
          <t xml:space="preserve">Yes</t>
        </is>
      </c>
      <c r="BC302" s="46" t="inlineStr">
        <is>
          <t xml:space="preserve">Synthetic demo data</t>
        </is>
      </c>
      <c r="BE302" s="45">
        <f>IF(OR($A302="",$L302="",$H302=""),"",IF(AND(LEFT($L302,2)="06",$H302&gt;1945),"FAIL - pre-war class, year "&amp;$H302,IF(AND(LEFT($L302,2)="07",OR($H302&lt;1946,$H302&gt;1972)),"FAIL - 1946-72 class, year "&amp;$H302,IF(AND(LEFT($L302,2)="08",OR($H302&lt;1973,$H302&gt;1999)),"FAIL - 1973-99 class, year "&amp;$H302,IF(AND(LEFT($L302,2)="09",OR($H302&lt;2000,$H302&gt;2010)),"FAIL - 2000-10 class, year "&amp;$H302,"OK")))))</f>
      </c>
      <c r="BF302" s="45">
        <f>IF($AD302="","",IF(ROUND($AO302+$AP302+$AQ302-$AD302,2)=0,"OK","FAIL - out by "&amp;TEXT($AO302+$AP302+$AQ302-$AD302,"$0.00")))</f>
      </c>
    </row>
    <row r="303" spans="1:58" ht="18.75" customHeight="1" x14ac:dyDescent="0.25">
      <c r="A303" s="30" t="inlineStr">
        <is>
          <t xml:space="preserve">CANON-202508-000410</t>
        </is>
      </c>
      <c r="B303" s="30" t="inlineStr">
        <is>
          <t xml:space="preserve">Horace Vasquez</t>
        </is>
      </c>
      <c r="C303" s="31">
        <v>45884</v>
      </c>
      <c r="D303" s="32" t="inlineStr">
        <is>
          <t xml:space="preserve">Bound - within authority</t>
        </is>
      </c>
      <c r="E303" s="32" t="inlineStr">
        <is>
          <t xml:space="preserve">New business</t>
        </is>
      </c>
      <c r="F303" s="30" t="inlineStr">
        <is>
          <t xml:space="preserve">B1234EXOTIC26</t>
        </is>
      </c>
      <c r="G303" s="33">
        <f>IF($A303="","",IF($C303="","",YEAR($C303)))</f>
      </c>
      <c r="H303" s="34">
        <v>1967</v>
      </c>
      <c r="I303" s="30" t="inlineStr">
        <is>
          <t xml:space="preserve">Jaguar</t>
        </is>
      </c>
      <c r="J303" s="30" t="inlineStr">
        <is>
          <t xml:space="preserve">E-Type Series 1</t>
        </is>
      </c>
      <c r="K303" s="30" t="inlineStr">
        <is>
          <t xml:space="preserve">J232AYXDL7YR8UCLZ</t>
        </is>
      </c>
      <c r="L303" s="32" t="inlineStr">
        <is>
          <t xml:space="preserve">07 - Post-War Classic (1946-1972)</t>
        </is>
      </c>
      <c r="M303" s="35">
        <v>640000</v>
      </c>
      <c r="N303" s="32" t="inlineStr">
        <is>
          <t xml:space="preserve">Personal</t>
        </is>
      </c>
      <c r="O303" s="30" t="inlineStr">
        <is>
          <t xml:space="preserve">Personal - regular use</t>
        </is>
      </c>
      <c r="P303" s="30" t="inlineStr">
        <is>
          <t xml:space="preserve">2,500 - 5,000</t>
        </is>
      </c>
      <c r="Q303" s="30" t="inlineStr">
        <is>
          <t xml:space="preserve">Maryland</t>
        </is>
      </c>
      <c r="R303" s="30" t="inlineStr">
        <is>
          <t xml:space="preserve">21201</t>
        </is>
      </c>
      <c r="S303" s="32" t="inlineStr">
        <is>
          <t xml:space="preserve">Tier 3 - Coastal wind (25-100 miles)</t>
        </is>
      </c>
      <c r="T303" s="36">
        <f>IF($A303="","",IF($S303="","",IFERROR(INDEX('[1]natural catastrophe'!$D$6:$D$17,MATCH($S303,'[1]natural catastrophe'!$B$6:$B$17,0)),"?")))</f>
      </c>
      <c r="U303" s="30" t="inlineStr">
        <is>
          <t xml:space="preserve">2% of agreed value, minimum $10,000</t>
        </is>
      </c>
      <c r="V303" s="32" t="inlineStr">
        <is>
          <t xml:space="preserve">Agreed Value</t>
        </is>
      </c>
      <c r="W303" s="30" t="inlineStr">
        <is>
          <t xml:space="preserve">$1,000</t>
        </is>
      </c>
      <c r="X303" s="32" t="inlineStr">
        <is>
          <t xml:space="preserve">$1,000,000 CSL</t>
        </is>
      </c>
      <c r="Y303" s="30"/>
      <c r="Z303" s="30"/>
      <c r="AA303" s="32" t="inlineStr">
        <is>
          <t xml:space="preserve">Surplus Lines</t>
        </is>
      </c>
      <c r="AB303" s="35">
        <v>4932.83</v>
      </c>
      <c r="AC303" s="37">
        <v>0</v>
      </c>
      <c r="AD303" s="38">
        <f>IF(ISNUMBER($AB303),$AB303*(1+N($AC303)),"")</f>
      </c>
      <c r="AE303" s="35">
        <v>350</v>
      </c>
      <c r="AF303" s="35">
        <v>0</v>
      </c>
      <c r="AG303" s="37"/>
      <c r="AH303" s="39">
        <f>IF(ISNUMBER($AD303),($AD303+$AE303+$AF303)*$AG303,"")</f>
      </c>
      <c r="AI303" s="35"/>
      <c r="AJ303" s="38">
        <f>IF(ISNUMBER($AD303),SUM($AD303:$AH303),"")</f>
      </c>
      <c r="AK303" s="40">
        <f>IF(AND(ISNUMBER($AB303),ISNUMBER($AD303)),IF($AB303&gt;0,$AD303/$AB303,""),"")</f>
      </c>
      <c r="AL303" s="32" t="inlineStr">
        <is>
          <t xml:space="preserve">At technical</t>
        </is>
      </c>
      <c r="AM303" s="41">
        <f>IF(ISNUMBER($AD303),Header!$I$3,"")</f>
      </c>
      <c r="AN303" s="39">
        <f>IF(ISNUMBER($AD303),$AO303+$AP303,"")</f>
      </c>
      <c r="AO303" s="39">
        <f>IF(ISNUMBER($AD303),ROUND($AD303*Header!$K$3,2),"")</f>
      </c>
      <c r="AP303" s="39">
        <f>IF(ISNUMBER($AD303),ROUND($AD303*Header!$M$3,2),"")</f>
      </c>
      <c r="AQ303" s="38">
        <f>IF(ISNUMBER($AD303),ROUND($AD303,2)-$AO303-$AP303,"")</f>
      </c>
      <c r="AR303" s="39">
        <f>IF(ISNUMBER($AD303),IF(Header!$D$34="","?",$AD303*Header!$D$34),"")</f>
      </c>
      <c r="AS303" s="39">
        <f>IF(ISNUMBER($AB303),IF(Header!$D$34="","?",$AB303*Header!$D$34),"")</f>
      </c>
      <c r="AT303" s="42">
        <f>IF(AND(ISNUMBER($AB303),$M303&gt;0),$AB303/$M303*100,"")</f>
      </c>
      <c r="AU303" s="42">
        <f>IF(AND(ISNUMBER($AD303),$M303&gt;0),$AD303/$M303*100,"")</f>
      </c>
      <c r="AV303" s="40">
        <f>IF(AND(ISNUMBER($AB303),ISNUMBER($AD303),ABS($AB303)&gt;0),$AD303/$AB303,"")</f>
      </c>
      <c r="AW303" s="39">
        <f>IF(ISNUMBER($AD303),MAX(0,(1-0.55-Header!$O$3)*Header!$Q$3*$AQ303),"")</f>
      </c>
      <c r="AX303" s="43">
        <f>IF($A303="","",IF(TRIM(IF($A303="","Missing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",""))="","PASS","FAIL: "&amp;TRIM(IF($A303="","Missing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f>
      </c>
      <c r="AY303" s="44">
        <f>IF($M303="","",IF(ISNUMBER($M303),IF($M303&gt;=Header!$C$18,"YES — refer","No"),""))</f>
      </c>
      <c r="AZ303" s="44">
        <f>IF($AD303="","",IF(ISNUMBER($AD303),IF($AD303&lt;Header!$C$20,"BELOW MIN PREMIUM","OK"),""))</f>
      </c>
      <c r="BA303" s="32" t="inlineStr">
        <is>
          <t xml:space="preserve">Yes</t>
        </is>
      </c>
      <c r="BB303" s="32" t="inlineStr">
        <is>
          <t xml:space="preserve">Yes</t>
        </is>
      </c>
      <c r="BC303" s="30" t="inlineStr">
        <is>
          <t xml:space="preserve">Synthetic demo data</t>
        </is>
      </c>
      <c r="BE303" s="45">
        <f>IF(OR($A303="",$L303="",$H303=""),"",IF(AND(LEFT($L303,2)="06",$H303&gt;1945),"FAIL - pre-war class, year "&amp;$H303,IF(AND(LEFT($L303,2)="07",OR($H303&lt;1946,$H303&gt;1972)),"FAIL - 1946-72 class, year "&amp;$H303,IF(AND(LEFT($L303,2)="08",OR($H303&lt;1973,$H303&gt;1999)),"FAIL - 1973-99 class, year "&amp;$H303,IF(AND(LEFT($L303,2)="09",OR($H303&lt;2000,$H303&gt;2010)),"FAIL - 2000-10 class, year "&amp;$H303,"OK")))))</f>
      </c>
      <c r="BF303" s="45">
        <f>IF($AD303="","",IF(ROUND($AO303+$AP303+$AQ303-$AD303,2)=0,"OK","FAIL - out by "&amp;TEXT($AO303+$AP303+$AQ303-$AD303,"$0.00")))</f>
      </c>
    </row>
    <row r="304" spans="1:58" ht="18.75" customHeight="1" x14ac:dyDescent="0.25">
      <c r="A304" s="46" t="inlineStr">
        <is>
          <t xml:space="preserve">CANON-202508-000411</t>
        </is>
      </c>
      <c r="B304" s="46" t="inlineStr">
        <is>
          <t xml:space="preserve">Aurelio Underwood</t>
        </is>
      </c>
      <c r="C304" s="47">
        <v>45888</v>
      </c>
      <c r="D304" s="48" t="inlineStr">
        <is>
          <t xml:space="preserve">Bound - within authority</t>
        </is>
      </c>
      <c r="E304" s="48" t="inlineStr">
        <is>
          <t xml:space="preserve">New business</t>
        </is>
      </c>
      <c r="F304" s="46" t="inlineStr">
        <is>
          <t xml:space="preserve">B1234EXOTIC26</t>
        </is>
      </c>
      <c r="G304" s="33">
        <f>IF($A304="","",IF($C304="","",YEAR($C304)))</f>
      </c>
      <c r="H304" s="49">
        <v>1967</v>
      </c>
      <c r="I304" s="46" t="inlineStr">
        <is>
          <t xml:space="preserve">Mercedes-Benz</t>
        </is>
      </c>
      <c r="J304" s="46" t="inlineStr">
        <is>
          <t xml:space="preserve">280SL Pagoda</t>
        </is>
      </c>
      <c r="K304" s="46" t="inlineStr">
        <is>
          <t xml:space="preserve">C677TGEVKJKJJM6EK</t>
        </is>
      </c>
      <c r="L304" s="48" t="inlineStr">
        <is>
          <t xml:space="preserve">07 - Post-War Classic (1946-1972)</t>
        </is>
      </c>
      <c r="M304" s="50">
        <v>535000</v>
      </c>
      <c r="N304" s="48" t="inlineStr">
        <is>
          <t xml:space="preserve">Personal</t>
        </is>
      </c>
      <c r="O304" s="46" t="inlineStr">
        <is>
          <t xml:space="preserve">Personal - regular use</t>
        </is>
      </c>
      <c r="P304" s="46" t="inlineStr">
        <is>
          <t xml:space="preserve">Under 1,000</t>
        </is>
      </c>
      <c r="Q304" s="46" t="inlineStr">
        <is>
          <t xml:space="preserve">Tennessee</t>
        </is>
      </c>
      <c r="R304" s="46" t="inlineStr">
        <is>
          <t xml:space="preserve">37203</t>
        </is>
      </c>
      <c r="S304" s="48" t="inlineStr">
        <is>
          <t xml:space="preserve">Severe convective - hail / tornado (moderate)</t>
        </is>
      </c>
      <c r="T304" s="36">
        <f>IF($A304="","",IF($S304="","",IFERROR(INDEX('[1]natural catastrophe'!$D$6:$D$17,MATCH($S304,'[1]natural catastrophe'!$B$6:$B$17,0)),"?")))</f>
      </c>
      <c r="U304" s="46" t="inlineStr">
        <is>
          <t xml:space="preserve">$5,000</t>
        </is>
      </c>
      <c r="V304" s="48" t="inlineStr">
        <is>
          <t xml:space="preserve">Agreed Value</t>
        </is>
      </c>
      <c r="W304" s="46" t="inlineStr">
        <is>
          <t xml:space="preserve">$1,000</t>
        </is>
      </c>
      <c r="X304" s="48" t="inlineStr">
        <is>
          <t xml:space="preserve">$1,000,000 CSL</t>
        </is>
      </c>
      <c r="Y304" s="46"/>
      <c r="Z304" s="46"/>
      <c r="AA304" s="48" t="inlineStr">
        <is>
          <t xml:space="preserve">Surplus Lines</t>
        </is>
      </c>
      <c r="AB304" s="50">
        <v>4253.75</v>
      </c>
      <c r="AC304" s="51">
        <v>0</v>
      </c>
      <c r="AD304" s="38">
        <f>IF(ISNUMBER($AB304),$AB304*(1+N($AC304)),"")</f>
      </c>
      <c r="AE304" s="50">
        <v>350</v>
      </c>
      <c r="AF304" s="50">
        <v>0</v>
      </c>
      <c r="AG304" s="51"/>
      <c r="AH304" s="39">
        <f>IF(ISNUMBER($AD304),($AD304+$AE304+$AF304)*$AG304,"")</f>
      </c>
      <c r="AI304" s="50"/>
      <c r="AJ304" s="38">
        <f>IF(ISNUMBER($AD304),SUM($AD304:$AH304),"")</f>
      </c>
      <c r="AK304" s="40">
        <f>IF(AND(ISNUMBER($AB304),ISNUMBER($AD304)),IF($AB304&gt;0,$AD304/$AB304,""),"")</f>
      </c>
      <c r="AL304" s="48" t="inlineStr">
        <is>
          <t xml:space="preserve">At technical</t>
        </is>
      </c>
      <c r="AM304" s="41">
        <f>IF(ISNUMBER($AD304),Header!$I$3,"")</f>
      </c>
      <c r="AN304" s="39">
        <f>IF(ISNUMBER($AD304),$AO304+$AP304,"")</f>
      </c>
      <c r="AO304" s="39">
        <f>IF(ISNUMBER($AD304),ROUND($AD304*Header!$K$3,2),"")</f>
      </c>
      <c r="AP304" s="39">
        <f>IF(ISNUMBER($AD304),ROUND($AD304*Header!$M$3,2),"")</f>
      </c>
      <c r="AQ304" s="38">
        <f>IF(ISNUMBER($AD304),ROUND($AD304,2)-$AO304-$AP304,"")</f>
      </c>
      <c r="AR304" s="39">
        <f>IF(ISNUMBER($AD304),IF(Header!$D$34="","?",$AD304*Header!$D$34),"")</f>
      </c>
      <c r="AS304" s="39">
        <f>IF(ISNUMBER($AB304),IF(Header!$D$34="","?",$AB304*Header!$D$34),"")</f>
      </c>
      <c r="AT304" s="42">
        <f>IF(AND(ISNUMBER($AB304),$M304&gt;0),$AB304/$M304*100,"")</f>
      </c>
      <c r="AU304" s="42">
        <f>IF(AND(ISNUMBER($AD304),$M304&gt;0),$AD304/$M304*100,"")</f>
      </c>
      <c r="AV304" s="40">
        <f>IF(AND(ISNUMBER($AB304),ISNUMBER($AD304),ABS($AB304)&gt;0),$AD304/$AB304,"")</f>
      </c>
      <c r="AW304" s="39">
        <f>IF(ISNUMBER($AD304),MAX(0,(1-0.55-Header!$O$3)*Header!$Q$3*$AQ304),"")</f>
      </c>
      <c r="AX304" s="43">
        <f>IF($A304="","",IF(TRIM(IF($A304="","Missing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",""))="","PASS","FAIL: "&amp;TRIM(IF($A304="","Missing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f>
      </c>
      <c r="AY304" s="44">
        <f>IF($M304="","",IF(ISNUMBER($M304),IF($M304&gt;=Header!$C$18,"YES — refer","No"),""))</f>
      </c>
      <c r="AZ304" s="44">
        <f>IF($AD304="","",IF(ISNUMBER($AD304),IF($AD304&lt;Header!$C$20,"BELOW MIN PREMIUM","OK"),""))</f>
      </c>
      <c r="BA304" s="48" t="inlineStr">
        <is>
          <t xml:space="preserve">Yes</t>
        </is>
      </c>
      <c r="BB304" s="48" t="inlineStr">
        <is>
          <t xml:space="preserve">Yes</t>
        </is>
      </c>
      <c r="BC304" s="46" t="inlineStr">
        <is>
          <t xml:space="preserve">Synthetic demo data</t>
        </is>
      </c>
      <c r="BE304" s="45">
        <f>IF(OR($A304="",$L304="",$H304=""),"",IF(AND(LEFT($L304,2)="06",$H304&gt;1945),"FAIL - pre-war class, year "&amp;$H304,IF(AND(LEFT($L304,2)="07",OR($H304&lt;1946,$H304&gt;1972)),"FAIL - 1946-72 class, year "&amp;$H304,IF(AND(LEFT($L304,2)="08",OR($H304&lt;1973,$H304&gt;1999)),"FAIL - 1973-99 class, year "&amp;$H304,IF(AND(LEFT($L304,2)="09",OR($H304&lt;2000,$H304&gt;2010)),"FAIL - 2000-10 class, year "&amp;$H304,"OK")))))</f>
      </c>
      <c r="BF304" s="45">
        <f>IF($AD304="","",IF(ROUND($AO304+$AP304+$AQ304-$AD304,2)=0,"OK","FAIL - out by "&amp;TEXT($AO304+$AP304+$AQ304-$AD304,"$0.00")))</f>
      </c>
    </row>
    <row r="305" spans="1:58" ht="18.75" customHeight="1" x14ac:dyDescent="0.25">
      <c r="A305" s="30" t="inlineStr">
        <is>
          <t xml:space="preserve">CANON-202508-000413</t>
        </is>
      </c>
      <c r="B305" s="30" t="inlineStr">
        <is>
          <t xml:space="preserve">Desmond Blackwood</t>
        </is>
      </c>
      <c r="C305" s="31">
        <v>45896</v>
      </c>
      <c r="D305" s="32" t="inlineStr">
        <is>
          <t xml:space="preserve">Bound - within authority</t>
        </is>
      </c>
      <c r="E305" s="32" t="inlineStr">
        <is>
          <t xml:space="preserve">New business</t>
        </is>
      </c>
      <c r="F305" s="30" t="inlineStr">
        <is>
          <t xml:space="preserve">B1234EXOTIC26</t>
        </is>
      </c>
      <c r="G305" s="33">
        <f>IF($A305="","",IF($C305="","",YEAR($C305)))</f>
      </c>
      <c r="H305" s="34">
        <v>2009</v>
      </c>
      <c r="I305" s="30" t="inlineStr">
        <is>
          <t xml:space="preserve">BMW</t>
        </is>
      </c>
      <c r="J305" s="30" t="inlineStr">
        <is>
          <t xml:space="preserve">M8 Competition</t>
        </is>
      </c>
      <c r="K305" s="30" t="inlineStr">
        <is>
          <t xml:space="preserve">ZADYT00ADEY4AJPHK</t>
        </is>
      </c>
      <c r="L305" s="32" t="inlineStr">
        <is>
          <t xml:space="preserve">02 - Sports / GT</t>
        </is>
      </c>
      <c r="M305" s="35">
        <v>225000</v>
      </c>
      <c r="N305" s="32" t="inlineStr">
        <is>
          <t xml:space="preserve">Personal</t>
        </is>
      </c>
      <c r="O305" s="30" t="inlineStr">
        <is>
          <t xml:space="preserve">Personal - regular use</t>
        </is>
      </c>
      <c r="P305" s="30" t="inlineStr">
        <is>
          <t xml:space="preserve">1,000 - 2,500</t>
        </is>
      </c>
      <c r="Q305" s="30" t="inlineStr">
        <is>
          <t xml:space="preserve">Colorado</t>
        </is>
      </c>
      <c r="R305" s="30" t="inlineStr">
        <is>
          <t xml:space="preserve">80202</t>
        </is>
      </c>
      <c r="S305" s="32" t="inlineStr">
        <is>
          <t xml:space="preserve">Severe convective - hail alley (high)</t>
        </is>
      </c>
      <c r="T305" s="36">
        <f>IF($A305="","",IF($S305="","",IFERROR(INDEX('[1]natural catastrophe'!$D$6:$D$17,MATCH($S305,'[1]natural catastrophe'!$B$6:$B$17,0)),"?")))</f>
      </c>
      <c r="U305" s="30" t="inlineStr">
        <is>
          <t xml:space="preserve">$5,000</t>
        </is>
      </c>
      <c r="V305" s="32" t="inlineStr">
        <is>
          <t xml:space="preserve">Agreed Value</t>
        </is>
      </c>
      <c r="W305" s="30" t="inlineStr">
        <is>
          <t xml:space="preserve">$1,000</t>
        </is>
      </c>
      <c r="X305" s="32" t="inlineStr">
        <is>
          <t xml:space="preserve">$1,000,000 CSL</t>
        </is>
      </c>
      <c r="Y305" s="30"/>
      <c r="Z305" s="30"/>
      <c r="AA305" s="32" t="inlineStr">
        <is>
          <t xml:space="preserve">Surplus Lines</t>
        </is>
      </c>
      <c r="AB305" s="35">
        <v>4296.23</v>
      </c>
      <c r="AC305" s="37">
        <v>0</v>
      </c>
      <c r="AD305" s="38">
        <f>IF(ISNUMBER($AB305),$AB305*(1+N($AC305)),"")</f>
      </c>
      <c r="AE305" s="35">
        <v>350</v>
      </c>
      <c r="AF305" s="35">
        <v>0</v>
      </c>
      <c r="AG305" s="37"/>
      <c r="AH305" s="39">
        <f>IF(ISNUMBER($AD305),($AD305+$AE305+$AF305)*$AG305,"")</f>
      </c>
      <c r="AI305" s="35"/>
      <c r="AJ305" s="38">
        <f>IF(ISNUMBER($AD305),SUM($AD305:$AH305),"")</f>
      </c>
      <c r="AK305" s="40">
        <f>IF(AND(ISNUMBER($AB305),ISNUMBER($AD305)),IF($AB305&gt;0,$AD305/$AB305,""),"")</f>
      </c>
      <c r="AL305" s="32" t="inlineStr">
        <is>
          <t xml:space="preserve">At technical</t>
        </is>
      </c>
      <c r="AM305" s="41">
        <f>IF(ISNUMBER($AD305),Header!$I$3,"")</f>
      </c>
      <c r="AN305" s="39">
        <f>IF(ISNUMBER($AD305),$AO305+$AP305,"")</f>
      </c>
      <c r="AO305" s="39">
        <f>IF(ISNUMBER($AD305),ROUND($AD305*Header!$K$3,2),"")</f>
      </c>
      <c r="AP305" s="39">
        <f>IF(ISNUMBER($AD305),ROUND($AD305*Header!$M$3,2),"")</f>
      </c>
      <c r="AQ305" s="38">
        <f>IF(ISNUMBER($AD305),ROUND($AD305,2)-$AO305-$AP305,"")</f>
      </c>
      <c r="AR305" s="39">
        <f>IF(ISNUMBER($AD305),IF(Header!$D$34="","?",$AD305*Header!$D$34),"")</f>
      </c>
      <c r="AS305" s="39">
        <f>IF(ISNUMBER($AB305),IF(Header!$D$34="","?",$AB305*Header!$D$34),"")</f>
      </c>
      <c r="AT305" s="42">
        <f>IF(AND(ISNUMBER($AB305),$M305&gt;0),$AB305/$M305*100,"")</f>
      </c>
      <c r="AU305" s="42">
        <f>IF(AND(ISNUMBER($AD305),$M305&gt;0),$AD305/$M305*100,"")</f>
      </c>
      <c r="AV305" s="40">
        <f>IF(AND(ISNUMBER($AB305),ISNUMBER($AD305),ABS($AB305)&gt;0),$AD305/$AB305,"")</f>
      </c>
      <c r="AW305" s="39">
        <f>IF(ISNUMBER($AD305),MAX(0,(1-0.55-Header!$O$3)*Header!$Q$3*$AQ305),"")</f>
      </c>
      <c r="AX305" s="43">
        <f>IF($A305="","",IF(TRIM(IF($A305="","Missing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",""))="","PASS","FAIL: "&amp;TRIM(IF($A305="","Missing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f>
      </c>
      <c r="AY305" s="44">
        <f>IF($M305="","",IF(ISNUMBER($M305),IF($M305&gt;=Header!$C$18,"YES — refer","No"),""))</f>
      </c>
      <c r="AZ305" s="44">
        <f>IF($AD305="","",IF(ISNUMBER($AD305),IF($AD305&lt;Header!$C$20,"BELOW MIN PREMIUM","OK"),""))</f>
      </c>
      <c r="BA305" s="32" t="inlineStr">
        <is>
          <t xml:space="preserve">Yes</t>
        </is>
      </c>
      <c r="BB305" s="32" t="inlineStr">
        <is>
          <t xml:space="preserve">Yes</t>
        </is>
      </c>
      <c r="BC305" s="30" t="inlineStr">
        <is>
          <t xml:space="preserve">Synthetic demo data</t>
        </is>
      </c>
      <c r="BE305" s="45">
        <f>IF(OR($A305="",$L305="",$H305=""),"",IF(AND(LEFT($L305,2)="06",$H305&gt;1945),"FAIL - pre-war class, year "&amp;$H305,IF(AND(LEFT($L305,2)="07",OR($H305&lt;1946,$H305&gt;1972)),"FAIL - 1946-72 class, year "&amp;$H305,IF(AND(LEFT($L305,2)="08",OR($H305&lt;1973,$H305&gt;1999)),"FAIL - 1973-99 class, year "&amp;$H305,IF(AND(LEFT($L305,2)="09",OR($H305&lt;2000,$H305&gt;2010)),"FAIL - 2000-10 class, year "&amp;$H305,"OK")))))</f>
      </c>
      <c r="BF305" s="45">
        <f>IF($AD305="","",IF(ROUND($AO305+$AP305+$AQ305-$AD305,2)=0,"OK","FAIL - out by "&amp;TEXT($AO305+$AP305+$AQ305-$AD305,"$0.00")))</f>
      </c>
    </row>
    <row r="306" spans="1:58" ht="18.75" customHeight="1" x14ac:dyDescent="0.25">
      <c r="A306" s="46" t="inlineStr">
        <is>
          <t xml:space="preserve">CANON-202508-000415</t>
        </is>
      </c>
      <c r="B306" s="46" t="inlineStr">
        <is>
          <t xml:space="preserve">Mireille Chattopadhyay</t>
        </is>
      </c>
      <c r="C306" s="47">
        <v>45871</v>
      </c>
      <c r="D306" s="48" t="inlineStr">
        <is>
          <t xml:space="preserve">Bound - within authority</t>
        </is>
      </c>
      <c r="E306" s="48" t="inlineStr">
        <is>
          <t xml:space="preserve">New business</t>
        </is>
      </c>
      <c r="F306" s="46" t="inlineStr">
        <is>
          <t xml:space="preserve">B1234EXOTIC26</t>
        </is>
      </c>
      <c r="G306" s="33">
        <f>IF($A306="","",IF($C306="","",YEAR($C306)))</f>
      </c>
      <c r="H306" s="49">
        <v>2015</v>
      </c>
      <c r="I306" s="46" t="inlineStr">
        <is>
          <t xml:space="preserve">Aston Martin</t>
        </is>
      </c>
      <c r="J306" s="46" t="inlineStr">
        <is>
          <t xml:space="preserve">DB5</t>
        </is>
      </c>
      <c r="K306" s="46" t="inlineStr">
        <is>
          <t xml:space="preserve">1U8KCGKM78MTR0AE0</t>
        </is>
      </c>
      <c r="L306" s="48" t="inlineStr">
        <is>
          <t xml:space="preserve">02 - Sports / GT</t>
        </is>
      </c>
      <c r="M306" s="50">
        <v>1590000</v>
      </c>
      <c r="N306" s="48" t="inlineStr">
        <is>
          <t xml:space="preserve">Personal</t>
        </is>
      </c>
      <c r="O306" s="46" t="inlineStr">
        <is>
          <t xml:space="preserve">Personal - regular use</t>
        </is>
      </c>
      <c r="P306" s="46" t="inlineStr">
        <is>
          <t xml:space="preserve">1,000 - 2,500</t>
        </is>
      </c>
      <c r="Q306" s="46" t="inlineStr">
        <is>
          <t xml:space="preserve">Alaska</t>
        </is>
      </c>
      <c r="R306" s="46" t="inlineStr">
        <is>
          <t xml:space="preserve">99501</t>
        </is>
      </c>
      <c r="S306" s="48" t="inlineStr">
        <is>
          <t xml:space="preserve">Earthquake - high (CA, Cascadia, New Madrid)</t>
        </is>
      </c>
      <c r="T306" s="36">
        <f>IF($A306="","",IF($S306="","",IFERROR(INDEX('[1]natural catastrophe'!$D$6:$D$17,MATCH($S306,'[1]natural catastrophe'!$B$6:$B$17,0)),"?")))</f>
      </c>
      <c r="U306" s="46" t="inlineStr">
        <is>
          <t xml:space="preserve">$5,000</t>
        </is>
      </c>
      <c r="V306" s="48" t="inlineStr">
        <is>
          <t xml:space="preserve">Agreed Value</t>
        </is>
      </c>
      <c r="W306" s="46" t="inlineStr">
        <is>
          <t xml:space="preserve">$1,000</t>
        </is>
      </c>
      <c r="X306" s="48" t="inlineStr">
        <is>
          <t xml:space="preserve">$1,000,000 CSL</t>
        </is>
      </c>
      <c r="Y306" s="46"/>
      <c r="Z306" s="46"/>
      <c r="AA306" s="48" t="inlineStr">
        <is>
          <t xml:space="preserve">Surplus Lines</t>
        </is>
      </c>
      <c r="AB306" s="50">
        <v>12996</v>
      </c>
      <c r="AC306" s="51">
        <v>0</v>
      </c>
      <c r="AD306" s="38">
        <f>IF(ISNUMBER($AB306),$AB306*(1+N($AC306)),"")</f>
      </c>
      <c r="AE306" s="50">
        <v>350</v>
      </c>
      <c r="AF306" s="50">
        <v>250</v>
      </c>
      <c r="AG306" s="51"/>
      <c r="AH306" s="39">
        <f>IF(ISNUMBER($AD306),($AD306+$AE306+$AF306)*$AG306,"")</f>
      </c>
      <c r="AI306" s="50"/>
      <c r="AJ306" s="38">
        <f>IF(ISNUMBER($AD306),SUM($AD306:$AH306),"")</f>
      </c>
      <c r="AK306" s="40">
        <f>IF(AND(ISNUMBER($AB306),ISNUMBER($AD306)),IF($AB306&gt;0,$AD306/$AB306,""),"")</f>
      </c>
      <c r="AL306" s="48" t="inlineStr">
        <is>
          <t xml:space="preserve">At technical</t>
        </is>
      </c>
      <c r="AM306" s="41">
        <f>IF(ISNUMBER($AD306),Header!$I$3,"")</f>
      </c>
      <c r="AN306" s="39">
        <f>IF(ISNUMBER($AD306),$AO306+$AP306,"")</f>
      </c>
      <c r="AO306" s="39">
        <f>IF(ISNUMBER($AD306),ROUND($AD306*Header!$K$3,2),"")</f>
      </c>
      <c r="AP306" s="39">
        <f>IF(ISNUMBER($AD306),ROUND($AD306*Header!$M$3,2),"")</f>
      </c>
      <c r="AQ306" s="38">
        <f>IF(ISNUMBER($AD306),ROUND($AD306,2)-$AO306-$AP306,"")</f>
      </c>
      <c r="AR306" s="39">
        <f>IF(ISNUMBER($AD306),IF(Header!$D$34="","?",$AD306*Header!$D$34),"")</f>
      </c>
      <c r="AS306" s="39">
        <f>IF(ISNUMBER($AB306),IF(Header!$D$34="","?",$AB306*Header!$D$34),"")</f>
      </c>
      <c r="AT306" s="42">
        <f>IF(AND(ISNUMBER($AB306),$M306&gt;0),$AB306/$M306*100,"")</f>
      </c>
      <c r="AU306" s="42">
        <f>IF(AND(ISNUMBER($AD306),$M306&gt;0),$AD306/$M306*100,"")</f>
      </c>
      <c r="AV306" s="40">
        <f>IF(AND(ISNUMBER($AB306),ISNUMBER($AD306),ABS($AB306)&gt;0),$AD306/$AB306,"")</f>
      </c>
      <c r="AW306" s="39">
        <f>IF(ISNUMBER($AD306),MAX(0,(1-0.55-Header!$O$3)*Header!$Q$3*$AQ306),"")</f>
      </c>
      <c r="AX306" s="43">
        <f>IF($A306="","",IF(TRIM(IF($A306="","Missing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",""))="","PASS","FAIL: "&amp;TRIM(IF($A306="","Missing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f>
      </c>
      <c r="AY306" s="44">
        <f>IF($M306="","",IF(ISNUMBER($M306),IF($M306&gt;=Header!$C$18,"YES — refer","No"),""))</f>
      </c>
      <c r="AZ306" s="44">
        <f>IF($AD306="","",IF(ISNUMBER($AD306),IF($AD306&lt;Header!$C$20,"BELOW MIN PREMIUM","OK"),""))</f>
      </c>
      <c r="BA306" s="48" t="inlineStr">
        <is>
          <t xml:space="preserve">Yes</t>
        </is>
      </c>
      <c r="BB306" s="48" t="inlineStr">
        <is>
          <t xml:space="preserve">Yes</t>
        </is>
      </c>
      <c r="BC306" s="46" t="inlineStr">
        <is>
          <t xml:space="preserve">Synthetic demo data</t>
        </is>
      </c>
      <c r="BE306" s="45">
        <f>IF(OR($A306="",$L306="",$H306=""),"",IF(AND(LEFT($L306,2)="06",$H306&gt;1945),"FAIL - pre-war class, year "&amp;$H306,IF(AND(LEFT($L306,2)="07",OR($H306&lt;1946,$H306&gt;1972)),"FAIL - 1946-72 class, year "&amp;$H306,IF(AND(LEFT($L306,2)="08",OR($H306&lt;1973,$H306&gt;1999)),"FAIL - 1973-99 class, year "&amp;$H306,IF(AND(LEFT($L306,2)="09",OR($H306&lt;2000,$H306&gt;2010)),"FAIL - 2000-10 class, year "&amp;$H306,"OK")))))</f>
      </c>
      <c r="BF306" s="45">
        <f>IF($AD306="","",IF(ROUND($AO306+$AP306+$AQ306-$AD306,2)=0,"OK","FAIL - out by "&amp;TEXT($AO306+$AP306+$AQ306-$AD306,"$0.00")))</f>
      </c>
    </row>
    <row r="307" spans="1:58" ht="18.75" customHeight="1" x14ac:dyDescent="0.25">
      <c r="A307" s="30" t="inlineStr">
        <is>
          <t xml:space="preserve">CANON-202508-000416</t>
        </is>
      </c>
      <c r="B307" s="30" t="inlineStr">
        <is>
          <t xml:space="preserve">Ramona Rourke</t>
        </is>
      </c>
      <c r="C307" s="31">
        <v>45895</v>
      </c>
      <c r="D307" s="32" t="inlineStr">
        <is>
          <t xml:space="preserve">Bound - within authority</t>
        </is>
      </c>
      <c r="E307" s="32" t="inlineStr">
        <is>
          <t xml:space="preserve">New business</t>
        </is>
      </c>
      <c r="F307" s="30" t="inlineStr">
        <is>
          <t xml:space="preserve">B1234EXOTIC26</t>
        </is>
      </c>
      <c r="G307" s="33">
        <f>IF($A307="","",IF($C307="","",YEAR($C307)))</f>
      </c>
      <c r="H307" s="34">
        <v>1988</v>
      </c>
      <c r="I307" s="30" t="inlineStr">
        <is>
          <t xml:space="preserve">Bentley</t>
        </is>
      </c>
      <c r="J307" s="30" t="inlineStr">
        <is>
          <t xml:space="preserve">Continental GT</t>
        </is>
      </c>
      <c r="K307" s="30" t="inlineStr">
        <is>
          <t xml:space="preserve">44D45K0UTV2JC9MC4</t>
        </is>
      </c>
      <c r="L307" s="32" t="inlineStr">
        <is>
          <t xml:space="preserve">02 - Sports / GT</t>
        </is>
      </c>
      <c r="M307" s="35">
        <v>1010000</v>
      </c>
      <c r="N307" s="32" t="inlineStr">
        <is>
          <t xml:space="preserve">Personal</t>
        </is>
      </c>
      <c r="O307" s="30" t="inlineStr">
        <is>
          <t xml:space="preserve">Personal - regular use</t>
        </is>
      </c>
      <c r="P307" s="30" t="inlineStr">
        <is>
          <t xml:space="preserve">2,500 - 5,000</t>
        </is>
      </c>
      <c r="Q307" s="30" t="inlineStr">
        <is>
          <t xml:space="preserve">Wisconsin</t>
        </is>
      </c>
      <c r="R307" s="30" t="inlineStr">
        <is>
          <t xml:space="preserve">53202</t>
        </is>
      </c>
      <c r="S307" s="32" t="inlineStr">
        <is>
          <t xml:space="preserve">Severe convective - hail / tornado (moderate)</t>
        </is>
      </c>
      <c r="T307" s="36">
        <f>IF($A307="","",IF($S307="","",IFERROR(INDEX('[1]natural catastrophe'!$D$6:$D$17,MATCH($S307,'[1]natural catastrophe'!$B$6:$B$17,0)),"?")))</f>
      </c>
      <c r="U307" s="30" t="inlineStr">
        <is>
          <t xml:space="preserve">$5,000</t>
        </is>
      </c>
      <c r="V307" s="32" t="inlineStr">
        <is>
          <t xml:space="preserve">Agreed Value</t>
        </is>
      </c>
      <c r="W307" s="30" t="inlineStr">
        <is>
          <t xml:space="preserve">$1,000</t>
        </is>
      </c>
      <c r="X307" s="32" t="inlineStr">
        <is>
          <t xml:space="preserve">$1,000,000 CSL</t>
        </is>
      </c>
      <c r="Y307" s="30"/>
      <c r="Z307" s="30"/>
      <c r="AA307" s="32" t="inlineStr">
        <is>
          <t xml:space="preserve">Surplus Lines</t>
        </is>
      </c>
      <c r="AB307" s="35">
        <v>12577.36</v>
      </c>
      <c r="AC307" s="37">
        <v>0</v>
      </c>
      <c r="AD307" s="38">
        <f>IF(ISNUMBER($AB307),$AB307*(1+N($AC307)),"")</f>
      </c>
      <c r="AE307" s="35">
        <v>350</v>
      </c>
      <c r="AF307" s="35">
        <v>250</v>
      </c>
      <c r="AG307" s="37"/>
      <c r="AH307" s="39">
        <f>IF(ISNUMBER($AD307),($AD307+$AE307+$AF307)*$AG307,"")</f>
      </c>
      <c r="AI307" s="35"/>
      <c r="AJ307" s="38">
        <f>IF(ISNUMBER($AD307),SUM($AD307:$AH307),"")</f>
      </c>
      <c r="AK307" s="40">
        <f>IF(AND(ISNUMBER($AB307),ISNUMBER($AD307)),IF($AB307&gt;0,$AD307/$AB307,""),"")</f>
      </c>
      <c r="AL307" s="32" t="inlineStr">
        <is>
          <t xml:space="preserve">At technical</t>
        </is>
      </c>
      <c r="AM307" s="41">
        <f>IF(ISNUMBER($AD307),Header!$I$3,"")</f>
      </c>
      <c r="AN307" s="39">
        <f>IF(ISNUMBER($AD307),$AO307+$AP307,"")</f>
      </c>
      <c r="AO307" s="39">
        <f>IF(ISNUMBER($AD307),ROUND($AD307*Header!$K$3,2),"")</f>
      </c>
      <c r="AP307" s="39">
        <f>IF(ISNUMBER($AD307),ROUND($AD307*Header!$M$3,2),"")</f>
      </c>
      <c r="AQ307" s="38">
        <f>IF(ISNUMBER($AD307),ROUND($AD307,2)-$AO307-$AP307,"")</f>
      </c>
      <c r="AR307" s="39">
        <f>IF(ISNUMBER($AD307),IF(Header!$D$34="","?",$AD307*Header!$D$34),"")</f>
      </c>
      <c r="AS307" s="39">
        <f>IF(ISNUMBER($AB307),IF(Header!$D$34="","?",$AB307*Header!$D$34),"")</f>
      </c>
      <c r="AT307" s="42">
        <f>IF(AND(ISNUMBER($AB307),$M307&gt;0),$AB307/$M307*100,"")</f>
      </c>
      <c r="AU307" s="42">
        <f>IF(AND(ISNUMBER($AD307),$M307&gt;0),$AD307/$M307*100,"")</f>
      </c>
      <c r="AV307" s="40">
        <f>IF(AND(ISNUMBER($AB307),ISNUMBER($AD307),ABS($AB307)&gt;0),$AD307/$AB307,"")</f>
      </c>
      <c r="AW307" s="39">
        <f>IF(ISNUMBER($AD307),MAX(0,(1-0.55-Header!$O$3)*Header!$Q$3*$AQ307),"")</f>
      </c>
      <c r="AX307" s="43">
        <f>IF($A307="","",IF(TRIM(IF($A307="","Missing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",""))="","PASS","FAIL: "&amp;TRIM(IF($A307="","Missing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f>
      </c>
      <c r="AY307" s="44">
        <f>IF($M307="","",IF(ISNUMBER($M307),IF($M307&gt;=Header!$C$18,"YES — refer","No"),""))</f>
      </c>
      <c r="AZ307" s="44">
        <f>IF($AD307="","",IF(ISNUMBER($AD307),IF($AD307&lt;Header!$C$20,"BELOW MIN PREMIUM","OK"),""))</f>
      </c>
      <c r="BA307" s="32" t="inlineStr">
        <is>
          <t xml:space="preserve">Yes</t>
        </is>
      </c>
      <c r="BB307" s="32" t="inlineStr">
        <is>
          <t xml:space="preserve">Yes</t>
        </is>
      </c>
      <c r="BC307" s="30" t="inlineStr">
        <is>
          <t xml:space="preserve">Synthetic demo data</t>
        </is>
      </c>
      <c r="BE307" s="45">
        <f>IF(OR($A307="",$L307="",$H307=""),"",IF(AND(LEFT($L307,2)="06",$H307&gt;1945),"FAIL - pre-war class, year "&amp;$H307,IF(AND(LEFT($L307,2)="07",OR($H307&lt;1946,$H307&gt;1972)),"FAIL - 1946-72 class, year "&amp;$H307,IF(AND(LEFT($L307,2)="08",OR($H307&lt;1973,$H307&gt;1999)),"FAIL - 1973-99 class, year "&amp;$H307,IF(AND(LEFT($L307,2)="09",OR($H307&lt;2000,$H307&gt;2010)),"FAIL - 2000-10 class, year "&amp;$H307,"OK")))))</f>
      </c>
      <c r="BF307" s="45">
        <f>IF($AD307="","",IF(ROUND($AO307+$AP307+$AQ307-$AD307,2)=0,"OK","FAIL - out by "&amp;TEXT($AO307+$AP307+$AQ307-$AD307,"$0.00")))</f>
      </c>
    </row>
    <row r="308" spans="1:58" ht="18.75" customHeight="1" x14ac:dyDescent="0.25">
      <c r="A308" s="46" t="inlineStr">
        <is>
          <t xml:space="preserve">CANON-202508-000418</t>
        </is>
      </c>
      <c r="B308" s="46" t="inlineStr">
        <is>
          <t xml:space="preserve">Fitzgerald Bellandi</t>
        </is>
      </c>
      <c r="C308" s="47">
        <v>45892</v>
      </c>
      <c r="D308" s="48" t="inlineStr">
        <is>
          <t xml:space="preserve">Bound - within authority</t>
        </is>
      </c>
      <c r="E308" s="48" t="inlineStr">
        <is>
          <t xml:space="preserve">New business</t>
        </is>
      </c>
      <c r="F308" s="46" t="inlineStr">
        <is>
          <t xml:space="preserve">B1234EXOTIC26</t>
        </is>
      </c>
      <c r="G308" s="33">
        <f>IF($A308="","",IF($C308="","",YEAR($C308)))</f>
      </c>
      <c r="H308" s="49">
        <v>2022</v>
      </c>
      <c r="I308" s="46" t="inlineStr">
        <is>
          <t xml:space="preserve">Aston Martin</t>
        </is>
      </c>
      <c r="J308" s="46" t="inlineStr">
        <is>
          <t xml:space="preserve">DB12</t>
        </is>
      </c>
      <c r="K308" s="46" t="inlineStr">
        <is>
          <t xml:space="preserve">9YDBHEH6J4GFXUCL6</t>
        </is>
      </c>
      <c r="L308" s="48" t="inlineStr">
        <is>
          <t xml:space="preserve">02 - Sports / GT</t>
        </is>
      </c>
      <c r="M308" s="50">
        <v>1230000</v>
      </c>
      <c r="N308" s="48" t="inlineStr">
        <is>
          <t xml:space="preserve">Personal</t>
        </is>
      </c>
      <c r="O308" s="46" t="inlineStr">
        <is>
          <t xml:space="preserve">Personal - regular use</t>
        </is>
      </c>
      <c r="P308" s="46" t="inlineStr">
        <is>
          <t xml:space="preserve">2,500 - 5,000</t>
        </is>
      </c>
      <c r="Q308" s="46" t="inlineStr">
        <is>
          <t xml:space="preserve">South Carolina</t>
        </is>
      </c>
      <c r="R308" s="46" t="inlineStr">
        <is>
          <t xml:space="preserve">29401</t>
        </is>
      </c>
      <c r="S308" s="48" t="inlineStr">
        <is>
          <t xml:space="preserve">Tier 2 - Coastal wind (1-25 miles)</t>
        </is>
      </c>
      <c r="T308" s="36">
        <f>IF($A308="","",IF($S308="","",IFERROR(INDEX('[1]natural catastrophe'!$D$6:$D$17,MATCH($S308,'[1]natural catastrophe'!$B$6:$B$17,0)),"?")))</f>
      </c>
      <c r="U308" s="46" t="inlineStr">
        <is>
          <t xml:space="preserve">2% of agreed value, minimum $10,000</t>
        </is>
      </c>
      <c r="V308" s="48" t="inlineStr">
        <is>
          <t xml:space="preserve">Agreed Value</t>
        </is>
      </c>
      <c r="W308" s="46" t="inlineStr">
        <is>
          <t xml:space="preserve">$1,000</t>
        </is>
      </c>
      <c r="X308" s="48" t="inlineStr">
        <is>
          <t xml:space="preserve">$1,000,000 CSL</t>
        </is>
      </c>
      <c r="Y308" s="46"/>
      <c r="Z308" s="46"/>
      <c r="AA308" s="48" t="inlineStr">
        <is>
          <t xml:space="preserve">Surplus Lines</t>
        </is>
      </c>
      <c r="AB308" s="50">
        <v>15827.55</v>
      </c>
      <c r="AC308" s="51">
        <v>0</v>
      </c>
      <c r="AD308" s="38">
        <f>IF(ISNUMBER($AB308),$AB308*(1+N($AC308)),"")</f>
      </c>
      <c r="AE308" s="50">
        <v>350</v>
      </c>
      <c r="AF308" s="50">
        <v>250</v>
      </c>
      <c r="AG308" s="51"/>
      <c r="AH308" s="39">
        <f>IF(ISNUMBER($AD308),($AD308+$AE308+$AF308)*$AG308,"")</f>
      </c>
      <c r="AI308" s="50"/>
      <c r="AJ308" s="38">
        <f>IF(ISNUMBER($AD308),SUM($AD308:$AH308),"")</f>
      </c>
      <c r="AK308" s="40">
        <f>IF(AND(ISNUMBER($AB308),ISNUMBER($AD308)),IF($AB308&gt;0,$AD308/$AB308,""),"")</f>
      </c>
      <c r="AL308" s="48" t="inlineStr">
        <is>
          <t xml:space="preserve">At technical</t>
        </is>
      </c>
      <c r="AM308" s="41">
        <f>IF(ISNUMBER($AD308),Header!$I$3,"")</f>
      </c>
      <c r="AN308" s="39">
        <f>IF(ISNUMBER($AD308),$AO308+$AP308,"")</f>
      </c>
      <c r="AO308" s="39">
        <f>IF(ISNUMBER($AD308),ROUND($AD308*Header!$K$3,2),"")</f>
      </c>
      <c r="AP308" s="39">
        <f>IF(ISNUMBER($AD308),ROUND($AD308*Header!$M$3,2),"")</f>
      </c>
      <c r="AQ308" s="38">
        <f>IF(ISNUMBER($AD308),ROUND($AD308,2)-$AO308-$AP308,"")</f>
      </c>
      <c r="AR308" s="39">
        <f>IF(ISNUMBER($AD308),IF(Header!$D$34="","?",$AD308*Header!$D$34),"")</f>
      </c>
      <c r="AS308" s="39">
        <f>IF(ISNUMBER($AB308),IF(Header!$D$34="","?",$AB308*Header!$D$34),"")</f>
      </c>
      <c r="AT308" s="42">
        <f>IF(AND(ISNUMBER($AB308),$M308&gt;0),$AB308/$M308*100,"")</f>
      </c>
      <c r="AU308" s="42">
        <f>IF(AND(ISNUMBER($AD308),$M308&gt;0),$AD308/$M308*100,"")</f>
      </c>
      <c r="AV308" s="40">
        <f>IF(AND(ISNUMBER($AB308),ISNUMBER($AD308),ABS($AB308)&gt;0),$AD308/$AB308,"")</f>
      </c>
      <c r="AW308" s="39">
        <f>IF(ISNUMBER($AD308),MAX(0,(1-0.55-Header!$O$3)*Header!$Q$3*$AQ308),"")</f>
      </c>
      <c r="AX308" s="43">
        <f>IF($A308="","",IF(TRIM(IF($A308="","Missing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",""))="","PASS","FAIL: "&amp;TRIM(IF($A308="","Missing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f>
      </c>
      <c r="AY308" s="44">
        <f>IF($M308="","",IF(ISNUMBER($M308),IF($M308&gt;=Header!$C$18,"YES — refer","No"),""))</f>
      </c>
      <c r="AZ308" s="44">
        <f>IF($AD308="","",IF(ISNUMBER($AD308),IF($AD308&lt;Header!$C$20,"BELOW MIN PREMIUM","OK"),""))</f>
      </c>
      <c r="BA308" s="48" t="inlineStr">
        <is>
          <t xml:space="preserve">Yes</t>
        </is>
      </c>
      <c r="BB308" s="48" t="inlineStr">
        <is>
          <t xml:space="preserve">Yes</t>
        </is>
      </c>
      <c r="BC308" s="46" t="inlineStr">
        <is>
          <t xml:space="preserve">Synthetic demo data</t>
        </is>
      </c>
      <c r="BE308" s="45">
        <f>IF(OR($A308="",$L308="",$H308=""),"",IF(AND(LEFT($L308,2)="06",$H308&gt;1945),"FAIL - pre-war class, year "&amp;$H308,IF(AND(LEFT($L308,2)="07",OR($H308&lt;1946,$H308&gt;1972)),"FAIL - 1946-72 class, year "&amp;$H308,IF(AND(LEFT($L308,2)="08",OR($H308&lt;1973,$H308&gt;1999)),"FAIL - 1973-99 class, year "&amp;$H308,IF(AND(LEFT($L308,2)="09",OR($H308&lt;2000,$H308&gt;2010)),"FAIL - 2000-10 class, year "&amp;$H308,"OK")))))</f>
      </c>
      <c r="BF308" s="45">
        <f>IF($AD308="","",IF(ROUND($AO308+$AP308+$AQ308-$AD308,2)=0,"OK","FAIL - out by "&amp;TEXT($AO308+$AP308+$AQ308-$AD308,"$0.00")))</f>
      </c>
    </row>
    <row r="309" spans="1:58" ht="18.75" customHeight="1" x14ac:dyDescent="0.25">
      <c r="A309" s="30" t="inlineStr">
        <is>
          <t xml:space="preserve">CANON-202508-000419</t>
        </is>
      </c>
      <c r="B309" s="30" t="inlineStr">
        <is>
          <t xml:space="preserve">Emiliano Farkas</t>
        </is>
      </c>
      <c r="C309" s="31">
        <v>45886</v>
      </c>
      <c r="D309" s="32" t="inlineStr">
        <is>
          <t xml:space="preserve">Bound - within authority</t>
        </is>
      </c>
      <c r="E309" s="32" t="inlineStr">
        <is>
          <t xml:space="preserve">New business</t>
        </is>
      </c>
      <c r="F309" s="30" t="inlineStr">
        <is>
          <t xml:space="preserve">B1234EXOTIC26</t>
        </is>
      </c>
      <c r="G309" s="33">
        <f>IF($A309="","",IF($C309="","",YEAR($C309)))</f>
      </c>
      <c r="H309" s="34">
        <v>1958</v>
      </c>
      <c r="I309" s="30" t="inlineStr">
        <is>
          <t xml:space="preserve">Mercedes-Benz</t>
        </is>
      </c>
      <c r="J309" s="30" t="inlineStr">
        <is>
          <t xml:space="preserve">AMG GT</t>
        </is>
      </c>
      <c r="K309" s="30" t="inlineStr">
        <is>
          <t xml:space="preserve">D7C5WP05W10M6LVYZ</t>
        </is>
      </c>
      <c r="L309" s="32" t="inlineStr">
        <is>
          <t xml:space="preserve">02 - Sports / GT</t>
        </is>
      </c>
      <c r="M309" s="35">
        <v>385000</v>
      </c>
      <c r="N309" s="32" t="inlineStr">
        <is>
          <t xml:space="preserve">Personal</t>
        </is>
      </c>
      <c r="O309" s="30" t="inlineStr">
        <is>
          <t xml:space="preserve">Personal - regular use</t>
        </is>
      </c>
      <c r="P309" s="30" t="inlineStr">
        <is>
          <t xml:space="preserve">2,500 - 5,000</t>
        </is>
      </c>
      <c r="Q309" s="30" t="inlineStr">
        <is>
          <t xml:space="preserve">California</t>
        </is>
      </c>
      <c r="R309" s="30" t="inlineStr">
        <is>
          <t xml:space="preserve">90012</t>
        </is>
      </c>
      <c r="S309" s="32" t="inlineStr">
        <is>
          <t xml:space="preserve">Earthquake - high (CA, Cascadia, New Madrid)</t>
        </is>
      </c>
      <c r="T309" s="36">
        <f>IF($A309="","",IF($S309="","",IFERROR(INDEX('[1]natural catastrophe'!$D$6:$D$17,MATCH($S309,'[1]natural catastrophe'!$B$6:$B$17,0)),"?")))</f>
      </c>
      <c r="U309" s="30" t="inlineStr">
        <is>
          <t xml:space="preserve">$5,000</t>
        </is>
      </c>
      <c r="V309" s="32" t="inlineStr">
        <is>
          <t xml:space="preserve">Agreed Value</t>
        </is>
      </c>
      <c r="W309" s="30" t="inlineStr">
        <is>
          <t xml:space="preserve">$1,000</t>
        </is>
      </c>
      <c r="X309" s="32" t="inlineStr">
        <is>
          <t xml:space="preserve">$1,000,000 CSL</t>
        </is>
      </c>
      <c r="Y309" s="30"/>
      <c r="Z309" s="30"/>
      <c r="AA309" s="32" t="inlineStr">
        <is>
          <t xml:space="preserve">Surplus Lines</t>
        </is>
      </c>
      <c r="AB309" s="35">
        <v>7354.95</v>
      </c>
      <c r="AC309" s="37">
        <v>0</v>
      </c>
      <c r="AD309" s="38">
        <f>IF(ISNUMBER($AB309),$AB309*(1+N($AC309)),"")</f>
      </c>
      <c r="AE309" s="35">
        <v>350</v>
      </c>
      <c r="AF309" s="35">
        <v>0</v>
      </c>
      <c r="AG309" s="37"/>
      <c r="AH309" s="39">
        <f>IF(ISNUMBER($AD309),($AD309+$AE309+$AF309)*$AG309,"")</f>
      </c>
      <c r="AI309" s="35"/>
      <c r="AJ309" s="38">
        <f>IF(ISNUMBER($AD309),SUM($AD309:$AH309),"")</f>
      </c>
      <c r="AK309" s="40">
        <f>IF(AND(ISNUMBER($AB309),ISNUMBER($AD309)),IF($AB309&gt;0,$AD309/$AB309,""),"")</f>
      </c>
      <c r="AL309" s="32" t="inlineStr">
        <is>
          <t xml:space="preserve">At technical</t>
        </is>
      </c>
      <c r="AM309" s="41">
        <f>IF(ISNUMBER($AD309),Header!$I$3,"")</f>
      </c>
      <c r="AN309" s="39">
        <f>IF(ISNUMBER($AD309),$AO309+$AP309,"")</f>
      </c>
      <c r="AO309" s="39">
        <f>IF(ISNUMBER($AD309),ROUND($AD309*Header!$K$3,2),"")</f>
      </c>
      <c r="AP309" s="39">
        <f>IF(ISNUMBER($AD309),ROUND($AD309*Header!$M$3,2),"")</f>
      </c>
      <c r="AQ309" s="38">
        <f>IF(ISNUMBER($AD309),ROUND($AD309,2)-$AO309-$AP309,"")</f>
      </c>
      <c r="AR309" s="39">
        <f>IF(ISNUMBER($AD309),IF(Header!$D$34="","?",$AD309*Header!$D$34),"")</f>
      </c>
      <c r="AS309" s="39">
        <f>IF(ISNUMBER($AB309),IF(Header!$D$34="","?",$AB309*Header!$D$34),"")</f>
      </c>
      <c r="AT309" s="42">
        <f>IF(AND(ISNUMBER($AB309),$M309&gt;0),$AB309/$M309*100,"")</f>
      </c>
      <c r="AU309" s="42">
        <f>IF(AND(ISNUMBER($AD309),$M309&gt;0),$AD309/$M309*100,"")</f>
      </c>
      <c r="AV309" s="40">
        <f>IF(AND(ISNUMBER($AB309),ISNUMBER($AD309),ABS($AB309)&gt;0),$AD309/$AB309,"")</f>
      </c>
      <c r="AW309" s="39">
        <f>IF(ISNUMBER($AD309),MAX(0,(1-0.55-Header!$O$3)*Header!$Q$3*$AQ309),"")</f>
      </c>
      <c r="AX309" s="43">
        <f>IF($A309="","",IF(TRIM(IF($A309="","Missing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",""))="","PASS","FAIL: "&amp;TRIM(IF($A309="","Missing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f>
      </c>
      <c r="AY309" s="44">
        <f>IF($M309="","",IF(ISNUMBER($M309),IF($M309&gt;=Header!$C$18,"YES — refer","No"),""))</f>
      </c>
      <c r="AZ309" s="44">
        <f>IF($AD309="","",IF(ISNUMBER($AD309),IF($AD309&lt;Header!$C$20,"BELOW MIN PREMIUM","OK"),""))</f>
      </c>
      <c r="BA309" s="32" t="inlineStr">
        <is>
          <t xml:space="preserve">Yes</t>
        </is>
      </c>
      <c r="BB309" s="32" t="inlineStr">
        <is>
          <t xml:space="preserve">Yes</t>
        </is>
      </c>
      <c r="BC309" s="30" t="inlineStr">
        <is>
          <t xml:space="preserve">Synthetic demo data</t>
        </is>
      </c>
      <c r="BE309" s="45">
        <f>IF(OR($A309="",$L309="",$H309=""),"",IF(AND(LEFT($L309,2)="06",$H309&gt;1945),"FAIL - pre-war class, year "&amp;$H309,IF(AND(LEFT($L309,2)="07",OR($H309&lt;1946,$H309&gt;1972)),"FAIL - 1946-72 class, year "&amp;$H309,IF(AND(LEFT($L309,2)="08",OR($H309&lt;1973,$H309&gt;1999)),"FAIL - 1973-99 class, year "&amp;$H309,IF(AND(LEFT($L309,2)="09",OR($H309&lt;2000,$H309&gt;2010)),"FAIL - 2000-10 class, year "&amp;$H309,"OK")))))</f>
      </c>
      <c r="BF309" s="45">
        <f>IF($AD309="","",IF(ROUND($AO309+$AP309+$AQ309-$AD309,2)=0,"OK","FAIL - out by "&amp;TEXT($AO309+$AP309+$AQ309-$AD309,"$0.00")))</f>
      </c>
    </row>
    <row r="310" spans="1:58" ht="18.75" customHeight="1" x14ac:dyDescent="0.25">
      <c r="A310" s="46" t="inlineStr">
        <is>
          <t xml:space="preserve">CANON-202508-000420</t>
        </is>
      </c>
      <c r="B310" s="46" t="inlineStr">
        <is>
          <t xml:space="preserve">Sunniva Larsson</t>
        </is>
      </c>
      <c r="C310" s="47">
        <v>45889</v>
      </c>
      <c r="D310" s="48" t="inlineStr">
        <is>
          <t xml:space="preserve">Bound - within authority</t>
        </is>
      </c>
      <c r="E310" s="48" t="inlineStr">
        <is>
          <t xml:space="preserve">New business</t>
        </is>
      </c>
      <c r="F310" s="46" t="inlineStr">
        <is>
          <t xml:space="preserve">B1234EXOTIC26</t>
        </is>
      </c>
      <c r="G310" s="33">
        <f>IF($A310="","",IF($C310="","",YEAR($C310)))</f>
      </c>
      <c r="H310" s="49">
        <v>1971</v>
      </c>
      <c r="I310" s="46" t="inlineStr">
        <is>
          <t xml:space="preserve">Lamborghini</t>
        </is>
      </c>
      <c r="J310" s="46" t="inlineStr">
        <is>
          <t xml:space="preserve">Huracan EVO</t>
        </is>
      </c>
      <c r="K310" s="46" t="inlineStr">
        <is>
          <t xml:space="preserve">0BML7U7HCV3G9SC66</t>
        </is>
      </c>
      <c r="L310" s="48" t="inlineStr">
        <is>
          <t xml:space="preserve">03 - Supercar</t>
        </is>
      </c>
      <c r="M310" s="50">
        <v>455000</v>
      </c>
      <c r="N310" s="48" t="inlineStr">
        <is>
          <t xml:space="preserve">Personal</t>
        </is>
      </c>
      <c r="O310" s="46" t="inlineStr">
        <is>
          <t xml:space="preserve">Personal - regular use</t>
        </is>
      </c>
      <c r="P310" s="46" t="inlineStr">
        <is>
          <t xml:space="preserve">Under 1,000</t>
        </is>
      </c>
      <c r="Q310" s="46" t="inlineStr">
        <is>
          <t xml:space="preserve">North Dakota</t>
        </is>
      </c>
      <c r="R310" s="46" t="inlineStr">
        <is>
          <t xml:space="preserve">58501</t>
        </is>
      </c>
      <c r="S310" s="48" t="inlineStr">
        <is>
          <t xml:space="preserve">Severe convective - hail alley (high)</t>
        </is>
      </c>
      <c r="T310" s="36">
        <f>IF($A310="","",IF($S310="","",IFERROR(INDEX('[1]natural catastrophe'!$D$6:$D$17,MATCH($S310,'[1]natural catastrophe'!$B$6:$B$17,0)),"?")))</f>
      </c>
      <c r="U310" s="46" t="inlineStr">
        <is>
          <t xml:space="preserve">$5,000</t>
        </is>
      </c>
      <c r="V310" s="48" t="inlineStr">
        <is>
          <t xml:space="preserve">Agreed Value</t>
        </is>
      </c>
      <c r="W310" s="46" t="inlineStr">
        <is>
          <t xml:space="preserve">$1,000</t>
        </is>
      </c>
      <c r="X310" s="48" t="inlineStr">
        <is>
          <t xml:space="preserve">$1,000,000 CSL</t>
        </is>
      </c>
      <c r="Y310" s="46"/>
      <c r="Z310" s="46"/>
      <c r="AA310" s="48" t="inlineStr">
        <is>
          <t xml:space="preserve">Surplus Lines</t>
        </is>
      </c>
      <c r="AB310" s="50">
        <v>10070.09</v>
      </c>
      <c r="AC310" s="51">
        <v>0</v>
      </c>
      <c r="AD310" s="38">
        <f>IF(ISNUMBER($AB310),$AB310*(1+N($AC310)),"")</f>
      </c>
      <c r="AE310" s="50">
        <v>350</v>
      </c>
      <c r="AF310" s="50">
        <v>0</v>
      </c>
      <c r="AG310" s="51"/>
      <c r="AH310" s="39">
        <f>IF(ISNUMBER($AD310),($AD310+$AE310+$AF310)*$AG310,"")</f>
      </c>
      <c r="AI310" s="50"/>
      <c r="AJ310" s="38">
        <f>IF(ISNUMBER($AD310),SUM($AD310:$AH310),"")</f>
      </c>
      <c r="AK310" s="40">
        <f>IF(AND(ISNUMBER($AB310),ISNUMBER($AD310)),IF($AB310&gt;0,$AD310/$AB310,""),"")</f>
      </c>
      <c r="AL310" s="48" t="inlineStr">
        <is>
          <t xml:space="preserve">At technical</t>
        </is>
      </c>
      <c r="AM310" s="41">
        <f>IF(ISNUMBER($AD310),Header!$I$3,"")</f>
      </c>
      <c r="AN310" s="39">
        <f>IF(ISNUMBER($AD310),$AO310+$AP310,"")</f>
      </c>
      <c r="AO310" s="39">
        <f>IF(ISNUMBER($AD310),ROUND($AD310*Header!$K$3,2),"")</f>
      </c>
      <c r="AP310" s="39">
        <f>IF(ISNUMBER($AD310),ROUND($AD310*Header!$M$3,2),"")</f>
      </c>
      <c r="AQ310" s="38">
        <f>IF(ISNUMBER($AD310),ROUND($AD310,2)-$AO310-$AP310,"")</f>
      </c>
      <c r="AR310" s="39">
        <f>IF(ISNUMBER($AD310),IF(Header!$D$34="","?",$AD310*Header!$D$34),"")</f>
      </c>
      <c r="AS310" s="39">
        <f>IF(ISNUMBER($AB310),IF(Header!$D$34="","?",$AB310*Header!$D$34),"")</f>
      </c>
      <c r="AT310" s="42">
        <f>IF(AND(ISNUMBER($AB310),$M310&gt;0),$AB310/$M310*100,"")</f>
      </c>
      <c r="AU310" s="42">
        <f>IF(AND(ISNUMBER($AD310),$M310&gt;0),$AD310/$M310*100,"")</f>
      </c>
      <c r="AV310" s="40">
        <f>IF(AND(ISNUMBER($AB310),ISNUMBER($AD310),ABS($AB310)&gt;0),$AD310/$AB310,"")</f>
      </c>
      <c r="AW310" s="39">
        <f>IF(ISNUMBER($AD310),MAX(0,(1-0.55-Header!$O$3)*Header!$Q$3*$AQ310),"")</f>
      </c>
      <c r="AX310" s="43">
        <f>IF($A310="","",IF(TRIM(IF($A310="","Missing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",""))="","PASS","FAIL: "&amp;TRIM(IF($A310="","Missing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f>
      </c>
      <c r="AY310" s="44">
        <f>IF($M310="","",IF(ISNUMBER($M310),IF($M310&gt;=Header!$C$18,"YES — refer","No"),""))</f>
      </c>
      <c r="AZ310" s="44">
        <f>IF($AD310="","",IF(ISNUMBER($AD310),IF($AD310&lt;Header!$C$20,"BELOW MIN PREMIUM","OK"),""))</f>
      </c>
      <c r="BA310" s="48" t="inlineStr">
        <is>
          <t xml:space="preserve">Yes</t>
        </is>
      </c>
      <c r="BB310" s="48" t="inlineStr">
        <is>
          <t xml:space="preserve">Yes</t>
        </is>
      </c>
      <c r="BC310" s="46" t="inlineStr">
        <is>
          <t xml:space="preserve">Synthetic demo data</t>
        </is>
      </c>
      <c r="BE310" s="45">
        <f>IF(OR($A310="",$L310="",$H310=""),"",IF(AND(LEFT($L310,2)="06",$H310&gt;1945),"FAIL - pre-war class, year "&amp;$H310,IF(AND(LEFT($L310,2)="07",OR($H310&lt;1946,$H310&gt;1972)),"FAIL - 1946-72 class, year "&amp;$H310,IF(AND(LEFT($L310,2)="08",OR($H310&lt;1973,$H310&gt;1999)),"FAIL - 1973-99 class, year "&amp;$H310,IF(AND(LEFT($L310,2)="09",OR($H310&lt;2000,$H310&gt;2010)),"FAIL - 2000-10 class, year "&amp;$H310,"OK")))))</f>
      </c>
      <c r="BF310" s="45">
        <f>IF($AD310="","",IF(ROUND($AO310+$AP310+$AQ310-$AD310,2)=0,"OK","FAIL - out by "&amp;TEXT($AO310+$AP310+$AQ310-$AD310,"$0.00")))</f>
      </c>
    </row>
    <row r="311" spans="1:58" ht="18.75" customHeight="1" x14ac:dyDescent="0.25">
      <c r="A311" s="30" t="inlineStr">
        <is>
          <t xml:space="preserve">CANON-202508-000421</t>
        </is>
      </c>
      <c r="B311" s="30" t="inlineStr">
        <is>
          <t xml:space="preserve">Everett Thistlewood</t>
        </is>
      </c>
      <c r="C311" s="31">
        <v>45888</v>
      </c>
      <c r="D311" s="32" t="inlineStr">
        <is>
          <t xml:space="preserve">Bound - within authority</t>
        </is>
      </c>
      <c r="E311" s="32" t="inlineStr">
        <is>
          <t xml:space="preserve">New business</t>
        </is>
      </c>
      <c r="F311" s="30" t="inlineStr">
        <is>
          <t xml:space="preserve">B1234EXOTIC26</t>
        </is>
      </c>
      <c r="G311" s="33">
        <f>IF($A311="","",IF($C311="","",YEAR($C311)))</f>
      </c>
      <c r="H311" s="34">
        <v>1991</v>
      </c>
      <c r="I311" s="30" t="inlineStr">
        <is>
          <t xml:space="preserve">Maserati</t>
        </is>
      </c>
      <c r="J311" s="30" t="inlineStr">
        <is>
          <t xml:space="preserve">GranTurismo</t>
        </is>
      </c>
      <c r="K311" s="30" t="inlineStr">
        <is>
          <t xml:space="preserve">M6WE2Y4FDP6NUZLC8</t>
        </is>
      </c>
      <c r="L311" s="32" t="inlineStr">
        <is>
          <t xml:space="preserve">02 - Sports / GT</t>
        </is>
      </c>
      <c r="M311" s="35">
        <v>980000</v>
      </c>
      <c r="N311" s="32" t="inlineStr">
        <is>
          <t xml:space="preserve">Personal</t>
        </is>
      </c>
      <c r="O311" s="30" t="inlineStr">
        <is>
          <t xml:space="preserve">Personal - regular use</t>
        </is>
      </c>
      <c r="P311" s="30" t="inlineStr">
        <is>
          <t xml:space="preserve">2,500 - 5,000</t>
        </is>
      </c>
      <c r="Q311" s="30" t="inlineStr">
        <is>
          <t xml:space="preserve">Iowa</t>
        </is>
      </c>
      <c r="R311" s="30" t="inlineStr">
        <is>
          <t xml:space="preserve">50309</t>
        </is>
      </c>
      <c r="S311" s="32" t="inlineStr">
        <is>
          <t xml:space="preserve">Severe convective - hail alley (high)</t>
        </is>
      </c>
      <c r="T311" s="36">
        <f>IF($A311="","",IF($S311="","",IFERROR(INDEX('[1]natural catastrophe'!$D$6:$D$17,MATCH($S311,'[1]natural catastrophe'!$B$6:$B$17,0)),"?")))</f>
      </c>
      <c r="U311" s="30" t="inlineStr">
        <is>
          <t xml:space="preserve">$5,000</t>
        </is>
      </c>
      <c r="V311" s="32" t="inlineStr">
        <is>
          <t xml:space="preserve">Agreed Value</t>
        </is>
      </c>
      <c r="W311" s="30" t="inlineStr">
        <is>
          <t xml:space="preserve">$1,000</t>
        </is>
      </c>
      <c r="X311" s="32" t="inlineStr">
        <is>
          <t xml:space="preserve">$1,000,000 CSL</t>
        </is>
      </c>
      <c r="Y311" s="30"/>
      <c r="Z311" s="30"/>
      <c r="AA311" s="32" t="inlineStr">
        <is>
          <t xml:space="preserve">Surplus Lines</t>
        </is>
      </c>
      <c r="AB311" s="35">
        <v>13220.75</v>
      </c>
      <c r="AC311" s="37">
        <v>0</v>
      </c>
      <c r="AD311" s="38">
        <f>IF(ISNUMBER($AB311),$AB311*(1+N($AC311)),"")</f>
      </c>
      <c r="AE311" s="35">
        <v>350</v>
      </c>
      <c r="AF311" s="35">
        <v>0</v>
      </c>
      <c r="AG311" s="37"/>
      <c r="AH311" s="39">
        <f>IF(ISNUMBER($AD311),($AD311+$AE311+$AF311)*$AG311,"")</f>
      </c>
      <c r="AI311" s="35"/>
      <c r="AJ311" s="38">
        <f>IF(ISNUMBER($AD311),SUM($AD311:$AH311),"")</f>
      </c>
      <c r="AK311" s="40">
        <f>IF(AND(ISNUMBER($AB311),ISNUMBER($AD311)),IF($AB311&gt;0,$AD311/$AB311,""),"")</f>
      </c>
      <c r="AL311" s="32" t="inlineStr">
        <is>
          <t xml:space="preserve">At technical</t>
        </is>
      </c>
      <c r="AM311" s="41">
        <f>IF(ISNUMBER($AD311),Header!$I$3,"")</f>
      </c>
      <c r="AN311" s="39">
        <f>IF(ISNUMBER($AD311),$AO311+$AP311,"")</f>
      </c>
      <c r="AO311" s="39">
        <f>IF(ISNUMBER($AD311),ROUND($AD311*Header!$K$3,2),"")</f>
      </c>
      <c r="AP311" s="39">
        <f>IF(ISNUMBER($AD311),ROUND($AD311*Header!$M$3,2),"")</f>
      </c>
      <c r="AQ311" s="38">
        <f>IF(ISNUMBER($AD311),ROUND($AD311,2)-$AO311-$AP311,"")</f>
      </c>
      <c r="AR311" s="39">
        <f>IF(ISNUMBER($AD311),IF(Header!$D$34="","?",$AD311*Header!$D$34),"")</f>
      </c>
      <c r="AS311" s="39">
        <f>IF(ISNUMBER($AB311),IF(Header!$D$34="","?",$AB311*Header!$D$34),"")</f>
      </c>
      <c r="AT311" s="42">
        <f>IF(AND(ISNUMBER($AB311),$M311&gt;0),$AB311/$M311*100,"")</f>
      </c>
      <c r="AU311" s="42">
        <f>IF(AND(ISNUMBER($AD311),$M311&gt;0),$AD311/$M311*100,"")</f>
      </c>
      <c r="AV311" s="40">
        <f>IF(AND(ISNUMBER($AB311),ISNUMBER($AD311),ABS($AB311)&gt;0),$AD311/$AB311,"")</f>
      </c>
      <c r="AW311" s="39">
        <f>IF(ISNUMBER($AD311),MAX(0,(1-0.55-Header!$O$3)*Header!$Q$3*$AQ311),"")</f>
      </c>
      <c r="AX311" s="43">
        <f>IF($A311="","",IF(TRIM(IF($A311="","Missing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",""))="","PASS","FAIL: "&amp;TRIM(IF($A311="","Missing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f>
      </c>
      <c r="AY311" s="44">
        <f>IF($M311="","",IF(ISNUMBER($M311),IF($M311&gt;=Header!$C$18,"YES — refer","No"),""))</f>
      </c>
      <c r="AZ311" s="44">
        <f>IF($AD311="","",IF(ISNUMBER($AD311),IF($AD311&lt;Header!$C$20,"BELOW MIN PREMIUM","OK"),""))</f>
      </c>
      <c r="BA311" s="32" t="inlineStr">
        <is>
          <t xml:space="preserve">Yes</t>
        </is>
      </c>
      <c r="BB311" s="32" t="inlineStr">
        <is>
          <t xml:space="preserve">Yes</t>
        </is>
      </c>
      <c r="BC311" s="30" t="inlineStr">
        <is>
          <t xml:space="preserve">Synthetic demo data</t>
        </is>
      </c>
      <c r="BE311" s="45">
        <f>IF(OR($A311="",$L311="",$H311=""),"",IF(AND(LEFT($L311,2)="06",$H311&gt;1945),"FAIL - pre-war class, year "&amp;$H311,IF(AND(LEFT($L311,2)="07",OR($H311&lt;1946,$H311&gt;1972)),"FAIL - 1946-72 class, year "&amp;$H311,IF(AND(LEFT($L311,2)="08",OR($H311&lt;1973,$H311&gt;1999)),"FAIL - 1973-99 class, year "&amp;$H311,IF(AND(LEFT($L311,2)="09",OR($H311&lt;2000,$H311&gt;2010)),"FAIL - 2000-10 class, year "&amp;$H311,"OK")))))</f>
      </c>
      <c r="BF311" s="45">
        <f>IF($AD311="","",IF(ROUND($AO311+$AP311+$AQ311-$AD311,2)=0,"OK","FAIL - out by "&amp;TEXT($AO311+$AP311+$AQ311-$AD311,"$0.00")))</f>
      </c>
    </row>
    <row r="312" spans="1:58" ht="18.75" customHeight="1" x14ac:dyDescent="0.25">
      <c r="A312" s="46" t="inlineStr">
        <is>
          <t xml:space="preserve">CANON-202508-000423</t>
        </is>
      </c>
      <c r="B312" s="46" t="inlineStr">
        <is>
          <t xml:space="preserve">Beatrix Kingsford</t>
        </is>
      </c>
      <c r="C312" s="47">
        <v>45895</v>
      </c>
      <c r="D312" s="48" t="inlineStr">
        <is>
          <t xml:space="preserve">Bound - within authority</t>
        </is>
      </c>
      <c r="E312" s="48" t="inlineStr">
        <is>
          <t xml:space="preserve">New business</t>
        </is>
      </c>
      <c r="F312" s="46" t="inlineStr">
        <is>
          <t xml:space="preserve">B1234EXOTIC26</t>
        </is>
      </c>
      <c r="G312" s="33">
        <f>IF($A312="","",IF($C312="","",YEAR($C312)))</f>
      </c>
      <c r="H312" s="49">
        <v>2021</v>
      </c>
      <c r="I312" s="46" t="inlineStr">
        <is>
          <t xml:space="preserve">McLaren</t>
        </is>
      </c>
      <c r="J312" s="46" t="inlineStr">
        <is>
          <t xml:space="preserve">750S</t>
        </is>
      </c>
      <c r="K312" s="46" t="inlineStr">
        <is>
          <t xml:space="preserve">XJSMLD3THGLZ7MHNZ</t>
        </is>
      </c>
      <c r="L312" s="48" t="inlineStr">
        <is>
          <t xml:space="preserve">03 - Supercar</t>
        </is>
      </c>
      <c r="M312" s="50">
        <v>835000</v>
      </c>
      <c r="N312" s="48" t="inlineStr">
        <is>
          <t xml:space="preserve">Personal</t>
        </is>
      </c>
      <c r="O312" s="46" t="inlineStr">
        <is>
          <t xml:space="preserve">Personal - regular use</t>
        </is>
      </c>
      <c r="P312" s="46" t="inlineStr">
        <is>
          <t xml:space="preserve">Under 1,000</t>
        </is>
      </c>
      <c r="Q312" s="46" t="inlineStr">
        <is>
          <t xml:space="preserve">Michigan</t>
        </is>
      </c>
      <c r="R312" s="46" t="inlineStr">
        <is>
          <t xml:space="preserve">48226</t>
        </is>
      </c>
      <c r="S312" s="48" t="inlineStr">
        <is>
          <t xml:space="preserve">Severe convective - hail / tornado (moderate)</t>
        </is>
      </c>
      <c r="T312" s="36">
        <f>IF($A312="","",IF($S312="","",IFERROR(INDEX('[1]natural catastrophe'!$D$6:$D$17,MATCH($S312,'[1]natural catastrophe'!$B$6:$B$17,0)),"?")))</f>
      </c>
      <c r="U312" s="46" t="inlineStr">
        <is>
          <t xml:space="preserve">$5,000</t>
        </is>
      </c>
      <c r="V312" s="48" t="inlineStr">
        <is>
          <t xml:space="preserve">Agreed Value</t>
        </is>
      </c>
      <c r="W312" s="46" t="inlineStr">
        <is>
          <t xml:space="preserve">$1,000</t>
        </is>
      </c>
      <c r="X312" s="48" t="inlineStr">
        <is>
          <t xml:space="preserve">$1,000,000 CSL</t>
        </is>
      </c>
      <c r="Y312" s="46"/>
      <c r="Z312" s="46"/>
      <c r="AA312" s="48" t="inlineStr">
        <is>
          <t xml:space="preserve">Surplus Lines</t>
        </is>
      </c>
      <c r="AB312" s="50">
        <v>23198.82</v>
      </c>
      <c r="AC312" s="51">
        <v>0</v>
      </c>
      <c r="AD312" s="38">
        <f>IF(ISNUMBER($AB312),$AB312*(1+N($AC312)),"")</f>
      </c>
      <c r="AE312" s="50">
        <v>350</v>
      </c>
      <c r="AF312" s="50">
        <v>0</v>
      </c>
      <c r="AG312" s="51"/>
      <c r="AH312" s="39">
        <f>IF(ISNUMBER($AD312),($AD312+$AE312+$AF312)*$AG312,"")</f>
      </c>
      <c r="AI312" s="50"/>
      <c r="AJ312" s="38">
        <f>IF(ISNUMBER($AD312),SUM($AD312:$AH312),"")</f>
      </c>
      <c r="AK312" s="40">
        <f>IF(AND(ISNUMBER($AB312),ISNUMBER($AD312)),IF($AB312&gt;0,$AD312/$AB312,""),"")</f>
      </c>
      <c r="AL312" s="48" t="inlineStr">
        <is>
          <t xml:space="preserve">At technical</t>
        </is>
      </c>
      <c r="AM312" s="41">
        <f>IF(ISNUMBER($AD312),Header!$I$3,"")</f>
      </c>
      <c r="AN312" s="39">
        <f>IF(ISNUMBER($AD312),$AO312+$AP312,"")</f>
      </c>
      <c r="AO312" s="39">
        <f>IF(ISNUMBER($AD312),ROUND($AD312*Header!$K$3,2),"")</f>
      </c>
      <c r="AP312" s="39">
        <f>IF(ISNUMBER($AD312),ROUND($AD312*Header!$M$3,2),"")</f>
      </c>
      <c r="AQ312" s="38">
        <f>IF(ISNUMBER($AD312),ROUND($AD312,2)-$AO312-$AP312,"")</f>
      </c>
      <c r="AR312" s="39">
        <f>IF(ISNUMBER($AD312),IF(Header!$D$34="","?",$AD312*Header!$D$34),"")</f>
      </c>
      <c r="AS312" s="39">
        <f>IF(ISNUMBER($AB312),IF(Header!$D$34="","?",$AB312*Header!$D$34),"")</f>
      </c>
      <c r="AT312" s="42">
        <f>IF(AND(ISNUMBER($AB312),$M312&gt;0),$AB312/$M312*100,"")</f>
      </c>
      <c r="AU312" s="42">
        <f>IF(AND(ISNUMBER($AD312),$M312&gt;0),$AD312/$M312*100,"")</f>
      </c>
      <c r="AV312" s="40">
        <f>IF(AND(ISNUMBER($AB312),ISNUMBER($AD312),ABS($AB312)&gt;0),$AD312/$AB312,"")</f>
      </c>
      <c r="AW312" s="39">
        <f>IF(ISNUMBER($AD312),MAX(0,(1-0.55-Header!$O$3)*Header!$Q$3*$AQ312),"")</f>
      </c>
      <c r="AX312" s="43">
        <f>IF($A312="","",IF(TRIM(IF($A312="","Missing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",""))="","PASS","FAIL: "&amp;TRIM(IF($A312="","Missing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f>
      </c>
      <c r="AY312" s="44">
        <f>IF($M312="","",IF(ISNUMBER($M312),IF($M312&gt;=Header!$C$18,"YES — refer","No"),""))</f>
      </c>
      <c r="AZ312" s="44">
        <f>IF($AD312="","",IF(ISNUMBER($AD312),IF($AD312&lt;Header!$C$20,"BELOW MIN PREMIUM","OK"),""))</f>
      </c>
      <c r="BA312" s="48" t="inlineStr">
        <is>
          <t xml:space="preserve">Yes</t>
        </is>
      </c>
      <c r="BB312" s="48" t="inlineStr">
        <is>
          <t xml:space="preserve">Yes</t>
        </is>
      </c>
      <c r="BC312" s="46" t="inlineStr">
        <is>
          <t xml:space="preserve">Synthetic demo data</t>
        </is>
      </c>
      <c r="BE312" s="45">
        <f>IF(OR($A312="",$L312="",$H312=""),"",IF(AND(LEFT($L312,2)="06",$H312&gt;1945),"FAIL - pre-war class, year "&amp;$H312,IF(AND(LEFT($L312,2)="07",OR($H312&lt;1946,$H312&gt;1972)),"FAIL - 1946-72 class, year "&amp;$H312,IF(AND(LEFT($L312,2)="08",OR($H312&lt;1973,$H312&gt;1999)),"FAIL - 1973-99 class, year "&amp;$H312,IF(AND(LEFT($L312,2)="09",OR($H312&lt;2000,$H312&gt;2010)),"FAIL - 2000-10 class, year "&amp;$H312,"OK")))))</f>
      </c>
      <c r="BF312" s="45">
        <f>IF($AD312="","",IF(ROUND($AO312+$AP312+$AQ312-$AD312,2)=0,"OK","FAIL - out by "&amp;TEXT($AO312+$AP312+$AQ312-$AD312,"$0.00")))</f>
      </c>
    </row>
    <row r="313" spans="1:58" ht="18.75" customHeight="1" x14ac:dyDescent="0.25">
      <c r="A313" s="30" t="inlineStr">
        <is>
          <t xml:space="preserve">CANON-202508-000424</t>
        </is>
      </c>
      <c r="B313" s="30" t="inlineStr">
        <is>
          <t xml:space="preserve">Noor Blackwood</t>
        </is>
      </c>
      <c r="C313" s="31">
        <v>45880</v>
      </c>
      <c r="D313" s="32" t="inlineStr">
        <is>
          <t xml:space="preserve">Bound - within authority</t>
        </is>
      </c>
      <c r="E313" s="32" t="inlineStr">
        <is>
          <t xml:space="preserve">New business</t>
        </is>
      </c>
      <c r="F313" s="30" t="inlineStr">
        <is>
          <t xml:space="preserve">B1234EXOTIC26</t>
        </is>
      </c>
      <c r="G313" s="33">
        <f>IF($A313="","",IF($C313="","",YEAR($C313)))</f>
      </c>
      <c r="H313" s="34">
        <v>1993</v>
      </c>
      <c r="I313" s="30" t="inlineStr">
        <is>
          <t xml:space="preserve">BMW</t>
        </is>
      </c>
      <c r="J313" s="30" t="inlineStr">
        <is>
          <t xml:space="preserve">M8 Competition</t>
        </is>
      </c>
      <c r="K313" s="30" t="inlineStr">
        <is>
          <t xml:space="preserve">WKFH7EHZPZGY1TK3R</t>
        </is>
      </c>
      <c r="L313" s="32" t="inlineStr">
        <is>
          <t xml:space="preserve">02 - Sports / GT</t>
        </is>
      </c>
      <c r="M313" s="35">
        <v>510000</v>
      </c>
      <c r="N313" s="32" t="inlineStr">
        <is>
          <t xml:space="preserve">Personal</t>
        </is>
      </c>
      <c r="O313" s="30" t="inlineStr">
        <is>
          <t xml:space="preserve">Personal - regular use</t>
        </is>
      </c>
      <c r="P313" s="30" t="inlineStr">
        <is>
          <t xml:space="preserve">Under 1,000</t>
        </is>
      </c>
      <c r="Q313" s="30" t="inlineStr">
        <is>
          <t xml:space="preserve">New Jersey</t>
        </is>
      </c>
      <c r="R313" s="30" t="inlineStr">
        <is>
          <t xml:space="preserve">07102</t>
        </is>
      </c>
      <c r="S313" s="32" t="inlineStr">
        <is>
          <t xml:space="preserve">Tier 3 - Coastal wind (25-100 miles)</t>
        </is>
      </c>
      <c r="T313" s="36">
        <f>IF($A313="","",IF($S313="","",IFERROR(INDEX('[1]natural catastrophe'!$D$6:$D$17,MATCH($S313,'[1]natural catastrophe'!$B$6:$B$17,0)),"?")))</f>
      </c>
      <c r="U313" s="30" t="inlineStr">
        <is>
          <t xml:space="preserve">2% of agreed value, minimum $10,000</t>
        </is>
      </c>
      <c r="V313" s="32" t="inlineStr">
        <is>
          <t xml:space="preserve">Agreed Value</t>
        </is>
      </c>
      <c r="W313" s="30" t="inlineStr">
        <is>
          <t xml:space="preserve">$1,000</t>
        </is>
      </c>
      <c r="X313" s="32" t="inlineStr">
        <is>
          <t xml:space="preserve">$1,000,000 CSL</t>
        </is>
      </c>
      <c r="Y313" s="30"/>
      <c r="Z313" s="30"/>
      <c r="AA313" s="32" t="inlineStr">
        <is>
          <t xml:space="preserve">Surplus Lines</t>
        </is>
      </c>
      <c r="AB313" s="35">
        <v>5691.79</v>
      </c>
      <c r="AC313" s="37">
        <v>0</v>
      </c>
      <c r="AD313" s="38">
        <f>IF(ISNUMBER($AB313),$AB313*(1+N($AC313)),"")</f>
      </c>
      <c r="AE313" s="35">
        <v>350</v>
      </c>
      <c r="AF313" s="35">
        <v>0</v>
      </c>
      <c r="AG313" s="37"/>
      <c r="AH313" s="39">
        <f>IF(ISNUMBER($AD313),($AD313+$AE313+$AF313)*$AG313,"")</f>
      </c>
      <c r="AI313" s="35"/>
      <c r="AJ313" s="38">
        <f>IF(ISNUMBER($AD313),SUM($AD313:$AH313),"")</f>
      </c>
      <c r="AK313" s="40">
        <f>IF(AND(ISNUMBER($AB313),ISNUMBER($AD313)),IF($AB313&gt;0,$AD313/$AB313,""),"")</f>
      </c>
      <c r="AL313" s="32" t="inlineStr">
        <is>
          <t xml:space="preserve">At technical</t>
        </is>
      </c>
      <c r="AM313" s="41">
        <f>IF(ISNUMBER($AD313),Header!$I$3,"")</f>
      </c>
      <c r="AN313" s="39">
        <f>IF(ISNUMBER($AD313),$AO313+$AP313,"")</f>
      </c>
      <c r="AO313" s="39">
        <f>IF(ISNUMBER($AD313),ROUND($AD313*Header!$K$3,2),"")</f>
      </c>
      <c r="AP313" s="39">
        <f>IF(ISNUMBER($AD313),ROUND($AD313*Header!$M$3,2),"")</f>
      </c>
      <c r="AQ313" s="38">
        <f>IF(ISNUMBER($AD313),ROUND($AD313,2)-$AO313-$AP313,"")</f>
      </c>
      <c r="AR313" s="39">
        <f>IF(ISNUMBER($AD313),IF(Header!$D$34="","?",$AD313*Header!$D$34),"")</f>
      </c>
      <c r="AS313" s="39">
        <f>IF(ISNUMBER($AB313),IF(Header!$D$34="","?",$AB313*Header!$D$34),"")</f>
      </c>
      <c r="AT313" s="42">
        <f>IF(AND(ISNUMBER($AB313),$M313&gt;0),$AB313/$M313*100,"")</f>
      </c>
      <c r="AU313" s="42">
        <f>IF(AND(ISNUMBER($AD313),$M313&gt;0),$AD313/$M313*100,"")</f>
      </c>
      <c r="AV313" s="40">
        <f>IF(AND(ISNUMBER($AB313),ISNUMBER($AD313),ABS($AB313)&gt;0),$AD313/$AB313,"")</f>
      </c>
      <c r="AW313" s="39">
        <f>IF(ISNUMBER($AD313),MAX(0,(1-0.55-Header!$O$3)*Header!$Q$3*$AQ313),"")</f>
      </c>
      <c r="AX313" s="43">
        <f>IF($A313="","",IF(TRIM(IF($A313="","Missing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",""))="","PASS","FAIL: "&amp;TRIM(IF($A313="","Missing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f>
      </c>
      <c r="AY313" s="44">
        <f>IF($M313="","",IF(ISNUMBER($M313),IF($M313&gt;=Header!$C$18,"YES — refer","No"),""))</f>
      </c>
      <c r="AZ313" s="44">
        <f>IF($AD313="","",IF(ISNUMBER($AD313),IF($AD313&lt;Header!$C$20,"BELOW MIN PREMIUM","OK"),""))</f>
      </c>
      <c r="BA313" s="32" t="inlineStr">
        <is>
          <t xml:space="preserve">Yes</t>
        </is>
      </c>
      <c r="BB313" s="32" t="inlineStr">
        <is>
          <t xml:space="preserve">Yes</t>
        </is>
      </c>
      <c r="BC313" s="30" t="inlineStr">
        <is>
          <t xml:space="preserve">Synthetic demo data</t>
        </is>
      </c>
      <c r="BE313" s="45">
        <f>IF(OR($A313="",$L313="",$H313=""),"",IF(AND(LEFT($L313,2)="06",$H313&gt;1945),"FAIL - pre-war class, year "&amp;$H313,IF(AND(LEFT($L313,2)="07",OR($H313&lt;1946,$H313&gt;1972)),"FAIL - 1946-72 class, year "&amp;$H313,IF(AND(LEFT($L313,2)="08",OR($H313&lt;1973,$H313&gt;1999)),"FAIL - 1973-99 class, year "&amp;$H313,IF(AND(LEFT($L313,2)="09",OR($H313&lt;2000,$H313&gt;2010)),"FAIL - 2000-10 class, year "&amp;$H313,"OK")))))</f>
      </c>
      <c r="BF313" s="45">
        <f>IF($AD313="","",IF(ROUND($AO313+$AP313+$AQ313-$AD313,2)=0,"OK","FAIL - out by "&amp;TEXT($AO313+$AP313+$AQ313-$AD313,"$0.00")))</f>
      </c>
    </row>
    <row r="314" spans="1:58" ht="18.75" customHeight="1" x14ac:dyDescent="0.25">
      <c r="A314" s="46" t="inlineStr">
        <is>
          <t xml:space="preserve">CANON-202508-000425</t>
        </is>
      </c>
      <c r="B314" s="46" t="inlineStr">
        <is>
          <t xml:space="preserve">Leopold Whitlock</t>
        </is>
      </c>
      <c r="C314" s="47">
        <v>45898</v>
      </c>
      <c r="D314" s="48" t="inlineStr">
        <is>
          <t xml:space="preserve">Bound - within authority</t>
        </is>
      </c>
      <c r="E314" s="48" t="inlineStr">
        <is>
          <t xml:space="preserve">New business</t>
        </is>
      </c>
      <c r="F314" s="46" t="inlineStr">
        <is>
          <t xml:space="preserve">B1234EXOTIC26</t>
        </is>
      </c>
      <c r="G314" s="33">
        <f>IF($A314="","",IF($C314="","",YEAR($C314)))</f>
      </c>
      <c r="H314" s="49">
        <v>1979</v>
      </c>
      <c r="I314" s="46" t="inlineStr">
        <is>
          <t xml:space="preserve">Porsche</t>
        </is>
      </c>
      <c r="J314" s="46" t="inlineStr">
        <is>
          <t xml:space="preserve">911 Turbo S</t>
        </is>
      </c>
      <c r="K314" s="46" t="inlineStr">
        <is>
          <t xml:space="preserve">JFSMKUDUV49Z728FJ</t>
        </is>
      </c>
      <c r="L314" s="48" t="inlineStr">
        <is>
          <t xml:space="preserve">02 - Sports / GT</t>
        </is>
      </c>
      <c r="M314" s="50">
        <v>580000</v>
      </c>
      <c r="N314" s="48" t="inlineStr">
        <is>
          <t xml:space="preserve">Personal</t>
        </is>
      </c>
      <c r="O314" s="46" t="inlineStr">
        <is>
          <t xml:space="preserve">Personal - regular use</t>
        </is>
      </c>
      <c r="P314" s="46" t="inlineStr">
        <is>
          <t xml:space="preserve">2,500 - 5,000</t>
        </is>
      </c>
      <c r="Q314" s="46" t="inlineStr">
        <is>
          <t xml:space="preserve">Florida</t>
        </is>
      </c>
      <c r="R314" s="46" t="inlineStr">
        <is>
          <t xml:space="preserve">33139</t>
        </is>
      </c>
      <c r="S314" s="48" t="inlineStr">
        <is>
          <t xml:space="preserve">Tier 2 - Coastal wind (1-25 miles)</t>
        </is>
      </c>
      <c r="T314" s="36">
        <f>IF($A314="","",IF($S314="","",IFERROR(INDEX('[1]natural catastrophe'!$D$6:$D$17,MATCH($S314,'[1]natural catastrophe'!$B$6:$B$17,0)),"?")))</f>
      </c>
      <c r="U314" s="46" t="inlineStr">
        <is>
          <t xml:space="preserve">2% of agreed value, minimum $10,000</t>
        </is>
      </c>
      <c r="V314" s="48" t="inlineStr">
        <is>
          <t xml:space="preserve">Agreed Value</t>
        </is>
      </c>
      <c r="W314" s="46" t="inlineStr">
        <is>
          <t xml:space="preserve">$1,000</t>
        </is>
      </c>
      <c r="X314" s="48" t="inlineStr">
        <is>
          <t xml:space="preserve">$1,000,000 CSL</t>
        </is>
      </c>
      <c r="Y314" s="46"/>
      <c r="Z314" s="46"/>
      <c r="AA314" s="48" t="inlineStr">
        <is>
          <t xml:space="preserve">Surplus Lines</t>
        </is>
      </c>
      <c r="AB314" s="50">
        <v>10100.75</v>
      </c>
      <c r="AC314" s="51">
        <v>0</v>
      </c>
      <c r="AD314" s="38">
        <f>IF(ISNUMBER($AB314),$AB314*(1+N($AC314)),"")</f>
      </c>
      <c r="AE314" s="50">
        <v>350</v>
      </c>
      <c r="AF314" s="50">
        <v>0</v>
      </c>
      <c r="AG314" s="51"/>
      <c r="AH314" s="39">
        <f>IF(ISNUMBER($AD314),($AD314+$AE314+$AF314)*$AG314,"")</f>
      </c>
      <c r="AI314" s="50"/>
      <c r="AJ314" s="38">
        <f>IF(ISNUMBER($AD314),SUM($AD314:$AH314),"")</f>
      </c>
      <c r="AK314" s="40">
        <f>IF(AND(ISNUMBER($AB314),ISNUMBER($AD314)),IF($AB314&gt;0,$AD314/$AB314,""),"")</f>
      </c>
      <c r="AL314" s="48" t="inlineStr">
        <is>
          <t xml:space="preserve">At technical</t>
        </is>
      </c>
      <c r="AM314" s="41">
        <f>IF(ISNUMBER($AD314),Header!$I$3,"")</f>
      </c>
      <c r="AN314" s="39">
        <f>IF(ISNUMBER($AD314),$AO314+$AP314,"")</f>
      </c>
      <c r="AO314" s="39">
        <f>IF(ISNUMBER($AD314),ROUND($AD314*Header!$K$3,2),"")</f>
      </c>
      <c r="AP314" s="39">
        <f>IF(ISNUMBER($AD314),ROUND($AD314*Header!$M$3,2),"")</f>
      </c>
      <c r="AQ314" s="38">
        <f>IF(ISNUMBER($AD314),ROUND($AD314,2)-$AO314-$AP314,"")</f>
      </c>
      <c r="AR314" s="39">
        <f>IF(ISNUMBER($AD314),IF(Header!$D$34="","?",$AD314*Header!$D$34),"")</f>
      </c>
      <c r="AS314" s="39">
        <f>IF(ISNUMBER($AB314),IF(Header!$D$34="","?",$AB314*Header!$D$34),"")</f>
      </c>
      <c r="AT314" s="42">
        <f>IF(AND(ISNUMBER($AB314),$M314&gt;0),$AB314/$M314*100,"")</f>
      </c>
      <c r="AU314" s="42">
        <f>IF(AND(ISNUMBER($AD314),$M314&gt;0),$AD314/$M314*100,"")</f>
      </c>
      <c r="AV314" s="40">
        <f>IF(AND(ISNUMBER($AB314),ISNUMBER($AD314),ABS($AB314)&gt;0),$AD314/$AB314,"")</f>
      </c>
      <c r="AW314" s="39">
        <f>IF(ISNUMBER($AD314),MAX(0,(1-0.55-Header!$O$3)*Header!$Q$3*$AQ314),"")</f>
      </c>
      <c r="AX314" s="43">
        <f>IF($A314="","",IF(TRIM(IF($A314="","Missing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",""))="","PASS","FAIL: "&amp;TRIM(IF($A314="","Missing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f>
      </c>
      <c r="AY314" s="44">
        <f>IF($M314="","",IF(ISNUMBER($M314),IF($M314&gt;=Header!$C$18,"YES — refer","No"),""))</f>
      </c>
      <c r="AZ314" s="44">
        <f>IF($AD314="","",IF(ISNUMBER($AD314),IF($AD314&lt;Header!$C$20,"BELOW MIN PREMIUM","OK"),""))</f>
      </c>
      <c r="BA314" s="48" t="inlineStr">
        <is>
          <t xml:space="preserve">Yes</t>
        </is>
      </c>
      <c r="BB314" s="48" t="inlineStr">
        <is>
          <t xml:space="preserve">Yes</t>
        </is>
      </c>
      <c r="BC314" s="46" t="inlineStr">
        <is>
          <t xml:space="preserve">Synthetic demo data</t>
        </is>
      </c>
      <c r="BE314" s="45">
        <f>IF(OR($A314="",$L314="",$H314=""),"",IF(AND(LEFT($L314,2)="06",$H314&gt;1945),"FAIL - pre-war class, year "&amp;$H314,IF(AND(LEFT($L314,2)="07",OR($H314&lt;1946,$H314&gt;1972)),"FAIL - 1946-72 class, year "&amp;$H314,IF(AND(LEFT($L314,2)="08",OR($H314&lt;1973,$H314&gt;1999)),"FAIL - 1973-99 class, year "&amp;$H314,IF(AND(LEFT($L314,2)="09",OR($H314&lt;2000,$H314&gt;2010)),"FAIL - 2000-10 class, year "&amp;$H314,"OK")))))</f>
      </c>
      <c r="BF314" s="45">
        <f>IF($AD314="","",IF(ROUND($AO314+$AP314+$AQ314-$AD314,2)=0,"OK","FAIL - out by "&amp;TEXT($AO314+$AP314+$AQ314-$AD314,"$0.00")))</f>
      </c>
    </row>
    <row r="315" spans="1:58" ht="18.75" customHeight="1" x14ac:dyDescent="0.25">
      <c r="A315" s="30" t="inlineStr">
        <is>
          <t xml:space="preserve">CANON-202508-000428</t>
        </is>
      </c>
      <c r="B315" s="30" t="inlineStr">
        <is>
          <t xml:space="preserve">Callum Whitlock</t>
        </is>
      </c>
      <c r="C315" s="31">
        <v>45875</v>
      </c>
      <c r="D315" s="32" t="inlineStr">
        <is>
          <t xml:space="preserve">Bound - within authority</t>
        </is>
      </c>
      <c r="E315" s="32" t="inlineStr">
        <is>
          <t xml:space="preserve">New business</t>
        </is>
      </c>
      <c r="F315" s="30" t="inlineStr">
        <is>
          <t xml:space="preserve">B1234EXOTIC26</t>
        </is>
      </c>
      <c r="G315" s="33">
        <f>IF($A315="","",IF($C315="","",YEAR($C315)))</f>
      </c>
      <c r="H315" s="34">
        <v>1972</v>
      </c>
      <c r="I315" s="30" t="inlineStr">
        <is>
          <t xml:space="preserve">Ferrari</t>
        </is>
      </c>
      <c r="J315" s="30" t="inlineStr">
        <is>
          <t xml:space="preserve">296 GTB</t>
        </is>
      </c>
      <c r="K315" s="30" t="inlineStr">
        <is>
          <t xml:space="preserve">DX53KY92F7Z3PT4W0</t>
        </is>
      </c>
      <c r="L315" s="32" t="inlineStr">
        <is>
          <t xml:space="preserve">03 - Supercar</t>
        </is>
      </c>
      <c r="M315" s="35">
        <v>655000</v>
      </c>
      <c r="N315" s="32" t="inlineStr">
        <is>
          <t xml:space="preserve">Personal</t>
        </is>
      </c>
      <c r="O315" s="30" t="inlineStr">
        <is>
          <t xml:space="preserve">Personal - regular use</t>
        </is>
      </c>
      <c r="P315" s="30" t="inlineStr">
        <is>
          <t xml:space="preserve">2,500 - 5,000</t>
        </is>
      </c>
      <c r="Q315" s="30" t="inlineStr">
        <is>
          <t xml:space="preserve">Arkansas</t>
        </is>
      </c>
      <c r="R315" s="30" t="inlineStr">
        <is>
          <t xml:space="preserve">72201</t>
        </is>
      </c>
      <c r="S315" s="32" t="inlineStr">
        <is>
          <t xml:space="preserve">Severe convective - hail / tornado (moderate)</t>
        </is>
      </c>
      <c r="T315" s="36">
        <f>IF($A315="","",IF($S315="","",IFERROR(INDEX('[1]natural catastrophe'!$D$6:$D$17,MATCH($S315,'[1]natural catastrophe'!$B$6:$B$17,0)),"?")))</f>
      </c>
      <c r="U315" s="30" t="inlineStr">
        <is>
          <t xml:space="preserve">$5,000</t>
        </is>
      </c>
      <c r="V315" s="32" t="inlineStr">
        <is>
          <t xml:space="preserve">Agreed Value</t>
        </is>
      </c>
      <c r="W315" s="30" t="inlineStr">
        <is>
          <t xml:space="preserve">$1,000</t>
        </is>
      </c>
      <c r="X315" s="32" t="inlineStr">
        <is>
          <t xml:space="preserve">$1,000,000 CSL</t>
        </is>
      </c>
      <c r="Y315" s="30"/>
      <c r="Z315" s="30"/>
      <c r="AA315" s="32" t="inlineStr">
        <is>
          <t xml:space="preserve">Surplus Lines</t>
        </is>
      </c>
      <c r="AB315" s="35">
        <v>16201.98</v>
      </c>
      <c r="AC315" s="37">
        <v>0</v>
      </c>
      <c r="AD315" s="38">
        <f>IF(ISNUMBER($AB315),$AB315*(1+N($AC315)),"")</f>
      </c>
      <c r="AE315" s="35">
        <v>350</v>
      </c>
      <c r="AF315" s="35">
        <v>0</v>
      </c>
      <c r="AG315" s="37"/>
      <c r="AH315" s="39">
        <f>IF(ISNUMBER($AD315),($AD315+$AE315+$AF315)*$AG315,"")</f>
      </c>
      <c r="AI315" s="35"/>
      <c r="AJ315" s="38">
        <f>IF(ISNUMBER($AD315),SUM($AD315:$AH315),"")</f>
      </c>
      <c r="AK315" s="40">
        <f>IF(AND(ISNUMBER($AB315),ISNUMBER($AD315)),IF($AB315&gt;0,$AD315/$AB315,""),"")</f>
      </c>
      <c r="AL315" s="32" t="inlineStr">
        <is>
          <t xml:space="preserve">At technical</t>
        </is>
      </c>
      <c r="AM315" s="41">
        <f>IF(ISNUMBER($AD315),Header!$I$3,"")</f>
      </c>
      <c r="AN315" s="39">
        <f>IF(ISNUMBER($AD315),$AO315+$AP315,"")</f>
      </c>
      <c r="AO315" s="39">
        <f>IF(ISNUMBER($AD315),ROUND($AD315*Header!$K$3,2),"")</f>
      </c>
      <c r="AP315" s="39">
        <f>IF(ISNUMBER($AD315),ROUND($AD315*Header!$M$3,2),"")</f>
      </c>
      <c r="AQ315" s="38">
        <f>IF(ISNUMBER($AD315),ROUND($AD315,2)-$AO315-$AP315,"")</f>
      </c>
      <c r="AR315" s="39">
        <f>IF(ISNUMBER($AD315),IF(Header!$D$34="","?",$AD315*Header!$D$34),"")</f>
      </c>
      <c r="AS315" s="39">
        <f>IF(ISNUMBER($AB315),IF(Header!$D$34="","?",$AB315*Header!$D$34),"")</f>
      </c>
      <c r="AT315" s="42">
        <f>IF(AND(ISNUMBER($AB315),$M315&gt;0),$AB315/$M315*100,"")</f>
      </c>
      <c r="AU315" s="42">
        <f>IF(AND(ISNUMBER($AD315),$M315&gt;0),$AD315/$M315*100,"")</f>
      </c>
      <c r="AV315" s="40">
        <f>IF(AND(ISNUMBER($AB315),ISNUMBER($AD315),ABS($AB315)&gt;0),$AD315/$AB315,"")</f>
      </c>
      <c r="AW315" s="39">
        <f>IF(ISNUMBER($AD315),MAX(0,(1-0.55-Header!$O$3)*Header!$Q$3*$AQ315),"")</f>
      </c>
      <c r="AX315" s="43">
        <f>IF($A315="","",IF(TRIM(IF($A315="","Missing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",""))="","PASS","FAIL: "&amp;TRIM(IF($A315="","Missing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f>
      </c>
      <c r="AY315" s="44">
        <f>IF($M315="","",IF(ISNUMBER($M315),IF($M315&gt;=Header!$C$18,"YES — refer","No"),""))</f>
      </c>
      <c r="AZ315" s="44">
        <f>IF($AD315="","",IF(ISNUMBER($AD315),IF($AD315&lt;Header!$C$20,"BELOW MIN PREMIUM","OK"),""))</f>
      </c>
      <c r="BA315" s="32" t="inlineStr">
        <is>
          <t xml:space="preserve">Yes</t>
        </is>
      </c>
      <c r="BB315" s="32" t="inlineStr">
        <is>
          <t xml:space="preserve">Yes</t>
        </is>
      </c>
      <c r="BC315" s="30" t="inlineStr">
        <is>
          <t xml:space="preserve">Synthetic demo data</t>
        </is>
      </c>
      <c r="BE315" s="45">
        <f>IF(OR($A315="",$L315="",$H315=""),"",IF(AND(LEFT($L315,2)="06",$H315&gt;1945),"FAIL - pre-war class, year "&amp;$H315,IF(AND(LEFT($L315,2)="07",OR($H315&lt;1946,$H315&gt;1972)),"FAIL - 1946-72 class, year "&amp;$H315,IF(AND(LEFT($L315,2)="08",OR($H315&lt;1973,$H315&gt;1999)),"FAIL - 1973-99 class, year "&amp;$H315,IF(AND(LEFT($L315,2)="09",OR($H315&lt;2000,$H315&gt;2010)),"FAIL - 2000-10 class, year "&amp;$H315,"OK")))))</f>
      </c>
      <c r="BF315" s="45">
        <f>IF($AD315="","",IF(ROUND($AO315+$AP315+$AQ315-$AD315,2)=0,"OK","FAIL - out by "&amp;TEXT($AO315+$AP315+$AQ315-$AD315,"$0.00")))</f>
      </c>
    </row>
    <row r="316" spans="1:58" ht="18.75" customHeight="1" x14ac:dyDescent="0.25">
      <c r="A316" s="46" t="inlineStr">
        <is>
          <t xml:space="preserve">CANON-202508-000429</t>
        </is>
      </c>
      <c r="B316" s="46" t="inlineStr">
        <is>
          <t xml:space="preserve">Marisol Underwood</t>
        </is>
      </c>
      <c r="C316" s="47">
        <v>45874</v>
      </c>
      <c r="D316" s="48" t="inlineStr">
        <is>
          <t xml:space="preserve">Bound - within authority</t>
        </is>
      </c>
      <c r="E316" s="48" t="inlineStr">
        <is>
          <t xml:space="preserve">New business</t>
        </is>
      </c>
      <c r="F316" s="46" t="inlineStr">
        <is>
          <t xml:space="preserve">B1234EXOTIC26</t>
        </is>
      </c>
      <c r="G316" s="33">
        <f>IF($A316="","",IF($C316="","",YEAR($C316)))</f>
      </c>
      <c r="H316" s="49">
        <v>1977</v>
      </c>
      <c r="I316" s="46" t="inlineStr">
        <is>
          <t xml:space="preserve">Porsche</t>
        </is>
      </c>
      <c r="J316" s="46" t="inlineStr">
        <is>
          <t xml:space="preserve">911 Turbo S</t>
        </is>
      </c>
      <c r="K316" s="46" t="inlineStr">
        <is>
          <t xml:space="preserve">NYA1504JE4703WT43</t>
        </is>
      </c>
      <c r="L316" s="48" t="inlineStr">
        <is>
          <t xml:space="preserve">02 - Sports / GT</t>
        </is>
      </c>
      <c r="M316" s="50">
        <v>395000</v>
      </c>
      <c r="N316" s="48" t="inlineStr">
        <is>
          <t xml:space="preserve">Personal</t>
        </is>
      </c>
      <c r="O316" s="46" t="inlineStr">
        <is>
          <t xml:space="preserve">Personal - regular use</t>
        </is>
      </c>
      <c r="P316" s="46" t="inlineStr">
        <is>
          <t xml:space="preserve">2,500 - 5,000</t>
        </is>
      </c>
      <c r="Q316" s="46" t="inlineStr">
        <is>
          <t xml:space="preserve">Washington</t>
        </is>
      </c>
      <c r="R316" s="46" t="inlineStr">
        <is>
          <t xml:space="preserve">98101</t>
        </is>
      </c>
      <c r="S316" s="48" t="inlineStr">
        <is>
          <t xml:space="preserve">Earthquake - high (CA, Cascadia, New Madrid)</t>
        </is>
      </c>
      <c r="T316" s="36">
        <f>IF($A316="","",IF($S316="","",IFERROR(INDEX('[1]natural catastrophe'!$D$6:$D$17,MATCH($S316,'[1]natural catastrophe'!$B$6:$B$17,0)),"?")))</f>
      </c>
      <c r="U316" s="46" t="inlineStr">
        <is>
          <t xml:space="preserve">$5,000</t>
        </is>
      </c>
      <c r="V316" s="48" t="inlineStr">
        <is>
          <t xml:space="preserve">Agreed Value</t>
        </is>
      </c>
      <c r="W316" s="46" t="inlineStr">
        <is>
          <t xml:space="preserve">$1,000</t>
        </is>
      </c>
      <c r="X316" s="48" t="inlineStr">
        <is>
          <t xml:space="preserve">$1,000,000 CSL</t>
        </is>
      </c>
      <c r="Y316" s="46"/>
      <c r="Z316" s="46"/>
      <c r="AA316" s="48" t="inlineStr">
        <is>
          <t xml:space="preserve">Surplus Lines</t>
        </is>
      </c>
      <c r="AB316" s="50">
        <v>5366.04</v>
      </c>
      <c r="AC316" s="51">
        <v>0</v>
      </c>
      <c r="AD316" s="38">
        <f>IF(ISNUMBER($AB316),$AB316*(1+N($AC316)),"")</f>
      </c>
      <c r="AE316" s="50">
        <v>350</v>
      </c>
      <c r="AF316" s="50">
        <v>0</v>
      </c>
      <c r="AG316" s="51"/>
      <c r="AH316" s="39">
        <f>IF(ISNUMBER($AD316),($AD316+$AE316+$AF316)*$AG316,"")</f>
      </c>
      <c r="AI316" s="50"/>
      <c r="AJ316" s="38">
        <f>IF(ISNUMBER($AD316),SUM($AD316:$AH316),"")</f>
      </c>
      <c r="AK316" s="40">
        <f>IF(AND(ISNUMBER($AB316),ISNUMBER($AD316)),IF($AB316&gt;0,$AD316/$AB316,""),"")</f>
      </c>
      <c r="AL316" s="48" t="inlineStr">
        <is>
          <t xml:space="preserve">At technical</t>
        </is>
      </c>
      <c r="AM316" s="41">
        <f>IF(ISNUMBER($AD316),Header!$I$3,"")</f>
      </c>
      <c r="AN316" s="39">
        <f>IF(ISNUMBER($AD316),$AO316+$AP316,"")</f>
      </c>
      <c r="AO316" s="39">
        <f>IF(ISNUMBER($AD316),ROUND($AD316*Header!$K$3,2),"")</f>
      </c>
      <c r="AP316" s="39">
        <f>IF(ISNUMBER($AD316),ROUND($AD316*Header!$M$3,2),"")</f>
      </c>
      <c r="AQ316" s="38">
        <f>IF(ISNUMBER($AD316),ROUND($AD316,2)-$AO316-$AP316,"")</f>
      </c>
      <c r="AR316" s="39">
        <f>IF(ISNUMBER($AD316),IF(Header!$D$34="","?",$AD316*Header!$D$34),"")</f>
      </c>
      <c r="AS316" s="39">
        <f>IF(ISNUMBER($AB316),IF(Header!$D$34="","?",$AB316*Header!$D$34),"")</f>
      </c>
      <c r="AT316" s="42">
        <f>IF(AND(ISNUMBER($AB316),$M316&gt;0),$AB316/$M316*100,"")</f>
      </c>
      <c r="AU316" s="42">
        <f>IF(AND(ISNUMBER($AD316),$M316&gt;0),$AD316/$M316*100,"")</f>
      </c>
      <c r="AV316" s="40">
        <f>IF(AND(ISNUMBER($AB316),ISNUMBER($AD316),ABS($AB316)&gt;0),$AD316/$AB316,"")</f>
      </c>
      <c r="AW316" s="39">
        <f>IF(ISNUMBER($AD316),MAX(0,(1-0.55-Header!$O$3)*Header!$Q$3*$AQ316),"")</f>
      </c>
      <c r="AX316" s="43">
        <f>IF($A316="","",IF(TRIM(IF($A316="","Missing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",""))="","PASS","FAIL: "&amp;TRIM(IF($A316="","Missing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f>
      </c>
      <c r="AY316" s="44">
        <f>IF($M316="","",IF(ISNUMBER($M316),IF($M316&gt;=Header!$C$18,"YES — refer","No"),""))</f>
      </c>
      <c r="AZ316" s="44">
        <f>IF($AD316="","",IF(ISNUMBER($AD316),IF($AD316&lt;Header!$C$20,"BELOW MIN PREMIUM","OK"),""))</f>
      </c>
      <c r="BA316" s="48" t="inlineStr">
        <is>
          <t xml:space="preserve">Yes</t>
        </is>
      </c>
      <c r="BB316" s="48" t="inlineStr">
        <is>
          <t xml:space="preserve">Yes</t>
        </is>
      </c>
      <c r="BC316" s="46" t="inlineStr">
        <is>
          <t xml:space="preserve">Synthetic demo data</t>
        </is>
      </c>
      <c r="BE316" s="45">
        <f>IF(OR($A316="",$L316="",$H316=""),"",IF(AND(LEFT($L316,2)="06",$H316&gt;1945),"FAIL - pre-war class, year "&amp;$H316,IF(AND(LEFT($L316,2)="07",OR($H316&lt;1946,$H316&gt;1972)),"FAIL - 1946-72 class, year "&amp;$H316,IF(AND(LEFT($L316,2)="08",OR($H316&lt;1973,$H316&gt;1999)),"FAIL - 1973-99 class, year "&amp;$H316,IF(AND(LEFT($L316,2)="09",OR($H316&lt;2000,$H316&gt;2010)),"FAIL - 2000-10 class, year "&amp;$H316,"OK")))))</f>
      </c>
      <c r="BF316" s="45">
        <f>IF($AD316="","",IF(ROUND($AO316+$AP316+$AQ316-$AD316,2)=0,"OK","FAIL - out by "&amp;TEXT($AO316+$AP316+$AQ316-$AD316,"$0.00")))</f>
      </c>
    </row>
    <row r="317" spans="1:58" ht="18.75" customHeight="1" x14ac:dyDescent="0.25">
      <c r="A317" s="30" t="inlineStr">
        <is>
          <t xml:space="preserve">CANON-202508-000430</t>
        </is>
      </c>
      <c r="B317" s="30" t="inlineStr">
        <is>
          <t xml:space="preserve">Ottilie Vandermeer</t>
        </is>
      </c>
      <c r="C317" s="31">
        <v>45883</v>
      </c>
      <c r="D317" s="32" t="inlineStr">
        <is>
          <t xml:space="preserve">Bound - within authority</t>
        </is>
      </c>
      <c r="E317" s="32" t="inlineStr">
        <is>
          <t xml:space="preserve">New business</t>
        </is>
      </c>
      <c r="F317" s="30" t="inlineStr">
        <is>
          <t xml:space="preserve">B1234EXOTIC26</t>
        </is>
      </c>
      <c r="G317" s="33">
        <f>IF($A317="","",IF($C317="","",YEAR($C317)))</f>
      </c>
      <c r="H317" s="34">
        <v>2012</v>
      </c>
      <c r="I317" s="30" t="inlineStr">
        <is>
          <t xml:space="preserve">Ferrari</t>
        </is>
      </c>
      <c r="J317" s="30" t="inlineStr">
        <is>
          <t xml:space="preserve">275 GTB/4</t>
        </is>
      </c>
      <c r="K317" s="30" t="inlineStr">
        <is>
          <t xml:space="preserve">RDJ0C5ND14TS64LR5</t>
        </is>
      </c>
      <c r="L317" s="32" t="inlineStr">
        <is>
          <t xml:space="preserve">02 - Sports / GT</t>
        </is>
      </c>
      <c r="M317" s="35">
        <v>1205000</v>
      </c>
      <c r="N317" s="32" t="inlineStr">
        <is>
          <t xml:space="preserve">Personal</t>
        </is>
      </c>
      <c r="O317" s="30" t="inlineStr">
        <is>
          <t xml:space="preserve">Personal - regular use</t>
        </is>
      </c>
      <c r="P317" s="30" t="inlineStr">
        <is>
          <t xml:space="preserve">Under 1,000</t>
        </is>
      </c>
      <c r="Q317" s="30" t="inlineStr">
        <is>
          <t xml:space="preserve">Indiana</t>
        </is>
      </c>
      <c r="R317" s="30" t="inlineStr">
        <is>
          <t xml:space="preserve">46204</t>
        </is>
      </c>
      <c r="S317" s="32" t="inlineStr">
        <is>
          <t xml:space="preserve">Severe convective - hail / tornado (moderate)</t>
        </is>
      </c>
      <c r="T317" s="36">
        <f>IF($A317="","",IF($S317="","",IFERROR(INDEX('[1]natural catastrophe'!$D$6:$D$17,MATCH($S317,'[1]natural catastrophe'!$B$6:$B$17,0)),"?")))</f>
      </c>
      <c r="U317" s="30" t="inlineStr">
        <is>
          <t xml:space="preserve">$5,000</t>
        </is>
      </c>
      <c r="V317" s="32" t="inlineStr">
        <is>
          <t xml:space="preserve">Agreed Value</t>
        </is>
      </c>
      <c r="W317" s="30" t="inlineStr">
        <is>
          <t xml:space="preserve">$1,000</t>
        </is>
      </c>
      <c r="X317" s="32" t="inlineStr">
        <is>
          <t xml:space="preserve">$1,000,000 CSL</t>
        </is>
      </c>
      <c r="Y317" s="30"/>
      <c r="Z317" s="30"/>
      <c r="AA317" s="32" t="inlineStr">
        <is>
          <t xml:space="preserve">Surplus Lines</t>
        </is>
      </c>
      <c r="AB317" s="35">
        <v>10626.74</v>
      </c>
      <c r="AC317" s="37">
        <v>0</v>
      </c>
      <c r="AD317" s="38">
        <f>IF(ISNUMBER($AB317),$AB317*(1+N($AC317)),"")</f>
      </c>
      <c r="AE317" s="35">
        <v>350</v>
      </c>
      <c r="AF317" s="35">
        <v>250</v>
      </c>
      <c r="AG317" s="37"/>
      <c r="AH317" s="39">
        <f>IF(ISNUMBER($AD317),($AD317+$AE317+$AF317)*$AG317,"")</f>
      </c>
      <c r="AI317" s="35"/>
      <c r="AJ317" s="38">
        <f>IF(ISNUMBER($AD317),SUM($AD317:$AH317),"")</f>
      </c>
      <c r="AK317" s="40">
        <f>IF(AND(ISNUMBER($AB317),ISNUMBER($AD317)),IF($AB317&gt;0,$AD317/$AB317,""),"")</f>
      </c>
      <c r="AL317" s="32" t="inlineStr">
        <is>
          <t xml:space="preserve">At technical</t>
        </is>
      </c>
      <c r="AM317" s="41">
        <f>IF(ISNUMBER($AD317),Header!$I$3,"")</f>
      </c>
      <c r="AN317" s="39">
        <f>IF(ISNUMBER($AD317),$AO317+$AP317,"")</f>
      </c>
      <c r="AO317" s="39">
        <f>IF(ISNUMBER($AD317),ROUND($AD317*Header!$K$3,2),"")</f>
      </c>
      <c r="AP317" s="39">
        <f>IF(ISNUMBER($AD317),ROUND($AD317*Header!$M$3,2),"")</f>
      </c>
      <c r="AQ317" s="38">
        <f>IF(ISNUMBER($AD317),ROUND($AD317,2)-$AO317-$AP317,"")</f>
      </c>
      <c r="AR317" s="39">
        <f>IF(ISNUMBER($AD317),IF(Header!$D$34="","?",$AD317*Header!$D$34),"")</f>
      </c>
      <c r="AS317" s="39">
        <f>IF(ISNUMBER($AB317),IF(Header!$D$34="","?",$AB317*Header!$D$34),"")</f>
      </c>
      <c r="AT317" s="42">
        <f>IF(AND(ISNUMBER($AB317),$M317&gt;0),$AB317/$M317*100,"")</f>
      </c>
      <c r="AU317" s="42">
        <f>IF(AND(ISNUMBER($AD317),$M317&gt;0),$AD317/$M317*100,"")</f>
      </c>
      <c r="AV317" s="40">
        <f>IF(AND(ISNUMBER($AB317),ISNUMBER($AD317),ABS($AB317)&gt;0),$AD317/$AB317,"")</f>
      </c>
      <c r="AW317" s="39">
        <f>IF(ISNUMBER($AD317),MAX(0,(1-0.55-Header!$O$3)*Header!$Q$3*$AQ317),"")</f>
      </c>
      <c r="AX317" s="43">
        <f>IF($A317="","",IF(TRIM(IF($A317="","Missing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",""))="","PASS","FAIL: "&amp;TRIM(IF($A317="","Missing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f>
      </c>
      <c r="AY317" s="44">
        <f>IF($M317="","",IF(ISNUMBER($M317),IF($M317&gt;=Header!$C$18,"YES — refer","No"),""))</f>
      </c>
      <c r="AZ317" s="44">
        <f>IF($AD317="","",IF(ISNUMBER($AD317),IF($AD317&lt;Header!$C$20,"BELOW MIN PREMIUM","OK"),""))</f>
      </c>
      <c r="BA317" s="32" t="inlineStr">
        <is>
          <t xml:space="preserve">Yes</t>
        </is>
      </c>
      <c r="BB317" s="32" t="inlineStr">
        <is>
          <t xml:space="preserve">Yes</t>
        </is>
      </c>
      <c r="BC317" s="30" t="inlineStr">
        <is>
          <t xml:space="preserve">Synthetic demo data</t>
        </is>
      </c>
      <c r="BE317" s="45">
        <f>IF(OR($A317="",$L317="",$H317=""),"",IF(AND(LEFT($L317,2)="06",$H317&gt;1945),"FAIL - pre-war class, year "&amp;$H317,IF(AND(LEFT($L317,2)="07",OR($H317&lt;1946,$H317&gt;1972)),"FAIL - 1946-72 class, year "&amp;$H317,IF(AND(LEFT($L317,2)="08",OR($H317&lt;1973,$H317&gt;1999)),"FAIL - 1973-99 class, year "&amp;$H317,IF(AND(LEFT($L317,2)="09",OR($H317&lt;2000,$H317&gt;2010)),"FAIL - 2000-10 class, year "&amp;$H317,"OK")))))</f>
      </c>
      <c r="BF317" s="45">
        <f>IF($AD317="","",IF(ROUND($AO317+$AP317+$AQ317-$AD317,2)=0,"OK","FAIL - out by "&amp;TEXT($AO317+$AP317+$AQ317-$AD317,"$0.00")))</f>
      </c>
    </row>
    <row r="318" spans="1:58" ht="18.75" customHeight="1" x14ac:dyDescent="0.25">
      <c r="A318" s="46" t="inlineStr">
        <is>
          <t xml:space="preserve">CANON-202508-000432</t>
        </is>
      </c>
      <c r="B318" s="46" t="inlineStr">
        <is>
          <t xml:space="preserve">Sunniva Castellanos</t>
        </is>
      </c>
      <c r="C318" s="47">
        <v>45877</v>
      </c>
      <c r="D318" s="48" t="inlineStr">
        <is>
          <t xml:space="preserve">Bound - within authority</t>
        </is>
      </c>
      <c r="E318" s="48" t="inlineStr">
        <is>
          <t xml:space="preserve">New business</t>
        </is>
      </c>
      <c r="F318" s="46" t="inlineStr">
        <is>
          <t xml:space="preserve">B1234EXOTIC26</t>
        </is>
      </c>
      <c r="G318" s="33">
        <f>IF($A318="","",IF($C318="","",YEAR($C318)))</f>
      </c>
      <c r="H318" s="49">
        <v>1989</v>
      </c>
      <c r="I318" s="46" t="inlineStr">
        <is>
          <t xml:space="preserve">Lamborghini</t>
        </is>
      </c>
      <c r="J318" s="46" t="inlineStr">
        <is>
          <t xml:space="preserve">Huracan EVO</t>
        </is>
      </c>
      <c r="K318" s="46" t="inlineStr">
        <is>
          <t xml:space="preserve">P9JCMDM6Y80FWNYLM</t>
        </is>
      </c>
      <c r="L318" s="48" t="inlineStr">
        <is>
          <t xml:space="preserve">03 - Supercar</t>
        </is>
      </c>
      <c r="M318" s="50">
        <v>885000</v>
      </c>
      <c r="N318" s="48" t="inlineStr">
        <is>
          <t xml:space="preserve">Personal</t>
        </is>
      </c>
      <c r="O318" s="46" t="inlineStr">
        <is>
          <t xml:space="preserve">Personal - regular use</t>
        </is>
      </c>
      <c r="P318" s="46" t="inlineStr">
        <is>
          <t xml:space="preserve">1,000 - 2,500</t>
        </is>
      </c>
      <c r="Q318" s="46" t="inlineStr">
        <is>
          <t xml:space="preserve">Texas</t>
        </is>
      </c>
      <c r="R318" s="46" t="inlineStr">
        <is>
          <t xml:space="preserve">75201</t>
        </is>
      </c>
      <c r="S318" s="48" t="inlineStr">
        <is>
          <t xml:space="preserve">Tier 2 - Coastal wind (1-25 miles)</t>
        </is>
      </c>
      <c r="T318" s="36">
        <f>IF($A318="","",IF($S318="","",IFERROR(INDEX('[1]natural catastrophe'!$D$6:$D$17,MATCH($S318,'[1]natural catastrophe'!$B$6:$B$17,0)),"?")))</f>
      </c>
      <c r="U318" s="46" t="inlineStr">
        <is>
          <t xml:space="preserve">2% of agreed value, minimum $10,000</t>
        </is>
      </c>
      <c r="V318" s="48" t="inlineStr">
        <is>
          <t xml:space="preserve">Agreed Value</t>
        </is>
      </c>
      <c r="W318" s="46" t="inlineStr">
        <is>
          <t xml:space="preserve">$1,000</t>
        </is>
      </c>
      <c r="X318" s="48" t="inlineStr">
        <is>
          <t xml:space="preserve">$1,000,000 CSL</t>
        </is>
      </c>
      <c r="Y318" s="46"/>
      <c r="Z318" s="46"/>
      <c r="AA318" s="48" t="inlineStr">
        <is>
          <t xml:space="preserve">Surplus Lines</t>
        </is>
      </c>
      <c r="AB318" s="50">
        <v>18242.69</v>
      </c>
      <c r="AC318" s="51">
        <v>0</v>
      </c>
      <c r="AD318" s="38">
        <f>IF(ISNUMBER($AB318),$AB318*(1+N($AC318)),"")</f>
      </c>
      <c r="AE318" s="50">
        <v>350</v>
      </c>
      <c r="AF318" s="50">
        <v>0</v>
      </c>
      <c r="AG318" s="51"/>
      <c r="AH318" s="39">
        <f>IF(ISNUMBER($AD318),($AD318+$AE318+$AF318)*$AG318,"")</f>
      </c>
      <c r="AI318" s="50"/>
      <c r="AJ318" s="38">
        <f>IF(ISNUMBER($AD318),SUM($AD318:$AH318),"")</f>
      </c>
      <c r="AK318" s="40">
        <f>IF(AND(ISNUMBER($AB318),ISNUMBER($AD318)),IF($AB318&gt;0,$AD318/$AB318,""),"")</f>
      </c>
      <c r="AL318" s="48" t="inlineStr">
        <is>
          <t xml:space="preserve">At technical</t>
        </is>
      </c>
      <c r="AM318" s="41">
        <f>IF(ISNUMBER($AD318),Header!$I$3,"")</f>
      </c>
      <c r="AN318" s="39">
        <f>IF(ISNUMBER($AD318),$AO318+$AP318,"")</f>
      </c>
      <c r="AO318" s="39">
        <f>IF(ISNUMBER($AD318),ROUND($AD318*Header!$K$3,2),"")</f>
      </c>
      <c r="AP318" s="39">
        <f>IF(ISNUMBER($AD318),ROUND($AD318*Header!$M$3,2),"")</f>
      </c>
      <c r="AQ318" s="38">
        <f>IF(ISNUMBER($AD318),ROUND($AD318,2)-$AO318-$AP318,"")</f>
      </c>
      <c r="AR318" s="39">
        <f>IF(ISNUMBER($AD318),IF(Header!$D$34="","?",$AD318*Header!$D$34),"")</f>
      </c>
      <c r="AS318" s="39">
        <f>IF(ISNUMBER($AB318),IF(Header!$D$34="","?",$AB318*Header!$D$34),"")</f>
      </c>
      <c r="AT318" s="42">
        <f>IF(AND(ISNUMBER($AB318),$M318&gt;0),$AB318/$M318*100,"")</f>
      </c>
      <c r="AU318" s="42">
        <f>IF(AND(ISNUMBER($AD318),$M318&gt;0),$AD318/$M318*100,"")</f>
      </c>
      <c r="AV318" s="40">
        <f>IF(AND(ISNUMBER($AB318),ISNUMBER($AD318),ABS($AB318)&gt;0),$AD318/$AB318,"")</f>
      </c>
      <c r="AW318" s="39">
        <f>IF(ISNUMBER($AD318),MAX(0,(1-0.55-Header!$O$3)*Header!$Q$3*$AQ318),"")</f>
      </c>
      <c r="AX318" s="43">
        <f>IF($A318="","",IF(TRIM(IF($A318="","Missing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",""))="","PASS","FAIL: "&amp;TRIM(IF($A318="","Missing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f>
      </c>
      <c r="AY318" s="44">
        <f>IF($M318="","",IF(ISNUMBER($M318),IF($M318&gt;=Header!$C$18,"YES — refer","No"),""))</f>
      </c>
      <c r="AZ318" s="44">
        <f>IF($AD318="","",IF(ISNUMBER($AD318),IF($AD318&lt;Header!$C$20,"BELOW MIN PREMIUM","OK"),""))</f>
      </c>
      <c r="BA318" s="48" t="inlineStr">
        <is>
          <t xml:space="preserve">Yes</t>
        </is>
      </c>
      <c r="BB318" s="48" t="inlineStr">
        <is>
          <t xml:space="preserve">Yes</t>
        </is>
      </c>
      <c r="BC318" s="46" t="inlineStr">
        <is>
          <t xml:space="preserve">Synthetic demo data</t>
        </is>
      </c>
      <c r="BE318" s="45">
        <f>IF(OR($A318="",$L318="",$H318=""),"",IF(AND(LEFT($L318,2)="06",$H318&gt;1945),"FAIL - pre-war class, year "&amp;$H318,IF(AND(LEFT($L318,2)="07",OR($H318&lt;1946,$H318&gt;1972)),"FAIL - 1946-72 class, year "&amp;$H318,IF(AND(LEFT($L318,2)="08",OR($H318&lt;1973,$H318&gt;1999)),"FAIL - 1973-99 class, year "&amp;$H318,IF(AND(LEFT($L318,2)="09",OR($H318&lt;2000,$H318&gt;2010)),"FAIL - 2000-10 class, year "&amp;$H318,"OK")))))</f>
      </c>
      <c r="BF318" s="45">
        <f>IF($AD318="","",IF(ROUND($AO318+$AP318+$AQ318-$AD318,2)=0,"OK","FAIL - out by "&amp;TEXT($AO318+$AP318+$AQ318-$AD318,"$0.00")))</f>
      </c>
    </row>
    <row r="319" spans="1:58" ht="18.75" customHeight="1" x14ac:dyDescent="0.25">
      <c r="A319" s="30" t="inlineStr">
        <is>
          <t xml:space="preserve">CANON-202508-000433</t>
        </is>
      </c>
      <c r="B319" s="30" t="inlineStr">
        <is>
          <t xml:space="preserve">Wilhelmina Merriweather</t>
        </is>
      </c>
      <c r="C319" s="31">
        <v>45899</v>
      </c>
      <c r="D319" s="32" t="inlineStr">
        <is>
          <t xml:space="preserve">Bound - within authority</t>
        </is>
      </c>
      <c r="E319" s="32" t="inlineStr">
        <is>
          <t xml:space="preserve">New business</t>
        </is>
      </c>
      <c r="F319" s="30" t="inlineStr">
        <is>
          <t xml:space="preserve">B1234EXOTIC26</t>
        </is>
      </c>
      <c r="G319" s="33">
        <f>IF($A319="","",IF($C319="","",YEAR($C319)))</f>
      </c>
      <c r="H319" s="34">
        <v>1965</v>
      </c>
      <c r="I319" s="30" t="inlineStr">
        <is>
          <t xml:space="preserve">Aston Martin</t>
        </is>
      </c>
      <c r="J319" s="30" t="inlineStr">
        <is>
          <t xml:space="preserve">DB5</t>
        </is>
      </c>
      <c r="K319" s="30" t="inlineStr">
        <is>
          <t xml:space="preserve">Y6PZBZH8XM43SR150</t>
        </is>
      </c>
      <c r="L319" s="32" t="inlineStr">
        <is>
          <t xml:space="preserve">07 - Post-War Classic (1946-1972)</t>
        </is>
      </c>
      <c r="M319" s="35">
        <v>810000</v>
      </c>
      <c r="N319" s="32" t="inlineStr">
        <is>
          <t xml:space="preserve">Personal</t>
        </is>
      </c>
      <c r="O319" s="30" t="inlineStr">
        <is>
          <t xml:space="preserve">Personal - regular use</t>
        </is>
      </c>
      <c r="P319" s="30" t="inlineStr">
        <is>
          <t xml:space="preserve">1,000 - 2,500</t>
        </is>
      </c>
      <c r="Q319" s="30" t="inlineStr">
        <is>
          <t xml:space="preserve">Wyoming</t>
        </is>
      </c>
      <c r="R319" s="30" t="inlineStr">
        <is>
          <t xml:space="preserve">82001</t>
        </is>
      </c>
      <c r="S319" s="32" t="inlineStr">
        <is>
          <t xml:space="preserve">Severe convective - hail alley (high)</t>
        </is>
      </c>
      <c r="T319" s="36">
        <f>IF($A319="","",IF($S319="","",IFERROR(INDEX('[1]natural catastrophe'!$D$6:$D$17,MATCH($S319,'[1]natural catastrophe'!$B$6:$B$17,0)),"?")))</f>
      </c>
      <c r="U319" s="30" t="inlineStr">
        <is>
          <t xml:space="preserve">$5,000</t>
        </is>
      </c>
      <c r="V319" s="32" t="inlineStr">
        <is>
          <t xml:space="preserve">Agreed Value</t>
        </is>
      </c>
      <c r="W319" s="30" t="inlineStr">
        <is>
          <t xml:space="preserve">$1,000</t>
        </is>
      </c>
      <c r="X319" s="32" t="inlineStr">
        <is>
          <t xml:space="preserve">$1,000,000 CSL</t>
        </is>
      </c>
      <c r="Y319" s="30"/>
      <c r="Z319" s="30"/>
      <c r="AA319" s="32" t="inlineStr">
        <is>
          <t xml:space="preserve">Surplus Lines</t>
        </is>
      </c>
      <c r="AB319" s="35">
        <v>7031.72</v>
      </c>
      <c r="AC319" s="37">
        <v>0</v>
      </c>
      <c r="AD319" s="38">
        <f>IF(ISNUMBER($AB319),$AB319*(1+N($AC319)),"")</f>
      </c>
      <c r="AE319" s="35">
        <v>350</v>
      </c>
      <c r="AF319" s="35">
        <v>0</v>
      </c>
      <c r="AG319" s="37"/>
      <c r="AH319" s="39">
        <f>IF(ISNUMBER($AD319),($AD319+$AE319+$AF319)*$AG319,"")</f>
      </c>
      <c r="AI319" s="35"/>
      <c r="AJ319" s="38">
        <f>IF(ISNUMBER($AD319),SUM($AD319:$AH319),"")</f>
      </c>
      <c r="AK319" s="40">
        <f>IF(AND(ISNUMBER($AB319),ISNUMBER($AD319)),IF($AB319&gt;0,$AD319/$AB319,""),"")</f>
      </c>
      <c r="AL319" s="32" t="inlineStr">
        <is>
          <t xml:space="preserve">At technical</t>
        </is>
      </c>
      <c r="AM319" s="41">
        <f>IF(ISNUMBER($AD319),Header!$I$3,"")</f>
      </c>
      <c r="AN319" s="39">
        <f>IF(ISNUMBER($AD319),$AO319+$AP319,"")</f>
      </c>
      <c r="AO319" s="39">
        <f>IF(ISNUMBER($AD319),ROUND($AD319*Header!$K$3,2),"")</f>
      </c>
      <c r="AP319" s="39">
        <f>IF(ISNUMBER($AD319),ROUND($AD319*Header!$M$3,2),"")</f>
      </c>
      <c r="AQ319" s="38">
        <f>IF(ISNUMBER($AD319),ROUND($AD319,2)-$AO319-$AP319,"")</f>
      </c>
      <c r="AR319" s="39">
        <f>IF(ISNUMBER($AD319),IF(Header!$D$34="","?",$AD319*Header!$D$34),"")</f>
      </c>
      <c r="AS319" s="39">
        <f>IF(ISNUMBER($AB319),IF(Header!$D$34="","?",$AB319*Header!$D$34),"")</f>
      </c>
      <c r="AT319" s="42">
        <f>IF(AND(ISNUMBER($AB319),$M319&gt;0),$AB319/$M319*100,"")</f>
      </c>
      <c r="AU319" s="42">
        <f>IF(AND(ISNUMBER($AD319),$M319&gt;0),$AD319/$M319*100,"")</f>
      </c>
      <c r="AV319" s="40">
        <f>IF(AND(ISNUMBER($AB319),ISNUMBER($AD319),ABS($AB319)&gt;0),$AD319/$AB319,"")</f>
      </c>
      <c r="AW319" s="39">
        <f>IF(ISNUMBER($AD319),MAX(0,(1-0.55-Header!$O$3)*Header!$Q$3*$AQ319),"")</f>
      </c>
      <c r="AX319" s="43">
        <f>IF($A319="","",IF(TRIM(IF($A319="","Missing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",""))="","PASS","FAIL: "&amp;TRIM(IF($A319="","Missing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f>
      </c>
      <c r="AY319" s="44">
        <f>IF($M319="","",IF(ISNUMBER($M319),IF($M319&gt;=Header!$C$18,"YES — refer","No"),""))</f>
      </c>
      <c r="AZ319" s="44">
        <f>IF($AD319="","",IF(ISNUMBER($AD319),IF($AD319&lt;Header!$C$20,"BELOW MIN PREMIUM","OK"),""))</f>
      </c>
      <c r="BA319" s="32" t="inlineStr">
        <is>
          <t xml:space="preserve">Yes</t>
        </is>
      </c>
      <c r="BB319" s="32" t="inlineStr">
        <is>
          <t xml:space="preserve">Yes</t>
        </is>
      </c>
      <c r="BC319" s="30" t="inlineStr">
        <is>
          <t xml:space="preserve">Synthetic demo data</t>
        </is>
      </c>
      <c r="BE319" s="45">
        <f>IF(OR($A319="",$L319="",$H319=""),"",IF(AND(LEFT($L319,2)="06",$H319&gt;1945),"FAIL - pre-war class, year "&amp;$H319,IF(AND(LEFT($L319,2)="07",OR($H319&lt;1946,$H319&gt;1972)),"FAIL - 1946-72 class, year "&amp;$H319,IF(AND(LEFT($L319,2)="08",OR($H319&lt;1973,$H319&gt;1999)),"FAIL - 1973-99 class, year "&amp;$H319,IF(AND(LEFT($L319,2)="09",OR($H319&lt;2000,$H319&gt;2010)),"FAIL - 2000-10 class, year "&amp;$H319,"OK")))))</f>
      </c>
      <c r="BF319" s="45">
        <f>IF($AD319="","",IF(ROUND($AO319+$AP319+$AQ319-$AD319,2)=0,"OK","FAIL - out by "&amp;TEXT($AO319+$AP319+$AQ319-$AD319,"$0.00")))</f>
      </c>
    </row>
    <row r="320" spans="1:58" ht="18.75" customHeight="1" x14ac:dyDescent="0.25">
      <c r="A320" s="46" t="inlineStr">
        <is>
          <t xml:space="preserve">CANON-202508-000434</t>
        </is>
      </c>
      <c r="B320" s="46" t="inlineStr">
        <is>
          <t xml:space="preserve">Ramona Underwood</t>
        </is>
      </c>
      <c r="C320" s="47">
        <v>45874</v>
      </c>
      <c r="D320" s="48" t="inlineStr">
        <is>
          <t xml:space="preserve">Bound - within authority</t>
        </is>
      </c>
      <c r="E320" s="48" t="inlineStr">
        <is>
          <t xml:space="preserve">New business</t>
        </is>
      </c>
      <c r="F320" s="46" t="inlineStr">
        <is>
          <t xml:space="preserve">B1234EXOTIC26</t>
        </is>
      </c>
      <c r="G320" s="33">
        <f>IF($A320="","",IF($C320="","",YEAR($C320)))</f>
      </c>
      <c r="H320" s="49">
        <v>1991</v>
      </c>
      <c r="I320" s="46" t="inlineStr">
        <is>
          <t xml:space="preserve">Aston Martin</t>
        </is>
      </c>
      <c r="J320" s="46" t="inlineStr">
        <is>
          <t xml:space="preserve">DB12</t>
        </is>
      </c>
      <c r="K320" s="46" t="inlineStr">
        <is>
          <t xml:space="preserve">MEYUEPFG6YZ3MRTUV</t>
        </is>
      </c>
      <c r="L320" s="48" t="inlineStr">
        <is>
          <t xml:space="preserve">02 - Sports / GT</t>
        </is>
      </c>
      <c r="M320" s="50">
        <v>820000</v>
      </c>
      <c r="N320" s="48" t="inlineStr">
        <is>
          <t xml:space="preserve">Personal</t>
        </is>
      </c>
      <c r="O320" s="46" t="inlineStr">
        <is>
          <t xml:space="preserve">Personal - regular use</t>
        </is>
      </c>
      <c r="P320" s="46" t="inlineStr">
        <is>
          <t xml:space="preserve">Under 1,000</t>
        </is>
      </c>
      <c r="Q320" s="46" t="inlineStr">
        <is>
          <t xml:space="preserve">South Dakota</t>
        </is>
      </c>
      <c r="R320" s="46" t="inlineStr">
        <is>
          <t xml:space="preserve">57501</t>
        </is>
      </c>
      <c r="S320" s="48" t="inlineStr">
        <is>
          <t xml:space="preserve">Severe convective - hail alley (high)</t>
        </is>
      </c>
      <c r="T320" s="36">
        <f>IF($A320="","",IF($S320="","",IFERROR(INDEX('[1]natural catastrophe'!$D$6:$D$17,MATCH($S320,'[1]natural catastrophe'!$B$6:$B$17,0)),"?")))</f>
      </c>
      <c r="U320" s="46" t="inlineStr">
        <is>
          <t xml:space="preserve">$5,000</t>
        </is>
      </c>
      <c r="V320" s="48" t="inlineStr">
        <is>
          <t xml:space="preserve">Agreed Value</t>
        </is>
      </c>
      <c r="W320" s="46" t="inlineStr">
        <is>
          <t xml:space="preserve">$1,000</t>
        </is>
      </c>
      <c r="X320" s="48" t="inlineStr">
        <is>
          <t xml:space="preserve">$1,000,000 CSL</t>
        </is>
      </c>
      <c r="Y320" s="46"/>
      <c r="Z320" s="46"/>
      <c r="AA320" s="48" t="inlineStr">
        <is>
          <t xml:space="preserve">Surplus Lines</t>
        </is>
      </c>
      <c r="AB320" s="50">
        <v>11162.83</v>
      </c>
      <c r="AC320" s="51">
        <v>0</v>
      </c>
      <c r="AD320" s="38">
        <f>IF(ISNUMBER($AB320),$AB320*(1+N($AC320)),"")</f>
      </c>
      <c r="AE320" s="50">
        <v>350</v>
      </c>
      <c r="AF320" s="50">
        <v>0</v>
      </c>
      <c r="AG320" s="51"/>
      <c r="AH320" s="39">
        <f>IF(ISNUMBER($AD320),($AD320+$AE320+$AF320)*$AG320,"")</f>
      </c>
      <c r="AI320" s="50"/>
      <c r="AJ320" s="38">
        <f>IF(ISNUMBER($AD320),SUM($AD320:$AH320),"")</f>
      </c>
      <c r="AK320" s="40">
        <f>IF(AND(ISNUMBER($AB320),ISNUMBER($AD320)),IF($AB320&gt;0,$AD320/$AB320,""),"")</f>
      </c>
      <c r="AL320" s="48" t="inlineStr">
        <is>
          <t xml:space="preserve">At technical</t>
        </is>
      </c>
      <c r="AM320" s="41">
        <f>IF(ISNUMBER($AD320),Header!$I$3,"")</f>
      </c>
      <c r="AN320" s="39">
        <f>IF(ISNUMBER($AD320),$AO320+$AP320,"")</f>
      </c>
      <c r="AO320" s="39">
        <f>IF(ISNUMBER($AD320),ROUND($AD320*Header!$K$3,2),"")</f>
      </c>
      <c r="AP320" s="39">
        <f>IF(ISNUMBER($AD320),ROUND($AD320*Header!$M$3,2),"")</f>
      </c>
      <c r="AQ320" s="38">
        <f>IF(ISNUMBER($AD320),ROUND($AD320,2)-$AO320-$AP320,"")</f>
      </c>
      <c r="AR320" s="39">
        <f>IF(ISNUMBER($AD320),IF(Header!$D$34="","?",$AD320*Header!$D$34),"")</f>
      </c>
      <c r="AS320" s="39">
        <f>IF(ISNUMBER($AB320),IF(Header!$D$34="","?",$AB320*Header!$D$34),"")</f>
      </c>
      <c r="AT320" s="42">
        <f>IF(AND(ISNUMBER($AB320),$M320&gt;0),$AB320/$M320*100,"")</f>
      </c>
      <c r="AU320" s="42">
        <f>IF(AND(ISNUMBER($AD320),$M320&gt;0),$AD320/$M320*100,"")</f>
      </c>
      <c r="AV320" s="40">
        <f>IF(AND(ISNUMBER($AB320),ISNUMBER($AD320),ABS($AB320)&gt;0),$AD320/$AB320,"")</f>
      </c>
      <c r="AW320" s="39">
        <f>IF(ISNUMBER($AD320),MAX(0,(1-0.55-Header!$O$3)*Header!$Q$3*$AQ320),"")</f>
      </c>
      <c r="AX320" s="43">
        <f>IF($A320="","",IF(TRIM(IF($A320="","Missing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",""))="","PASS","FAIL: "&amp;TRIM(IF($A320="","Missing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f>
      </c>
      <c r="AY320" s="44">
        <f>IF($M320="","",IF(ISNUMBER($M320),IF($M320&gt;=Header!$C$18,"YES — refer","No"),""))</f>
      </c>
      <c r="AZ320" s="44">
        <f>IF($AD320="","",IF(ISNUMBER($AD320),IF($AD320&lt;Header!$C$20,"BELOW MIN PREMIUM","OK"),""))</f>
      </c>
      <c r="BA320" s="48" t="inlineStr">
        <is>
          <t xml:space="preserve">Yes</t>
        </is>
      </c>
      <c r="BB320" s="48" t="inlineStr">
        <is>
          <t xml:space="preserve">Yes</t>
        </is>
      </c>
      <c r="BC320" s="46" t="inlineStr">
        <is>
          <t xml:space="preserve">Synthetic demo data</t>
        </is>
      </c>
      <c r="BE320" s="45">
        <f>IF(OR($A320="",$L320="",$H320=""),"",IF(AND(LEFT($L320,2)="06",$H320&gt;1945),"FAIL - pre-war class, year "&amp;$H320,IF(AND(LEFT($L320,2)="07",OR($H320&lt;1946,$H320&gt;1972)),"FAIL - 1946-72 class, year "&amp;$H320,IF(AND(LEFT($L320,2)="08",OR($H320&lt;1973,$H320&gt;1999)),"FAIL - 1973-99 class, year "&amp;$H320,IF(AND(LEFT($L320,2)="09",OR($H320&lt;2000,$H320&gt;2010)),"FAIL - 2000-10 class, year "&amp;$H320,"OK")))))</f>
      </c>
      <c r="BF320" s="45">
        <f>IF($AD320="","",IF(ROUND($AO320+$AP320+$AQ320-$AD320,2)=0,"OK","FAIL - out by "&amp;TEXT($AO320+$AP320+$AQ320-$AD320,"$0.00")))</f>
      </c>
    </row>
    <row r="321" spans="1:58" ht="18.75" customHeight="1" x14ac:dyDescent="0.25">
      <c r="A321" s="30" t="inlineStr">
        <is>
          <t xml:space="preserve">CANON-202508-000435</t>
        </is>
      </c>
      <c r="B321" s="30" t="inlineStr">
        <is>
          <t xml:space="preserve">Thaddeus Larsson</t>
        </is>
      </c>
      <c r="C321" s="31">
        <v>45873</v>
      </c>
      <c r="D321" s="32" t="inlineStr">
        <is>
          <t xml:space="preserve">Bound - within authority</t>
        </is>
      </c>
      <c r="E321" s="32" t="inlineStr">
        <is>
          <t xml:space="preserve">New business</t>
        </is>
      </c>
      <c r="F321" s="30" t="inlineStr">
        <is>
          <t xml:space="preserve">B1234EXOTIC26</t>
        </is>
      </c>
      <c r="G321" s="33">
        <f>IF($A321="","",IF($C321="","",YEAR($C321)))</f>
      </c>
      <c r="H321" s="34">
        <v>1996</v>
      </c>
      <c r="I321" s="30" t="inlineStr">
        <is>
          <t xml:space="preserve">Bentley</t>
        </is>
      </c>
      <c r="J321" s="30" t="inlineStr">
        <is>
          <t xml:space="preserve">Continental GT</t>
        </is>
      </c>
      <c r="K321" s="30" t="inlineStr">
        <is>
          <t xml:space="preserve">8BPU44W618CV78YHF</t>
        </is>
      </c>
      <c r="L321" s="32" t="inlineStr">
        <is>
          <t xml:space="preserve">02 - Sports / GT</t>
        </is>
      </c>
      <c r="M321" s="35">
        <v>400000</v>
      </c>
      <c r="N321" s="32" t="inlineStr">
        <is>
          <t xml:space="preserve">Personal</t>
        </is>
      </c>
      <c r="O321" s="30" t="inlineStr">
        <is>
          <t xml:space="preserve">Personal - regular use</t>
        </is>
      </c>
      <c r="P321" s="30" t="inlineStr">
        <is>
          <t xml:space="preserve">1,000 - 2,500</t>
        </is>
      </c>
      <c r="Q321" s="30" t="inlineStr">
        <is>
          <t xml:space="preserve">Michigan</t>
        </is>
      </c>
      <c r="R321" s="30" t="inlineStr">
        <is>
          <t xml:space="preserve">48226</t>
        </is>
      </c>
      <c r="S321" s="32" t="inlineStr">
        <is>
          <t xml:space="preserve">Severe convective - hail / tornado (moderate)</t>
        </is>
      </c>
      <c r="T321" s="36">
        <f>IF($A321="","",IF($S321="","",IFERROR(INDEX('[1]natural catastrophe'!$D$6:$D$17,MATCH($S321,'[1]natural catastrophe'!$B$6:$B$17,0)),"?")))</f>
      </c>
      <c r="U321" s="30" t="inlineStr">
        <is>
          <t xml:space="preserve">$5,000</t>
        </is>
      </c>
      <c r="V321" s="32" t="inlineStr">
        <is>
          <t xml:space="preserve">Agreed Value</t>
        </is>
      </c>
      <c r="W321" s="30" t="inlineStr">
        <is>
          <t xml:space="preserve">$1,000</t>
        </is>
      </c>
      <c r="X321" s="32" t="inlineStr">
        <is>
          <t xml:space="preserve">$1,000,000 CSL</t>
        </is>
      </c>
      <c r="Y321" s="30"/>
      <c r="Z321" s="30"/>
      <c r="AA321" s="32" t="inlineStr">
        <is>
          <t xml:space="preserve">Surplus Lines</t>
        </is>
      </c>
      <c r="AB321" s="35">
        <v>8773.58</v>
      </c>
      <c r="AC321" s="37">
        <v>0</v>
      </c>
      <c r="AD321" s="38">
        <f>IF(ISNUMBER($AB321),$AB321*(1+N($AC321)),"")</f>
      </c>
      <c r="AE321" s="35">
        <v>350</v>
      </c>
      <c r="AF321" s="35">
        <v>0</v>
      </c>
      <c r="AG321" s="37"/>
      <c r="AH321" s="39">
        <f>IF(ISNUMBER($AD321),($AD321+$AE321+$AF321)*$AG321,"")</f>
      </c>
      <c r="AI321" s="35"/>
      <c r="AJ321" s="38">
        <f>IF(ISNUMBER($AD321),SUM($AD321:$AH321),"")</f>
      </c>
      <c r="AK321" s="40">
        <f>IF(AND(ISNUMBER($AB321),ISNUMBER($AD321)),IF($AB321&gt;0,$AD321/$AB321,""),"")</f>
      </c>
      <c r="AL321" s="32" t="inlineStr">
        <is>
          <t xml:space="preserve">At technical</t>
        </is>
      </c>
      <c r="AM321" s="41">
        <f>IF(ISNUMBER($AD321),Header!$I$3,"")</f>
      </c>
      <c r="AN321" s="39">
        <f>IF(ISNUMBER($AD321),$AO321+$AP321,"")</f>
      </c>
      <c r="AO321" s="39">
        <f>IF(ISNUMBER($AD321),ROUND($AD321*Header!$K$3,2),"")</f>
      </c>
      <c r="AP321" s="39">
        <f>IF(ISNUMBER($AD321),ROUND($AD321*Header!$M$3,2),"")</f>
      </c>
      <c r="AQ321" s="38">
        <f>IF(ISNUMBER($AD321),ROUND($AD321,2)-$AO321-$AP321,"")</f>
      </c>
      <c r="AR321" s="39">
        <f>IF(ISNUMBER($AD321),IF(Header!$D$34="","?",$AD321*Header!$D$34),"")</f>
      </c>
      <c r="AS321" s="39">
        <f>IF(ISNUMBER($AB321),IF(Header!$D$34="","?",$AB321*Header!$D$34),"")</f>
      </c>
      <c r="AT321" s="42">
        <f>IF(AND(ISNUMBER($AB321),$M321&gt;0),$AB321/$M321*100,"")</f>
      </c>
      <c r="AU321" s="42">
        <f>IF(AND(ISNUMBER($AD321),$M321&gt;0),$AD321/$M321*100,"")</f>
      </c>
      <c r="AV321" s="40">
        <f>IF(AND(ISNUMBER($AB321),ISNUMBER($AD321),ABS($AB321)&gt;0),$AD321/$AB321,"")</f>
      </c>
      <c r="AW321" s="39">
        <f>IF(ISNUMBER($AD321),MAX(0,(1-0.55-Header!$O$3)*Header!$Q$3*$AQ321),"")</f>
      </c>
      <c r="AX321" s="43">
        <f>IF($A321="","",IF(TRIM(IF($A321="","Missing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",""))="","PASS","FAIL: "&amp;TRIM(IF($A321="","Missing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f>
      </c>
      <c r="AY321" s="44">
        <f>IF($M321="","",IF(ISNUMBER($M321),IF($M321&gt;=Header!$C$18,"YES — refer","No"),""))</f>
      </c>
      <c r="AZ321" s="44">
        <f>IF($AD321="","",IF(ISNUMBER($AD321),IF($AD321&lt;Header!$C$20,"BELOW MIN PREMIUM","OK"),""))</f>
      </c>
      <c r="BA321" s="32" t="inlineStr">
        <is>
          <t xml:space="preserve">Yes</t>
        </is>
      </c>
      <c r="BB321" s="32" t="inlineStr">
        <is>
          <t xml:space="preserve">Yes</t>
        </is>
      </c>
      <c r="BC321" s="30" t="inlineStr">
        <is>
          <t xml:space="preserve">Synthetic demo data</t>
        </is>
      </c>
      <c r="BE321" s="45">
        <f>IF(OR($A321="",$L321="",$H321=""),"",IF(AND(LEFT($L321,2)="06",$H321&gt;1945),"FAIL - pre-war class, year "&amp;$H321,IF(AND(LEFT($L321,2)="07",OR($H321&lt;1946,$H321&gt;1972)),"FAIL - 1946-72 class, year "&amp;$H321,IF(AND(LEFT($L321,2)="08",OR($H321&lt;1973,$H321&gt;1999)),"FAIL - 1973-99 class, year "&amp;$H321,IF(AND(LEFT($L321,2)="09",OR($H321&lt;2000,$H321&gt;2010)),"FAIL - 2000-10 class, year "&amp;$H321,"OK")))))</f>
      </c>
      <c r="BF321" s="45">
        <f>IF($AD321="","",IF(ROUND($AO321+$AP321+$AQ321-$AD321,2)=0,"OK","FAIL - out by "&amp;TEXT($AO321+$AP321+$AQ321-$AD321,"$0.00")))</f>
      </c>
    </row>
    <row r="322" spans="1:58" ht="18.75" customHeight="1" x14ac:dyDescent="0.25">
      <c r="A322" s="46" t="inlineStr">
        <is>
          <t xml:space="preserve">CANON-202508-000436</t>
        </is>
      </c>
      <c r="B322" s="46" t="inlineStr">
        <is>
          <t xml:space="preserve">Wilhelmina Castellanos</t>
        </is>
      </c>
      <c r="C322" s="47">
        <v>45886</v>
      </c>
      <c r="D322" s="48" t="inlineStr">
        <is>
          <t xml:space="preserve">Bound - within authority</t>
        </is>
      </c>
      <c r="E322" s="48" t="inlineStr">
        <is>
          <t xml:space="preserve">New business</t>
        </is>
      </c>
      <c r="F322" s="46" t="inlineStr">
        <is>
          <t xml:space="preserve">B1234EXOTIC26</t>
        </is>
      </c>
      <c r="G322" s="33">
        <f>IF($A322="","",IF($C322="","",YEAR($C322)))</f>
      </c>
      <c r="H322" s="49">
        <v>1989</v>
      </c>
      <c r="I322" s="46" t="inlineStr">
        <is>
          <t xml:space="preserve">Bentley</t>
        </is>
      </c>
      <c r="J322" s="46" t="inlineStr">
        <is>
          <t xml:space="preserve">Continental GT</t>
        </is>
      </c>
      <c r="K322" s="46" t="inlineStr">
        <is>
          <t xml:space="preserve">3DPSRD60ABX1LLF2U</t>
        </is>
      </c>
      <c r="L322" s="48" t="inlineStr">
        <is>
          <t xml:space="preserve">02 - Sports / GT</t>
        </is>
      </c>
      <c r="M322" s="50">
        <v>225000</v>
      </c>
      <c r="N322" s="48" t="inlineStr">
        <is>
          <t xml:space="preserve">Personal</t>
        </is>
      </c>
      <c r="O322" s="46" t="inlineStr">
        <is>
          <t xml:space="preserve">Personal - regular use</t>
        </is>
      </c>
      <c r="P322" s="46" t="inlineStr">
        <is>
          <t xml:space="preserve">1,000 - 2,500</t>
        </is>
      </c>
      <c r="Q322" s="46" t="inlineStr">
        <is>
          <t xml:space="preserve">Delaware</t>
        </is>
      </c>
      <c r="R322" s="46" t="inlineStr">
        <is>
          <t xml:space="preserve">19801</t>
        </is>
      </c>
      <c r="S322" s="48" t="inlineStr">
        <is>
          <t xml:space="preserve">Tier 3 - Coastal wind (25-100 miles)</t>
        </is>
      </c>
      <c r="T322" s="36">
        <f>IF($A322="","",IF($S322="","",IFERROR(INDEX('[1]natural catastrophe'!$D$6:$D$17,MATCH($S322,'[1]natural catastrophe'!$B$6:$B$17,0)),"?")))</f>
      </c>
      <c r="U322" s="46" t="inlineStr">
        <is>
          <t xml:space="preserve">2% of agreed value, minimum $10,000</t>
        </is>
      </c>
      <c r="V322" s="48" t="inlineStr">
        <is>
          <t xml:space="preserve">Agreed Value</t>
        </is>
      </c>
      <c r="W322" s="46" t="inlineStr">
        <is>
          <t xml:space="preserve">$1,000</t>
        </is>
      </c>
      <c r="X322" s="48" t="inlineStr">
        <is>
          <t xml:space="preserve">$1,000,000 CSL</t>
        </is>
      </c>
      <c r="Y322" s="46"/>
      <c r="Z322" s="46"/>
      <c r="AA322" s="48" t="inlineStr">
        <is>
          <t xml:space="preserve">Surplus Lines</t>
        </is>
      </c>
      <c r="AB322" s="50">
        <v>4882.08</v>
      </c>
      <c r="AC322" s="51">
        <v>0</v>
      </c>
      <c r="AD322" s="38">
        <f>IF(ISNUMBER($AB322),$AB322*(1+N($AC322)),"")</f>
      </c>
      <c r="AE322" s="50">
        <v>350</v>
      </c>
      <c r="AF322" s="50">
        <v>0</v>
      </c>
      <c r="AG322" s="51"/>
      <c r="AH322" s="39">
        <f>IF(ISNUMBER($AD322),($AD322+$AE322+$AF322)*$AG322,"")</f>
      </c>
      <c r="AI322" s="50"/>
      <c r="AJ322" s="38">
        <f>IF(ISNUMBER($AD322),SUM($AD322:$AH322),"")</f>
      </c>
      <c r="AK322" s="40">
        <f>IF(AND(ISNUMBER($AB322),ISNUMBER($AD322)),IF($AB322&gt;0,$AD322/$AB322,""),"")</f>
      </c>
      <c r="AL322" s="48" t="inlineStr">
        <is>
          <t xml:space="preserve">At technical</t>
        </is>
      </c>
      <c r="AM322" s="41">
        <f>IF(ISNUMBER($AD322),Header!$I$3,"")</f>
      </c>
      <c r="AN322" s="39">
        <f>IF(ISNUMBER($AD322),$AO322+$AP322,"")</f>
      </c>
      <c r="AO322" s="39">
        <f>IF(ISNUMBER($AD322),ROUND($AD322*Header!$K$3,2),"")</f>
      </c>
      <c r="AP322" s="39">
        <f>IF(ISNUMBER($AD322),ROUND($AD322*Header!$M$3,2),"")</f>
      </c>
      <c r="AQ322" s="38">
        <f>IF(ISNUMBER($AD322),ROUND($AD322,2)-$AO322-$AP322,"")</f>
      </c>
      <c r="AR322" s="39">
        <f>IF(ISNUMBER($AD322),IF(Header!$D$34="","?",$AD322*Header!$D$34),"")</f>
      </c>
      <c r="AS322" s="39">
        <f>IF(ISNUMBER($AB322),IF(Header!$D$34="","?",$AB322*Header!$D$34),"")</f>
      </c>
      <c r="AT322" s="42">
        <f>IF(AND(ISNUMBER($AB322),$M322&gt;0),$AB322/$M322*100,"")</f>
      </c>
      <c r="AU322" s="42">
        <f>IF(AND(ISNUMBER($AD322),$M322&gt;0),$AD322/$M322*100,"")</f>
      </c>
      <c r="AV322" s="40">
        <f>IF(AND(ISNUMBER($AB322),ISNUMBER($AD322),ABS($AB322)&gt;0),$AD322/$AB322,"")</f>
      </c>
      <c r="AW322" s="39">
        <f>IF(ISNUMBER($AD322),MAX(0,(1-0.55-Header!$O$3)*Header!$Q$3*$AQ322),"")</f>
      </c>
      <c r="AX322" s="43">
        <f>IF($A322="","",IF(TRIM(IF($A322="","Missing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",""))="","PASS","FAIL: "&amp;TRIM(IF($A322="","Missing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f>
      </c>
      <c r="AY322" s="44">
        <f>IF($M322="","",IF(ISNUMBER($M322),IF($M322&gt;=Header!$C$18,"YES — refer","No"),""))</f>
      </c>
      <c r="AZ322" s="44">
        <f>IF($AD322="","",IF(ISNUMBER($AD322),IF($AD322&lt;Header!$C$20,"BELOW MIN PREMIUM","OK"),""))</f>
      </c>
      <c r="BA322" s="48" t="inlineStr">
        <is>
          <t xml:space="preserve">Yes</t>
        </is>
      </c>
      <c r="BB322" s="48" t="inlineStr">
        <is>
          <t xml:space="preserve">Yes</t>
        </is>
      </c>
      <c r="BC322" s="46" t="inlineStr">
        <is>
          <t xml:space="preserve">Synthetic demo data</t>
        </is>
      </c>
      <c r="BE322" s="45">
        <f>IF(OR($A322="",$L322="",$H322=""),"",IF(AND(LEFT($L322,2)="06",$H322&gt;1945),"FAIL - pre-war class, year "&amp;$H322,IF(AND(LEFT($L322,2)="07",OR($H322&lt;1946,$H322&gt;1972)),"FAIL - 1946-72 class, year "&amp;$H322,IF(AND(LEFT($L322,2)="08",OR($H322&lt;1973,$H322&gt;1999)),"FAIL - 1973-99 class, year "&amp;$H322,IF(AND(LEFT($L322,2)="09",OR($H322&lt;2000,$H322&gt;2010)),"FAIL - 2000-10 class, year "&amp;$H322,"OK")))))</f>
      </c>
      <c r="BF322" s="45">
        <f>IF($AD322="","",IF(ROUND($AO322+$AP322+$AQ322-$AD322,2)=0,"OK","FAIL - out by "&amp;TEXT($AO322+$AP322+$AQ322-$AD322,"$0.00")))</f>
      </c>
    </row>
    <row r="323" spans="1:58" ht="18.75" customHeight="1" x14ac:dyDescent="0.25">
      <c r="A323" s="30" t="inlineStr">
        <is>
          <t xml:space="preserve">CANON-202508-000437</t>
        </is>
      </c>
      <c r="B323" s="30" t="inlineStr">
        <is>
          <t xml:space="preserve">Ramona Vasquez</t>
        </is>
      </c>
      <c r="C323" s="31">
        <v>45883</v>
      </c>
      <c r="D323" s="32" t="inlineStr">
        <is>
          <t xml:space="preserve">Bound - within authority</t>
        </is>
      </c>
      <c r="E323" s="32" t="inlineStr">
        <is>
          <t xml:space="preserve">New business</t>
        </is>
      </c>
      <c r="F323" s="30" t="inlineStr">
        <is>
          <t xml:space="preserve">B1234EXOTIC26</t>
        </is>
      </c>
      <c r="G323" s="33">
        <f>IF($A323="","",IF($C323="","",YEAR($C323)))</f>
      </c>
      <c r="H323" s="34">
        <v>1977</v>
      </c>
      <c r="I323" s="30" t="inlineStr">
        <is>
          <t xml:space="preserve">Lamborghini</t>
        </is>
      </c>
      <c r="J323" s="30" t="inlineStr">
        <is>
          <t xml:space="preserve">Huracan EVO</t>
        </is>
      </c>
      <c r="K323" s="30" t="inlineStr">
        <is>
          <t xml:space="preserve">RD9LF12882UZZ4A0X</t>
        </is>
      </c>
      <c r="L323" s="32" t="inlineStr">
        <is>
          <t xml:space="preserve">03 - Supercar</t>
        </is>
      </c>
      <c r="M323" s="35">
        <v>1950000</v>
      </c>
      <c r="N323" s="32" t="inlineStr">
        <is>
          <t xml:space="preserve">Personal</t>
        </is>
      </c>
      <c r="O323" s="30" t="inlineStr">
        <is>
          <t xml:space="preserve">Personal - regular use</t>
        </is>
      </c>
      <c r="P323" s="30" t="inlineStr">
        <is>
          <t xml:space="preserve">2,500 - 5,000</t>
        </is>
      </c>
      <c r="Q323" s="30" t="inlineStr">
        <is>
          <t xml:space="preserve">Arkansas</t>
        </is>
      </c>
      <c r="R323" s="30" t="inlineStr">
        <is>
          <t xml:space="preserve">72201</t>
        </is>
      </c>
      <c r="S323" s="32" t="inlineStr">
        <is>
          <t xml:space="preserve">Severe convective - hail / tornado (moderate)</t>
        </is>
      </c>
      <c r="T323" s="36">
        <f>IF($A323="","",IF($S323="","",IFERROR(INDEX('[1]natural catastrophe'!$D$6:$D$17,MATCH($S323,'[1]natural catastrophe'!$B$6:$B$17,0)),"?")))</f>
      </c>
      <c r="U323" s="30" t="inlineStr">
        <is>
          <t xml:space="preserve">$5,000</t>
        </is>
      </c>
      <c r="V323" s="32" t="inlineStr">
        <is>
          <t xml:space="preserve">Agreed Value</t>
        </is>
      </c>
      <c r="W323" s="30" t="inlineStr">
        <is>
          <t xml:space="preserve">$1,000</t>
        </is>
      </c>
      <c r="X323" s="32" t="inlineStr">
        <is>
          <t xml:space="preserve">$1,000,000 CSL</t>
        </is>
      </c>
      <c r="Y323" s="30"/>
      <c r="Z323" s="30"/>
      <c r="AA323" s="32" t="inlineStr">
        <is>
          <t xml:space="preserve">Surplus Lines</t>
        </is>
      </c>
      <c r="AB323" s="35">
        <v>40618.87</v>
      </c>
      <c r="AC323" s="37">
        <v>0</v>
      </c>
      <c r="AD323" s="38">
        <f>IF(ISNUMBER($AB323),$AB323*(1+N($AC323)),"")</f>
      </c>
      <c r="AE323" s="35">
        <v>350</v>
      </c>
      <c r="AF323" s="35">
        <v>250</v>
      </c>
      <c r="AG323" s="37"/>
      <c r="AH323" s="39">
        <f>IF(ISNUMBER($AD323),($AD323+$AE323+$AF323)*$AG323,"")</f>
      </c>
      <c r="AI323" s="35"/>
      <c r="AJ323" s="38">
        <f>IF(ISNUMBER($AD323),SUM($AD323:$AH323),"")</f>
      </c>
      <c r="AK323" s="40">
        <f>IF(AND(ISNUMBER($AB323),ISNUMBER($AD323)),IF($AB323&gt;0,$AD323/$AB323,""),"")</f>
      </c>
      <c r="AL323" s="32" t="inlineStr">
        <is>
          <t xml:space="preserve">At technical</t>
        </is>
      </c>
      <c r="AM323" s="41">
        <f>IF(ISNUMBER($AD323),Header!$I$3,"")</f>
      </c>
      <c r="AN323" s="39">
        <f>IF(ISNUMBER($AD323),$AO323+$AP323,"")</f>
      </c>
      <c r="AO323" s="39">
        <f>IF(ISNUMBER($AD323),ROUND($AD323*Header!$K$3,2),"")</f>
      </c>
      <c r="AP323" s="39">
        <f>IF(ISNUMBER($AD323),ROUND($AD323*Header!$M$3,2),"")</f>
      </c>
      <c r="AQ323" s="38">
        <f>IF(ISNUMBER($AD323),ROUND($AD323,2)-$AO323-$AP323,"")</f>
      </c>
      <c r="AR323" s="39">
        <f>IF(ISNUMBER($AD323),IF(Header!$D$34="","?",$AD323*Header!$D$34),"")</f>
      </c>
      <c r="AS323" s="39">
        <f>IF(ISNUMBER($AB323),IF(Header!$D$34="","?",$AB323*Header!$D$34),"")</f>
      </c>
      <c r="AT323" s="42">
        <f>IF(AND(ISNUMBER($AB323),$M323&gt;0),$AB323/$M323*100,"")</f>
      </c>
      <c r="AU323" s="42">
        <f>IF(AND(ISNUMBER($AD323),$M323&gt;0),$AD323/$M323*100,"")</f>
      </c>
      <c r="AV323" s="40">
        <f>IF(AND(ISNUMBER($AB323),ISNUMBER($AD323),ABS($AB323)&gt;0),$AD323/$AB323,"")</f>
      </c>
      <c r="AW323" s="39">
        <f>IF(ISNUMBER($AD323),MAX(0,(1-0.55-Header!$O$3)*Header!$Q$3*$AQ323),"")</f>
      </c>
      <c r="AX323" s="43">
        <f>IF($A323="","",IF(TRIM(IF($A323="","Missing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",""))="","PASS","FAIL: "&amp;TRIM(IF($A323="","Missing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f>
      </c>
      <c r="AY323" s="44">
        <f>IF($M323="","",IF(ISNUMBER($M323),IF($M323&gt;=Header!$C$18,"YES — refer","No"),""))</f>
      </c>
      <c r="AZ323" s="44">
        <f>IF($AD323="","",IF(ISNUMBER($AD323),IF($AD323&lt;Header!$C$20,"BELOW MIN PREMIUM","OK"),""))</f>
      </c>
      <c r="BA323" s="32" t="inlineStr">
        <is>
          <t xml:space="preserve">Yes</t>
        </is>
      </c>
      <c r="BB323" s="32" t="inlineStr">
        <is>
          <t xml:space="preserve">Yes</t>
        </is>
      </c>
      <c r="BC323" s="30" t="inlineStr">
        <is>
          <t xml:space="preserve">Synthetic demo data</t>
        </is>
      </c>
      <c r="BE323" s="45">
        <f>IF(OR($A323="",$L323="",$H323=""),"",IF(AND(LEFT($L323,2)="06",$H323&gt;1945),"FAIL - pre-war class, year "&amp;$H323,IF(AND(LEFT($L323,2)="07",OR($H323&lt;1946,$H323&gt;1972)),"FAIL - 1946-72 class, year "&amp;$H323,IF(AND(LEFT($L323,2)="08",OR($H323&lt;1973,$H323&gt;1999)),"FAIL - 1973-99 class, year "&amp;$H323,IF(AND(LEFT($L323,2)="09",OR($H323&lt;2000,$H323&gt;2010)),"FAIL - 2000-10 class, year "&amp;$H323,"OK")))))</f>
      </c>
      <c r="BF323" s="45">
        <f>IF($AD323="","",IF(ROUND($AO323+$AP323+$AQ323-$AD323,2)=0,"OK","FAIL - out by "&amp;TEXT($AO323+$AP323+$AQ323-$AD323,"$0.00")))</f>
      </c>
    </row>
    <row r="324" spans="1:58" ht="18.75" customHeight="1" x14ac:dyDescent="0.25">
      <c r="A324" s="46" t="inlineStr">
        <is>
          <t xml:space="preserve">CANON-202508-000438</t>
        </is>
      </c>
      <c r="B324" s="46" t="inlineStr">
        <is>
          <t xml:space="preserve">Wilhelmina Vandermeer</t>
        </is>
      </c>
      <c r="C324" s="47">
        <v>45897</v>
      </c>
      <c r="D324" s="48" t="inlineStr">
        <is>
          <t xml:space="preserve">Bound - within authority</t>
        </is>
      </c>
      <c r="E324" s="48" t="inlineStr">
        <is>
          <t xml:space="preserve">New business</t>
        </is>
      </c>
      <c r="F324" s="46" t="inlineStr">
        <is>
          <t xml:space="preserve">B1234EXOTIC26</t>
        </is>
      </c>
      <c r="G324" s="33">
        <f>IF($A324="","",IF($C324="","",YEAR($C324)))</f>
      </c>
      <c r="H324" s="49">
        <v>2019</v>
      </c>
      <c r="I324" s="46" t="inlineStr">
        <is>
          <t xml:space="preserve">Bugatti</t>
        </is>
      </c>
      <c r="J324" s="46" t="inlineStr">
        <is>
          <t xml:space="preserve">Type 57</t>
        </is>
      </c>
      <c r="K324" s="46" t="inlineStr">
        <is>
          <t xml:space="preserve">SXCJT474JU7AWEYJC</t>
        </is>
      </c>
      <c r="L324" s="48" t="inlineStr">
        <is>
          <t xml:space="preserve">02 - Sports / GT</t>
        </is>
      </c>
      <c r="M324" s="50">
        <v>615000</v>
      </c>
      <c r="N324" s="48" t="inlineStr">
        <is>
          <t xml:space="preserve">Personal</t>
        </is>
      </c>
      <c r="O324" s="46" t="inlineStr">
        <is>
          <t xml:space="preserve">Personal - regular use</t>
        </is>
      </c>
      <c r="P324" s="46" t="inlineStr">
        <is>
          <t xml:space="preserve">2,500 - 5,000</t>
        </is>
      </c>
      <c r="Q324" s="46" t="inlineStr">
        <is>
          <t xml:space="preserve">Oregon</t>
        </is>
      </c>
      <c r="R324" s="46" t="inlineStr">
        <is>
          <t xml:space="preserve">97204</t>
        </is>
      </c>
      <c r="S324" s="48" t="inlineStr">
        <is>
          <t xml:space="preserve">Earthquake - high (CA, Cascadia, New Madrid)</t>
        </is>
      </c>
      <c r="T324" s="36">
        <f>IF($A324="","",IF($S324="","",IFERROR(INDEX('[1]natural catastrophe'!$D$6:$D$17,MATCH($S324,'[1]natural catastrophe'!$B$6:$B$17,0)),"?")))</f>
      </c>
      <c r="U324" s="46" t="inlineStr">
        <is>
          <t xml:space="preserve">$5,000</t>
        </is>
      </c>
      <c r="V324" s="48" t="inlineStr">
        <is>
          <t xml:space="preserve">Agreed Value</t>
        </is>
      </c>
      <c r="W324" s="46" t="inlineStr">
        <is>
          <t xml:space="preserve">$1,000</t>
        </is>
      </c>
      <c r="X324" s="48" t="inlineStr">
        <is>
          <t xml:space="preserve">$1,000,000 CSL</t>
        </is>
      </c>
      <c r="Y324" s="46"/>
      <c r="Z324" s="46"/>
      <c r="AA324" s="48" t="inlineStr">
        <is>
          <t xml:space="preserve">Surplus Lines</t>
        </is>
      </c>
      <c r="AB324" s="50">
        <v>4982.66</v>
      </c>
      <c r="AC324" s="51">
        <v>0</v>
      </c>
      <c r="AD324" s="38">
        <f>IF(ISNUMBER($AB324),$AB324*(1+N($AC324)),"")</f>
      </c>
      <c r="AE324" s="50">
        <v>350</v>
      </c>
      <c r="AF324" s="50">
        <v>0</v>
      </c>
      <c r="AG324" s="51"/>
      <c r="AH324" s="39">
        <f>IF(ISNUMBER($AD324),($AD324+$AE324+$AF324)*$AG324,"")</f>
      </c>
      <c r="AI324" s="50"/>
      <c r="AJ324" s="38">
        <f>IF(ISNUMBER($AD324),SUM($AD324:$AH324),"")</f>
      </c>
      <c r="AK324" s="40">
        <f>IF(AND(ISNUMBER($AB324),ISNUMBER($AD324)),IF($AB324&gt;0,$AD324/$AB324,""),"")</f>
      </c>
      <c r="AL324" s="48" t="inlineStr">
        <is>
          <t xml:space="preserve">At technical</t>
        </is>
      </c>
      <c r="AM324" s="41">
        <f>IF(ISNUMBER($AD324),Header!$I$3,"")</f>
      </c>
      <c r="AN324" s="39">
        <f>IF(ISNUMBER($AD324),$AO324+$AP324,"")</f>
      </c>
      <c r="AO324" s="39">
        <f>IF(ISNUMBER($AD324),ROUND($AD324*Header!$K$3,2),"")</f>
      </c>
      <c r="AP324" s="39">
        <f>IF(ISNUMBER($AD324),ROUND($AD324*Header!$M$3,2),"")</f>
      </c>
      <c r="AQ324" s="38">
        <f>IF(ISNUMBER($AD324),ROUND($AD324,2)-$AO324-$AP324,"")</f>
      </c>
      <c r="AR324" s="39">
        <f>IF(ISNUMBER($AD324),IF(Header!$D$34="","?",$AD324*Header!$D$34),"")</f>
      </c>
      <c r="AS324" s="39">
        <f>IF(ISNUMBER($AB324),IF(Header!$D$34="","?",$AB324*Header!$D$34),"")</f>
      </c>
      <c r="AT324" s="42">
        <f>IF(AND(ISNUMBER($AB324),$M324&gt;0),$AB324/$M324*100,"")</f>
      </c>
      <c r="AU324" s="42">
        <f>IF(AND(ISNUMBER($AD324),$M324&gt;0),$AD324/$M324*100,"")</f>
      </c>
      <c r="AV324" s="40">
        <f>IF(AND(ISNUMBER($AB324),ISNUMBER($AD324),ABS($AB324)&gt;0),$AD324/$AB324,"")</f>
      </c>
      <c r="AW324" s="39">
        <f>IF(ISNUMBER($AD324),MAX(0,(1-0.55-Header!$O$3)*Header!$Q$3*$AQ324),"")</f>
      </c>
      <c r="AX324" s="43">
        <f>IF($A324="","",IF(TRIM(IF($A324="","Missing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",""))="","PASS","FAIL: "&amp;TRIM(IF($A324="","Missing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f>
      </c>
      <c r="AY324" s="44">
        <f>IF($M324="","",IF(ISNUMBER($M324),IF($M324&gt;=Header!$C$18,"YES — refer","No"),""))</f>
      </c>
      <c r="AZ324" s="44">
        <f>IF($AD324="","",IF(ISNUMBER($AD324),IF($AD324&lt;Header!$C$20,"BELOW MIN PREMIUM","OK"),""))</f>
      </c>
      <c r="BA324" s="48" t="inlineStr">
        <is>
          <t xml:space="preserve">Yes</t>
        </is>
      </c>
      <c r="BB324" s="48" t="inlineStr">
        <is>
          <t xml:space="preserve">Yes</t>
        </is>
      </c>
      <c r="BC324" s="46" t="inlineStr">
        <is>
          <t xml:space="preserve">Synthetic demo data</t>
        </is>
      </c>
      <c r="BE324" s="45">
        <f>IF(OR($A324="",$L324="",$H324=""),"",IF(AND(LEFT($L324,2)="06",$H324&gt;1945),"FAIL - pre-war class, year "&amp;$H324,IF(AND(LEFT($L324,2)="07",OR($H324&lt;1946,$H324&gt;1972)),"FAIL - 1946-72 class, year "&amp;$H324,IF(AND(LEFT($L324,2)="08",OR($H324&lt;1973,$H324&gt;1999)),"FAIL - 1973-99 class, year "&amp;$H324,IF(AND(LEFT($L324,2)="09",OR($H324&lt;2000,$H324&gt;2010)),"FAIL - 2000-10 class, year "&amp;$H324,"OK")))))</f>
      </c>
      <c r="BF324" s="45">
        <f>IF($AD324="","",IF(ROUND($AO324+$AP324+$AQ324-$AD324,2)=0,"OK","FAIL - out by "&amp;TEXT($AO324+$AP324+$AQ324-$AD324,"$0.00")))</f>
      </c>
    </row>
    <row r="325" spans="1:58" ht="18.75" customHeight="1" x14ac:dyDescent="0.25">
      <c r="A325" s="30" t="inlineStr">
        <is>
          <t xml:space="preserve">CANON-202508-000440</t>
        </is>
      </c>
      <c r="B325" s="30" t="inlineStr">
        <is>
          <t xml:space="preserve">Fitzgerald Blackwood</t>
        </is>
      </c>
      <c r="C325" s="31">
        <v>45878</v>
      </c>
      <c r="D325" s="32" t="inlineStr">
        <is>
          <t xml:space="preserve">Bound - within authority</t>
        </is>
      </c>
      <c r="E325" s="32" t="inlineStr">
        <is>
          <t xml:space="preserve">New business</t>
        </is>
      </c>
      <c r="F325" s="30" t="inlineStr">
        <is>
          <t xml:space="preserve">B1234EXOTIC26</t>
        </is>
      </c>
      <c r="G325" s="33">
        <f>IF($A325="","",IF($C325="","",YEAR($C325)))</f>
      </c>
      <c r="H325" s="34">
        <v>2003</v>
      </c>
      <c r="I325" s="30" t="inlineStr">
        <is>
          <t xml:space="preserve">Aston Martin</t>
        </is>
      </c>
      <c r="J325" s="30" t="inlineStr">
        <is>
          <t xml:space="preserve">DB12</t>
        </is>
      </c>
      <c r="K325" s="30" t="inlineStr">
        <is>
          <t xml:space="preserve">JE1DFVAT7JPGGN9H1</t>
        </is>
      </c>
      <c r="L325" s="32" t="inlineStr">
        <is>
          <t xml:space="preserve">02 - Sports / GT</t>
        </is>
      </c>
      <c r="M325" s="35">
        <v>905000</v>
      </c>
      <c r="N325" s="32" t="inlineStr">
        <is>
          <t xml:space="preserve">Personal</t>
        </is>
      </c>
      <c r="O325" s="30" t="inlineStr">
        <is>
          <t xml:space="preserve">Personal - regular use</t>
        </is>
      </c>
      <c r="P325" s="30" t="inlineStr">
        <is>
          <t xml:space="preserve">Under 1,000</t>
        </is>
      </c>
      <c r="Q325" s="30" t="inlineStr">
        <is>
          <t xml:space="preserve">Maryland</t>
        </is>
      </c>
      <c r="R325" s="30" t="inlineStr">
        <is>
          <t xml:space="preserve">21201</t>
        </is>
      </c>
      <c r="S325" s="32" t="inlineStr">
        <is>
          <t xml:space="preserve">Tier 3 - Coastal wind (25-100 miles)</t>
        </is>
      </c>
      <c r="T325" s="36">
        <f>IF($A325="","",IF($S325="","",IFERROR(INDEX('[1]natural catastrophe'!$D$6:$D$17,MATCH($S325,'[1]natural catastrophe'!$B$6:$B$17,0)),"?")))</f>
      </c>
      <c r="U325" s="30" t="inlineStr">
        <is>
          <t xml:space="preserve">2% of agreed value, minimum $10,000</t>
        </is>
      </c>
      <c r="V325" s="32" t="inlineStr">
        <is>
          <t xml:space="preserve">Agreed Value</t>
        </is>
      </c>
      <c r="W325" s="30" t="inlineStr">
        <is>
          <t xml:space="preserve">$1,000</t>
        </is>
      </c>
      <c r="X325" s="32" t="inlineStr">
        <is>
          <t xml:space="preserve">$1,000,000 CSL</t>
        </is>
      </c>
      <c r="Y325" s="30"/>
      <c r="Z325" s="30"/>
      <c r="AA325" s="32" t="inlineStr">
        <is>
          <t xml:space="preserve">Surplus Lines</t>
        </is>
      </c>
      <c r="AB325" s="35">
        <v>10544.1</v>
      </c>
      <c r="AC325" s="37">
        <v>0</v>
      </c>
      <c r="AD325" s="38">
        <f>IF(ISNUMBER($AB325),$AB325*(1+N($AC325)),"")</f>
      </c>
      <c r="AE325" s="35">
        <v>350</v>
      </c>
      <c r="AF325" s="35">
        <v>0</v>
      </c>
      <c r="AG325" s="37"/>
      <c r="AH325" s="39">
        <f>IF(ISNUMBER($AD325),($AD325+$AE325+$AF325)*$AG325,"")</f>
      </c>
      <c r="AI325" s="35"/>
      <c r="AJ325" s="38">
        <f>IF(ISNUMBER($AD325),SUM($AD325:$AH325),"")</f>
      </c>
      <c r="AK325" s="40">
        <f>IF(AND(ISNUMBER($AB325),ISNUMBER($AD325)),IF($AB325&gt;0,$AD325/$AB325,""),"")</f>
      </c>
      <c r="AL325" s="32" t="inlineStr">
        <is>
          <t xml:space="preserve">At technical</t>
        </is>
      </c>
      <c r="AM325" s="41">
        <f>IF(ISNUMBER($AD325),Header!$I$3,"")</f>
      </c>
      <c r="AN325" s="39">
        <f>IF(ISNUMBER($AD325),$AO325+$AP325,"")</f>
      </c>
      <c r="AO325" s="39">
        <f>IF(ISNUMBER($AD325),ROUND($AD325*Header!$K$3,2),"")</f>
      </c>
      <c r="AP325" s="39">
        <f>IF(ISNUMBER($AD325),ROUND($AD325*Header!$M$3,2),"")</f>
      </c>
      <c r="AQ325" s="38">
        <f>IF(ISNUMBER($AD325),ROUND($AD325,2)-$AO325-$AP325,"")</f>
      </c>
      <c r="AR325" s="39">
        <f>IF(ISNUMBER($AD325),IF(Header!$D$34="","?",$AD325*Header!$D$34),"")</f>
      </c>
      <c r="AS325" s="39">
        <f>IF(ISNUMBER($AB325),IF(Header!$D$34="","?",$AB325*Header!$D$34),"")</f>
      </c>
      <c r="AT325" s="42">
        <f>IF(AND(ISNUMBER($AB325),$M325&gt;0),$AB325/$M325*100,"")</f>
      </c>
      <c r="AU325" s="42">
        <f>IF(AND(ISNUMBER($AD325),$M325&gt;0),$AD325/$M325*100,"")</f>
      </c>
      <c r="AV325" s="40">
        <f>IF(AND(ISNUMBER($AB325),ISNUMBER($AD325),ABS($AB325)&gt;0),$AD325/$AB325,"")</f>
      </c>
      <c r="AW325" s="39">
        <f>IF(ISNUMBER($AD325),MAX(0,(1-0.55-Header!$O$3)*Header!$Q$3*$AQ325),"")</f>
      </c>
      <c r="AX325" s="43">
        <f>IF($A325="","",IF(TRIM(IF($A325="","Missing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",""))="","PASS","FAIL: "&amp;TRIM(IF($A325="","Missing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f>
      </c>
      <c r="AY325" s="44">
        <f>IF($M325="","",IF(ISNUMBER($M325),IF($M325&gt;=Header!$C$18,"YES — refer","No"),""))</f>
      </c>
      <c r="AZ325" s="44">
        <f>IF($AD325="","",IF(ISNUMBER($AD325),IF($AD325&lt;Header!$C$20,"BELOW MIN PREMIUM","OK"),""))</f>
      </c>
      <c r="BA325" s="32" t="inlineStr">
        <is>
          <t xml:space="preserve">Yes</t>
        </is>
      </c>
      <c r="BB325" s="32" t="inlineStr">
        <is>
          <t xml:space="preserve">Yes</t>
        </is>
      </c>
      <c r="BC325" s="30" t="inlineStr">
        <is>
          <t xml:space="preserve">Synthetic demo data</t>
        </is>
      </c>
      <c r="BE325" s="45">
        <f>IF(OR($A325="",$L325="",$H325=""),"",IF(AND(LEFT($L325,2)="06",$H325&gt;1945),"FAIL - pre-war class, year "&amp;$H325,IF(AND(LEFT($L325,2)="07",OR($H325&lt;1946,$H325&gt;1972)),"FAIL - 1946-72 class, year "&amp;$H325,IF(AND(LEFT($L325,2)="08",OR($H325&lt;1973,$H325&gt;1999)),"FAIL - 1973-99 class, year "&amp;$H325,IF(AND(LEFT($L325,2)="09",OR($H325&lt;2000,$H325&gt;2010)),"FAIL - 2000-10 class, year "&amp;$H325,"OK")))))</f>
      </c>
      <c r="BF325" s="45">
        <f>IF($AD325="","",IF(ROUND($AO325+$AP325+$AQ325-$AD325,2)=0,"OK","FAIL - out by "&amp;TEXT($AO325+$AP325+$AQ325-$AD325,"$0.00")))</f>
      </c>
    </row>
    <row r="326" spans="1:58" ht="18.75" customHeight="1" x14ac:dyDescent="0.25">
      <c r="A326" s="46" t="inlineStr">
        <is>
          <t xml:space="preserve">CANON-202508-000441</t>
        </is>
      </c>
      <c r="B326" s="46" t="inlineStr">
        <is>
          <t xml:space="preserve">Wilhelmina Ashcombe</t>
        </is>
      </c>
      <c r="C326" s="47">
        <v>45885</v>
      </c>
      <c r="D326" s="48" t="inlineStr">
        <is>
          <t xml:space="preserve">Bound - within authority</t>
        </is>
      </c>
      <c r="E326" s="48" t="inlineStr">
        <is>
          <t xml:space="preserve">New business</t>
        </is>
      </c>
      <c r="F326" s="46" t="inlineStr">
        <is>
          <t xml:space="preserve">B1234EXOTIC26</t>
        </is>
      </c>
      <c r="G326" s="33">
        <f>IF($A326="","",IF($C326="","",YEAR($C326)))</f>
      </c>
      <c r="H326" s="49">
        <v>2011</v>
      </c>
      <c r="I326" s="46" t="inlineStr">
        <is>
          <t xml:space="preserve">Aston Martin</t>
        </is>
      </c>
      <c r="J326" s="46" t="inlineStr">
        <is>
          <t xml:space="preserve">DB12</t>
        </is>
      </c>
      <c r="K326" s="46" t="inlineStr">
        <is>
          <t xml:space="preserve">T7VYUECD0ERW7311S</t>
        </is>
      </c>
      <c r="L326" s="48" t="inlineStr">
        <is>
          <t xml:space="preserve">02 - Sports / GT</t>
        </is>
      </c>
      <c r="M326" s="50">
        <v>340000</v>
      </c>
      <c r="N326" s="48" t="inlineStr">
        <is>
          <t xml:space="preserve">Personal</t>
        </is>
      </c>
      <c r="O326" s="46" t="inlineStr">
        <is>
          <t xml:space="preserve">Personal - regular use</t>
        </is>
      </c>
      <c r="P326" s="46" t="inlineStr">
        <is>
          <t xml:space="preserve">1,000 - 2,500</t>
        </is>
      </c>
      <c r="Q326" s="46" t="inlineStr">
        <is>
          <t xml:space="preserve">West Virginia</t>
        </is>
      </c>
      <c r="R326" s="46" t="inlineStr">
        <is>
          <t xml:space="preserve">25301</t>
        </is>
      </c>
      <c r="S326" s="48" t="inlineStr">
        <is>
          <t xml:space="preserve">Low hazard - inland benign</t>
        </is>
      </c>
      <c r="T326" s="36">
        <f>IF($A326="","",IF($S326="","",IFERROR(INDEX('[1]natural catastrophe'!$D$6:$D$17,MATCH($S326,'[1]natural catastrophe'!$B$6:$B$17,0)),"?")))</f>
      </c>
      <c r="U326" s="46" t="inlineStr">
        <is>
          <t xml:space="preserve">$5,000</t>
        </is>
      </c>
      <c r="V326" s="48" t="inlineStr">
        <is>
          <t xml:space="preserve">Agreed Value</t>
        </is>
      </c>
      <c r="W326" s="46" t="inlineStr">
        <is>
          <t xml:space="preserve">$1,000</t>
        </is>
      </c>
      <c r="X326" s="48" t="inlineStr">
        <is>
          <t xml:space="preserve">$1,000,000 CSL</t>
        </is>
      </c>
      <c r="Y326" s="46"/>
      <c r="Z326" s="46"/>
      <c r="AA326" s="48" t="inlineStr">
        <is>
          <t xml:space="preserve">Surplus Lines</t>
        </is>
      </c>
      <c r="AB326" s="50">
        <v>6399.06</v>
      </c>
      <c r="AC326" s="51">
        <v>0</v>
      </c>
      <c r="AD326" s="38">
        <f>IF(ISNUMBER($AB326),$AB326*(1+N($AC326)),"")</f>
      </c>
      <c r="AE326" s="50">
        <v>350</v>
      </c>
      <c r="AF326" s="50">
        <v>0</v>
      </c>
      <c r="AG326" s="51"/>
      <c r="AH326" s="39">
        <f>IF(ISNUMBER($AD326),($AD326+$AE326+$AF326)*$AG326,"")</f>
      </c>
      <c r="AI326" s="50"/>
      <c r="AJ326" s="38">
        <f>IF(ISNUMBER($AD326),SUM($AD326:$AH326),"")</f>
      </c>
      <c r="AK326" s="40">
        <f>IF(AND(ISNUMBER($AB326),ISNUMBER($AD326)),IF($AB326&gt;0,$AD326/$AB326,""),"")</f>
      </c>
      <c r="AL326" s="48" t="inlineStr">
        <is>
          <t xml:space="preserve">At technical</t>
        </is>
      </c>
      <c r="AM326" s="41">
        <f>IF(ISNUMBER($AD326),Header!$I$3,"")</f>
      </c>
      <c r="AN326" s="39">
        <f>IF(ISNUMBER($AD326),$AO326+$AP326,"")</f>
      </c>
      <c r="AO326" s="39">
        <f>IF(ISNUMBER($AD326),ROUND($AD326*Header!$K$3,2),"")</f>
      </c>
      <c r="AP326" s="39">
        <f>IF(ISNUMBER($AD326),ROUND($AD326*Header!$M$3,2),"")</f>
      </c>
      <c r="AQ326" s="38">
        <f>IF(ISNUMBER($AD326),ROUND($AD326,2)-$AO326-$AP326,"")</f>
      </c>
      <c r="AR326" s="39">
        <f>IF(ISNUMBER($AD326),IF(Header!$D$34="","?",$AD326*Header!$D$34),"")</f>
      </c>
      <c r="AS326" s="39">
        <f>IF(ISNUMBER($AB326),IF(Header!$D$34="","?",$AB326*Header!$D$34),"")</f>
      </c>
      <c r="AT326" s="42">
        <f>IF(AND(ISNUMBER($AB326),$M326&gt;0),$AB326/$M326*100,"")</f>
      </c>
      <c r="AU326" s="42">
        <f>IF(AND(ISNUMBER($AD326),$M326&gt;0),$AD326/$M326*100,"")</f>
      </c>
      <c r="AV326" s="40">
        <f>IF(AND(ISNUMBER($AB326),ISNUMBER($AD326),ABS($AB326)&gt;0),$AD326/$AB326,"")</f>
      </c>
      <c r="AW326" s="39">
        <f>IF(ISNUMBER($AD326),MAX(0,(1-0.55-Header!$O$3)*Header!$Q$3*$AQ326),"")</f>
      </c>
      <c r="AX326" s="43">
        <f>IF($A326="","",IF(TRIM(IF($A326="","Missing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",""))="","PASS","FAIL: "&amp;TRIM(IF($A326="","Missing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f>
      </c>
      <c r="AY326" s="44">
        <f>IF($M326="","",IF(ISNUMBER($M326),IF($M326&gt;=Header!$C$18,"YES — refer","No"),""))</f>
      </c>
      <c r="AZ326" s="44">
        <f>IF($AD326="","",IF(ISNUMBER($AD326),IF($AD326&lt;Header!$C$20,"BELOW MIN PREMIUM","OK"),""))</f>
      </c>
      <c r="BA326" s="48" t="inlineStr">
        <is>
          <t xml:space="preserve">Yes</t>
        </is>
      </c>
      <c r="BB326" s="48" t="inlineStr">
        <is>
          <t xml:space="preserve">Yes</t>
        </is>
      </c>
      <c r="BC326" s="46" t="inlineStr">
        <is>
          <t xml:space="preserve">Synthetic demo data</t>
        </is>
      </c>
      <c r="BE326" s="45">
        <f>IF(OR($A326="",$L326="",$H326=""),"",IF(AND(LEFT($L326,2)="06",$H326&gt;1945),"FAIL - pre-war class, year "&amp;$H326,IF(AND(LEFT($L326,2)="07",OR($H326&lt;1946,$H326&gt;1972)),"FAIL - 1946-72 class, year "&amp;$H326,IF(AND(LEFT($L326,2)="08",OR($H326&lt;1973,$H326&gt;1999)),"FAIL - 1973-99 class, year "&amp;$H326,IF(AND(LEFT($L326,2)="09",OR($H326&lt;2000,$H326&gt;2010)),"FAIL - 2000-10 class, year "&amp;$H326,"OK")))))</f>
      </c>
      <c r="BF326" s="45">
        <f>IF($AD326="","",IF(ROUND($AO326+$AP326+$AQ326-$AD326,2)=0,"OK","FAIL - out by "&amp;TEXT($AO326+$AP326+$AQ326-$AD326,"$0.00")))</f>
      </c>
    </row>
    <row r="327" spans="1:58" ht="18.75" customHeight="1" x14ac:dyDescent="0.25">
      <c r="A327" s="30" t="inlineStr">
        <is>
          <t xml:space="preserve">CANON-202508-000442</t>
        </is>
      </c>
      <c r="B327" s="30" t="inlineStr">
        <is>
          <t xml:space="preserve">Saoirse Whitlock</t>
        </is>
      </c>
      <c r="C327" s="31">
        <v>45885</v>
      </c>
      <c r="D327" s="32" t="inlineStr">
        <is>
          <t xml:space="preserve">Bound - within authority</t>
        </is>
      </c>
      <c r="E327" s="32" t="inlineStr">
        <is>
          <t xml:space="preserve">New business</t>
        </is>
      </c>
      <c r="F327" s="30" t="inlineStr">
        <is>
          <t xml:space="preserve">B1234EXOTIC26</t>
        </is>
      </c>
      <c r="G327" s="33">
        <f>IF($A327="","",IF($C327="","",YEAR($C327)))</f>
      </c>
      <c r="H327" s="34">
        <v>1980</v>
      </c>
      <c r="I327" s="30" t="inlineStr">
        <is>
          <t xml:space="preserve">Ferrari</t>
        </is>
      </c>
      <c r="J327" s="30" t="inlineStr">
        <is>
          <t xml:space="preserve">SF90 Stradale</t>
        </is>
      </c>
      <c r="K327" s="30" t="inlineStr">
        <is>
          <t xml:space="preserve">N8RVTF75NRFKG7F2K</t>
        </is>
      </c>
      <c r="L327" s="32" t="inlineStr">
        <is>
          <t xml:space="preserve">03 - Supercar</t>
        </is>
      </c>
      <c r="M327" s="35">
        <v>1950000</v>
      </c>
      <c r="N327" s="32" t="inlineStr">
        <is>
          <t xml:space="preserve">Personal</t>
        </is>
      </c>
      <c r="O327" s="30" t="inlineStr">
        <is>
          <t xml:space="preserve">Personal - regular use</t>
        </is>
      </c>
      <c r="P327" s="30" t="inlineStr">
        <is>
          <t xml:space="preserve">Under 1,000</t>
        </is>
      </c>
      <c r="Q327" s="30" t="inlineStr">
        <is>
          <t xml:space="preserve">North Carolina</t>
        </is>
      </c>
      <c r="R327" s="30" t="inlineStr">
        <is>
          <t xml:space="preserve">28202</t>
        </is>
      </c>
      <c r="S327" s="32" t="inlineStr">
        <is>
          <t xml:space="preserve">Tier 2 - Coastal wind (1-25 miles)</t>
        </is>
      </c>
      <c r="T327" s="36">
        <f>IF($A327="","",IF($S327="","",IFERROR(INDEX('[1]natural catastrophe'!$D$6:$D$17,MATCH($S327,'[1]natural catastrophe'!$B$6:$B$17,0)),"?")))</f>
      </c>
      <c r="U327" s="30" t="inlineStr">
        <is>
          <t xml:space="preserve">2% of agreed value, minimum $10,000</t>
        </is>
      </c>
      <c r="V327" s="32" t="inlineStr">
        <is>
          <t xml:space="preserve">Agreed Value</t>
        </is>
      </c>
      <c r="W327" s="30" t="inlineStr">
        <is>
          <t xml:space="preserve">$1,000</t>
        </is>
      </c>
      <c r="X327" s="32" t="inlineStr">
        <is>
          <t xml:space="preserve">$1,000,000 CSL</t>
        </is>
      </c>
      <c r="Y327" s="30"/>
      <c r="Z327" s="30"/>
      <c r="AA327" s="32" t="inlineStr">
        <is>
          <t xml:space="preserve">Surplus Lines</t>
        </is>
      </c>
      <c r="AB327" s="35">
        <v>33849.06</v>
      </c>
      <c r="AC327" s="37">
        <v>0</v>
      </c>
      <c r="AD327" s="38">
        <f>IF(ISNUMBER($AB327),$AB327*(1+N($AC327)),"")</f>
      </c>
      <c r="AE327" s="35">
        <v>350</v>
      </c>
      <c r="AF327" s="35">
        <v>250</v>
      </c>
      <c r="AG327" s="37"/>
      <c r="AH327" s="39">
        <f>IF(ISNUMBER($AD327),($AD327+$AE327+$AF327)*$AG327,"")</f>
      </c>
      <c r="AI327" s="35"/>
      <c r="AJ327" s="38">
        <f>IF(ISNUMBER($AD327),SUM($AD327:$AH327),"")</f>
      </c>
      <c r="AK327" s="40">
        <f>IF(AND(ISNUMBER($AB327),ISNUMBER($AD327)),IF($AB327&gt;0,$AD327/$AB327,""),"")</f>
      </c>
      <c r="AL327" s="32" t="inlineStr">
        <is>
          <t xml:space="preserve">At technical</t>
        </is>
      </c>
      <c r="AM327" s="41">
        <f>IF(ISNUMBER($AD327),Header!$I$3,"")</f>
      </c>
      <c r="AN327" s="39">
        <f>IF(ISNUMBER($AD327),$AO327+$AP327,"")</f>
      </c>
      <c r="AO327" s="39">
        <f>IF(ISNUMBER($AD327),ROUND($AD327*Header!$K$3,2),"")</f>
      </c>
      <c r="AP327" s="39">
        <f>IF(ISNUMBER($AD327),ROUND($AD327*Header!$M$3,2),"")</f>
      </c>
      <c r="AQ327" s="38">
        <f>IF(ISNUMBER($AD327),ROUND($AD327,2)-$AO327-$AP327,"")</f>
      </c>
      <c r="AR327" s="39">
        <f>IF(ISNUMBER($AD327),IF(Header!$D$34="","?",$AD327*Header!$D$34),"")</f>
      </c>
      <c r="AS327" s="39">
        <f>IF(ISNUMBER($AB327),IF(Header!$D$34="","?",$AB327*Header!$D$34),"")</f>
      </c>
      <c r="AT327" s="42">
        <f>IF(AND(ISNUMBER($AB327),$M327&gt;0),$AB327/$M327*100,"")</f>
      </c>
      <c r="AU327" s="42">
        <f>IF(AND(ISNUMBER($AD327),$M327&gt;0),$AD327/$M327*100,"")</f>
      </c>
      <c r="AV327" s="40">
        <f>IF(AND(ISNUMBER($AB327),ISNUMBER($AD327),ABS($AB327)&gt;0),$AD327/$AB327,"")</f>
      </c>
      <c r="AW327" s="39">
        <f>IF(ISNUMBER($AD327),MAX(0,(1-0.55-Header!$O$3)*Header!$Q$3*$AQ327),"")</f>
      </c>
      <c r="AX327" s="43">
        <f>IF($A327="","",IF(TRIM(IF($A327="","Missing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",""))="","PASS","FAIL: "&amp;TRIM(IF($A327="","Missing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f>
      </c>
      <c r="AY327" s="44">
        <f>IF($M327="","",IF(ISNUMBER($M327),IF($M327&gt;=Header!$C$18,"YES — refer","No"),""))</f>
      </c>
      <c r="AZ327" s="44">
        <f>IF($AD327="","",IF(ISNUMBER($AD327),IF($AD327&lt;Header!$C$20,"BELOW MIN PREMIUM","OK"),""))</f>
      </c>
      <c r="BA327" s="32" t="inlineStr">
        <is>
          <t xml:space="preserve">Yes</t>
        </is>
      </c>
      <c r="BB327" s="32" t="inlineStr">
        <is>
          <t xml:space="preserve">Yes</t>
        </is>
      </c>
      <c r="BC327" s="30" t="inlineStr">
        <is>
          <t xml:space="preserve">Synthetic demo data</t>
        </is>
      </c>
      <c r="BE327" s="45">
        <f>IF(OR($A327="",$L327="",$H327=""),"",IF(AND(LEFT($L327,2)="06",$H327&gt;1945),"FAIL - pre-war class, year "&amp;$H327,IF(AND(LEFT($L327,2)="07",OR($H327&lt;1946,$H327&gt;1972)),"FAIL - 1946-72 class, year "&amp;$H327,IF(AND(LEFT($L327,2)="08",OR($H327&lt;1973,$H327&gt;1999)),"FAIL - 1973-99 class, year "&amp;$H327,IF(AND(LEFT($L327,2)="09",OR($H327&lt;2000,$H327&gt;2010)),"FAIL - 2000-10 class, year "&amp;$H327,"OK")))))</f>
      </c>
      <c r="BF327" s="45">
        <f>IF($AD327="","",IF(ROUND($AO327+$AP327+$AQ327-$AD327,2)=0,"OK","FAIL - out by "&amp;TEXT($AO327+$AP327+$AQ327-$AD327,"$0.00")))</f>
      </c>
    </row>
    <row r="328" spans="1:58" ht="18.75" customHeight="1" x14ac:dyDescent="0.25">
      <c r="A328" s="46" t="inlineStr">
        <is>
          <t xml:space="preserve">CANON-202508-000444</t>
        </is>
      </c>
      <c r="B328" s="46" t="inlineStr">
        <is>
          <t xml:space="preserve">Priya Rourke</t>
        </is>
      </c>
      <c r="C328" s="47">
        <v>45892</v>
      </c>
      <c r="D328" s="48" t="inlineStr">
        <is>
          <t xml:space="preserve">Bound - within authority</t>
        </is>
      </c>
      <c r="E328" s="48" t="inlineStr">
        <is>
          <t xml:space="preserve">New business</t>
        </is>
      </c>
      <c r="F328" s="46" t="inlineStr">
        <is>
          <t xml:space="preserve">B1234EXOTIC26</t>
        </is>
      </c>
      <c r="G328" s="33">
        <f>IF($A328="","",IF($C328="","",YEAR($C328)))</f>
      </c>
      <c r="H328" s="49">
        <v>1959</v>
      </c>
      <c r="I328" s="46" t="inlineStr">
        <is>
          <t xml:space="preserve">Aston Martin</t>
        </is>
      </c>
      <c r="J328" s="46" t="inlineStr">
        <is>
          <t xml:space="preserve">DB12</t>
        </is>
      </c>
      <c r="K328" s="46" t="inlineStr">
        <is>
          <t xml:space="preserve">S4R63D6U7SSAMWRP6</t>
        </is>
      </c>
      <c r="L328" s="48" t="inlineStr">
        <is>
          <t xml:space="preserve">02 - Sports / GT</t>
        </is>
      </c>
      <c r="M328" s="50">
        <v>625000</v>
      </c>
      <c r="N328" s="48" t="inlineStr">
        <is>
          <t xml:space="preserve">Personal</t>
        </is>
      </c>
      <c r="O328" s="46" t="inlineStr">
        <is>
          <t xml:space="preserve">Personal - regular use</t>
        </is>
      </c>
      <c r="P328" s="46" t="inlineStr">
        <is>
          <t xml:space="preserve">1,000 - 2,500</t>
        </is>
      </c>
      <c r="Q328" s="46" t="inlineStr">
        <is>
          <t xml:space="preserve">Pennsylvania</t>
        </is>
      </c>
      <c r="R328" s="46" t="inlineStr">
        <is>
          <t xml:space="preserve">19103</t>
        </is>
      </c>
      <c r="S328" s="48" t="inlineStr">
        <is>
          <t xml:space="preserve">Low hazard - inland benign</t>
        </is>
      </c>
      <c r="T328" s="36">
        <f>IF($A328="","",IF($S328="","",IFERROR(INDEX('[1]natural catastrophe'!$D$6:$D$17,MATCH($S328,'[1]natural catastrophe'!$B$6:$B$17,0)),"?")))</f>
      </c>
      <c r="U328" s="46" t="inlineStr">
        <is>
          <t xml:space="preserve">$5,000</t>
        </is>
      </c>
      <c r="V328" s="48" t="inlineStr">
        <is>
          <t xml:space="preserve">Agreed Value</t>
        </is>
      </c>
      <c r="W328" s="46" t="inlineStr">
        <is>
          <t xml:space="preserve">$1,000</t>
        </is>
      </c>
      <c r="X328" s="48" t="inlineStr">
        <is>
          <t xml:space="preserve">$1,000,000 CSL</t>
        </is>
      </c>
      <c r="Y328" s="46"/>
      <c r="Z328" s="46"/>
      <c r="AA328" s="48" t="inlineStr">
        <is>
          <t xml:space="preserve">Surplus Lines</t>
        </is>
      </c>
      <c r="AB328" s="50">
        <v>7665.09</v>
      </c>
      <c r="AC328" s="51">
        <v>0</v>
      </c>
      <c r="AD328" s="38">
        <f>IF(ISNUMBER($AB328),$AB328*(1+N($AC328)),"")</f>
      </c>
      <c r="AE328" s="50">
        <v>350</v>
      </c>
      <c r="AF328" s="50">
        <v>0</v>
      </c>
      <c r="AG328" s="51"/>
      <c r="AH328" s="39">
        <f>IF(ISNUMBER($AD328),($AD328+$AE328+$AF328)*$AG328,"")</f>
      </c>
      <c r="AI328" s="50"/>
      <c r="AJ328" s="38">
        <f>IF(ISNUMBER($AD328),SUM($AD328:$AH328),"")</f>
      </c>
      <c r="AK328" s="40">
        <f>IF(AND(ISNUMBER($AB328),ISNUMBER($AD328)),IF($AB328&gt;0,$AD328/$AB328,""),"")</f>
      </c>
      <c r="AL328" s="48" t="inlineStr">
        <is>
          <t xml:space="preserve">At technical</t>
        </is>
      </c>
      <c r="AM328" s="41">
        <f>IF(ISNUMBER($AD328),Header!$I$3,"")</f>
      </c>
      <c r="AN328" s="39">
        <f>IF(ISNUMBER($AD328),$AO328+$AP328,"")</f>
      </c>
      <c r="AO328" s="39">
        <f>IF(ISNUMBER($AD328),ROUND($AD328*Header!$K$3,2),"")</f>
      </c>
      <c r="AP328" s="39">
        <f>IF(ISNUMBER($AD328),ROUND($AD328*Header!$M$3,2),"")</f>
      </c>
      <c r="AQ328" s="38">
        <f>IF(ISNUMBER($AD328),ROUND($AD328,2)-$AO328-$AP328,"")</f>
      </c>
      <c r="AR328" s="39">
        <f>IF(ISNUMBER($AD328),IF(Header!$D$34="","?",$AD328*Header!$D$34),"")</f>
      </c>
      <c r="AS328" s="39">
        <f>IF(ISNUMBER($AB328),IF(Header!$D$34="","?",$AB328*Header!$D$34),"")</f>
      </c>
      <c r="AT328" s="42">
        <f>IF(AND(ISNUMBER($AB328),$M328&gt;0),$AB328/$M328*100,"")</f>
      </c>
      <c r="AU328" s="42">
        <f>IF(AND(ISNUMBER($AD328),$M328&gt;0),$AD328/$M328*100,"")</f>
      </c>
      <c r="AV328" s="40">
        <f>IF(AND(ISNUMBER($AB328),ISNUMBER($AD328),ABS($AB328)&gt;0),$AD328/$AB328,"")</f>
      </c>
      <c r="AW328" s="39">
        <f>IF(ISNUMBER($AD328),MAX(0,(1-0.55-Header!$O$3)*Header!$Q$3*$AQ328),"")</f>
      </c>
      <c r="AX328" s="43">
        <f>IF($A328="","",IF(TRIM(IF($A328="","Missing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",""))="","PASS","FAIL: "&amp;TRIM(IF($A328="","Missing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f>
      </c>
      <c r="AY328" s="44">
        <f>IF($M328="","",IF(ISNUMBER($M328),IF($M328&gt;=Header!$C$18,"YES — refer","No"),""))</f>
      </c>
      <c r="AZ328" s="44">
        <f>IF($AD328="","",IF(ISNUMBER($AD328),IF($AD328&lt;Header!$C$20,"BELOW MIN PREMIUM","OK"),""))</f>
      </c>
      <c r="BA328" s="48" t="inlineStr">
        <is>
          <t xml:space="preserve">Yes</t>
        </is>
      </c>
      <c r="BB328" s="48" t="inlineStr">
        <is>
          <t xml:space="preserve">Yes</t>
        </is>
      </c>
      <c r="BC328" s="46" t="inlineStr">
        <is>
          <t xml:space="preserve">Synthetic demo data</t>
        </is>
      </c>
      <c r="BE328" s="45">
        <f>IF(OR($A328="",$L328="",$H328=""),"",IF(AND(LEFT($L328,2)="06",$H328&gt;1945),"FAIL - pre-war class, year "&amp;$H328,IF(AND(LEFT($L328,2)="07",OR($H328&lt;1946,$H328&gt;1972)),"FAIL - 1946-72 class, year "&amp;$H328,IF(AND(LEFT($L328,2)="08",OR($H328&lt;1973,$H328&gt;1999)),"FAIL - 1973-99 class, year "&amp;$H328,IF(AND(LEFT($L328,2)="09",OR($H328&lt;2000,$H328&gt;2010)),"FAIL - 2000-10 class, year "&amp;$H328,"OK")))))</f>
      </c>
      <c r="BF328" s="45">
        <f>IF($AD328="","",IF(ROUND($AO328+$AP328+$AQ328-$AD328,2)=0,"OK","FAIL - out by "&amp;TEXT($AO328+$AP328+$AQ328-$AD328,"$0.00")))</f>
      </c>
    </row>
    <row r="329" spans="1:58" ht="18.75" customHeight="1" x14ac:dyDescent="0.25">
      <c r="A329" s="30" t="inlineStr">
        <is>
          <t xml:space="preserve">CANON-202508-000445</t>
        </is>
      </c>
      <c r="B329" s="30" t="inlineStr">
        <is>
          <t xml:space="preserve">Everett Larsson</t>
        </is>
      </c>
      <c r="C329" s="31">
        <v>45894</v>
      </c>
      <c r="D329" s="32" t="inlineStr">
        <is>
          <t xml:space="preserve">Bound - within authority</t>
        </is>
      </c>
      <c r="E329" s="32" t="inlineStr">
        <is>
          <t xml:space="preserve">New business</t>
        </is>
      </c>
      <c r="F329" s="30" t="inlineStr">
        <is>
          <t xml:space="preserve">B1234EXOTIC26</t>
        </is>
      </c>
      <c r="G329" s="33">
        <f>IF($A329="","",IF($C329="","",YEAR($C329)))</f>
      </c>
      <c r="H329" s="34">
        <v>2002</v>
      </c>
      <c r="I329" s="30" t="inlineStr">
        <is>
          <t xml:space="preserve">Ferrari</t>
        </is>
      </c>
      <c r="J329" s="30" t="inlineStr">
        <is>
          <t xml:space="preserve">275 GTB/4</t>
        </is>
      </c>
      <c r="K329" s="30" t="inlineStr">
        <is>
          <t xml:space="preserve">4DVMNU4C5KNYRMVSU</t>
        </is>
      </c>
      <c r="L329" s="32" t="inlineStr">
        <is>
          <t xml:space="preserve">09 - Youngtimer / Collectible (2000-2010)</t>
        </is>
      </c>
      <c r="M329" s="35">
        <v>1295000</v>
      </c>
      <c r="N329" s="32" t="inlineStr">
        <is>
          <t xml:space="preserve">Personal</t>
        </is>
      </c>
      <c r="O329" s="30" t="inlineStr">
        <is>
          <t xml:space="preserve">Personal - regular use</t>
        </is>
      </c>
      <c r="P329" s="30" t="inlineStr">
        <is>
          <t xml:space="preserve">2,500 - 5,000</t>
        </is>
      </c>
      <c r="Q329" s="30" t="inlineStr">
        <is>
          <t xml:space="preserve">Alaska</t>
        </is>
      </c>
      <c r="R329" s="30" t="inlineStr">
        <is>
          <t xml:space="preserve">99501</t>
        </is>
      </c>
      <c r="S329" s="32" t="inlineStr">
        <is>
          <t xml:space="preserve">Earthquake - high (CA, Cascadia, New Madrid)</t>
        </is>
      </c>
      <c r="T329" s="36">
        <f>IF($A329="","",IF($S329="","",IFERROR(INDEX('[1]natural catastrophe'!$D$6:$D$17,MATCH($S329,'[1]natural catastrophe'!$B$6:$B$17,0)),"?")))</f>
      </c>
      <c r="U329" s="30" t="inlineStr">
        <is>
          <t xml:space="preserve">$5,000</t>
        </is>
      </c>
      <c r="V329" s="32" t="inlineStr">
        <is>
          <t xml:space="preserve">Agreed Value</t>
        </is>
      </c>
      <c r="W329" s="30" t="inlineStr">
        <is>
          <t xml:space="preserve">$1,000</t>
        </is>
      </c>
      <c r="X329" s="32" t="inlineStr">
        <is>
          <t xml:space="preserve">$1,000,000 CSL</t>
        </is>
      </c>
      <c r="Y329" s="30"/>
      <c r="Z329" s="30"/>
      <c r="AA329" s="32" t="inlineStr">
        <is>
          <t xml:space="preserve">Surplus Lines</t>
        </is>
      </c>
      <c r="AB329" s="35">
        <v>10584.79</v>
      </c>
      <c r="AC329" s="37">
        <v>0</v>
      </c>
      <c r="AD329" s="38">
        <f>IF(ISNUMBER($AB329),$AB329*(1+N($AC329)),"")</f>
      </c>
      <c r="AE329" s="35">
        <v>350</v>
      </c>
      <c r="AF329" s="35">
        <v>250</v>
      </c>
      <c r="AG329" s="37"/>
      <c r="AH329" s="39">
        <f>IF(ISNUMBER($AD329),($AD329+$AE329+$AF329)*$AG329,"")</f>
      </c>
      <c r="AI329" s="35"/>
      <c r="AJ329" s="38">
        <f>IF(ISNUMBER($AD329),SUM($AD329:$AH329),"")</f>
      </c>
      <c r="AK329" s="40">
        <f>IF(AND(ISNUMBER($AB329),ISNUMBER($AD329)),IF($AB329&gt;0,$AD329/$AB329,""),"")</f>
      </c>
      <c r="AL329" s="32" t="inlineStr">
        <is>
          <t xml:space="preserve">At technical</t>
        </is>
      </c>
      <c r="AM329" s="41">
        <f>IF(ISNUMBER($AD329),Header!$I$3,"")</f>
      </c>
      <c r="AN329" s="39">
        <f>IF(ISNUMBER($AD329),$AO329+$AP329,"")</f>
      </c>
      <c r="AO329" s="39">
        <f>IF(ISNUMBER($AD329),ROUND($AD329*Header!$K$3,2),"")</f>
      </c>
      <c r="AP329" s="39">
        <f>IF(ISNUMBER($AD329),ROUND($AD329*Header!$M$3,2),"")</f>
      </c>
      <c r="AQ329" s="38">
        <f>IF(ISNUMBER($AD329),ROUND($AD329,2)-$AO329-$AP329,"")</f>
      </c>
      <c r="AR329" s="39">
        <f>IF(ISNUMBER($AD329),IF(Header!$D$34="","?",$AD329*Header!$D$34),"")</f>
      </c>
      <c r="AS329" s="39">
        <f>IF(ISNUMBER($AB329),IF(Header!$D$34="","?",$AB329*Header!$D$34),"")</f>
      </c>
      <c r="AT329" s="42">
        <f>IF(AND(ISNUMBER($AB329),$M329&gt;0),$AB329/$M329*100,"")</f>
      </c>
      <c r="AU329" s="42">
        <f>IF(AND(ISNUMBER($AD329),$M329&gt;0),$AD329/$M329*100,"")</f>
      </c>
      <c r="AV329" s="40">
        <f>IF(AND(ISNUMBER($AB329),ISNUMBER($AD329),ABS($AB329)&gt;0),$AD329/$AB329,"")</f>
      </c>
      <c r="AW329" s="39">
        <f>IF(ISNUMBER($AD329),MAX(0,(1-0.55-Header!$O$3)*Header!$Q$3*$AQ329),"")</f>
      </c>
      <c r="AX329" s="43">
        <f>IF($A329="","",IF(TRIM(IF($A329="","Missing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",""))="","PASS","FAIL: "&amp;TRIM(IF($A329="","Missing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f>
      </c>
      <c r="AY329" s="44">
        <f>IF($M329="","",IF(ISNUMBER($M329),IF($M329&gt;=Header!$C$18,"YES — refer","No"),""))</f>
      </c>
      <c r="AZ329" s="44">
        <f>IF($AD329="","",IF(ISNUMBER($AD329),IF($AD329&lt;Header!$C$20,"BELOW MIN PREMIUM","OK"),""))</f>
      </c>
      <c r="BA329" s="32" t="inlineStr">
        <is>
          <t xml:space="preserve">Yes</t>
        </is>
      </c>
      <c r="BB329" s="32" t="inlineStr">
        <is>
          <t xml:space="preserve">Yes</t>
        </is>
      </c>
      <c r="BC329" s="30" t="inlineStr">
        <is>
          <t xml:space="preserve">Synthetic demo data</t>
        </is>
      </c>
      <c r="BE329" s="45">
        <f>IF(OR($A329="",$L329="",$H329=""),"",IF(AND(LEFT($L329,2)="06",$H329&gt;1945),"FAIL - pre-war class, year "&amp;$H329,IF(AND(LEFT($L329,2)="07",OR($H329&lt;1946,$H329&gt;1972)),"FAIL - 1946-72 class, year "&amp;$H329,IF(AND(LEFT($L329,2)="08",OR($H329&lt;1973,$H329&gt;1999)),"FAIL - 1973-99 class, year "&amp;$H329,IF(AND(LEFT($L329,2)="09",OR($H329&lt;2000,$H329&gt;2010)),"FAIL - 2000-10 class, year "&amp;$H329,"OK")))))</f>
      </c>
      <c r="BF329" s="45">
        <f>IF($AD329="","",IF(ROUND($AO329+$AP329+$AQ329-$AD329,2)=0,"OK","FAIL - out by "&amp;TEXT($AO329+$AP329+$AQ329-$AD329,"$0.00")))</f>
      </c>
    </row>
    <row r="330" spans="1:58" ht="18.75" customHeight="1" x14ac:dyDescent="0.25">
      <c r="A330" s="46" t="inlineStr">
        <is>
          <t xml:space="preserve">CANON-202508-000446</t>
        </is>
      </c>
      <c r="B330" s="46" t="inlineStr">
        <is>
          <t xml:space="preserve">Ramona Nakashima</t>
        </is>
      </c>
      <c r="C330" s="47">
        <v>45883</v>
      </c>
      <c r="D330" s="48" t="inlineStr">
        <is>
          <t xml:space="preserve">Bound - within authority</t>
        </is>
      </c>
      <c r="E330" s="48" t="inlineStr">
        <is>
          <t xml:space="preserve">New business</t>
        </is>
      </c>
      <c r="F330" s="46" t="inlineStr">
        <is>
          <t xml:space="preserve">B1234EXOTIC26</t>
        </is>
      </c>
      <c r="G330" s="33">
        <f>IF($A330="","",IF($C330="","",YEAR($C330)))</f>
      </c>
      <c r="H330" s="49">
        <v>1966</v>
      </c>
      <c r="I330" s="46" t="inlineStr">
        <is>
          <t xml:space="preserve">Bentley</t>
        </is>
      </c>
      <c r="J330" s="46" t="inlineStr">
        <is>
          <t xml:space="preserve">Continental GT</t>
        </is>
      </c>
      <c r="K330" s="46" t="inlineStr">
        <is>
          <t xml:space="preserve">3J2U8L7YAWBVNTG76</t>
        </is>
      </c>
      <c r="L330" s="48" t="inlineStr">
        <is>
          <t xml:space="preserve">02 - Sports / GT</t>
        </is>
      </c>
      <c r="M330" s="50">
        <v>425000</v>
      </c>
      <c r="N330" s="48" t="inlineStr">
        <is>
          <t xml:space="preserve">Personal</t>
        </is>
      </c>
      <c r="O330" s="46" t="inlineStr">
        <is>
          <t xml:space="preserve">Personal - regular use</t>
        </is>
      </c>
      <c r="P330" s="46" t="inlineStr">
        <is>
          <t xml:space="preserve">2,500 - 5,000</t>
        </is>
      </c>
      <c r="Q330" s="46" t="inlineStr">
        <is>
          <t xml:space="preserve">South Carolina</t>
        </is>
      </c>
      <c r="R330" s="46" t="inlineStr">
        <is>
          <t xml:space="preserve">29401</t>
        </is>
      </c>
      <c r="S330" s="48" t="inlineStr">
        <is>
          <t xml:space="preserve">Tier 2 - Coastal wind (1-25 miles)</t>
        </is>
      </c>
      <c r="T330" s="36">
        <f>IF($A330="","",IF($S330="","",IFERROR(INDEX('[1]natural catastrophe'!$D$6:$D$17,MATCH($S330,'[1]natural catastrophe'!$B$6:$B$17,0)),"?")))</f>
      </c>
      <c r="U330" s="46" t="inlineStr">
        <is>
          <t xml:space="preserve">2% of agreed value, minimum $10,000</t>
        </is>
      </c>
      <c r="V330" s="48" t="inlineStr">
        <is>
          <t xml:space="preserve">Agreed Value</t>
        </is>
      </c>
      <c r="W330" s="46" t="inlineStr">
        <is>
          <t xml:space="preserve">$1,000</t>
        </is>
      </c>
      <c r="X330" s="48" t="inlineStr">
        <is>
          <t xml:space="preserve">$1,000,000 CSL</t>
        </is>
      </c>
      <c r="Y330" s="46"/>
      <c r="Z330" s="46"/>
      <c r="AA330" s="48" t="inlineStr">
        <is>
          <t xml:space="preserve">Surplus Lines</t>
        </is>
      </c>
      <c r="AB330" s="50">
        <v>7457.55</v>
      </c>
      <c r="AC330" s="51">
        <v>0</v>
      </c>
      <c r="AD330" s="38">
        <f>IF(ISNUMBER($AB330),$AB330*(1+N($AC330)),"")</f>
      </c>
      <c r="AE330" s="50">
        <v>350</v>
      </c>
      <c r="AF330" s="50">
        <v>0</v>
      </c>
      <c r="AG330" s="51"/>
      <c r="AH330" s="39">
        <f>IF(ISNUMBER($AD330),($AD330+$AE330+$AF330)*$AG330,"")</f>
      </c>
      <c r="AI330" s="50"/>
      <c r="AJ330" s="38">
        <f>IF(ISNUMBER($AD330),SUM($AD330:$AH330),"")</f>
      </c>
      <c r="AK330" s="40">
        <f>IF(AND(ISNUMBER($AB330),ISNUMBER($AD330)),IF($AB330&gt;0,$AD330/$AB330,""),"")</f>
      </c>
      <c r="AL330" s="48" t="inlineStr">
        <is>
          <t xml:space="preserve">At technical</t>
        </is>
      </c>
      <c r="AM330" s="41">
        <f>IF(ISNUMBER($AD330),Header!$I$3,"")</f>
      </c>
      <c r="AN330" s="39">
        <f>IF(ISNUMBER($AD330),$AO330+$AP330,"")</f>
      </c>
      <c r="AO330" s="39">
        <f>IF(ISNUMBER($AD330),ROUND($AD330*Header!$K$3,2),"")</f>
      </c>
      <c r="AP330" s="39">
        <f>IF(ISNUMBER($AD330),ROUND($AD330*Header!$M$3,2),"")</f>
      </c>
      <c r="AQ330" s="38">
        <f>IF(ISNUMBER($AD330),ROUND($AD330,2)-$AO330-$AP330,"")</f>
      </c>
      <c r="AR330" s="39">
        <f>IF(ISNUMBER($AD330),IF(Header!$D$34="","?",$AD330*Header!$D$34),"")</f>
      </c>
      <c r="AS330" s="39">
        <f>IF(ISNUMBER($AB330),IF(Header!$D$34="","?",$AB330*Header!$D$34),"")</f>
      </c>
      <c r="AT330" s="42">
        <f>IF(AND(ISNUMBER($AB330),$M330&gt;0),$AB330/$M330*100,"")</f>
      </c>
      <c r="AU330" s="42">
        <f>IF(AND(ISNUMBER($AD330),$M330&gt;0),$AD330/$M330*100,"")</f>
      </c>
      <c r="AV330" s="40">
        <f>IF(AND(ISNUMBER($AB330),ISNUMBER($AD330),ABS($AB330)&gt;0),$AD330/$AB330,"")</f>
      </c>
      <c r="AW330" s="39">
        <f>IF(ISNUMBER($AD330),MAX(0,(1-0.55-Header!$O$3)*Header!$Q$3*$AQ330),"")</f>
      </c>
      <c r="AX330" s="43">
        <f>IF($A330="","",IF(TRIM(IF($A330="","Missing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",""))="","PASS","FAIL: "&amp;TRIM(IF($A330="","Missing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f>
      </c>
      <c r="AY330" s="44">
        <f>IF($M330="","",IF(ISNUMBER($M330),IF($M330&gt;=Header!$C$18,"YES — refer","No"),""))</f>
      </c>
      <c r="AZ330" s="44">
        <f>IF($AD330="","",IF(ISNUMBER($AD330),IF($AD330&lt;Header!$C$20,"BELOW MIN PREMIUM","OK"),""))</f>
      </c>
      <c r="BA330" s="48" t="inlineStr">
        <is>
          <t xml:space="preserve">Yes</t>
        </is>
      </c>
      <c r="BB330" s="48" t="inlineStr">
        <is>
          <t xml:space="preserve">Yes</t>
        </is>
      </c>
      <c r="BC330" s="46" t="inlineStr">
        <is>
          <t xml:space="preserve">Synthetic demo data</t>
        </is>
      </c>
      <c r="BE330" s="45">
        <f>IF(OR($A330="",$L330="",$H330=""),"",IF(AND(LEFT($L330,2)="06",$H330&gt;1945),"FAIL - pre-war class, year "&amp;$H330,IF(AND(LEFT($L330,2)="07",OR($H330&lt;1946,$H330&gt;1972)),"FAIL - 1946-72 class, year "&amp;$H330,IF(AND(LEFT($L330,2)="08",OR($H330&lt;1973,$H330&gt;1999)),"FAIL - 1973-99 class, year "&amp;$H330,IF(AND(LEFT($L330,2)="09",OR($H330&lt;2000,$H330&gt;2010)),"FAIL - 2000-10 class, year "&amp;$H330,"OK")))))</f>
      </c>
      <c r="BF330" s="45">
        <f>IF($AD330="","",IF(ROUND($AO330+$AP330+$AQ330-$AD330,2)=0,"OK","FAIL - out by "&amp;TEXT($AO330+$AP330+$AQ330-$AD330,"$0.00")))</f>
      </c>
    </row>
    <row r="331" spans="1:58" ht="18.75" customHeight="1" x14ac:dyDescent="0.25">
      <c r="A331" s="30" t="inlineStr">
        <is>
          <t xml:space="preserve">CANON-202508-000448</t>
        </is>
      </c>
      <c r="B331" s="30" t="inlineStr">
        <is>
          <t xml:space="preserve">Delphine Fairweather</t>
        </is>
      </c>
      <c r="C331" s="31">
        <v>45883</v>
      </c>
      <c r="D331" s="32" t="inlineStr">
        <is>
          <t xml:space="preserve">Bound - within authority</t>
        </is>
      </c>
      <c r="E331" s="32" t="inlineStr">
        <is>
          <t xml:space="preserve">New business</t>
        </is>
      </c>
      <c r="F331" s="30" t="inlineStr">
        <is>
          <t xml:space="preserve">B1234EXOTIC26</t>
        </is>
      </c>
      <c r="G331" s="33">
        <f>IF($A331="","",IF($C331="","",YEAR($C331)))</f>
      </c>
      <c r="H331" s="34">
        <v>2003</v>
      </c>
      <c r="I331" s="30" t="inlineStr">
        <is>
          <t xml:space="preserve">Aston Martin</t>
        </is>
      </c>
      <c r="J331" s="30" t="inlineStr">
        <is>
          <t xml:space="preserve">DB12</t>
        </is>
      </c>
      <c r="K331" s="30" t="inlineStr">
        <is>
          <t xml:space="preserve">BUSX15DNFG0KCXL4X</t>
        </is>
      </c>
      <c r="L331" s="32" t="inlineStr">
        <is>
          <t xml:space="preserve">02 - Sports / GT</t>
        </is>
      </c>
      <c r="M331" s="35">
        <v>145000</v>
      </c>
      <c r="N331" s="32" t="inlineStr">
        <is>
          <t xml:space="preserve">Personal</t>
        </is>
      </c>
      <c r="O331" s="30" t="inlineStr">
        <is>
          <t xml:space="preserve">Personal - regular use</t>
        </is>
      </c>
      <c r="P331" s="30" t="inlineStr">
        <is>
          <t xml:space="preserve">1,000 - 2,500</t>
        </is>
      </c>
      <c r="Q331" s="30" t="inlineStr">
        <is>
          <t xml:space="preserve">Vermont</t>
        </is>
      </c>
      <c r="R331" s="30" t="inlineStr">
        <is>
          <t xml:space="preserve">05601</t>
        </is>
      </c>
      <c r="S331" s="32" t="inlineStr">
        <is>
          <t xml:space="preserve">Low hazard - inland benign</t>
        </is>
      </c>
      <c r="T331" s="36">
        <f>IF($A331="","",IF($S331="","",IFERROR(INDEX('[1]natural catastrophe'!$D$6:$D$17,MATCH($S331,'[1]natural catastrophe'!$B$6:$B$17,0)),"?")))</f>
      </c>
      <c r="U331" s="30" t="inlineStr">
        <is>
          <t xml:space="preserve">$5,000</t>
        </is>
      </c>
      <c r="V331" s="32" t="inlineStr">
        <is>
          <t xml:space="preserve">Agreed Value</t>
        </is>
      </c>
      <c r="W331" s="30" t="inlineStr">
        <is>
          <t xml:space="preserve">$1,000</t>
        </is>
      </c>
      <c r="X331" s="32" t="inlineStr">
        <is>
          <t xml:space="preserve">$1,000,000 CSL</t>
        </is>
      </c>
      <c r="Y331" s="30"/>
      <c r="Z331" s="30"/>
      <c r="AA331" s="32" t="inlineStr">
        <is>
          <t xml:space="preserve">Surplus Lines</t>
        </is>
      </c>
      <c r="AB331" s="35">
        <v>3070.72</v>
      </c>
      <c r="AC331" s="37">
        <v>0</v>
      </c>
      <c r="AD331" s="38">
        <f>IF(ISNUMBER($AB331),$AB331*(1+N($AC331)),"")</f>
      </c>
      <c r="AE331" s="35">
        <v>350</v>
      </c>
      <c r="AF331" s="35">
        <v>0</v>
      </c>
      <c r="AG331" s="37"/>
      <c r="AH331" s="39">
        <f>IF(ISNUMBER($AD331),($AD331+$AE331+$AF331)*$AG331,"")</f>
      </c>
      <c r="AI331" s="35"/>
      <c r="AJ331" s="38">
        <f>IF(ISNUMBER($AD331),SUM($AD331:$AH331),"")</f>
      </c>
      <c r="AK331" s="40">
        <f>IF(AND(ISNUMBER($AB331),ISNUMBER($AD331)),IF($AB331&gt;0,$AD331/$AB331,""),"")</f>
      </c>
      <c r="AL331" s="32" t="inlineStr">
        <is>
          <t xml:space="preserve">At technical</t>
        </is>
      </c>
      <c r="AM331" s="41">
        <f>IF(ISNUMBER($AD331),Header!$I$3,"")</f>
      </c>
      <c r="AN331" s="39">
        <f>IF(ISNUMBER($AD331),$AO331+$AP331,"")</f>
      </c>
      <c r="AO331" s="39">
        <f>IF(ISNUMBER($AD331),ROUND($AD331*Header!$K$3,2),"")</f>
      </c>
      <c r="AP331" s="39">
        <f>IF(ISNUMBER($AD331),ROUND($AD331*Header!$M$3,2),"")</f>
      </c>
      <c r="AQ331" s="38">
        <f>IF(ISNUMBER($AD331),ROUND($AD331,2)-$AO331-$AP331,"")</f>
      </c>
      <c r="AR331" s="39">
        <f>IF(ISNUMBER($AD331),IF(Header!$D$34="","?",$AD331*Header!$D$34),"")</f>
      </c>
      <c r="AS331" s="39">
        <f>IF(ISNUMBER($AB331),IF(Header!$D$34="","?",$AB331*Header!$D$34),"")</f>
      </c>
      <c r="AT331" s="42">
        <f>IF(AND(ISNUMBER($AB331),$M331&gt;0),$AB331/$M331*100,"")</f>
      </c>
      <c r="AU331" s="42">
        <f>IF(AND(ISNUMBER($AD331),$M331&gt;0),$AD331/$M331*100,"")</f>
      </c>
      <c r="AV331" s="40">
        <f>IF(AND(ISNUMBER($AB331),ISNUMBER($AD331),ABS($AB331)&gt;0),$AD331/$AB331,"")</f>
      </c>
      <c r="AW331" s="39">
        <f>IF(ISNUMBER($AD331),MAX(0,(1-0.55-Header!$O$3)*Header!$Q$3*$AQ331),"")</f>
      </c>
      <c r="AX331" s="43">
        <f>IF($A331="","",IF(TRIM(IF($A331="","Missing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",""))="","PASS","FAIL: "&amp;TRIM(IF($A331="","Missing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f>
      </c>
      <c r="AY331" s="44">
        <f>IF($M331="","",IF(ISNUMBER($M331),IF($M331&gt;=Header!$C$18,"YES — refer","No"),""))</f>
      </c>
      <c r="AZ331" s="44">
        <f>IF($AD331="","",IF(ISNUMBER($AD331),IF($AD331&lt;Header!$C$20,"BELOW MIN PREMIUM","OK"),""))</f>
      </c>
      <c r="BA331" s="32" t="inlineStr">
        <is>
          <t xml:space="preserve">Yes</t>
        </is>
      </c>
      <c r="BB331" s="32" t="inlineStr">
        <is>
          <t xml:space="preserve">Yes</t>
        </is>
      </c>
      <c r="BC331" s="30" t="inlineStr">
        <is>
          <t xml:space="preserve">Synthetic demo data</t>
        </is>
      </c>
      <c r="BE331" s="45">
        <f>IF(OR($A331="",$L331="",$H331=""),"",IF(AND(LEFT($L331,2)="06",$H331&gt;1945),"FAIL - pre-war class, year "&amp;$H331,IF(AND(LEFT($L331,2)="07",OR($H331&lt;1946,$H331&gt;1972)),"FAIL - 1946-72 class, year "&amp;$H331,IF(AND(LEFT($L331,2)="08",OR($H331&lt;1973,$H331&gt;1999)),"FAIL - 1973-99 class, year "&amp;$H331,IF(AND(LEFT($L331,2)="09",OR($H331&lt;2000,$H331&gt;2010)),"FAIL - 2000-10 class, year "&amp;$H331,"OK")))))</f>
      </c>
      <c r="BF331" s="45">
        <f>IF($AD331="","",IF(ROUND($AO331+$AP331+$AQ331-$AD331,2)=0,"OK","FAIL - out by "&amp;TEXT($AO331+$AP331+$AQ331-$AD331,"$0.00")))</f>
      </c>
    </row>
    <row r="332" spans="1:58" ht="18.75" customHeight="1" x14ac:dyDescent="0.25">
      <c r="A332" s="46" t="inlineStr">
        <is>
          <t xml:space="preserve">CANON-202508-000449</t>
        </is>
      </c>
      <c r="B332" s="46" t="inlineStr">
        <is>
          <t xml:space="preserve">Emiliano Blackwood</t>
        </is>
      </c>
      <c r="C332" s="47">
        <v>45882</v>
      </c>
      <c r="D332" s="48" t="inlineStr">
        <is>
          <t xml:space="preserve">Bound - within authority</t>
        </is>
      </c>
      <c r="E332" s="48" t="inlineStr">
        <is>
          <t xml:space="preserve">New business</t>
        </is>
      </c>
      <c r="F332" s="46" t="inlineStr">
        <is>
          <t xml:space="preserve">B1234EXOTIC26</t>
        </is>
      </c>
      <c r="G332" s="33">
        <f>IF($A332="","",IF($C332="","",YEAR($C332)))</f>
      </c>
      <c r="H332" s="49">
        <v>1966</v>
      </c>
      <c r="I332" s="46" t="inlineStr">
        <is>
          <t xml:space="preserve">Maserati</t>
        </is>
      </c>
      <c r="J332" s="46" t="inlineStr">
        <is>
          <t xml:space="preserve">GranTurismo</t>
        </is>
      </c>
      <c r="K332" s="46" t="inlineStr">
        <is>
          <t xml:space="preserve">W4R2UGX1775DSPSN6</t>
        </is>
      </c>
      <c r="L332" s="48" t="inlineStr">
        <is>
          <t xml:space="preserve">02 - Sports / GT</t>
        </is>
      </c>
      <c r="M332" s="50">
        <v>665000</v>
      </c>
      <c r="N332" s="48" t="inlineStr">
        <is>
          <t xml:space="preserve">Personal</t>
        </is>
      </c>
      <c r="O332" s="46" t="inlineStr">
        <is>
          <t xml:space="preserve">Personal - regular use</t>
        </is>
      </c>
      <c r="P332" s="46" t="inlineStr">
        <is>
          <t xml:space="preserve">Under 1,000</t>
        </is>
      </c>
      <c r="Q332" s="46" t="inlineStr">
        <is>
          <t xml:space="preserve">Connecticut</t>
        </is>
      </c>
      <c r="R332" s="46" t="inlineStr">
        <is>
          <t xml:space="preserve">06103</t>
        </is>
      </c>
      <c r="S332" s="48" t="inlineStr">
        <is>
          <t xml:space="preserve">Tier 3 - Coastal wind (25-100 miles)</t>
        </is>
      </c>
      <c r="T332" s="36">
        <f>IF($A332="","",IF($S332="","",IFERROR(INDEX('[1]natural catastrophe'!$D$6:$D$17,MATCH($S332,'[1]natural catastrophe'!$B$6:$B$17,0)),"?")))</f>
      </c>
      <c r="U332" s="46" t="inlineStr">
        <is>
          <t xml:space="preserve">2% of agreed value, minimum $10,000</t>
        </is>
      </c>
      <c r="V332" s="48" t="inlineStr">
        <is>
          <t xml:space="preserve">Agreed Value</t>
        </is>
      </c>
      <c r="W332" s="46" t="inlineStr">
        <is>
          <t xml:space="preserve">$1,000</t>
        </is>
      </c>
      <c r="X332" s="48" t="inlineStr">
        <is>
          <t xml:space="preserve">$1,000,000 CSL</t>
        </is>
      </c>
      <c r="Y332" s="46"/>
      <c r="Z332" s="46"/>
      <c r="AA332" s="48" t="inlineStr">
        <is>
          <t xml:space="preserve">Surplus Lines</t>
        </is>
      </c>
      <c r="AB332" s="50">
        <v>9134.34</v>
      </c>
      <c r="AC332" s="51">
        <v>0</v>
      </c>
      <c r="AD332" s="38">
        <f>IF(ISNUMBER($AB332),$AB332*(1+N($AC332)),"")</f>
      </c>
      <c r="AE332" s="50">
        <v>350</v>
      </c>
      <c r="AF332" s="50">
        <v>0</v>
      </c>
      <c r="AG332" s="51"/>
      <c r="AH332" s="39">
        <f>IF(ISNUMBER($AD332),($AD332+$AE332+$AF332)*$AG332,"")</f>
      </c>
      <c r="AI332" s="50"/>
      <c r="AJ332" s="38">
        <f>IF(ISNUMBER($AD332),SUM($AD332:$AH332),"")</f>
      </c>
      <c r="AK332" s="40">
        <f>IF(AND(ISNUMBER($AB332),ISNUMBER($AD332)),IF($AB332&gt;0,$AD332/$AB332,""),"")</f>
      </c>
      <c r="AL332" s="48" t="inlineStr">
        <is>
          <t xml:space="preserve">At technical</t>
        </is>
      </c>
      <c r="AM332" s="41">
        <f>IF(ISNUMBER($AD332),Header!$I$3,"")</f>
      </c>
      <c r="AN332" s="39">
        <f>IF(ISNUMBER($AD332),$AO332+$AP332,"")</f>
      </c>
      <c r="AO332" s="39">
        <f>IF(ISNUMBER($AD332),ROUND($AD332*Header!$K$3,2),"")</f>
      </c>
      <c r="AP332" s="39">
        <f>IF(ISNUMBER($AD332),ROUND($AD332*Header!$M$3,2),"")</f>
      </c>
      <c r="AQ332" s="38">
        <f>IF(ISNUMBER($AD332),ROUND($AD332,2)-$AO332-$AP332,"")</f>
      </c>
      <c r="AR332" s="39">
        <f>IF(ISNUMBER($AD332),IF(Header!$D$34="","?",$AD332*Header!$D$34),"")</f>
      </c>
      <c r="AS332" s="39">
        <f>IF(ISNUMBER($AB332),IF(Header!$D$34="","?",$AB332*Header!$D$34),"")</f>
      </c>
      <c r="AT332" s="42">
        <f>IF(AND(ISNUMBER($AB332),$M332&gt;0),$AB332/$M332*100,"")</f>
      </c>
      <c r="AU332" s="42">
        <f>IF(AND(ISNUMBER($AD332),$M332&gt;0),$AD332/$M332*100,"")</f>
      </c>
      <c r="AV332" s="40">
        <f>IF(AND(ISNUMBER($AB332),ISNUMBER($AD332),ABS($AB332)&gt;0),$AD332/$AB332,"")</f>
      </c>
      <c r="AW332" s="39">
        <f>IF(ISNUMBER($AD332),MAX(0,(1-0.55-Header!$O$3)*Header!$Q$3*$AQ332),"")</f>
      </c>
      <c r="AX332" s="43">
        <f>IF($A332="","",IF(TRIM(IF($A332="","Missing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",""))="","PASS","FAIL: "&amp;TRIM(IF($A332="","Missing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f>
      </c>
      <c r="AY332" s="44">
        <f>IF($M332="","",IF(ISNUMBER($M332),IF($M332&gt;=Header!$C$18,"YES — refer","No"),""))</f>
      </c>
      <c r="AZ332" s="44">
        <f>IF($AD332="","",IF(ISNUMBER($AD332),IF($AD332&lt;Header!$C$20,"BELOW MIN PREMIUM","OK"),""))</f>
      </c>
      <c r="BA332" s="48" t="inlineStr">
        <is>
          <t xml:space="preserve">Yes</t>
        </is>
      </c>
      <c r="BB332" s="48" t="inlineStr">
        <is>
          <t xml:space="preserve">Yes</t>
        </is>
      </c>
      <c r="BC332" s="46" t="inlineStr">
        <is>
          <t xml:space="preserve">Synthetic demo data</t>
        </is>
      </c>
      <c r="BE332" s="45">
        <f>IF(OR($A332="",$L332="",$H332=""),"",IF(AND(LEFT($L332,2)="06",$H332&gt;1945),"FAIL - pre-war class, year "&amp;$H332,IF(AND(LEFT($L332,2)="07",OR($H332&lt;1946,$H332&gt;1972)),"FAIL - 1946-72 class, year "&amp;$H332,IF(AND(LEFT($L332,2)="08",OR($H332&lt;1973,$H332&gt;1999)),"FAIL - 1973-99 class, year "&amp;$H332,IF(AND(LEFT($L332,2)="09",OR($H332&lt;2000,$H332&gt;2010)),"FAIL - 2000-10 class, year "&amp;$H332,"OK")))))</f>
      </c>
      <c r="BF332" s="45">
        <f>IF($AD332="","",IF(ROUND($AO332+$AP332+$AQ332-$AD332,2)=0,"OK","FAIL - out by "&amp;TEXT($AO332+$AP332+$AQ332-$AD332,"$0.00")))</f>
      </c>
    </row>
    <row r="333" spans="1:58" ht="18.75" customHeight="1" x14ac:dyDescent="0.25">
      <c r="A333" s="30" t="inlineStr">
        <is>
          <t xml:space="preserve">CANON-202508-000450</t>
        </is>
      </c>
      <c r="B333" s="30" t="inlineStr">
        <is>
          <t xml:space="preserve">Fenwick Fairweather</t>
        </is>
      </c>
      <c r="C333" s="31">
        <v>45887</v>
      </c>
      <c r="D333" s="32" t="inlineStr">
        <is>
          <t xml:space="preserve">Bound - within authority</t>
        </is>
      </c>
      <c r="E333" s="32" t="inlineStr">
        <is>
          <t xml:space="preserve">New business</t>
        </is>
      </c>
      <c r="F333" s="30" t="inlineStr">
        <is>
          <t xml:space="preserve">B1234EXOTIC26</t>
        </is>
      </c>
      <c r="G333" s="33">
        <f>IF($A333="","",IF($C333="","",YEAR($C333)))</f>
      </c>
      <c r="H333" s="34">
        <v>1998</v>
      </c>
      <c r="I333" s="30" t="inlineStr">
        <is>
          <t xml:space="preserve">Ferrari</t>
        </is>
      </c>
      <c r="J333" s="30" t="inlineStr">
        <is>
          <t xml:space="preserve">296 GTB</t>
        </is>
      </c>
      <c r="K333" s="30" t="inlineStr">
        <is>
          <t xml:space="preserve">CRBXARYLRD86FFL4J</t>
        </is>
      </c>
      <c r="L333" s="32" t="inlineStr">
        <is>
          <t xml:space="preserve">03 - Supercar</t>
        </is>
      </c>
      <c r="M333" s="35">
        <v>630000</v>
      </c>
      <c r="N333" s="32" t="inlineStr">
        <is>
          <t xml:space="preserve">Personal</t>
        </is>
      </c>
      <c r="O333" s="30" t="inlineStr">
        <is>
          <t xml:space="preserve">Personal - regular use</t>
        </is>
      </c>
      <c r="P333" s="30" t="inlineStr">
        <is>
          <t xml:space="preserve">Under 1,000</t>
        </is>
      </c>
      <c r="Q333" s="30" t="inlineStr">
        <is>
          <t xml:space="preserve">Minnesota</t>
        </is>
      </c>
      <c r="R333" s="30" t="inlineStr">
        <is>
          <t xml:space="preserve">55401</t>
        </is>
      </c>
      <c r="S333" s="32" t="inlineStr">
        <is>
          <t xml:space="preserve">Severe convective - hail / tornado (moderate)</t>
        </is>
      </c>
      <c r="T333" s="36">
        <f>IF($A333="","",IF($S333="","",IFERROR(INDEX('[1]natural catastrophe'!$D$6:$D$17,MATCH($S333,'[1]natural catastrophe'!$B$6:$B$17,0)),"?")))</f>
      </c>
      <c r="U333" s="30" t="inlineStr">
        <is>
          <t xml:space="preserve">$5,000</t>
        </is>
      </c>
      <c r="V333" s="32" t="inlineStr">
        <is>
          <t xml:space="preserve">Agreed Value</t>
        </is>
      </c>
      <c r="W333" s="30" t="inlineStr">
        <is>
          <t xml:space="preserve">$1,000</t>
        </is>
      </c>
      <c r="X333" s="32" t="inlineStr">
        <is>
          <t xml:space="preserve">$1,000,000 CSL</t>
        </is>
      </c>
      <c r="Y333" s="30"/>
      <c r="Z333" s="30"/>
      <c r="AA333" s="32" t="inlineStr">
        <is>
          <t xml:space="preserve">Surplus Lines</t>
        </is>
      </c>
      <c r="AB333" s="35">
        <v>14906.04</v>
      </c>
      <c r="AC333" s="37">
        <v>0</v>
      </c>
      <c r="AD333" s="38">
        <f>IF(ISNUMBER($AB333),$AB333*(1+N($AC333)),"")</f>
      </c>
      <c r="AE333" s="35">
        <v>350</v>
      </c>
      <c r="AF333" s="35">
        <v>0</v>
      </c>
      <c r="AG333" s="37"/>
      <c r="AH333" s="39">
        <f>IF(ISNUMBER($AD333),($AD333+$AE333+$AF333)*$AG333,"")</f>
      </c>
      <c r="AI333" s="35"/>
      <c r="AJ333" s="38">
        <f>IF(ISNUMBER($AD333),SUM($AD333:$AH333),"")</f>
      </c>
      <c r="AK333" s="40">
        <f>IF(AND(ISNUMBER($AB333),ISNUMBER($AD333)),IF($AB333&gt;0,$AD333/$AB333,""),"")</f>
      </c>
      <c r="AL333" s="32" t="inlineStr">
        <is>
          <t xml:space="preserve">At technical</t>
        </is>
      </c>
      <c r="AM333" s="41">
        <f>IF(ISNUMBER($AD333),Header!$I$3,"")</f>
      </c>
      <c r="AN333" s="39">
        <f>IF(ISNUMBER($AD333),$AO333+$AP333,"")</f>
      </c>
      <c r="AO333" s="39">
        <f>IF(ISNUMBER($AD333),ROUND($AD333*Header!$K$3,2),"")</f>
      </c>
      <c r="AP333" s="39">
        <f>IF(ISNUMBER($AD333),ROUND($AD333*Header!$M$3,2),"")</f>
      </c>
      <c r="AQ333" s="38">
        <f>IF(ISNUMBER($AD333),ROUND($AD333,2)-$AO333-$AP333,"")</f>
      </c>
      <c r="AR333" s="39">
        <f>IF(ISNUMBER($AD333),IF(Header!$D$34="","?",$AD333*Header!$D$34),"")</f>
      </c>
      <c r="AS333" s="39">
        <f>IF(ISNUMBER($AB333),IF(Header!$D$34="","?",$AB333*Header!$D$34),"")</f>
      </c>
      <c r="AT333" s="42">
        <f>IF(AND(ISNUMBER($AB333),$M333&gt;0),$AB333/$M333*100,"")</f>
      </c>
      <c r="AU333" s="42">
        <f>IF(AND(ISNUMBER($AD333),$M333&gt;0),$AD333/$M333*100,"")</f>
      </c>
      <c r="AV333" s="40">
        <f>IF(AND(ISNUMBER($AB333),ISNUMBER($AD333),ABS($AB333)&gt;0),$AD333/$AB333,"")</f>
      </c>
      <c r="AW333" s="39">
        <f>IF(ISNUMBER($AD333),MAX(0,(1-0.55-Header!$O$3)*Header!$Q$3*$AQ333),"")</f>
      </c>
      <c r="AX333" s="43">
        <f>IF($A333="","",IF(TRIM(IF($A333="","Missing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",""))="","PASS","FAIL: "&amp;TRIM(IF($A333="","Missing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f>
      </c>
      <c r="AY333" s="44">
        <f>IF($M333="","",IF(ISNUMBER($M333),IF($M333&gt;=Header!$C$18,"YES — refer","No"),""))</f>
      </c>
      <c r="AZ333" s="44">
        <f>IF($AD333="","",IF(ISNUMBER($AD333),IF($AD333&lt;Header!$C$20,"BELOW MIN PREMIUM","OK"),""))</f>
      </c>
      <c r="BA333" s="32" t="inlineStr">
        <is>
          <t xml:space="preserve">Yes</t>
        </is>
      </c>
      <c r="BB333" s="32" t="inlineStr">
        <is>
          <t xml:space="preserve">Yes</t>
        </is>
      </c>
      <c r="BC333" s="30" t="inlineStr">
        <is>
          <t xml:space="preserve">Synthetic demo data</t>
        </is>
      </c>
      <c r="BE333" s="45">
        <f>IF(OR($A333="",$L333="",$H333=""),"",IF(AND(LEFT($L333,2)="06",$H333&gt;1945),"FAIL - pre-war class, year "&amp;$H333,IF(AND(LEFT($L333,2)="07",OR($H333&lt;1946,$H333&gt;1972)),"FAIL - 1946-72 class, year "&amp;$H333,IF(AND(LEFT($L333,2)="08",OR($H333&lt;1973,$H333&gt;1999)),"FAIL - 1973-99 class, year "&amp;$H333,IF(AND(LEFT($L333,2)="09",OR($H333&lt;2000,$H333&gt;2010)),"FAIL - 2000-10 class, year "&amp;$H333,"OK")))))</f>
      </c>
      <c r="BF333" s="45">
        <f>IF($AD333="","",IF(ROUND($AO333+$AP333+$AQ333-$AD333,2)=0,"OK","FAIL - out by "&amp;TEXT($AO333+$AP333+$AQ333-$AD333,"$0.00")))</f>
      </c>
    </row>
    <row r="334" spans="1:58" ht="18.75" customHeight="1" x14ac:dyDescent="0.25">
      <c r="A334" s="46" t="inlineStr">
        <is>
          <t xml:space="preserve">CANON-202508-000452</t>
        </is>
      </c>
      <c r="B334" s="46" t="inlineStr">
        <is>
          <t xml:space="preserve">Ottilie Merriweather</t>
        </is>
      </c>
      <c r="C334" s="47">
        <v>45886</v>
      </c>
      <c r="D334" s="48" t="inlineStr">
        <is>
          <t xml:space="preserve">Bound - within authority</t>
        </is>
      </c>
      <c r="E334" s="48" t="inlineStr">
        <is>
          <t xml:space="preserve">New business</t>
        </is>
      </c>
      <c r="F334" s="46" t="inlineStr">
        <is>
          <t xml:space="preserve">B1234EXOTIC26</t>
        </is>
      </c>
      <c r="G334" s="33">
        <f>IF($A334="","",IF($C334="","",YEAR($C334)))</f>
      </c>
      <c r="H334" s="49">
        <v>2004</v>
      </c>
      <c r="I334" s="46" t="inlineStr">
        <is>
          <t xml:space="preserve">Ringbrothers</t>
        </is>
      </c>
      <c r="J334" s="46" t="inlineStr">
        <is>
          <t xml:space="preserve">Mustang</t>
        </is>
      </c>
      <c r="K334" s="46" t="inlineStr">
        <is>
          <t xml:space="preserve">B64X85CWDWBX0DUBS</t>
        </is>
      </c>
      <c r="L334" s="48" t="inlineStr">
        <is>
          <t xml:space="preserve">11 - Restomod / Coachbuilt / Bespoke</t>
        </is>
      </c>
      <c r="M334" s="50">
        <v>1070000</v>
      </c>
      <c r="N334" s="48" t="inlineStr">
        <is>
          <t xml:space="preserve">Personal</t>
        </is>
      </c>
      <c r="O334" s="46" t="inlineStr">
        <is>
          <t xml:space="preserve">Personal - regular use</t>
        </is>
      </c>
      <c r="P334" s="46" t="inlineStr">
        <is>
          <t xml:space="preserve">Under 1,000</t>
        </is>
      </c>
      <c r="Q334" s="46" t="inlineStr">
        <is>
          <t xml:space="preserve">Illinois</t>
        </is>
      </c>
      <c r="R334" s="46" t="inlineStr">
        <is>
          <t xml:space="preserve">60601</t>
        </is>
      </c>
      <c r="S334" s="48" t="inlineStr">
        <is>
          <t xml:space="preserve">Severe convective - hail / tornado (moderate)</t>
        </is>
      </c>
      <c r="T334" s="36">
        <f>IF($A334="","",IF($S334="","",IFERROR(INDEX('[1]natural catastrophe'!$D$6:$D$17,MATCH($S334,'[1]natural catastrophe'!$B$6:$B$17,0)),"?")))</f>
      </c>
      <c r="U334" s="46" t="inlineStr">
        <is>
          <t xml:space="preserve">$5,000</t>
        </is>
      </c>
      <c r="V334" s="48" t="inlineStr">
        <is>
          <t xml:space="preserve">Agreed Value</t>
        </is>
      </c>
      <c r="W334" s="46" t="inlineStr">
        <is>
          <t xml:space="preserve">$1,000</t>
        </is>
      </c>
      <c r="X334" s="48" t="inlineStr">
        <is>
          <t xml:space="preserve">$1,000,000 CSL</t>
        </is>
      </c>
      <c r="Y334" s="46"/>
      <c r="Z334" s="46"/>
      <c r="AA334" s="48" t="inlineStr">
        <is>
          <t xml:space="preserve">Surplus Lines</t>
        </is>
      </c>
      <c r="AB334" s="50">
        <v>18670.49</v>
      </c>
      <c r="AC334" s="51">
        <v>0</v>
      </c>
      <c r="AD334" s="38">
        <f>IF(ISNUMBER($AB334),$AB334*(1+N($AC334)),"")</f>
      </c>
      <c r="AE334" s="50">
        <v>350</v>
      </c>
      <c r="AF334" s="50">
        <v>250</v>
      </c>
      <c r="AG334" s="51"/>
      <c r="AH334" s="39">
        <f>IF(ISNUMBER($AD334),($AD334+$AE334+$AF334)*$AG334,"")</f>
      </c>
      <c r="AI334" s="50"/>
      <c r="AJ334" s="38">
        <f>IF(ISNUMBER($AD334),SUM($AD334:$AH334),"")</f>
      </c>
      <c r="AK334" s="40">
        <f>IF(AND(ISNUMBER($AB334),ISNUMBER($AD334)),IF($AB334&gt;0,$AD334/$AB334,""),"")</f>
      </c>
      <c r="AL334" s="48" t="inlineStr">
        <is>
          <t xml:space="preserve">At technical</t>
        </is>
      </c>
      <c r="AM334" s="41">
        <f>IF(ISNUMBER($AD334),Header!$I$3,"")</f>
      </c>
      <c r="AN334" s="39">
        <f>IF(ISNUMBER($AD334),$AO334+$AP334,"")</f>
      </c>
      <c r="AO334" s="39">
        <f>IF(ISNUMBER($AD334),ROUND($AD334*Header!$K$3,2),"")</f>
      </c>
      <c r="AP334" s="39">
        <f>IF(ISNUMBER($AD334),ROUND($AD334*Header!$M$3,2),"")</f>
      </c>
      <c r="AQ334" s="38">
        <f>IF(ISNUMBER($AD334),ROUND($AD334,2)-$AO334-$AP334,"")</f>
      </c>
      <c r="AR334" s="39">
        <f>IF(ISNUMBER($AD334),IF(Header!$D$34="","?",$AD334*Header!$D$34),"")</f>
      </c>
      <c r="AS334" s="39">
        <f>IF(ISNUMBER($AB334),IF(Header!$D$34="","?",$AB334*Header!$D$34),"")</f>
      </c>
      <c r="AT334" s="42">
        <f>IF(AND(ISNUMBER($AB334),$M334&gt;0),$AB334/$M334*100,"")</f>
      </c>
      <c r="AU334" s="42">
        <f>IF(AND(ISNUMBER($AD334),$M334&gt;0),$AD334/$M334*100,"")</f>
      </c>
      <c r="AV334" s="40">
        <f>IF(AND(ISNUMBER($AB334),ISNUMBER($AD334),ABS($AB334)&gt;0),$AD334/$AB334,"")</f>
      </c>
      <c r="AW334" s="39">
        <f>IF(ISNUMBER($AD334),MAX(0,(1-0.55-Header!$O$3)*Header!$Q$3*$AQ334),"")</f>
      </c>
      <c r="AX334" s="43">
        <f>IF($A334="","",IF(TRIM(IF($A334="","Missing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",""))="","PASS","FAIL: "&amp;TRIM(IF($A334="","Missing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f>
      </c>
      <c r="AY334" s="44">
        <f>IF($M334="","",IF(ISNUMBER($M334),IF($M334&gt;=Header!$C$18,"YES — refer","No"),""))</f>
      </c>
      <c r="AZ334" s="44">
        <f>IF($AD334="","",IF(ISNUMBER($AD334),IF($AD334&lt;Header!$C$20,"BELOW MIN PREMIUM","OK"),""))</f>
      </c>
      <c r="BA334" s="48" t="inlineStr">
        <is>
          <t xml:space="preserve">Yes</t>
        </is>
      </c>
      <c r="BB334" s="48" t="inlineStr">
        <is>
          <t xml:space="preserve">Yes</t>
        </is>
      </c>
      <c r="BC334" s="46" t="inlineStr">
        <is>
          <t xml:space="preserve">Synthetic demo data</t>
        </is>
      </c>
      <c r="BE334" s="45">
        <f>IF(OR($A334="",$L334="",$H334=""),"",IF(AND(LEFT($L334,2)="06",$H334&gt;1945),"FAIL - pre-war class, year "&amp;$H334,IF(AND(LEFT($L334,2)="07",OR($H334&lt;1946,$H334&gt;1972)),"FAIL - 1946-72 class, year "&amp;$H334,IF(AND(LEFT($L334,2)="08",OR($H334&lt;1973,$H334&gt;1999)),"FAIL - 1973-99 class, year "&amp;$H334,IF(AND(LEFT($L334,2)="09",OR($H334&lt;2000,$H334&gt;2010)),"FAIL - 2000-10 class, year "&amp;$H334,"OK")))))</f>
      </c>
      <c r="BF334" s="45">
        <f>IF($AD334="","",IF(ROUND($AO334+$AP334+$AQ334-$AD334,2)=0,"OK","FAIL - out by "&amp;TEXT($AO334+$AP334+$AQ334-$AD334,"$0.00")))</f>
      </c>
    </row>
    <row r="335" spans="1:58" ht="18.75" customHeight="1" x14ac:dyDescent="0.25">
      <c r="A335" s="30" t="inlineStr">
        <is>
          <t xml:space="preserve">CANON-202508-000454</t>
        </is>
      </c>
      <c r="B335" s="30" t="inlineStr">
        <is>
          <t xml:space="preserve">Emiliano Vandermeer</t>
        </is>
      </c>
      <c r="C335" s="31">
        <v>45883</v>
      </c>
      <c r="D335" s="32" t="inlineStr">
        <is>
          <t xml:space="preserve">Bound - within authority</t>
        </is>
      </c>
      <c r="E335" s="32" t="inlineStr">
        <is>
          <t xml:space="preserve">New business</t>
        </is>
      </c>
      <c r="F335" s="30" t="inlineStr">
        <is>
          <t xml:space="preserve">B1234EXOTIC26</t>
        </is>
      </c>
      <c r="G335" s="33">
        <f>IF($A335="","",IF($C335="","",YEAR($C335)))</f>
      </c>
      <c r="H335" s="34">
        <v>1992</v>
      </c>
      <c r="I335" s="30" t="inlineStr">
        <is>
          <t xml:space="preserve">Bentley</t>
        </is>
      </c>
      <c r="J335" s="30" t="inlineStr">
        <is>
          <t xml:space="preserve">Continental GT</t>
        </is>
      </c>
      <c r="K335" s="30" t="inlineStr">
        <is>
          <t xml:space="preserve">LATP5A3NDBHV5JYZV</t>
        </is>
      </c>
      <c r="L335" s="32" t="inlineStr">
        <is>
          <t xml:space="preserve">02 - Sports / GT</t>
        </is>
      </c>
      <c r="M335" s="35">
        <v>605000</v>
      </c>
      <c r="N335" s="32" t="inlineStr">
        <is>
          <t xml:space="preserve">Personal</t>
        </is>
      </c>
      <c r="O335" s="30" t="inlineStr">
        <is>
          <t xml:space="preserve">Personal - regular use</t>
        </is>
      </c>
      <c r="P335" s="30" t="inlineStr">
        <is>
          <t xml:space="preserve">2,500 - 5,000</t>
        </is>
      </c>
      <c r="Q335" s="30" t="inlineStr">
        <is>
          <t xml:space="preserve">Texas</t>
        </is>
      </c>
      <c r="R335" s="30" t="inlineStr">
        <is>
          <t xml:space="preserve">75201</t>
        </is>
      </c>
      <c r="S335" s="32" t="inlineStr">
        <is>
          <t xml:space="preserve">Tier 2 - Coastal wind (1-25 miles)</t>
        </is>
      </c>
      <c r="T335" s="36">
        <f>IF($A335="","",IF($S335="","",IFERROR(INDEX('[1]natural catastrophe'!$D$6:$D$17,MATCH($S335,'[1]natural catastrophe'!$B$6:$B$17,0)),"?")))</f>
      </c>
      <c r="U335" s="30" t="inlineStr">
        <is>
          <t xml:space="preserve">2% of agreed value, minimum $10,000</t>
        </is>
      </c>
      <c r="V335" s="32" t="inlineStr">
        <is>
          <t xml:space="preserve">Agreed Value</t>
        </is>
      </c>
      <c r="W335" s="30" t="inlineStr">
        <is>
          <t xml:space="preserve">$1,000</t>
        </is>
      </c>
      <c r="X335" s="32" t="inlineStr">
        <is>
          <t xml:space="preserve">$1,000,000 CSL</t>
        </is>
      </c>
      <c r="Y335" s="30"/>
      <c r="Z335" s="30"/>
      <c r="AA335" s="32" t="inlineStr">
        <is>
          <t xml:space="preserve">Surplus Lines</t>
        </is>
      </c>
      <c r="AB335" s="35">
        <v>8532.78</v>
      </c>
      <c r="AC335" s="37">
        <v>0</v>
      </c>
      <c r="AD335" s="38">
        <f>IF(ISNUMBER($AB335),$AB335*(1+N($AC335)),"")</f>
      </c>
      <c r="AE335" s="35">
        <v>350</v>
      </c>
      <c r="AF335" s="35">
        <v>0</v>
      </c>
      <c r="AG335" s="37"/>
      <c r="AH335" s="39">
        <f>IF(ISNUMBER($AD335),($AD335+$AE335+$AF335)*$AG335,"")</f>
      </c>
      <c r="AI335" s="35"/>
      <c r="AJ335" s="38">
        <f>IF(ISNUMBER($AD335),SUM($AD335:$AH335),"")</f>
      </c>
      <c r="AK335" s="40">
        <f>IF(AND(ISNUMBER($AB335),ISNUMBER($AD335)),IF($AB335&gt;0,$AD335/$AB335,""),"")</f>
      </c>
      <c r="AL335" s="32" t="inlineStr">
        <is>
          <t xml:space="preserve">At technical</t>
        </is>
      </c>
      <c r="AM335" s="41">
        <f>IF(ISNUMBER($AD335),Header!$I$3,"")</f>
      </c>
      <c r="AN335" s="39">
        <f>IF(ISNUMBER($AD335),$AO335+$AP335,"")</f>
      </c>
      <c r="AO335" s="39">
        <f>IF(ISNUMBER($AD335),ROUND($AD335*Header!$K$3,2),"")</f>
      </c>
      <c r="AP335" s="39">
        <f>IF(ISNUMBER($AD335),ROUND($AD335*Header!$M$3,2),"")</f>
      </c>
      <c r="AQ335" s="38">
        <f>IF(ISNUMBER($AD335),ROUND($AD335,2)-$AO335-$AP335,"")</f>
      </c>
      <c r="AR335" s="39">
        <f>IF(ISNUMBER($AD335),IF(Header!$D$34="","?",$AD335*Header!$D$34),"")</f>
      </c>
      <c r="AS335" s="39">
        <f>IF(ISNUMBER($AB335),IF(Header!$D$34="","?",$AB335*Header!$D$34),"")</f>
      </c>
      <c r="AT335" s="42">
        <f>IF(AND(ISNUMBER($AB335),$M335&gt;0),$AB335/$M335*100,"")</f>
      </c>
      <c r="AU335" s="42">
        <f>IF(AND(ISNUMBER($AD335),$M335&gt;0),$AD335/$M335*100,"")</f>
      </c>
      <c r="AV335" s="40">
        <f>IF(AND(ISNUMBER($AB335),ISNUMBER($AD335),ABS($AB335)&gt;0),$AD335/$AB335,"")</f>
      </c>
      <c r="AW335" s="39">
        <f>IF(ISNUMBER($AD335),MAX(0,(1-0.55-Header!$O$3)*Header!$Q$3*$AQ335),"")</f>
      </c>
      <c r="AX335" s="43">
        <f>IF($A335="","",IF(TRIM(IF($A335="","Missing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",""))="","PASS","FAIL: "&amp;TRIM(IF($A335="","Missing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f>
      </c>
      <c r="AY335" s="44">
        <f>IF($M335="","",IF(ISNUMBER($M335),IF($M335&gt;=Header!$C$18,"YES — refer","No"),""))</f>
      </c>
      <c r="AZ335" s="44">
        <f>IF($AD335="","",IF(ISNUMBER($AD335),IF($AD335&lt;Header!$C$20,"BELOW MIN PREMIUM","OK"),""))</f>
      </c>
      <c r="BA335" s="32" t="inlineStr">
        <is>
          <t xml:space="preserve">Yes</t>
        </is>
      </c>
      <c r="BB335" s="32" t="inlineStr">
        <is>
          <t xml:space="preserve">Yes</t>
        </is>
      </c>
      <c r="BC335" s="30" t="inlineStr">
        <is>
          <t xml:space="preserve">Synthetic demo data</t>
        </is>
      </c>
      <c r="BE335" s="45">
        <f>IF(OR($A335="",$L335="",$H335=""),"",IF(AND(LEFT($L335,2)="06",$H335&gt;1945),"FAIL - pre-war class, year "&amp;$H335,IF(AND(LEFT($L335,2)="07",OR($H335&lt;1946,$H335&gt;1972)),"FAIL - 1946-72 class, year "&amp;$H335,IF(AND(LEFT($L335,2)="08",OR($H335&lt;1973,$H335&gt;1999)),"FAIL - 1973-99 class, year "&amp;$H335,IF(AND(LEFT($L335,2)="09",OR($H335&lt;2000,$H335&gt;2010)),"FAIL - 2000-10 class, year "&amp;$H335,"OK")))))</f>
      </c>
      <c r="BF335" s="45">
        <f>IF($AD335="","",IF(ROUND($AO335+$AP335+$AQ335-$AD335,2)=0,"OK","FAIL - out by "&amp;TEXT($AO335+$AP335+$AQ335-$AD335,"$0.00")))</f>
      </c>
    </row>
    <row r="336" spans="1:58" ht="18.75" customHeight="1" x14ac:dyDescent="0.25">
      <c r="A336" s="46" t="inlineStr">
        <is>
          <t xml:space="preserve">CANON-202508-000457</t>
        </is>
      </c>
      <c r="B336" s="46" t="inlineStr">
        <is>
          <t xml:space="preserve">Aurelio Whitlock</t>
        </is>
      </c>
      <c r="C336" s="47">
        <v>45880</v>
      </c>
      <c r="D336" s="48" t="inlineStr">
        <is>
          <t xml:space="preserve">Bound - within authority</t>
        </is>
      </c>
      <c r="E336" s="48" t="inlineStr">
        <is>
          <t xml:space="preserve">New business</t>
        </is>
      </c>
      <c r="F336" s="46" t="inlineStr">
        <is>
          <t xml:space="preserve">B1234EXOTIC26</t>
        </is>
      </c>
      <c r="G336" s="33">
        <f>IF($A336="","",IF($C336="","",YEAR($C336)))</f>
      </c>
      <c r="H336" s="49">
        <v>1967</v>
      </c>
      <c r="I336" s="46" t="inlineStr">
        <is>
          <t xml:space="preserve">Aston Martin</t>
        </is>
      </c>
      <c r="J336" s="46" t="inlineStr">
        <is>
          <t xml:space="preserve">DB12</t>
        </is>
      </c>
      <c r="K336" s="46" t="inlineStr">
        <is>
          <t xml:space="preserve">2J5KK6HZWULKV4E42</t>
        </is>
      </c>
      <c r="L336" s="48" t="inlineStr">
        <is>
          <t xml:space="preserve">02 - Sports / GT</t>
        </is>
      </c>
      <c r="M336" s="50">
        <v>685000</v>
      </c>
      <c r="N336" s="48" t="inlineStr">
        <is>
          <t xml:space="preserve">Personal</t>
        </is>
      </c>
      <c r="O336" s="46" t="inlineStr">
        <is>
          <t xml:space="preserve">Personal - regular use</t>
        </is>
      </c>
      <c r="P336" s="46" t="inlineStr">
        <is>
          <t xml:space="preserve">2,500 - 5,000</t>
        </is>
      </c>
      <c r="Q336" s="46" t="inlineStr">
        <is>
          <t xml:space="preserve">Missouri</t>
        </is>
      </c>
      <c r="R336" s="46" t="inlineStr">
        <is>
          <t xml:space="preserve">63101</t>
        </is>
      </c>
      <c r="S336" s="48" t="inlineStr">
        <is>
          <t xml:space="preserve">Severe convective - hail / tornado (moderate)</t>
        </is>
      </c>
      <c r="T336" s="36">
        <f>IF($A336="","",IF($S336="","",IFERROR(INDEX('[1]natural catastrophe'!$D$6:$D$17,MATCH($S336,'[1]natural catastrophe'!$B$6:$B$17,0)),"?")))</f>
      </c>
      <c r="U336" s="46" t="inlineStr">
        <is>
          <t xml:space="preserve">$5,000</t>
        </is>
      </c>
      <c r="V336" s="48" t="inlineStr">
        <is>
          <t xml:space="preserve">Agreed Value</t>
        </is>
      </c>
      <c r="W336" s="46" t="inlineStr">
        <is>
          <t xml:space="preserve">$1,000</t>
        </is>
      </c>
      <c r="X336" s="48" t="inlineStr">
        <is>
          <t xml:space="preserve">$1,000,000 CSL</t>
        </is>
      </c>
      <c r="Y336" s="46"/>
      <c r="Z336" s="46"/>
      <c r="AA336" s="48" t="inlineStr">
        <is>
          <t xml:space="preserve">Surplus Lines</t>
        </is>
      </c>
      <c r="AB336" s="50">
        <v>8905</v>
      </c>
      <c r="AC336" s="51">
        <v>0</v>
      </c>
      <c r="AD336" s="38">
        <f>IF(ISNUMBER($AB336),$AB336*(1+N($AC336)),"")</f>
      </c>
      <c r="AE336" s="50">
        <v>350</v>
      </c>
      <c r="AF336" s="50">
        <v>0</v>
      </c>
      <c r="AG336" s="51"/>
      <c r="AH336" s="39">
        <f>IF(ISNUMBER($AD336),($AD336+$AE336+$AF336)*$AG336,"")</f>
      </c>
      <c r="AI336" s="50"/>
      <c r="AJ336" s="38">
        <f>IF(ISNUMBER($AD336),SUM($AD336:$AH336),"")</f>
      </c>
      <c r="AK336" s="40">
        <f>IF(AND(ISNUMBER($AB336),ISNUMBER($AD336)),IF($AB336&gt;0,$AD336/$AB336,""),"")</f>
      </c>
      <c r="AL336" s="48" t="inlineStr">
        <is>
          <t xml:space="preserve">At technical</t>
        </is>
      </c>
      <c r="AM336" s="41">
        <f>IF(ISNUMBER($AD336),Header!$I$3,"")</f>
      </c>
      <c r="AN336" s="39">
        <f>IF(ISNUMBER($AD336),$AO336+$AP336,"")</f>
      </c>
      <c r="AO336" s="39">
        <f>IF(ISNUMBER($AD336),ROUND($AD336*Header!$K$3,2),"")</f>
      </c>
      <c r="AP336" s="39">
        <f>IF(ISNUMBER($AD336),ROUND($AD336*Header!$M$3,2),"")</f>
      </c>
      <c r="AQ336" s="38">
        <f>IF(ISNUMBER($AD336),ROUND($AD336,2)-$AO336-$AP336,"")</f>
      </c>
      <c r="AR336" s="39">
        <f>IF(ISNUMBER($AD336),IF(Header!$D$34="","?",$AD336*Header!$D$34),"")</f>
      </c>
      <c r="AS336" s="39">
        <f>IF(ISNUMBER($AB336),IF(Header!$D$34="","?",$AB336*Header!$D$34),"")</f>
      </c>
      <c r="AT336" s="42">
        <f>IF(AND(ISNUMBER($AB336),$M336&gt;0),$AB336/$M336*100,"")</f>
      </c>
      <c r="AU336" s="42">
        <f>IF(AND(ISNUMBER($AD336),$M336&gt;0),$AD336/$M336*100,"")</f>
      </c>
      <c r="AV336" s="40">
        <f>IF(AND(ISNUMBER($AB336),ISNUMBER($AD336),ABS($AB336)&gt;0),$AD336/$AB336,"")</f>
      </c>
      <c r="AW336" s="39">
        <f>IF(ISNUMBER($AD336),MAX(0,(1-0.55-Header!$O$3)*Header!$Q$3*$AQ336),"")</f>
      </c>
      <c r="AX336" s="43">
        <f>IF($A336="","",IF(TRIM(IF($A336="","Missing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",""))="","PASS","FAIL: "&amp;TRIM(IF($A336="","Missing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f>
      </c>
      <c r="AY336" s="44">
        <f>IF($M336="","",IF(ISNUMBER($M336),IF($M336&gt;=Header!$C$18,"YES — refer","No"),""))</f>
      </c>
      <c r="AZ336" s="44">
        <f>IF($AD336="","",IF(ISNUMBER($AD336),IF($AD336&lt;Header!$C$20,"BELOW MIN PREMIUM","OK"),""))</f>
      </c>
      <c r="BA336" s="48" t="inlineStr">
        <is>
          <t xml:space="preserve">Yes</t>
        </is>
      </c>
      <c r="BB336" s="48" t="inlineStr">
        <is>
          <t xml:space="preserve">Yes</t>
        </is>
      </c>
      <c r="BC336" s="46" t="inlineStr">
        <is>
          <t xml:space="preserve">Synthetic demo data</t>
        </is>
      </c>
      <c r="BE336" s="45">
        <f>IF(OR($A336="",$L336="",$H336=""),"",IF(AND(LEFT($L336,2)="06",$H336&gt;1945),"FAIL - pre-war class, year "&amp;$H336,IF(AND(LEFT($L336,2)="07",OR($H336&lt;1946,$H336&gt;1972)),"FAIL - 1946-72 class, year "&amp;$H336,IF(AND(LEFT($L336,2)="08",OR($H336&lt;1973,$H336&gt;1999)),"FAIL - 1973-99 class, year "&amp;$H336,IF(AND(LEFT($L336,2)="09",OR($H336&lt;2000,$H336&gt;2010)),"FAIL - 2000-10 class, year "&amp;$H336,"OK")))))</f>
      </c>
      <c r="BF336" s="45">
        <f>IF($AD336="","",IF(ROUND($AO336+$AP336+$AQ336-$AD336,2)=0,"OK","FAIL - out by "&amp;TEXT($AO336+$AP336+$AQ336-$AD336,"$0.00")))</f>
      </c>
    </row>
    <row r="337" spans="1:58" ht="18.75" customHeight="1" x14ac:dyDescent="0.25">
      <c r="A337" s="30" t="inlineStr">
        <is>
          <t xml:space="preserve">CANON-202508-000458</t>
        </is>
      </c>
      <c r="B337" s="30" t="inlineStr">
        <is>
          <t xml:space="preserve">Desmond Thistlewood</t>
        </is>
      </c>
      <c r="C337" s="31">
        <v>45878</v>
      </c>
      <c r="D337" s="32" t="inlineStr">
        <is>
          <t xml:space="preserve">Bound - within authority</t>
        </is>
      </c>
      <c r="E337" s="32" t="inlineStr">
        <is>
          <t xml:space="preserve">New business</t>
        </is>
      </c>
      <c r="F337" s="30" t="inlineStr">
        <is>
          <t xml:space="preserve">B1234EXOTIC26</t>
        </is>
      </c>
      <c r="G337" s="33">
        <f>IF($A337="","",IF($C337="","",YEAR($C337)))</f>
      </c>
      <c r="H337" s="34">
        <v>2008</v>
      </c>
      <c r="I337" s="30" t="inlineStr">
        <is>
          <t xml:space="preserve">Lamborghini</t>
        </is>
      </c>
      <c r="J337" s="30" t="inlineStr">
        <is>
          <t xml:space="preserve">Huracan EVO</t>
        </is>
      </c>
      <c r="K337" s="30" t="inlineStr">
        <is>
          <t xml:space="preserve">N0P4169ALHJ0NNLVF</t>
        </is>
      </c>
      <c r="L337" s="32" t="inlineStr">
        <is>
          <t xml:space="preserve">03 - Supercar</t>
        </is>
      </c>
      <c r="M337" s="35">
        <v>1840000</v>
      </c>
      <c r="N337" s="32" t="inlineStr">
        <is>
          <t xml:space="preserve">Personal</t>
        </is>
      </c>
      <c r="O337" s="30" t="inlineStr">
        <is>
          <t xml:space="preserve">Personal - regular use</t>
        </is>
      </c>
      <c r="P337" s="30" t="inlineStr">
        <is>
          <t xml:space="preserve">1,000 - 2,500</t>
        </is>
      </c>
      <c r="Q337" s="30" t="inlineStr">
        <is>
          <t xml:space="preserve">Texas</t>
        </is>
      </c>
      <c r="R337" s="30" t="inlineStr">
        <is>
          <t xml:space="preserve">75201</t>
        </is>
      </c>
      <c r="S337" s="32" t="inlineStr">
        <is>
          <t xml:space="preserve">Tier 2 - Coastal wind (1-25 miles)</t>
        </is>
      </c>
      <c r="T337" s="36">
        <f>IF($A337="","",IF($S337="","",IFERROR(INDEX('[1]natural catastrophe'!$D$6:$D$17,MATCH($S337,'[1]natural catastrophe'!$B$6:$B$17,0)),"?")))</f>
      </c>
      <c r="U337" s="30" t="inlineStr">
        <is>
          <t xml:space="preserve">2% of agreed value, minimum $10,000</t>
        </is>
      </c>
      <c r="V337" s="32" t="inlineStr">
        <is>
          <t xml:space="preserve">Agreed Value</t>
        </is>
      </c>
      <c r="W337" s="30" t="inlineStr">
        <is>
          <t xml:space="preserve">$1,000</t>
        </is>
      </c>
      <c r="X337" s="32" t="inlineStr">
        <is>
          <t xml:space="preserve">$1,000,000 CSL</t>
        </is>
      </c>
      <c r="Y337" s="30"/>
      <c r="Z337" s="30"/>
      <c r="AA337" s="32" t="inlineStr">
        <is>
          <t xml:space="preserve">Surplus Lines</t>
        </is>
      </c>
      <c r="AB337" s="35">
        <v>31939.62</v>
      </c>
      <c r="AC337" s="37">
        <v>0</v>
      </c>
      <c r="AD337" s="38">
        <f>IF(ISNUMBER($AB337),$AB337*(1+N($AC337)),"")</f>
      </c>
      <c r="AE337" s="35">
        <v>350</v>
      </c>
      <c r="AF337" s="35">
        <v>250</v>
      </c>
      <c r="AG337" s="37"/>
      <c r="AH337" s="39">
        <f>IF(ISNUMBER($AD337),($AD337+$AE337+$AF337)*$AG337,"")</f>
      </c>
      <c r="AI337" s="35"/>
      <c r="AJ337" s="38">
        <f>IF(ISNUMBER($AD337),SUM($AD337:$AH337),"")</f>
      </c>
      <c r="AK337" s="40">
        <f>IF(AND(ISNUMBER($AB337),ISNUMBER($AD337)),IF($AB337&gt;0,$AD337/$AB337,""),"")</f>
      </c>
      <c r="AL337" s="32" t="inlineStr">
        <is>
          <t xml:space="preserve">At technical</t>
        </is>
      </c>
      <c r="AM337" s="41">
        <f>IF(ISNUMBER($AD337),Header!$I$3,"")</f>
      </c>
      <c r="AN337" s="39">
        <f>IF(ISNUMBER($AD337),$AO337+$AP337,"")</f>
      </c>
      <c r="AO337" s="39">
        <f>IF(ISNUMBER($AD337),ROUND($AD337*Header!$K$3,2),"")</f>
      </c>
      <c r="AP337" s="39">
        <f>IF(ISNUMBER($AD337),ROUND($AD337*Header!$M$3,2),"")</f>
      </c>
      <c r="AQ337" s="38">
        <f>IF(ISNUMBER($AD337),ROUND($AD337,2)-$AO337-$AP337,"")</f>
      </c>
      <c r="AR337" s="39">
        <f>IF(ISNUMBER($AD337),IF(Header!$D$34="","?",$AD337*Header!$D$34),"")</f>
      </c>
      <c r="AS337" s="39">
        <f>IF(ISNUMBER($AB337),IF(Header!$D$34="","?",$AB337*Header!$D$34),"")</f>
      </c>
      <c r="AT337" s="42">
        <f>IF(AND(ISNUMBER($AB337),$M337&gt;0),$AB337/$M337*100,"")</f>
      </c>
      <c r="AU337" s="42">
        <f>IF(AND(ISNUMBER($AD337),$M337&gt;0),$AD337/$M337*100,"")</f>
      </c>
      <c r="AV337" s="40">
        <f>IF(AND(ISNUMBER($AB337),ISNUMBER($AD337),ABS($AB337)&gt;0),$AD337/$AB337,"")</f>
      </c>
      <c r="AW337" s="39">
        <f>IF(ISNUMBER($AD337),MAX(0,(1-0.55-Header!$O$3)*Header!$Q$3*$AQ337),"")</f>
      </c>
      <c r="AX337" s="43">
        <f>IF($A337="","",IF(TRIM(IF($A337="","Missing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",""))="","PASS","FAIL: "&amp;TRIM(IF($A337="","Missing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f>
      </c>
      <c r="AY337" s="44">
        <f>IF($M337="","",IF(ISNUMBER($M337),IF($M337&gt;=Header!$C$18,"YES — refer","No"),""))</f>
      </c>
      <c r="AZ337" s="44">
        <f>IF($AD337="","",IF(ISNUMBER($AD337),IF($AD337&lt;Header!$C$20,"BELOW MIN PREMIUM","OK"),""))</f>
      </c>
      <c r="BA337" s="32" t="inlineStr">
        <is>
          <t xml:space="preserve">Yes</t>
        </is>
      </c>
      <c r="BB337" s="32" t="inlineStr">
        <is>
          <t xml:space="preserve">Yes</t>
        </is>
      </c>
      <c r="BC337" s="30" t="inlineStr">
        <is>
          <t xml:space="preserve">Synthetic demo data</t>
        </is>
      </c>
      <c r="BE337" s="45">
        <f>IF(OR($A337="",$L337="",$H337=""),"",IF(AND(LEFT($L337,2)="06",$H337&gt;1945),"FAIL - pre-war class, year "&amp;$H337,IF(AND(LEFT($L337,2)="07",OR($H337&lt;1946,$H337&gt;1972)),"FAIL - 1946-72 class, year "&amp;$H337,IF(AND(LEFT($L337,2)="08",OR($H337&lt;1973,$H337&gt;1999)),"FAIL - 1973-99 class, year "&amp;$H337,IF(AND(LEFT($L337,2)="09",OR($H337&lt;2000,$H337&gt;2010)),"FAIL - 2000-10 class, year "&amp;$H337,"OK")))))</f>
      </c>
      <c r="BF337" s="45">
        <f>IF($AD337="","",IF(ROUND($AO337+$AP337+$AQ337-$AD337,2)=0,"OK","FAIL - out by "&amp;TEXT($AO337+$AP337+$AQ337-$AD337,"$0.00")))</f>
      </c>
    </row>
    <row r="338" spans="1:58" ht="18.75" customHeight="1" x14ac:dyDescent="0.25">
      <c r="A338" s="46" t="inlineStr">
        <is>
          <t xml:space="preserve">CANON-202508-000460</t>
        </is>
      </c>
      <c r="B338" s="46" t="inlineStr">
        <is>
          <t xml:space="preserve">Mireille Thistlewood</t>
        </is>
      </c>
      <c r="C338" s="47">
        <v>45880</v>
      </c>
      <c r="D338" s="48" t="inlineStr">
        <is>
          <t xml:space="preserve">Bound - within authority</t>
        </is>
      </c>
      <c r="E338" s="48" t="inlineStr">
        <is>
          <t xml:space="preserve">New business</t>
        </is>
      </c>
      <c r="F338" s="46" t="inlineStr">
        <is>
          <t xml:space="preserve">B1234EXOTIC26</t>
        </is>
      </c>
      <c r="G338" s="33">
        <f>IF($A338="","",IF($C338="","",YEAR($C338)))</f>
      </c>
      <c r="H338" s="49">
        <v>1977</v>
      </c>
      <c r="I338" s="46" t="inlineStr">
        <is>
          <t xml:space="preserve">Porsche</t>
        </is>
      </c>
      <c r="J338" s="46" t="inlineStr">
        <is>
          <t xml:space="preserve">911 Turbo S</t>
        </is>
      </c>
      <c r="K338" s="46" t="inlineStr">
        <is>
          <t xml:space="preserve">82UD19PBNM1YNNEB0</t>
        </is>
      </c>
      <c r="L338" s="48" t="inlineStr">
        <is>
          <t xml:space="preserve">02 - Sports / GT</t>
        </is>
      </c>
      <c r="M338" s="50">
        <v>440000</v>
      </c>
      <c r="N338" s="48" t="inlineStr">
        <is>
          <t xml:space="preserve">Personal</t>
        </is>
      </c>
      <c r="O338" s="46" t="inlineStr">
        <is>
          <t xml:space="preserve">Personal - regular use</t>
        </is>
      </c>
      <c r="P338" s="46" t="inlineStr">
        <is>
          <t xml:space="preserve">Under 1,000</t>
        </is>
      </c>
      <c r="Q338" s="46" t="inlineStr">
        <is>
          <t xml:space="preserve">South Dakota</t>
        </is>
      </c>
      <c r="R338" s="46" t="inlineStr">
        <is>
          <t xml:space="preserve">57501</t>
        </is>
      </c>
      <c r="S338" s="48" t="inlineStr">
        <is>
          <t xml:space="preserve">Severe convective - hail alley (high)</t>
        </is>
      </c>
      <c r="T338" s="36">
        <f>IF($A338="","",IF($S338="","",IFERROR(INDEX('[1]natural catastrophe'!$D$6:$D$17,MATCH($S338,'[1]natural catastrophe'!$B$6:$B$17,0)),"?")))</f>
      </c>
      <c r="U338" s="46" t="inlineStr">
        <is>
          <t xml:space="preserve">$5,000</t>
        </is>
      </c>
      <c r="V338" s="48" t="inlineStr">
        <is>
          <t xml:space="preserve">Agreed Value</t>
        </is>
      </c>
      <c r="W338" s="46" t="inlineStr">
        <is>
          <t xml:space="preserve">$1,000</t>
        </is>
      </c>
      <c r="X338" s="48" t="inlineStr">
        <is>
          <t xml:space="preserve">$1,000,000 CSL</t>
        </is>
      </c>
      <c r="Y338" s="46"/>
      <c r="Z338" s="46"/>
      <c r="AA338" s="48" t="inlineStr">
        <is>
          <t xml:space="preserve">Surplus Lines</t>
        </is>
      </c>
      <c r="AB338" s="50">
        <v>6911.32</v>
      </c>
      <c r="AC338" s="51">
        <v>0</v>
      </c>
      <c r="AD338" s="38">
        <f>IF(ISNUMBER($AB338),$AB338*(1+N($AC338)),"")</f>
      </c>
      <c r="AE338" s="50">
        <v>350</v>
      </c>
      <c r="AF338" s="50">
        <v>0</v>
      </c>
      <c r="AG338" s="51"/>
      <c r="AH338" s="39">
        <f>IF(ISNUMBER($AD338),($AD338+$AE338+$AF338)*$AG338,"")</f>
      </c>
      <c r="AI338" s="50"/>
      <c r="AJ338" s="38">
        <f>IF(ISNUMBER($AD338),SUM($AD338:$AH338),"")</f>
      </c>
      <c r="AK338" s="40">
        <f>IF(AND(ISNUMBER($AB338),ISNUMBER($AD338)),IF($AB338&gt;0,$AD338/$AB338,""),"")</f>
      </c>
      <c r="AL338" s="48" t="inlineStr">
        <is>
          <t xml:space="preserve">At technical</t>
        </is>
      </c>
      <c r="AM338" s="41">
        <f>IF(ISNUMBER($AD338),Header!$I$3,"")</f>
      </c>
      <c r="AN338" s="39">
        <f>IF(ISNUMBER($AD338),$AO338+$AP338,"")</f>
      </c>
      <c r="AO338" s="39">
        <f>IF(ISNUMBER($AD338),ROUND($AD338*Header!$K$3,2),"")</f>
      </c>
      <c r="AP338" s="39">
        <f>IF(ISNUMBER($AD338),ROUND($AD338*Header!$M$3,2),"")</f>
      </c>
      <c r="AQ338" s="38">
        <f>IF(ISNUMBER($AD338),ROUND($AD338,2)-$AO338-$AP338,"")</f>
      </c>
      <c r="AR338" s="39">
        <f>IF(ISNUMBER($AD338),IF(Header!$D$34="","?",$AD338*Header!$D$34),"")</f>
      </c>
      <c r="AS338" s="39">
        <f>IF(ISNUMBER($AB338),IF(Header!$D$34="","?",$AB338*Header!$D$34),"")</f>
      </c>
      <c r="AT338" s="42">
        <f>IF(AND(ISNUMBER($AB338),$M338&gt;0),$AB338/$M338*100,"")</f>
      </c>
      <c r="AU338" s="42">
        <f>IF(AND(ISNUMBER($AD338),$M338&gt;0),$AD338/$M338*100,"")</f>
      </c>
      <c r="AV338" s="40">
        <f>IF(AND(ISNUMBER($AB338),ISNUMBER($AD338),ABS($AB338)&gt;0),$AD338/$AB338,"")</f>
      </c>
      <c r="AW338" s="39">
        <f>IF(ISNUMBER($AD338),MAX(0,(1-0.55-Header!$O$3)*Header!$Q$3*$AQ338),"")</f>
      </c>
      <c r="AX338" s="43">
        <f>IF($A338="","",IF(TRIM(IF($A338="","Missing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",""))="","PASS","FAIL: "&amp;TRIM(IF($A338="","Missing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f>
      </c>
      <c r="AY338" s="44">
        <f>IF($M338="","",IF(ISNUMBER($M338),IF($M338&gt;=Header!$C$18,"YES — refer","No"),""))</f>
      </c>
      <c r="AZ338" s="44">
        <f>IF($AD338="","",IF(ISNUMBER($AD338),IF($AD338&lt;Header!$C$20,"BELOW MIN PREMIUM","OK"),""))</f>
      </c>
      <c r="BA338" s="48" t="inlineStr">
        <is>
          <t xml:space="preserve">Yes</t>
        </is>
      </c>
      <c r="BB338" s="48" t="inlineStr">
        <is>
          <t xml:space="preserve">Yes</t>
        </is>
      </c>
      <c r="BC338" s="46" t="inlineStr">
        <is>
          <t xml:space="preserve">Synthetic demo data</t>
        </is>
      </c>
      <c r="BE338" s="45">
        <f>IF(OR($A338="",$L338="",$H338=""),"",IF(AND(LEFT($L338,2)="06",$H338&gt;1945),"FAIL - pre-war class, year "&amp;$H338,IF(AND(LEFT($L338,2)="07",OR($H338&lt;1946,$H338&gt;1972)),"FAIL - 1946-72 class, year "&amp;$H338,IF(AND(LEFT($L338,2)="08",OR($H338&lt;1973,$H338&gt;1999)),"FAIL - 1973-99 class, year "&amp;$H338,IF(AND(LEFT($L338,2)="09",OR($H338&lt;2000,$H338&gt;2010)),"FAIL - 2000-10 class, year "&amp;$H338,"OK")))))</f>
      </c>
      <c r="BF338" s="45">
        <f>IF($AD338="","",IF(ROUND($AO338+$AP338+$AQ338-$AD338,2)=0,"OK","FAIL - out by "&amp;TEXT($AO338+$AP338+$AQ338-$AD338,"$0.00")))</f>
      </c>
    </row>
    <row r="339" spans="1:58" ht="18.75" customHeight="1" x14ac:dyDescent="0.25">
      <c r="A339" s="30" t="inlineStr">
        <is>
          <t xml:space="preserve">CANON-202508-000461</t>
        </is>
      </c>
      <c r="B339" s="30" t="inlineStr">
        <is>
          <t xml:space="preserve">Fitzgerald Vasquez</t>
        </is>
      </c>
      <c r="C339" s="31">
        <v>45877</v>
      </c>
      <c r="D339" s="32" t="inlineStr">
        <is>
          <t xml:space="preserve">Bound - within authority</t>
        </is>
      </c>
      <c r="E339" s="32" t="inlineStr">
        <is>
          <t xml:space="preserve">New business</t>
        </is>
      </c>
      <c r="F339" s="30" t="inlineStr">
        <is>
          <t xml:space="preserve">B1234EXOTIC26</t>
        </is>
      </c>
      <c r="G339" s="33">
        <f>IF($A339="","",IF($C339="","",YEAR($C339)))</f>
      </c>
      <c r="H339" s="34">
        <v>2008</v>
      </c>
      <c r="I339" s="30" t="inlineStr">
        <is>
          <t xml:space="preserve">Bentley</t>
        </is>
      </c>
      <c r="J339" s="30" t="inlineStr">
        <is>
          <t xml:space="preserve">Continental GT</t>
        </is>
      </c>
      <c r="K339" s="30" t="inlineStr">
        <is>
          <t xml:space="preserve">TVD6EDNTW86ZX63TT</t>
        </is>
      </c>
      <c r="L339" s="32" t="inlineStr">
        <is>
          <t xml:space="preserve">02 - Sports / GT</t>
        </is>
      </c>
      <c r="M339" s="35">
        <v>415000</v>
      </c>
      <c r="N339" s="32" t="inlineStr">
        <is>
          <t xml:space="preserve">Personal</t>
        </is>
      </c>
      <c r="O339" s="30" t="inlineStr">
        <is>
          <t xml:space="preserve">Personal - regular use</t>
        </is>
      </c>
      <c r="P339" s="30" t="inlineStr">
        <is>
          <t xml:space="preserve">Under 1,000</t>
        </is>
      </c>
      <c r="Q339" s="30" t="inlineStr">
        <is>
          <t xml:space="preserve">New Jersey</t>
        </is>
      </c>
      <c r="R339" s="30" t="inlineStr">
        <is>
          <t xml:space="preserve">07102</t>
        </is>
      </c>
      <c r="S339" s="32" t="inlineStr">
        <is>
          <t xml:space="preserve">Tier 3 - Coastal wind (25-100 miles)</t>
        </is>
      </c>
      <c r="T339" s="36">
        <f>IF($A339="","",IF($S339="","",IFERROR(INDEX('[1]natural catastrophe'!$D$6:$D$17,MATCH($S339,'[1]natural catastrophe'!$B$6:$B$17,0)),"?")))</f>
      </c>
      <c r="U339" s="30" t="inlineStr">
        <is>
          <t xml:space="preserve">2% of agreed value, minimum $10,000</t>
        </is>
      </c>
      <c r="V339" s="32" t="inlineStr">
        <is>
          <t xml:space="preserve">Agreed Value</t>
        </is>
      </c>
      <c r="W339" s="30" t="inlineStr">
        <is>
          <t xml:space="preserve">$1,000</t>
        </is>
      </c>
      <c r="X339" s="32" t="inlineStr">
        <is>
          <t xml:space="preserve">$1,000,000 CSL</t>
        </is>
      </c>
      <c r="Y339" s="30"/>
      <c r="Z339" s="30"/>
      <c r="AA339" s="32" t="inlineStr">
        <is>
          <t xml:space="preserve">Surplus Lines</t>
        </is>
      </c>
      <c r="AB339" s="35">
        <v>5344.1</v>
      </c>
      <c r="AC339" s="37">
        <v>0</v>
      </c>
      <c r="AD339" s="38">
        <f>IF(ISNUMBER($AB339),$AB339*(1+N($AC339)),"")</f>
      </c>
      <c r="AE339" s="35">
        <v>350</v>
      </c>
      <c r="AF339" s="35">
        <v>0</v>
      </c>
      <c r="AG339" s="37"/>
      <c r="AH339" s="39">
        <f>IF(ISNUMBER($AD339),($AD339+$AE339+$AF339)*$AG339,"")</f>
      </c>
      <c r="AI339" s="35"/>
      <c r="AJ339" s="38">
        <f>IF(ISNUMBER($AD339),SUM($AD339:$AH339),"")</f>
      </c>
      <c r="AK339" s="40">
        <f>IF(AND(ISNUMBER($AB339),ISNUMBER($AD339)),IF($AB339&gt;0,$AD339/$AB339,""),"")</f>
      </c>
      <c r="AL339" s="32" t="inlineStr">
        <is>
          <t xml:space="preserve">At technical</t>
        </is>
      </c>
      <c r="AM339" s="41">
        <f>IF(ISNUMBER($AD339),Header!$I$3,"")</f>
      </c>
      <c r="AN339" s="39">
        <f>IF(ISNUMBER($AD339),$AO339+$AP339,"")</f>
      </c>
      <c r="AO339" s="39">
        <f>IF(ISNUMBER($AD339),ROUND($AD339*Header!$K$3,2),"")</f>
      </c>
      <c r="AP339" s="39">
        <f>IF(ISNUMBER($AD339),ROUND($AD339*Header!$M$3,2),"")</f>
      </c>
      <c r="AQ339" s="38">
        <f>IF(ISNUMBER($AD339),ROUND($AD339,2)-$AO339-$AP339,"")</f>
      </c>
      <c r="AR339" s="39">
        <f>IF(ISNUMBER($AD339),IF(Header!$D$34="","?",$AD339*Header!$D$34),"")</f>
      </c>
      <c r="AS339" s="39">
        <f>IF(ISNUMBER($AB339),IF(Header!$D$34="","?",$AB339*Header!$D$34),"")</f>
      </c>
      <c r="AT339" s="42">
        <f>IF(AND(ISNUMBER($AB339),$M339&gt;0),$AB339/$M339*100,"")</f>
      </c>
      <c r="AU339" s="42">
        <f>IF(AND(ISNUMBER($AD339),$M339&gt;0),$AD339/$M339*100,"")</f>
      </c>
      <c r="AV339" s="40">
        <f>IF(AND(ISNUMBER($AB339),ISNUMBER($AD339),ABS($AB339)&gt;0),$AD339/$AB339,"")</f>
      </c>
      <c r="AW339" s="39">
        <f>IF(ISNUMBER($AD339),MAX(0,(1-0.55-Header!$O$3)*Header!$Q$3*$AQ339),"")</f>
      </c>
      <c r="AX339" s="43">
        <f>IF($A339="","",IF(TRIM(IF($A339="","Missing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",""))="","PASS","FAIL: "&amp;TRIM(IF($A339="","Missing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f>
      </c>
      <c r="AY339" s="44">
        <f>IF($M339="","",IF(ISNUMBER($M339),IF($M339&gt;=Header!$C$18,"YES — refer","No"),""))</f>
      </c>
      <c r="AZ339" s="44">
        <f>IF($AD339="","",IF(ISNUMBER($AD339),IF($AD339&lt;Header!$C$20,"BELOW MIN PREMIUM","OK"),""))</f>
      </c>
      <c r="BA339" s="32" t="inlineStr">
        <is>
          <t xml:space="preserve">Yes</t>
        </is>
      </c>
      <c r="BB339" s="32" t="inlineStr">
        <is>
          <t xml:space="preserve">Yes</t>
        </is>
      </c>
      <c r="BC339" s="30" t="inlineStr">
        <is>
          <t xml:space="preserve">Synthetic demo data</t>
        </is>
      </c>
      <c r="BE339" s="45">
        <f>IF(OR($A339="",$L339="",$H339=""),"",IF(AND(LEFT($L339,2)="06",$H339&gt;1945),"FAIL - pre-war class, year "&amp;$H339,IF(AND(LEFT($L339,2)="07",OR($H339&lt;1946,$H339&gt;1972)),"FAIL - 1946-72 class, year "&amp;$H339,IF(AND(LEFT($L339,2)="08",OR($H339&lt;1973,$H339&gt;1999)),"FAIL - 1973-99 class, year "&amp;$H339,IF(AND(LEFT($L339,2)="09",OR($H339&lt;2000,$H339&gt;2010)),"FAIL - 2000-10 class, year "&amp;$H339,"OK")))))</f>
      </c>
      <c r="BF339" s="45">
        <f>IF($AD339="","",IF(ROUND($AO339+$AP339+$AQ339-$AD339,2)=0,"OK","FAIL - out by "&amp;TEXT($AO339+$AP339+$AQ339-$AD339,"$0.00")))</f>
      </c>
    </row>
    <row r="340" spans="1:58" ht="18.75" customHeight="1" x14ac:dyDescent="0.25">
      <c r="A340" s="46" t="inlineStr">
        <is>
          <t xml:space="preserve">CANON-202508-000462</t>
        </is>
      </c>
      <c r="B340" s="46" t="inlineStr">
        <is>
          <t xml:space="preserve">Anouk Ashcombe</t>
        </is>
      </c>
      <c r="C340" s="47">
        <v>45895</v>
      </c>
      <c r="D340" s="48" t="inlineStr">
        <is>
          <t xml:space="preserve">Bound - within authority</t>
        </is>
      </c>
      <c r="E340" s="48" t="inlineStr">
        <is>
          <t xml:space="preserve">New business</t>
        </is>
      </c>
      <c r="F340" s="46" t="inlineStr">
        <is>
          <t xml:space="preserve">B1234EXOTIC26</t>
        </is>
      </c>
      <c r="G340" s="33">
        <f>IF($A340="","",IF($C340="","",YEAR($C340)))</f>
      </c>
      <c r="H340" s="49">
        <v>2013</v>
      </c>
      <c r="I340" s="46" t="inlineStr">
        <is>
          <t xml:space="preserve">Mercedes-Benz</t>
        </is>
      </c>
      <c r="J340" s="46" t="inlineStr">
        <is>
          <t xml:space="preserve">280SL Pagoda</t>
        </is>
      </c>
      <c r="K340" s="46" t="inlineStr">
        <is>
          <t xml:space="preserve">9HFMP2S78E69LBACJ</t>
        </is>
      </c>
      <c r="L340" s="48" t="inlineStr">
        <is>
          <t xml:space="preserve">02 - Sports / GT</t>
        </is>
      </c>
      <c r="M340" s="50">
        <v>730000</v>
      </c>
      <c r="N340" s="48" t="inlineStr">
        <is>
          <t xml:space="preserve">Personal</t>
        </is>
      </c>
      <c r="O340" s="46" t="inlineStr">
        <is>
          <t xml:space="preserve">Personal - regular use</t>
        </is>
      </c>
      <c r="P340" s="46" t="inlineStr">
        <is>
          <t xml:space="preserve">2,500 - 5,000</t>
        </is>
      </c>
      <c r="Q340" s="46" t="inlineStr">
        <is>
          <t xml:space="preserve">Florida</t>
        </is>
      </c>
      <c r="R340" s="46" t="inlineStr">
        <is>
          <t xml:space="preserve">33139</t>
        </is>
      </c>
      <c r="S340" s="48" t="inlineStr">
        <is>
          <t xml:space="preserve">Tier 2 - Coastal wind (1-25 miles)</t>
        </is>
      </c>
      <c r="T340" s="36">
        <f>IF($A340="","",IF($S340="","",IFERROR(INDEX('[1]natural catastrophe'!$D$6:$D$17,MATCH($S340,'[1]natural catastrophe'!$B$6:$B$17,0)),"?")))</f>
      </c>
      <c r="U340" s="46" t="inlineStr">
        <is>
          <t xml:space="preserve">2% of agreed value, minimum $10,000</t>
        </is>
      </c>
      <c r="V340" s="48" t="inlineStr">
        <is>
          <t xml:space="preserve">Agreed Value</t>
        </is>
      </c>
      <c r="W340" s="46" t="inlineStr">
        <is>
          <t xml:space="preserve">$1,000</t>
        </is>
      </c>
      <c r="X340" s="48" t="inlineStr">
        <is>
          <t xml:space="preserve">$1,000,000 CSL</t>
        </is>
      </c>
      <c r="Y340" s="46"/>
      <c r="Z340" s="46"/>
      <c r="AA340" s="48" t="inlineStr">
        <is>
          <t xml:space="preserve">Surplus Lines</t>
        </is>
      </c>
      <c r="AB340" s="50">
        <v>8410.15</v>
      </c>
      <c r="AC340" s="51">
        <v>0</v>
      </c>
      <c r="AD340" s="38">
        <f>IF(ISNUMBER($AB340),$AB340*(1+N($AC340)),"")</f>
      </c>
      <c r="AE340" s="50">
        <v>350</v>
      </c>
      <c r="AF340" s="50">
        <v>0</v>
      </c>
      <c r="AG340" s="51"/>
      <c r="AH340" s="39">
        <f>IF(ISNUMBER($AD340),($AD340+$AE340+$AF340)*$AG340,"")</f>
      </c>
      <c r="AI340" s="50"/>
      <c r="AJ340" s="38">
        <f>IF(ISNUMBER($AD340),SUM($AD340:$AH340),"")</f>
      </c>
      <c r="AK340" s="40">
        <f>IF(AND(ISNUMBER($AB340),ISNUMBER($AD340)),IF($AB340&gt;0,$AD340/$AB340,""),"")</f>
      </c>
      <c r="AL340" s="48" t="inlineStr">
        <is>
          <t xml:space="preserve">At technical</t>
        </is>
      </c>
      <c r="AM340" s="41">
        <f>IF(ISNUMBER($AD340),Header!$I$3,"")</f>
      </c>
      <c r="AN340" s="39">
        <f>IF(ISNUMBER($AD340),$AO340+$AP340,"")</f>
      </c>
      <c r="AO340" s="39">
        <f>IF(ISNUMBER($AD340),ROUND($AD340*Header!$K$3,2),"")</f>
      </c>
      <c r="AP340" s="39">
        <f>IF(ISNUMBER($AD340),ROUND($AD340*Header!$M$3,2),"")</f>
      </c>
      <c r="AQ340" s="38">
        <f>IF(ISNUMBER($AD340),ROUND($AD340,2)-$AO340-$AP340,"")</f>
      </c>
      <c r="AR340" s="39">
        <f>IF(ISNUMBER($AD340),IF(Header!$D$34="","?",$AD340*Header!$D$34),"")</f>
      </c>
      <c r="AS340" s="39">
        <f>IF(ISNUMBER($AB340),IF(Header!$D$34="","?",$AB340*Header!$D$34),"")</f>
      </c>
      <c r="AT340" s="42">
        <f>IF(AND(ISNUMBER($AB340),$M340&gt;0),$AB340/$M340*100,"")</f>
      </c>
      <c r="AU340" s="42">
        <f>IF(AND(ISNUMBER($AD340),$M340&gt;0),$AD340/$M340*100,"")</f>
      </c>
      <c r="AV340" s="40">
        <f>IF(AND(ISNUMBER($AB340),ISNUMBER($AD340),ABS($AB340)&gt;0),$AD340/$AB340,"")</f>
      </c>
      <c r="AW340" s="39">
        <f>IF(ISNUMBER($AD340),MAX(0,(1-0.55-Header!$O$3)*Header!$Q$3*$AQ340),"")</f>
      </c>
      <c r="AX340" s="43">
        <f>IF($A340="","",IF(TRIM(IF($A340="","Missing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",""))="","PASS","FAIL: "&amp;TRIM(IF($A340="","Missing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f>
      </c>
      <c r="AY340" s="44">
        <f>IF($M340="","",IF(ISNUMBER($M340),IF($M340&gt;=Header!$C$18,"YES — refer","No"),""))</f>
      </c>
      <c r="AZ340" s="44">
        <f>IF($AD340="","",IF(ISNUMBER($AD340),IF($AD340&lt;Header!$C$20,"BELOW MIN PREMIUM","OK"),""))</f>
      </c>
      <c r="BA340" s="48" t="inlineStr">
        <is>
          <t xml:space="preserve">Yes</t>
        </is>
      </c>
      <c r="BB340" s="48" t="inlineStr">
        <is>
          <t xml:space="preserve">Yes</t>
        </is>
      </c>
      <c r="BC340" s="46" t="inlineStr">
        <is>
          <t xml:space="preserve">Synthetic demo data</t>
        </is>
      </c>
      <c r="BE340" s="45">
        <f>IF(OR($A340="",$L340="",$H340=""),"",IF(AND(LEFT($L340,2)="06",$H340&gt;1945),"FAIL - pre-war class, year "&amp;$H340,IF(AND(LEFT($L340,2)="07",OR($H340&lt;1946,$H340&gt;1972)),"FAIL - 1946-72 class, year "&amp;$H340,IF(AND(LEFT($L340,2)="08",OR($H340&lt;1973,$H340&gt;1999)),"FAIL - 1973-99 class, year "&amp;$H340,IF(AND(LEFT($L340,2)="09",OR($H340&lt;2000,$H340&gt;2010)),"FAIL - 2000-10 class, year "&amp;$H340,"OK")))))</f>
      </c>
      <c r="BF340" s="45">
        <f>IF($AD340="","",IF(ROUND($AO340+$AP340+$AQ340-$AD340,2)=0,"OK","FAIL - out by "&amp;TEXT($AO340+$AP340+$AQ340-$AD340,"$0.00")))</f>
      </c>
    </row>
    <row r="341" spans="1:58" ht="18.75" customHeight="1" x14ac:dyDescent="0.25">
      <c r="A341" s="30" t="inlineStr">
        <is>
          <t xml:space="preserve">CANON-202508-000463</t>
        </is>
      </c>
      <c r="B341" s="30" t="inlineStr">
        <is>
          <t xml:space="preserve">Cassius Blackwood</t>
        </is>
      </c>
      <c r="C341" s="31">
        <v>45891</v>
      </c>
      <c r="D341" s="32" t="inlineStr">
        <is>
          <t xml:space="preserve">Bound - within authority</t>
        </is>
      </c>
      <c r="E341" s="32" t="inlineStr">
        <is>
          <t xml:space="preserve">New business</t>
        </is>
      </c>
      <c r="F341" s="30" t="inlineStr">
        <is>
          <t xml:space="preserve">B1234EXOTIC26</t>
        </is>
      </c>
      <c r="G341" s="33">
        <f>IF($A341="","",IF($C341="","",YEAR($C341)))</f>
      </c>
      <c r="H341" s="34">
        <v>1976</v>
      </c>
      <c r="I341" s="30" t="inlineStr">
        <is>
          <t xml:space="preserve">Lamborghini</t>
        </is>
      </c>
      <c r="J341" s="30" t="inlineStr">
        <is>
          <t xml:space="preserve">Huracan EVO</t>
        </is>
      </c>
      <c r="K341" s="30" t="inlineStr">
        <is>
          <t xml:space="preserve">LBESMTKF6D6GPMV20</t>
        </is>
      </c>
      <c r="L341" s="32" t="inlineStr">
        <is>
          <t xml:space="preserve">03 - Supercar</t>
        </is>
      </c>
      <c r="M341" s="35">
        <v>265000</v>
      </c>
      <c r="N341" s="32" t="inlineStr">
        <is>
          <t xml:space="preserve">Personal</t>
        </is>
      </c>
      <c r="O341" s="30" t="inlineStr">
        <is>
          <t xml:space="preserve">Personal - regular use</t>
        </is>
      </c>
      <c r="P341" s="30" t="inlineStr">
        <is>
          <t xml:space="preserve">2,500 - 5,000</t>
        </is>
      </c>
      <c r="Q341" s="30" t="inlineStr">
        <is>
          <t xml:space="preserve">Texas</t>
        </is>
      </c>
      <c r="R341" s="30" t="inlineStr">
        <is>
          <t xml:space="preserve">75201</t>
        </is>
      </c>
      <c r="S341" s="32" t="inlineStr">
        <is>
          <t xml:space="preserve">Tier 2 - Coastal wind (1-25 miles)</t>
        </is>
      </c>
      <c r="T341" s="36">
        <f>IF($A341="","",IF($S341="","",IFERROR(INDEX('[1]natural catastrophe'!$D$6:$D$17,MATCH($S341,'[1]natural catastrophe'!$B$6:$B$17,0)),"?")))</f>
      </c>
      <c r="U341" s="30" t="inlineStr">
        <is>
          <t xml:space="preserve">2% of agreed value, minimum $10,000</t>
        </is>
      </c>
      <c r="V341" s="32" t="inlineStr">
        <is>
          <t xml:space="preserve">Agreed Value</t>
        </is>
      </c>
      <c r="W341" s="30" t="inlineStr">
        <is>
          <t xml:space="preserve">$1,000</t>
        </is>
      </c>
      <c r="X341" s="32" t="inlineStr">
        <is>
          <t xml:space="preserve">$1,000,000 CSL</t>
        </is>
      </c>
      <c r="Y341" s="30"/>
      <c r="Z341" s="30"/>
      <c r="AA341" s="32" t="inlineStr">
        <is>
          <t xml:space="preserve">Surplus Lines</t>
        </is>
      </c>
      <c r="AB341" s="35">
        <v>6612.5</v>
      </c>
      <c r="AC341" s="37">
        <v>0</v>
      </c>
      <c r="AD341" s="38">
        <f>IF(ISNUMBER($AB341),$AB341*(1+N($AC341)),"")</f>
      </c>
      <c r="AE341" s="35">
        <v>350</v>
      </c>
      <c r="AF341" s="35">
        <v>0</v>
      </c>
      <c r="AG341" s="37"/>
      <c r="AH341" s="39">
        <f>IF(ISNUMBER($AD341),($AD341+$AE341+$AF341)*$AG341,"")</f>
      </c>
      <c r="AI341" s="35"/>
      <c r="AJ341" s="38">
        <f>IF(ISNUMBER($AD341),SUM($AD341:$AH341),"")</f>
      </c>
      <c r="AK341" s="40">
        <f>IF(AND(ISNUMBER($AB341),ISNUMBER($AD341)),IF($AB341&gt;0,$AD341/$AB341,""),"")</f>
      </c>
      <c r="AL341" s="32" t="inlineStr">
        <is>
          <t xml:space="preserve">At technical</t>
        </is>
      </c>
      <c r="AM341" s="41">
        <f>IF(ISNUMBER($AD341),Header!$I$3,"")</f>
      </c>
      <c r="AN341" s="39">
        <f>IF(ISNUMBER($AD341),$AO341+$AP341,"")</f>
      </c>
      <c r="AO341" s="39">
        <f>IF(ISNUMBER($AD341),ROUND($AD341*Header!$K$3,2),"")</f>
      </c>
      <c r="AP341" s="39">
        <f>IF(ISNUMBER($AD341),ROUND($AD341*Header!$M$3,2),"")</f>
      </c>
      <c r="AQ341" s="38">
        <f>IF(ISNUMBER($AD341),ROUND($AD341,2)-$AO341-$AP341,"")</f>
      </c>
      <c r="AR341" s="39">
        <f>IF(ISNUMBER($AD341),IF(Header!$D$34="","?",$AD341*Header!$D$34),"")</f>
      </c>
      <c r="AS341" s="39">
        <f>IF(ISNUMBER($AB341),IF(Header!$D$34="","?",$AB341*Header!$D$34),"")</f>
      </c>
      <c r="AT341" s="42">
        <f>IF(AND(ISNUMBER($AB341),$M341&gt;0),$AB341/$M341*100,"")</f>
      </c>
      <c r="AU341" s="42">
        <f>IF(AND(ISNUMBER($AD341),$M341&gt;0),$AD341/$M341*100,"")</f>
      </c>
      <c r="AV341" s="40">
        <f>IF(AND(ISNUMBER($AB341),ISNUMBER($AD341),ABS($AB341)&gt;0),$AD341/$AB341,"")</f>
      </c>
      <c r="AW341" s="39">
        <f>IF(ISNUMBER($AD341),MAX(0,(1-0.55-Header!$O$3)*Header!$Q$3*$AQ341),"")</f>
      </c>
      <c r="AX341" s="43">
        <f>IF($A341="","",IF(TRIM(IF($A341="","Missing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",""))="","PASS","FAIL: "&amp;TRIM(IF($A341="","Missing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f>
      </c>
      <c r="AY341" s="44">
        <f>IF($M341="","",IF(ISNUMBER($M341),IF($M341&gt;=Header!$C$18,"YES — refer","No"),""))</f>
      </c>
      <c r="AZ341" s="44">
        <f>IF($AD341="","",IF(ISNUMBER($AD341),IF($AD341&lt;Header!$C$20,"BELOW MIN PREMIUM","OK"),""))</f>
      </c>
      <c r="BA341" s="32" t="inlineStr">
        <is>
          <t xml:space="preserve">Yes</t>
        </is>
      </c>
      <c r="BB341" s="32" t="inlineStr">
        <is>
          <t xml:space="preserve">Yes</t>
        </is>
      </c>
      <c r="BC341" s="30" t="inlineStr">
        <is>
          <t xml:space="preserve">Synthetic demo data</t>
        </is>
      </c>
      <c r="BE341" s="45">
        <f>IF(OR($A341="",$L341="",$H341=""),"",IF(AND(LEFT($L341,2)="06",$H341&gt;1945),"FAIL - pre-war class, year "&amp;$H341,IF(AND(LEFT($L341,2)="07",OR($H341&lt;1946,$H341&gt;1972)),"FAIL - 1946-72 class, year "&amp;$H341,IF(AND(LEFT($L341,2)="08",OR($H341&lt;1973,$H341&gt;1999)),"FAIL - 1973-99 class, year "&amp;$H341,IF(AND(LEFT($L341,2)="09",OR($H341&lt;2000,$H341&gt;2010)),"FAIL - 2000-10 class, year "&amp;$H341,"OK")))))</f>
      </c>
      <c r="BF341" s="45">
        <f>IF($AD341="","",IF(ROUND($AO341+$AP341+$AQ341-$AD341,2)=0,"OK","FAIL - out by "&amp;TEXT($AO341+$AP341+$AQ341-$AD341,"$0.00")))</f>
      </c>
    </row>
    <row r="342" spans="1:58" ht="18.75" customHeight="1" x14ac:dyDescent="0.25">
      <c r="A342" s="46" t="inlineStr">
        <is>
          <t xml:space="preserve">CANON-202508-000464</t>
        </is>
      </c>
      <c r="B342" s="46" t="inlineStr">
        <is>
          <t xml:space="preserve">Cassius Vasquez</t>
        </is>
      </c>
      <c r="C342" s="47">
        <v>45891</v>
      </c>
      <c r="D342" s="48" t="inlineStr">
        <is>
          <t xml:space="preserve">Bound - within authority</t>
        </is>
      </c>
      <c r="E342" s="48" t="inlineStr">
        <is>
          <t xml:space="preserve">New business</t>
        </is>
      </c>
      <c r="F342" s="46" t="inlineStr">
        <is>
          <t xml:space="preserve">B1234EXOTIC26</t>
        </is>
      </c>
      <c r="G342" s="33">
        <f>IF($A342="","",IF($C342="","",YEAR($C342)))</f>
      </c>
      <c r="H342" s="49">
        <v>1967</v>
      </c>
      <c r="I342" s="46" t="inlineStr">
        <is>
          <t xml:space="preserve">Maserati</t>
        </is>
      </c>
      <c r="J342" s="46" t="inlineStr">
        <is>
          <t xml:space="preserve">GranTurismo</t>
        </is>
      </c>
      <c r="K342" s="46" t="inlineStr">
        <is>
          <t xml:space="preserve">4ZBL6GBAAC72NTJX4</t>
        </is>
      </c>
      <c r="L342" s="48" t="inlineStr">
        <is>
          <t xml:space="preserve">02 - Sports / GT</t>
        </is>
      </c>
      <c r="M342" s="50">
        <v>735000</v>
      </c>
      <c r="N342" s="48" t="inlineStr">
        <is>
          <t xml:space="preserve">Personal</t>
        </is>
      </c>
      <c r="O342" s="46" t="inlineStr">
        <is>
          <t xml:space="preserve">Personal - regular use</t>
        </is>
      </c>
      <c r="P342" s="46" t="inlineStr">
        <is>
          <t xml:space="preserve">2,500 - 5,000</t>
        </is>
      </c>
      <c r="Q342" s="46" t="inlineStr">
        <is>
          <t xml:space="preserve">Arizona</t>
        </is>
      </c>
      <c r="R342" s="46" t="inlineStr">
        <is>
          <t xml:space="preserve">85001</t>
        </is>
      </c>
      <c r="S342" s="48" t="inlineStr">
        <is>
          <t xml:space="preserve">Wildfire - WUI high hazard</t>
        </is>
      </c>
      <c r="T342" s="36">
        <f>IF($A342="","",IF($S342="","",IFERROR(INDEX('[1]natural catastrophe'!$D$6:$D$17,MATCH($S342,'[1]natural catastrophe'!$B$6:$B$17,0)),"?")))</f>
      </c>
      <c r="U342" s="46" t="inlineStr">
        <is>
          <t xml:space="preserve">$5,000</t>
        </is>
      </c>
      <c r="V342" s="48" t="inlineStr">
        <is>
          <t xml:space="preserve">Agreed Value</t>
        </is>
      </c>
      <c r="W342" s="46" t="inlineStr">
        <is>
          <t xml:space="preserve">$1,000</t>
        </is>
      </c>
      <c r="X342" s="48" t="inlineStr">
        <is>
          <t xml:space="preserve">$1,000,000 CSL</t>
        </is>
      </c>
      <c r="Y342" s="46"/>
      <c r="Z342" s="46"/>
      <c r="AA342" s="48" t="inlineStr">
        <is>
          <t xml:space="preserve">Surplus Lines</t>
        </is>
      </c>
      <c r="AB342" s="50">
        <v>9104.29</v>
      </c>
      <c r="AC342" s="51">
        <v>0</v>
      </c>
      <c r="AD342" s="38">
        <f>IF(ISNUMBER($AB342),$AB342*(1+N($AC342)),"")</f>
      </c>
      <c r="AE342" s="50">
        <v>350</v>
      </c>
      <c r="AF342" s="50">
        <v>0</v>
      </c>
      <c r="AG342" s="51"/>
      <c r="AH342" s="39">
        <f>IF(ISNUMBER($AD342),($AD342+$AE342+$AF342)*$AG342,"")</f>
      </c>
      <c r="AI342" s="50"/>
      <c r="AJ342" s="38">
        <f>IF(ISNUMBER($AD342),SUM($AD342:$AH342),"")</f>
      </c>
      <c r="AK342" s="40">
        <f>IF(AND(ISNUMBER($AB342),ISNUMBER($AD342)),IF($AB342&gt;0,$AD342/$AB342,""),"")</f>
      </c>
      <c r="AL342" s="48" t="inlineStr">
        <is>
          <t xml:space="preserve">At technical</t>
        </is>
      </c>
      <c r="AM342" s="41">
        <f>IF(ISNUMBER($AD342),Header!$I$3,"")</f>
      </c>
      <c r="AN342" s="39">
        <f>IF(ISNUMBER($AD342),$AO342+$AP342,"")</f>
      </c>
      <c r="AO342" s="39">
        <f>IF(ISNUMBER($AD342),ROUND($AD342*Header!$K$3,2),"")</f>
      </c>
      <c r="AP342" s="39">
        <f>IF(ISNUMBER($AD342),ROUND($AD342*Header!$M$3,2),"")</f>
      </c>
      <c r="AQ342" s="38">
        <f>IF(ISNUMBER($AD342),ROUND($AD342,2)-$AO342-$AP342,"")</f>
      </c>
      <c r="AR342" s="39">
        <f>IF(ISNUMBER($AD342),IF(Header!$D$34="","?",$AD342*Header!$D$34),"")</f>
      </c>
      <c r="AS342" s="39">
        <f>IF(ISNUMBER($AB342),IF(Header!$D$34="","?",$AB342*Header!$D$34),"")</f>
      </c>
      <c r="AT342" s="42">
        <f>IF(AND(ISNUMBER($AB342),$M342&gt;0),$AB342/$M342*100,"")</f>
      </c>
      <c r="AU342" s="42">
        <f>IF(AND(ISNUMBER($AD342),$M342&gt;0),$AD342/$M342*100,"")</f>
      </c>
      <c r="AV342" s="40">
        <f>IF(AND(ISNUMBER($AB342),ISNUMBER($AD342),ABS($AB342)&gt;0),$AD342/$AB342,"")</f>
      </c>
      <c r="AW342" s="39">
        <f>IF(ISNUMBER($AD342),MAX(0,(1-0.55-Header!$O$3)*Header!$Q$3*$AQ342),"")</f>
      </c>
      <c r="AX342" s="43">
        <f>IF($A342="","",IF(TRIM(IF($A342="","Missing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",""))="","PASS","FAIL: "&amp;TRIM(IF($A342="","Missing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f>
      </c>
      <c r="AY342" s="44">
        <f>IF($M342="","",IF(ISNUMBER($M342),IF($M342&gt;=Header!$C$18,"YES — refer","No"),""))</f>
      </c>
      <c r="AZ342" s="44">
        <f>IF($AD342="","",IF(ISNUMBER($AD342),IF($AD342&lt;Header!$C$20,"BELOW MIN PREMIUM","OK"),""))</f>
      </c>
      <c r="BA342" s="48" t="inlineStr">
        <is>
          <t xml:space="preserve">Yes</t>
        </is>
      </c>
      <c r="BB342" s="48" t="inlineStr">
        <is>
          <t xml:space="preserve">Yes</t>
        </is>
      </c>
      <c r="BC342" s="46" t="inlineStr">
        <is>
          <t xml:space="preserve">Synthetic demo data</t>
        </is>
      </c>
      <c r="BE342" s="45">
        <f>IF(OR($A342="",$L342="",$H342=""),"",IF(AND(LEFT($L342,2)="06",$H342&gt;1945),"FAIL - pre-war class, year "&amp;$H342,IF(AND(LEFT($L342,2)="07",OR($H342&lt;1946,$H342&gt;1972)),"FAIL - 1946-72 class, year "&amp;$H342,IF(AND(LEFT($L342,2)="08",OR($H342&lt;1973,$H342&gt;1999)),"FAIL - 1973-99 class, year "&amp;$H342,IF(AND(LEFT($L342,2)="09",OR($H342&lt;2000,$H342&gt;2010)),"FAIL - 2000-10 class, year "&amp;$H342,"OK")))))</f>
      </c>
      <c r="BF342" s="45">
        <f>IF($AD342="","",IF(ROUND($AO342+$AP342+$AQ342-$AD342,2)=0,"OK","FAIL - out by "&amp;TEXT($AO342+$AP342+$AQ342-$AD342,"$0.00")))</f>
      </c>
    </row>
    <row r="343" spans="1:58" ht="18.75" customHeight="1" x14ac:dyDescent="0.25">
      <c r="A343" s="30" t="inlineStr">
        <is>
          <t xml:space="preserve">CANON-202508-000465</t>
        </is>
      </c>
      <c r="B343" s="30" t="inlineStr">
        <is>
          <t xml:space="preserve">Thaddeus Chattopadhyay</t>
        </is>
      </c>
      <c r="C343" s="31">
        <v>45895</v>
      </c>
      <c r="D343" s="32" t="inlineStr">
        <is>
          <t xml:space="preserve">Bound - within authority</t>
        </is>
      </c>
      <c r="E343" s="32" t="inlineStr">
        <is>
          <t xml:space="preserve">New business</t>
        </is>
      </c>
      <c r="F343" s="30" t="inlineStr">
        <is>
          <t xml:space="preserve">B1234EXOTIC26</t>
        </is>
      </c>
      <c r="G343" s="33">
        <f>IF($A343="","",IF($C343="","",YEAR($C343)))</f>
      </c>
      <c r="H343" s="34">
        <v>1965</v>
      </c>
      <c r="I343" s="30" t="inlineStr">
        <is>
          <t xml:space="preserve">BMW</t>
        </is>
      </c>
      <c r="J343" s="30" t="inlineStr">
        <is>
          <t xml:space="preserve">M8 Competition</t>
        </is>
      </c>
      <c r="K343" s="30" t="inlineStr">
        <is>
          <t xml:space="preserve">M2VXD5KN1XRRE1HWJ</t>
        </is>
      </c>
      <c r="L343" s="32" t="inlineStr">
        <is>
          <t xml:space="preserve">02 - Sports / GT</t>
        </is>
      </c>
      <c r="M343" s="35">
        <v>295000</v>
      </c>
      <c r="N343" s="32" t="inlineStr">
        <is>
          <t xml:space="preserve">Personal</t>
        </is>
      </c>
      <c r="O343" s="30" t="inlineStr">
        <is>
          <t xml:space="preserve">Personal - regular use</t>
        </is>
      </c>
      <c r="P343" s="30" t="inlineStr">
        <is>
          <t xml:space="preserve">Under 1,000</t>
        </is>
      </c>
      <c r="Q343" s="30" t="inlineStr">
        <is>
          <t xml:space="preserve">Connecticut</t>
        </is>
      </c>
      <c r="R343" s="30" t="inlineStr">
        <is>
          <t xml:space="preserve">06103</t>
        </is>
      </c>
      <c r="S343" s="32" t="inlineStr">
        <is>
          <t xml:space="preserve">Tier 3 - Coastal wind (25-100 miles)</t>
        </is>
      </c>
      <c r="T343" s="36">
        <f>IF($A343="","",IF($S343="","",IFERROR(INDEX('[1]natural catastrophe'!$D$6:$D$17,MATCH($S343,'[1]natural catastrophe'!$B$6:$B$17,0)),"?")))</f>
      </c>
      <c r="U343" s="30" t="inlineStr">
        <is>
          <t xml:space="preserve">2% of agreed value, minimum $10,000</t>
        </is>
      </c>
      <c r="V343" s="32" t="inlineStr">
        <is>
          <t xml:space="preserve">Agreed Value</t>
        </is>
      </c>
      <c r="W343" s="30" t="inlineStr">
        <is>
          <t xml:space="preserve">$1,000</t>
        </is>
      </c>
      <c r="X343" s="32" t="inlineStr">
        <is>
          <t xml:space="preserve">$1,000,000 CSL</t>
        </is>
      </c>
      <c r="Y343" s="30"/>
      <c r="Z343" s="30"/>
      <c r="AA343" s="32" t="inlineStr">
        <is>
          <t xml:space="preserve">Surplus Lines</t>
        </is>
      </c>
      <c r="AB343" s="35">
        <v>4675.47</v>
      </c>
      <c r="AC343" s="37">
        <v>0</v>
      </c>
      <c r="AD343" s="38">
        <f>IF(ISNUMBER($AB343),$AB343*(1+N($AC343)),"")</f>
      </c>
      <c r="AE343" s="35">
        <v>350</v>
      </c>
      <c r="AF343" s="35">
        <v>0</v>
      </c>
      <c r="AG343" s="37"/>
      <c r="AH343" s="39">
        <f>IF(ISNUMBER($AD343),($AD343+$AE343+$AF343)*$AG343,"")</f>
      </c>
      <c r="AI343" s="35"/>
      <c r="AJ343" s="38">
        <f>IF(ISNUMBER($AD343),SUM($AD343:$AH343),"")</f>
      </c>
      <c r="AK343" s="40">
        <f>IF(AND(ISNUMBER($AB343),ISNUMBER($AD343)),IF($AB343&gt;0,$AD343/$AB343,""),"")</f>
      </c>
      <c r="AL343" s="32" t="inlineStr">
        <is>
          <t xml:space="preserve">At technical</t>
        </is>
      </c>
      <c r="AM343" s="41">
        <f>IF(ISNUMBER($AD343),Header!$I$3,"")</f>
      </c>
      <c r="AN343" s="39">
        <f>IF(ISNUMBER($AD343),$AO343+$AP343,"")</f>
      </c>
      <c r="AO343" s="39">
        <f>IF(ISNUMBER($AD343),ROUND($AD343*Header!$K$3,2),"")</f>
      </c>
      <c r="AP343" s="39">
        <f>IF(ISNUMBER($AD343),ROUND($AD343*Header!$M$3,2),"")</f>
      </c>
      <c r="AQ343" s="38">
        <f>IF(ISNUMBER($AD343),ROUND($AD343,2)-$AO343-$AP343,"")</f>
      </c>
      <c r="AR343" s="39">
        <f>IF(ISNUMBER($AD343),IF(Header!$D$34="","?",$AD343*Header!$D$34),"")</f>
      </c>
      <c r="AS343" s="39">
        <f>IF(ISNUMBER($AB343),IF(Header!$D$34="","?",$AB343*Header!$D$34),"")</f>
      </c>
      <c r="AT343" s="42">
        <f>IF(AND(ISNUMBER($AB343),$M343&gt;0),$AB343/$M343*100,"")</f>
      </c>
      <c r="AU343" s="42">
        <f>IF(AND(ISNUMBER($AD343),$M343&gt;0),$AD343/$M343*100,"")</f>
      </c>
      <c r="AV343" s="40">
        <f>IF(AND(ISNUMBER($AB343),ISNUMBER($AD343),ABS($AB343)&gt;0),$AD343/$AB343,"")</f>
      </c>
      <c r="AW343" s="39">
        <f>IF(ISNUMBER($AD343),MAX(0,(1-0.55-Header!$O$3)*Header!$Q$3*$AQ343),"")</f>
      </c>
      <c r="AX343" s="43">
        <f>IF($A343="","",IF(TRIM(IF($A343="","Missing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",""))="","PASS","FAIL: "&amp;TRIM(IF($A343="","Missing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f>
      </c>
      <c r="AY343" s="44">
        <f>IF($M343="","",IF(ISNUMBER($M343),IF($M343&gt;=Header!$C$18,"YES — refer","No"),""))</f>
      </c>
      <c r="AZ343" s="44">
        <f>IF($AD343="","",IF(ISNUMBER($AD343),IF($AD343&lt;Header!$C$20,"BELOW MIN PREMIUM","OK"),""))</f>
      </c>
      <c r="BA343" s="32" t="inlineStr">
        <is>
          <t xml:space="preserve">Yes</t>
        </is>
      </c>
      <c r="BB343" s="32" t="inlineStr">
        <is>
          <t xml:space="preserve">Yes</t>
        </is>
      </c>
      <c r="BC343" s="30" t="inlineStr">
        <is>
          <t xml:space="preserve">Synthetic demo data</t>
        </is>
      </c>
      <c r="BE343" s="45">
        <f>IF(OR($A343="",$L343="",$H343=""),"",IF(AND(LEFT($L343,2)="06",$H343&gt;1945),"FAIL - pre-war class, year "&amp;$H343,IF(AND(LEFT($L343,2)="07",OR($H343&lt;1946,$H343&gt;1972)),"FAIL - 1946-72 class, year "&amp;$H343,IF(AND(LEFT($L343,2)="08",OR($H343&lt;1973,$H343&gt;1999)),"FAIL - 1973-99 class, year "&amp;$H343,IF(AND(LEFT($L343,2)="09",OR($H343&lt;2000,$H343&gt;2010)),"FAIL - 2000-10 class, year "&amp;$H343,"OK")))))</f>
      </c>
      <c r="BF343" s="45">
        <f>IF($AD343="","",IF(ROUND($AO343+$AP343+$AQ343-$AD343,2)=0,"OK","FAIL - out by "&amp;TEXT($AO343+$AP343+$AQ343-$AD343,"$0.00")))</f>
      </c>
    </row>
    <row r="344" spans="1:58" ht="18.75" customHeight="1" x14ac:dyDescent="0.25">
      <c r="A344" s="46" t="inlineStr">
        <is>
          <t xml:space="preserve">CANON-202508-000466</t>
        </is>
      </c>
      <c r="B344" s="46" t="inlineStr">
        <is>
          <t xml:space="preserve">Cassius Underwood</t>
        </is>
      </c>
      <c r="C344" s="47">
        <v>45892</v>
      </c>
      <c r="D344" s="48" t="inlineStr">
        <is>
          <t xml:space="preserve">Bound - within authority</t>
        </is>
      </c>
      <c r="E344" s="48" t="inlineStr">
        <is>
          <t xml:space="preserve">New business</t>
        </is>
      </c>
      <c r="F344" s="46" t="inlineStr">
        <is>
          <t xml:space="preserve">B1234EXOTIC26</t>
        </is>
      </c>
      <c r="G344" s="33">
        <f>IF($A344="","",IF($C344="","",YEAR($C344)))</f>
      </c>
      <c r="H344" s="49">
        <v>1977</v>
      </c>
      <c r="I344" s="46" t="inlineStr">
        <is>
          <t xml:space="preserve">BMW</t>
        </is>
      </c>
      <c r="J344" s="46" t="inlineStr">
        <is>
          <t xml:space="preserve">M8 Competition</t>
        </is>
      </c>
      <c r="K344" s="46" t="inlineStr">
        <is>
          <t xml:space="preserve">3PNR3UWRRYY3RLSV4</t>
        </is>
      </c>
      <c r="L344" s="48" t="inlineStr">
        <is>
          <t xml:space="preserve">02 - Sports / GT</t>
        </is>
      </c>
      <c r="M344" s="50">
        <v>455000</v>
      </c>
      <c r="N344" s="48" t="inlineStr">
        <is>
          <t xml:space="preserve">Personal</t>
        </is>
      </c>
      <c r="O344" s="46" t="inlineStr">
        <is>
          <t xml:space="preserve">Personal - regular use</t>
        </is>
      </c>
      <c r="P344" s="46" t="inlineStr">
        <is>
          <t xml:space="preserve">Under 1,000</t>
        </is>
      </c>
      <c r="Q344" s="46" t="inlineStr">
        <is>
          <t xml:space="preserve">New Mexico</t>
        </is>
      </c>
      <c r="R344" s="46" t="inlineStr">
        <is>
          <t xml:space="preserve">87501</t>
        </is>
      </c>
      <c r="S344" s="48" t="inlineStr">
        <is>
          <t xml:space="preserve">Wildfire - WUI high hazard</t>
        </is>
      </c>
      <c r="T344" s="36">
        <f>IF($A344="","",IF($S344="","",IFERROR(INDEX('[1]natural catastrophe'!$D$6:$D$17,MATCH($S344,'[1]natural catastrophe'!$B$6:$B$17,0)),"?")))</f>
      </c>
      <c r="U344" s="46" t="inlineStr">
        <is>
          <t xml:space="preserve">$5,000</t>
        </is>
      </c>
      <c r="V344" s="48" t="inlineStr">
        <is>
          <t xml:space="preserve">Agreed Value</t>
        </is>
      </c>
      <c r="W344" s="46" t="inlineStr">
        <is>
          <t xml:space="preserve">$1,000</t>
        </is>
      </c>
      <c r="X344" s="48" t="inlineStr">
        <is>
          <t xml:space="preserve">$1,000,000 CSL</t>
        </is>
      </c>
      <c r="Y344" s="46"/>
      <c r="Z344" s="46"/>
      <c r="AA344" s="48" t="inlineStr">
        <is>
          <t xml:space="preserve">Surplus Lines</t>
        </is>
      </c>
      <c r="AB344" s="50">
        <v>8241.51</v>
      </c>
      <c r="AC344" s="51">
        <v>0</v>
      </c>
      <c r="AD344" s="38">
        <f>IF(ISNUMBER($AB344),$AB344*(1+N($AC344)),"")</f>
      </c>
      <c r="AE344" s="50">
        <v>350</v>
      </c>
      <c r="AF344" s="50">
        <v>0</v>
      </c>
      <c r="AG344" s="51"/>
      <c r="AH344" s="39">
        <f>IF(ISNUMBER($AD344),($AD344+$AE344+$AF344)*$AG344,"")</f>
      </c>
      <c r="AI344" s="50"/>
      <c r="AJ344" s="38">
        <f>IF(ISNUMBER($AD344),SUM($AD344:$AH344),"")</f>
      </c>
      <c r="AK344" s="40">
        <f>IF(AND(ISNUMBER($AB344),ISNUMBER($AD344)),IF($AB344&gt;0,$AD344/$AB344,""),"")</f>
      </c>
      <c r="AL344" s="48" t="inlineStr">
        <is>
          <t xml:space="preserve">At technical</t>
        </is>
      </c>
      <c r="AM344" s="41">
        <f>IF(ISNUMBER($AD344),Header!$I$3,"")</f>
      </c>
      <c r="AN344" s="39">
        <f>IF(ISNUMBER($AD344),$AO344+$AP344,"")</f>
      </c>
      <c r="AO344" s="39">
        <f>IF(ISNUMBER($AD344),ROUND($AD344*Header!$K$3,2),"")</f>
      </c>
      <c r="AP344" s="39">
        <f>IF(ISNUMBER($AD344),ROUND($AD344*Header!$M$3,2),"")</f>
      </c>
      <c r="AQ344" s="38">
        <f>IF(ISNUMBER($AD344),ROUND($AD344,2)-$AO344-$AP344,"")</f>
      </c>
      <c r="AR344" s="39">
        <f>IF(ISNUMBER($AD344),IF(Header!$D$34="","?",$AD344*Header!$D$34),"")</f>
      </c>
      <c r="AS344" s="39">
        <f>IF(ISNUMBER($AB344),IF(Header!$D$34="","?",$AB344*Header!$D$34),"")</f>
      </c>
      <c r="AT344" s="42">
        <f>IF(AND(ISNUMBER($AB344),$M344&gt;0),$AB344/$M344*100,"")</f>
      </c>
      <c r="AU344" s="42">
        <f>IF(AND(ISNUMBER($AD344),$M344&gt;0),$AD344/$M344*100,"")</f>
      </c>
      <c r="AV344" s="40">
        <f>IF(AND(ISNUMBER($AB344),ISNUMBER($AD344),ABS($AB344)&gt;0),$AD344/$AB344,"")</f>
      </c>
      <c r="AW344" s="39">
        <f>IF(ISNUMBER($AD344),MAX(0,(1-0.55-Header!$O$3)*Header!$Q$3*$AQ344),"")</f>
      </c>
      <c r="AX344" s="43">
        <f>IF($A344="","",IF(TRIM(IF($A344="","Missing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",""))="","PASS","FAIL: "&amp;TRIM(IF($A344="","Missing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f>
      </c>
      <c r="AY344" s="44">
        <f>IF($M344="","",IF(ISNUMBER($M344),IF($M344&gt;=Header!$C$18,"YES — refer","No"),""))</f>
      </c>
      <c r="AZ344" s="44">
        <f>IF($AD344="","",IF(ISNUMBER($AD344),IF($AD344&lt;Header!$C$20,"BELOW MIN PREMIUM","OK"),""))</f>
      </c>
      <c r="BA344" s="48" t="inlineStr">
        <is>
          <t xml:space="preserve">Yes</t>
        </is>
      </c>
      <c r="BB344" s="48" t="inlineStr">
        <is>
          <t xml:space="preserve">Yes</t>
        </is>
      </c>
      <c r="BC344" s="46" t="inlineStr">
        <is>
          <t xml:space="preserve">Synthetic demo data</t>
        </is>
      </c>
      <c r="BE344" s="45">
        <f>IF(OR($A344="",$L344="",$H344=""),"",IF(AND(LEFT($L344,2)="06",$H344&gt;1945),"FAIL - pre-war class, year "&amp;$H344,IF(AND(LEFT($L344,2)="07",OR($H344&lt;1946,$H344&gt;1972)),"FAIL - 1946-72 class, year "&amp;$H344,IF(AND(LEFT($L344,2)="08",OR($H344&lt;1973,$H344&gt;1999)),"FAIL - 1973-99 class, year "&amp;$H344,IF(AND(LEFT($L344,2)="09",OR($H344&lt;2000,$H344&gt;2010)),"FAIL - 2000-10 class, year "&amp;$H344,"OK")))))</f>
      </c>
      <c r="BF344" s="45">
        <f>IF($AD344="","",IF(ROUND($AO344+$AP344+$AQ344-$AD344,2)=0,"OK","FAIL - out by "&amp;TEXT($AO344+$AP344+$AQ344-$AD344,"$0.00")))</f>
      </c>
    </row>
    <row r="345" spans="1:58" ht="18.75" customHeight="1" x14ac:dyDescent="0.25">
      <c r="A345" s="30" t="inlineStr">
        <is>
          <t xml:space="preserve">CANON-202508-000467</t>
        </is>
      </c>
      <c r="B345" s="30" t="inlineStr">
        <is>
          <t xml:space="preserve">Ingrid Kingsford</t>
        </is>
      </c>
      <c r="C345" s="31">
        <v>45888</v>
      </c>
      <c r="D345" s="32" t="inlineStr">
        <is>
          <t xml:space="preserve">Bound - within authority</t>
        </is>
      </c>
      <c r="E345" s="32" t="inlineStr">
        <is>
          <t xml:space="preserve">New business</t>
        </is>
      </c>
      <c r="F345" s="30" t="inlineStr">
        <is>
          <t xml:space="preserve">B1234EXOTIC26</t>
        </is>
      </c>
      <c r="G345" s="33">
        <f>IF($A345="","",IF($C345="","",YEAR($C345)))</f>
      </c>
      <c r="H345" s="34">
        <v>1956</v>
      </c>
      <c r="I345" s="30" t="inlineStr">
        <is>
          <t xml:space="preserve">Ferrari</t>
        </is>
      </c>
      <c r="J345" s="30" t="inlineStr">
        <is>
          <t xml:space="preserve">296 GTB</t>
        </is>
      </c>
      <c r="K345" s="30" t="inlineStr">
        <is>
          <t xml:space="preserve">FWGSD7TLPC1F390B0</t>
        </is>
      </c>
      <c r="L345" s="32" t="inlineStr">
        <is>
          <t xml:space="preserve">03 - Supercar</t>
        </is>
      </c>
      <c r="M345" s="35">
        <v>430000</v>
      </c>
      <c r="N345" s="32" t="inlineStr">
        <is>
          <t xml:space="preserve">Personal</t>
        </is>
      </c>
      <c r="O345" s="30" t="inlineStr">
        <is>
          <t xml:space="preserve">Personal - regular use</t>
        </is>
      </c>
      <c r="P345" s="30" t="inlineStr">
        <is>
          <t xml:space="preserve">Under 1,000</t>
        </is>
      </c>
      <c r="Q345" s="30" t="inlineStr">
        <is>
          <t xml:space="preserve">Nebraska</t>
        </is>
      </c>
      <c r="R345" s="30" t="inlineStr">
        <is>
          <t xml:space="preserve">68102</t>
        </is>
      </c>
      <c r="S345" s="32" t="inlineStr">
        <is>
          <t xml:space="preserve">Severe convective - hail alley (high)</t>
        </is>
      </c>
      <c r="T345" s="36">
        <f>IF($A345="","",IF($S345="","",IFERROR(INDEX('[1]natural catastrophe'!$D$6:$D$17,MATCH($S345,'[1]natural catastrophe'!$B$6:$B$17,0)),"?")))</f>
      </c>
      <c r="U345" s="30" t="inlineStr">
        <is>
          <t xml:space="preserve">$5,000</t>
        </is>
      </c>
      <c r="V345" s="32" t="inlineStr">
        <is>
          <t xml:space="preserve">Agreed Value</t>
        </is>
      </c>
      <c r="W345" s="30" t="inlineStr">
        <is>
          <t xml:space="preserve">$1,000</t>
        </is>
      </c>
      <c r="X345" s="32" t="inlineStr">
        <is>
          <t xml:space="preserve">$1,000,000 CSL</t>
        </is>
      </c>
      <c r="Y345" s="30"/>
      <c r="Z345" s="30"/>
      <c r="AA345" s="32" t="inlineStr">
        <is>
          <t xml:space="preserve">Surplus Lines</t>
        </is>
      </c>
      <c r="AB345" s="35">
        <v>12129.25</v>
      </c>
      <c r="AC345" s="37">
        <v>0</v>
      </c>
      <c r="AD345" s="38">
        <f>IF(ISNUMBER($AB345),$AB345*(1+N($AC345)),"")</f>
      </c>
      <c r="AE345" s="35">
        <v>350</v>
      </c>
      <c r="AF345" s="35">
        <v>0</v>
      </c>
      <c r="AG345" s="37"/>
      <c r="AH345" s="39">
        <f>IF(ISNUMBER($AD345),($AD345+$AE345+$AF345)*$AG345,"")</f>
      </c>
      <c r="AI345" s="35"/>
      <c r="AJ345" s="38">
        <f>IF(ISNUMBER($AD345),SUM($AD345:$AH345),"")</f>
      </c>
      <c r="AK345" s="40">
        <f>IF(AND(ISNUMBER($AB345),ISNUMBER($AD345)),IF($AB345&gt;0,$AD345/$AB345,""),"")</f>
      </c>
      <c r="AL345" s="32" t="inlineStr">
        <is>
          <t xml:space="preserve">At technical</t>
        </is>
      </c>
      <c r="AM345" s="41">
        <f>IF(ISNUMBER($AD345),Header!$I$3,"")</f>
      </c>
      <c r="AN345" s="39">
        <f>IF(ISNUMBER($AD345),$AO345+$AP345,"")</f>
      </c>
      <c r="AO345" s="39">
        <f>IF(ISNUMBER($AD345),ROUND($AD345*Header!$K$3,2),"")</f>
      </c>
      <c r="AP345" s="39">
        <f>IF(ISNUMBER($AD345),ROUND($AD345*Header!$M$3,2),"")</f>
      </c>
      <c r="AQ345" s="38">
        <f>IF(ISNUMBER($AD345),ROUND($AD345,2)-$AO345-$AP345,"")</f>
      </c>
      <c r="AR345" s="39">
        <f>IF(ISNUMBER($AD345),IF(Header!$D$34="","?",$AD345*Header!$D$34),"")</f>
      </c>
      <c r="AS345" s="39">
        <f>IF(ISNUMBER($AB345),IF(Header!$D$34="","?",$AB345*Header!$D$34),"")</f>
      </c>
      <c r="AT345" s="42">
        <f>IF(AND(ISNUMBER($AB345),$M345&gt;0),$AB345/$M345*100,"")</f>
      </c>
      <c r="AU345" s="42">
        <f>IF(AND(ISNUMBER($AD345),$M345&gt;0),$AD345/$M345*100,"")</f>
      </c>
      <c r="AV345" s="40">
        <f>IF(AND(ISNUMBER($AB345),ISNUMBER($AD345),ABS($AB345)&gt;0),$AD345/$AB345,"")</f>
      </c>
      <c r="AW345" s="39">
        <f>IF(ISNUMBER($AD345),MAX(0,(1-0.55-Header!$O$3)*Header!$Q$3*$AQ345),"")</f>
      </c>
      <c r="AX345" s="43">
        <f>IF($A345="","",IF(TRIM(IF($A345="","Missing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",""))="","PASS","FAIL: "&amp;TRIM(IF($A345="","Missing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f>
      </c>
      <c r="AY345" s="44">
        <f>IF($M345="","",IF(ISNUMBER($M345),IF($M345&gt;=Header!$C$18,"YES — refer","No"),""))</f>
      </c>
      <c r="AZ345" s="44">
        <f>IF($AD345="","",IF(ISNUMBER($AD345),IF($AD345&lt;Header!$C$20,"BELOW MIN PREMIUM","OK"),""))</f>
      </c>
      <c r="BA345" s="32" t="inlineStr">
        <is>
          <t xml:space="preserve">Yes</t>
        </is>
      </c>
      <c r="BB345" s="32" t="inlineStr">
        <is>
          <t xml:space="preserve">Yes</t>
        </is>
      </c>
      <c r="BC345" s="30" t="inlineStr">
        <is>
          <t xml:space="preserve">Synthetic demo data</t>
        </is>
      </c>
      <c r="BE345" s="45">
        <f>IF(OR($A345="",$L345="",$H345=""),"",IF(AND(LEFT($L345,2)="06",$H345&gt;1945),"FAIL - pre-war class, year "&amp;$H345,IF(AND(LEFT($L345,2)="07",OR($H345&lt;1946,$H345&gt;1972)),"FAIL - 1946-72 class, year "&amp;$H345,IF(AND(LEFT($L345,2)="08",OR($H345&lt;1973,$H345&gt;1999)),"FAIL - 1973-99 class, year "&amp;$H345,IF(AND(LEFT($L345,2)="09",OR($H345&lt;2000,$H345&gt;2010)),"FAIL - 2000-10 class, year "&amp;$H345,"OK")))))</f>
      </c>
      <c r="BF345" s="45">
        <f>IF($AD345="","",IF(ROUND($AO345+$AP345+$AQ345-$AD345,2)=0,"OK","FAIL - out by "&amp;TEXT($AO345+$AP345+$AQ345-$AD345,"$0.00")))</f>
      </c>
    </row>
    <row r="346" spans="1:58" ht="18.75" customHeight="1" x14ac:dyDescent="0.25">
      <c r="A346" s="46" t="inlineStr">
        <is>
          <t xml:space="preserve">CANON-202508-000471</t>
        </is>
      </c>
      <c r="B346" s="46" t="inlineStr">
        <is>
          <t xml:space="preserve">Emiliano Castellanos</t>
        </is>
      </c>
      <c r="C346" s="47">
        <v>45899</v>
      </c>
      <c r="D346" s="48" t="inlineStr">
        <is>
          <t xml:space="preserve">Bound - within authority</t>
        </is>
      </c>
      <c r="E346" s="48" t="inlineStr">
        <is>
          <t xml:space="preserve">New business</t>
        </is>
      </c>
      <c r="F346" s="46" t="inlineStr">
        <is>
          <t xml:space="preserve">B1234EXOTIC26</t>
        </is>
      </c>
      <c r="G346" s="33">
        <f>IF($A346="","",IF($C346="","",YEAR($C346)))</f>
      </c>
      <c r="H346" s="49">
        <v>1959</v>
      </c>
      <c r="I346" s="46" t="inlineStr">
        <is>
          <t xml:space="preserve">McLaren</t>
        </is>
      </c>
      <c r="J346" s="46" t="inlineStr">
        <is>
          <t xml:space="preserve">750S</t>
        </is>
      </c>
      <c r="K346" s="46" t="inlineStr">
        <is>
          <t xml:space="preserve">6RLMFMDYGL1HZJJ7W</t>
        </is>
      </c>
      <c r="L346" s="48" t="inlineStr">
        <is>
          <t xml:space="preserve">03 - Supercar</t>
        </is>
      </c>
      <c r="M346" s="50">
        <v>915000</v>
      </c>
      <c r="N346" s="48" t="inlineStr">
        <is>
          <t xml:space="preserve">Personal</t>
        </is>
      </c>
      <c r="O346" s="46" t="inlineStr">
        <is>
          <t xml:space="preserve">Personal - regular use</t>
        </is>
      </c>
      <c r="P346" s="46" t="inlineStr">
        <is>
          <t xml:space="preserve">2,500 - 5,000</t>
        </is>
      </c>
      <c r="Q346" s="46" t="inlineStr">
        <is>
          <t xml:space="preserve">Alabama</t>
        </is>
      </c>
      <c r="R346" s="46" t="inlineStr">
        <is>
          <t xml:space="preserve">35203</t>
        </is>
      </c>
      <c r="S346" s="48" t="inlineStr">
        <is>
          <t xml:space="preserve">Tier 2 - Coastal wind (1-25 miles)</t>
        </is>
      </c>
      <c r="T346" s="36">
        <f>IF($A346="","",IF($S346="","",IFERROR(INDEX('[1]natural catastrophe'!$D$6:$D$17,MATCH($S346,'[1]natural catastrophe'!$B$6:$B$17,0)),"?")))</f>
      </c>
      <c r="U346" s="46" t="inlineStr">
        <is>
          <t xml:space="preserve">2% of agreed value, minimum $10,000</t>
        </is>
      </c>
      <c r="V346" s="48" t="inlineStr">
        <is>
          <t xml:space="preserve">Agreed Value</t>
        </is>
      </c>
      <c r="W346" s="46" t="inlineStr">
        <is>
          <t xml:space="preserve">$1,000</t>
        </is>
      </c>
      <c r="X346" s="48" t="inlineStr">
        <is>
          <t xml:space="preserve">$1,000,000 CSL</t>
        </is>
      </c>
      <c r="Y346" s="46"/>
      <c r="Z346" s="46"/>
      <c r="AA346" s="48" t="inlineStr">
        <is>
          <t xml:space="preserve">Surplus Lines</t>
        </is>
      </c>
      <c r="AB346" s="50">
        <v>20829.2</v>
      </c>
      <c r="AC346" s="51">
        <v>0</v>
      </c>
      <c r="AD346" s="38">
        <f>IF(ISNUMBER($AB346),$AB346*(1+N($AC346)),"")</f>
      </c>
      <c r="AE346" s="50">
        <v>350</v>
      </c>
      <c r="AF346" s="50">
        <v>0</v>
      </c>
      <c r="AG346" s="51"/>
      <c r="AH346" s="39">
        <f>IF(ISNUMBER($AD346),($AD346+$AE346+$AF346)*$AG346,"")</f>
      </c>
      <c r="AI346" s="50"/>
      <c r="AJ346" s="38">
        <f>IF(ISNUMBER($AD346),SUM($AD346:$AH346),"")</f>
      </c>
      <c r="AK346" s="40">
        <f>IF(AND(ISNUMBER($AB346),ISNUMBER($AD346)),IF($AB346&gt;0,$AD346/$AB346,""),"")</f>
      </c>
      <c r="AL346" s="48" t="inlineStr">
        <is>
          <t xml:space="preserve">At technical</t>
        </is>
      </c>
      <c r="AM346" s="41">
        <f>IF(ISNUMBER($AD346),Header!$I$3,"")</f>
      </c>
      <c r="AN346" s="39">
        <f>IF(ISNUMBER($AD346),$AO346+$AP346,"")</f>
      </c>
      <c r="AO346" s="39">
        <f>IF(ISNUMBER($AD346),ROUND($AD346*Header!$K$3,2),"")</f>
      </c>
      <c r="AP346" s="39">
        <f>IF(ISNUMBER($AD346),ROUND($AD346*Header!$M$3,2),"")</f>
      </c>
      <c r="AQ346" s="38">
        <f>IF(ISNUMBER($AD346),ROUND($AD346,2)-$AO346-$AP346,"")</f>
      </c>
      <c r="AR346" s="39">
        <f>IF(ISNUMBER($AD346),IF(Header!$D$34="","?",$AD346*Header!$D$34),"")</f>
      </c>
      <c r="AS346" s="39">
        <f>IF(ISNUMBER($AB346),IF(Header!$D$34="","?",$AB346*Header!$D$34),"")</f>
      </c>
      <c r="AT346" s="42">
        <f>IF(AND(ISNUMBER($AB346),$M346&gt;0),$AB346/$M346*100,"")</f>
      </c>
      <c r="AU346" s="42">
        <f>IF(AND(ISNUMBER($AD346),$M346&gt;0),$AD346/$M346*100,"")</f>
      </c>
      <c r="AV346" s="40">
        <f>IF(AND(ISNUMBER($AB346),ISNUMBER($AD346),ABS($AB346)&gt;0),$AD346/$AB346,"")</f>
      </c>
      <c r="AW346" s="39">
        <f>IF(ISNUMBER($AD346),MAX(0,(1-0.55-Header!$O$3)*Header!$Q$3*$AQ346),"")</f>
      </c>
      <c r="AX346" s="43">
        <f>IF($A346="","",IF(TRIM(IF($A346="","Missing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",""))="","PASS","FAIL: "&amp;TRIM(IF($A346="","Missing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f>
      </c>
      <c r="AY346" s="44">
        <f>IF($M346="","",IF(ISNUMBER($M346),IF($M346&gt;=Header!$C$18,"YES — refer","No"),""))</f>
      </c>
      <c r="AZ346" s="44">
        <f>IF($AD346="","",IF(ISNUMBER($AD346),IF($AD346&lt;Header!$C$20,"BELOW MIN PREMIUM","OK"),""))</f>
      </c>
      <c r="BA346" s="48" t="inlineStr">
        <is>
          <t xml:space="preserve">Yes</t>
        </is>
      </c>
      <c r="BB346" s="48" t="inlineStr">
        <is>
          <t xml:space="preserve">Yes</t>
        </is>
      </c>
      <c r="BC346" s="46" t="inlineStr">
        <is>
          <t xml:space="preserve">Synthetic demo data</t>
        </is>
      </c>
      <c r="BE346" s="45">
        <f>IF(OR($A346="",$L346="",$H346=""),"",IF(AND(LEFT($L346,2)="06",$H346&gt;1945),"FAIL - pre-war class, year "&amp;$H346,IF(AND(LEFT($L346,2)="07",OR($H346&lt;1946,$H346&gt;1972)),"FAIL - 1946-72 class, year "&amp;$H346,IF(AND(LEFT($L346,2)="08",OR($H346&lt;1973,$H346&gt;1999)),"FAIL - 1973-99 class, year "&amp;$H346,IF(AND(LEFT($L346,2)="09",OR($H346&lt;2000,$H346&gt;2010)),"FAIL - 2000-10 class, year "&amp;$H346,"OK")))))</f>
      </c>
      <c r="BF346" s="45">
        <f>IF($AD346="","",IF(ROUND($AO346+$AP346+$AQ346-$AD346,2)=0,"OK","FAIL - out by "&amp;TEXT($AO346+$AP346+$AQ346-$AD346,"$0.00")))</f>
      </c>
    </row>
    <row r="347" spans="1:58" ht="18.75" customHeight="1" x14ac:dyDescent="0.25">
      <c r="A347" s="30" t="inlineStr">
        <is>
          <t xml:space="preserve">CANON-202508-000472</t>
        </is>
      </c>
      <c r="B347" s="30" t="inlineStr">
        <is>
          <t xml:space="preserve">Ingrid Farkas</t>
        </is>
      </c>
      <c r="C347" s="31">
        <v>45891</v>
      </c>
      <c r="D347" s="32" t="inlineStr">
        <is>
          <t xml:space="preserve">Bound - within authority</t>
        </is>
      </c>
      <c r="E347" s="32" t="inlineStr">
        <is>
          <t xml:space="preserve">New business</t>
        </is>
      </c>
      <c r="F347" s="30" t="inlineStr">
        <is>
          <t xml:space="preserve">B1234EXOTIC26</t>
        </is>
      </c>
      <c r="G347" s="33">
        <f>IF($A347="","",IF($C347="","",YEAR($C347)))</f>
      </c>
      <c r="H347" s="34">
        <v>1987</v>
      </c>
      <c r="I347" s="30" t="inlineStr">
        <is>
          <t xml:space="preserve">Ferrari</t>
        </is>
      </c>
      <c r="J347" s="30" t="inlineStr">
        <is>
          <t xml:space="preserve">SF90 Stradale</t>
        </is>
      </c>
      <c r="K347" s="30" t="inlineStr">
        <is>
          <t xml:space="preserve">KW6LKVCE88282R90X</t>
        </is>
      </c>
      <c r="L347" s="32" t="inlineStr">
        <is>
          <t xml:space="preserve">03 - Supercar</t>
        </is>
      </c>
      <c r="M347" s="35">
        <v>825000</v>
      </c>
      <c r="N347" s="32" t="inlineStr">
        <is>
          <t xml:space="preserve">Personal</t>
        </is>
      </c>
      <c r="O347" s="30" t="inlineStr">
        <is>
          <t xml:space="preserve">Personal - regular use</t>
        </is>
      </c>
      <c r="P347" s="30" t="inlineStr">
        <is>
          <t xml:space="preserve">Under 1,000</t>
        </is>
      </c>
      <c r="Q347" s="30" t="inlineStr">
        <is>
          <t xml:space="preserve">Tennessee</t>
        </is>
      </c>
      <c r="R347" s="30" t="inlineStr">
        <is>
          <t xml:space="preserve">37203</t>
        </is>
      </c>
      <c r="S347" s="32" t="inlineStr">
        <is>
          <t xml:space="preserve">Severe convective - hail / tornado (moderate)</t>
        </is>
      </c>
      <c r="T347" s="36">
        <f>IF($A347="","",IF($S347="","",IFERROR(INDEX('[1]natural catastrophe'!$D$6:$D$17,MATCH($S347,'[1]natural catastrophe'!$B$6:$B$17,0)),"?")))</f>
      </c>
      <c r="U347" s="30" t="inlineStr">
        <is>
          <t xml:space="preserve">$5,000</t>
        </is>
      </c>
      <c r="V347" s="32" t="inlineStr">
        <is>
          <t xml:space="preserve">Agreed Value</t>
        </is>
      </c>
      <c r="W347" s="30" t="inlineStr">
        <is>
          <t xml:space="preserve">$1,000</t>
        </is>
      </c>
      <c r="X347" s="32" t="inlineStr">
        <is>
          <t xml:space="preserve">$1,000,000 CSL</t>
        </is>
      </c>
      <c r="Y347" s="30"/>
      <c r="Z347" s="30"/>
      <c r="AA347" s="32" t="inlineStr">
        <is>
          <t xml:space="preserve">Surplus Lines</t>
        </is>
      </c>
      <c r="AB347" s="35">
        <v>14491.98</v>
      </c>
      <c r="AC347" s="37">
        <v>0</v>
      </c>
      <c r="AD347" s="38">
        <f>IF(ISNUMBER($AB347),$AB347*(1+N($AC347)),"")</f>
      </c>
      <c r="AE347" s="35">
        <v>350</v>
      </c>
      <c r="AF347" s="35">
        <v>0</v>
      </c>
      <c r="AG347" s="37"/>
      <c r="AH347" s="39">
        <f>IF(ISNUMBER($AD347),($AD347+$AE347+$AF347)*$AG347,"")</f>
      </c>
      <c r="AI347" s="35"/>
      <c r="AJ347" s="38">
        <f>IF(ISNUMBER($AD347),SUM($AD347:$AH347),"")</f>
      </c>
      <c r="AK347" s="40">
        <f>IF(AND(ISNUMBER($AB347),ISNUMBER($AD347)),IF($AB347&gt;0,$AD347/$AB347,""),"")</f>
      </c>
      <c r="AL347" s="32" t="inlineStr">
        <is>
          <t xml:space="preserve">At technical</t>
        </is>
      </c>
      <c r="AM347" s="41">
        <f>IF(ISNUMBER($AD347),Header!$I$3,"")</f>
      </c>
      <c r="AN347" s="39">
        <f>IF(ISNUMBER($AD347),$AO347+$AP347,"")</f>
      </c>
      <c r="AO347" s="39">
        <f>IF(ISNUMBER($AD347),ROUND($AD347*Header!$K$3,2),"")</f>
      </c>
      <c r="AP347" s="39">
        <f>IF(ISNUMBER($AD347),ROUND($AD347*Header!$M$3,2),"")</f>
      </c>
      <c r="AQ347" s="38">
        <f>IF(ISNUMBER($AD347),ROUND($AD347,2)-$AO347-$AP347,"")</f>
      </c>
      <c r="AR347" s="39">
        <f>IF(ISNUMBER($AD347),IF(Header!$D$34="","?",$AD347*Header!$D$34),"")</f>
      </c>
      <c r="AS347" s="39">
        <f>IF(ISNUMBER($AB347),IF(Header!$D$34="","?",$AB347*Header!$D$34),"")</f>
      </c>
      <c r="AT347" s="42">
        <f>IF(AND(ISNUMBER($AB347),$M347&gt;0),$AB347/$M347*100,"")</f>
      </c>
      <c r="AU347" s="42">
        <f>IF(AND(ISNUMBER($AD347),$M347&gt;0),$AD347/$M347*100,"")</f>
      </c>
      <c r="AV347" s="40">
        <f>IF(AND(ISNUMBER($AB347),ISNUMBER($AD347),ABS($AB347)&gt;0),$AD347/$AB347,"")</f>
      </c>
      <c r="AW347" s="39">
        <f>IF(ISNUMBER($AD347),MAX(0,(1-0.55-Header!$O$3)*Header!$Q$3*$AQ347),"")</f>
      </c>
      <c r="AX347" s="43">
        <f>IF($A347="","",IF(TRIM(IF($A347="","Missing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",""))="","PASS","FAIL: "&amp;TRIM(IF($A347="","Missing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f>
      </c>
      <c r="AY347" s="44">
        <f>IF($M347="","",IF(ISNUMBER($M347),IF($M347&gt;=Header!$C$18,"YES — refer","No"),""))</f>
      </c>
      <c r="AZ347" s="44">
        <f>IF($AD347="","",IF(ISNUMBER($AD347),IF($AD347&lt;Header!$C$20,"BELOW MIN PREMIUM","OK"),""))</f>
      </c>
      <c r="BA347" s="32" t="inlineStr">
        <is>
          <t xml:space="preserve">Yes</t>
        </is>
      </c>
      <c r="BB347" s="32" t="inlineStr">
        <is>
          <t xml:space="preserve">Yes</t>
        </is>
      </c>
      <c r="BC347" s="30" t="inlineStr">
        <is>
          <t xml:space="preserve">Synthetic demo data</t>
        </is>
      </c>
      <c r="BE347" s="45">
        <f>IF(OR($A347="",$L347="",$H347=""),"",IF(AND(LEFT($L347,2)="06",$H347&gt;1945),"FAIL - pre-war class, year "&amp;$H347,IF(AND(LEFT($L347,2)="07",OR($H347&lt;1946,$H347&gt;1972)),"FAIL - 1946-72 class, year "&amp;$H347,IF(AND(LEFT($L347,2)="08",OR($H347&lt;1973,$H347&gt;1999)),"FAIL - 1973-99 class, year "&amp;$H347,IF(AND(LEFT($L347,2)="09",OR($H347&lt;2000,$H347&gt;2010)),"FAIL - 2000-10 class, year "&amp;$H347,"OK")))))</f>
      </c>
      <c r="BF347" s="45">
        <f>IF($AD347="","",IF(ROUND($AO347+$AP347+$AQ347-$AD347,2)=0,"OK","FAIL - out by "&amp;TEXT($AO347+$AP347+$AQ347-$AD347,"$0.00")))</f>
      </c>
    </row>
    <row r="348" spans="1:58" ht="18.75" customHeight="1" x14ac:dyDescent="0.25">
      <c r="A348" s="46" t="inlineStr">
        <is>
          <t xml:space="preserve">CANON-202508-000474</t>
        </is>
      </c>
      <c r="B348" s="46" t="inlineStr">
        <is>
          <t xml:space="preserve">Fitzgerald Delacroix</t>
        </is>
      </c>
      <c r="C348" s="47">
        <v>45875</v>
      </c>
      <c r="D348" s="48" t="inlineStr">
        <is>
          <t xml:space="preserve">Bound - within authority</t>
        </is>
      </c>
      <c r="E348" s="48" t="inlineStr">
        <is>
          <t xml:space="preserve">New business</t>
        </is>
      </c>
      <c r="F348" s="46" t="inlineStr">
        <is>
          <t xml:space="preserve">B1234EXOTIC26</t>
        </is>
      </c>
      <c r="G348" s="33">
        <f>IF($A348="","",IF($C348="","",YEAR($C348)))</f>
      </c>
      <c r="H348" s="49">
        <v>1977</v>
      </c>
      <c r="I348" s="46" t="inlineStr">
        <is>
          <t xml:space="preserve">Mercedes-Benz</t>
        </is>
      </c>
      <c r="J348" s="46" t="inlineStr">
        <is>
          <t xml:space="preserve">AMG GT</t>
        </is>
      </c>
      <c r="K348" s="46" t="inlineStr">
        <is>
          <t xml:space="preserve">T4GHPV6LCY0XDPZ5X</t>
        </is>
      </c>
      <c r="L348" s="48" t="inlineStr">
        <is>
          <t xml:space="preserve">02 - Sports / GT</t>
        </is>
      </c>
      <c r="M348" s="50">
        <v>470000</v>
      </c>
      <c r="N348" s="48" t="inlineStr">
        <is>
          <t xml:space="preserve">Personal</t>
        </is>
      </c>
      <c r="O348" s="46" t="inlineStr">
        <is>
          <t xml:space="preserve">Personal - regular use</t>
        </is>
      </c>
      <c r="P348" s="46" t="inlineStr">
        <is>
          <t xml:space="preserve">2,500 - 5,000</t>
        </is>
      </c>
      <c r="Q348" s="46" t="inlineStr">
        <is>
          <t xml:space="preserve">South Dakota</t>
        </is>
      </c>
      <c r="R348" s="46" t="inlineStr">
        <is>
          <t xml:space="preserve">57501</t>
        </is>
      </c>
      <c r="S348" s="48" t="inlineStr">
        <is>
          <t xml:space="preserve">Severe convective - hail alley (high)</t>
        </is>
      </c>
      <c r="T348" s="36">
        <f>IF($A348="","",IF($S348="","",IFERROR(INDEX('[1]natural catastrophe'!$D$6:$D$17,MATCH($S348,'[1]natural catastrophe'!$B$6:$B$17,0)),"?")))</f>
      </c>
      <c r="U348" s="46" t="inlineStr">
        <is>
          <t xml:space="preserve">$5,000</t>
        </is>
      </c>
      <c r="V348" s="48" t="inlineStr">
        <is>
          <t xml:space="preserve">Agreed Value</t>
        </is>
      </c>
      <c r="W348" s="46" t="inlineStr">
        <is>
          <t xml:space="preserve">$1,000</t>
        </is>
      </c>
      <c r="X348" s="48" t="inlineStr">
        <is>
          <t xml:space="preserve">$1,000,000 CSL</t>
        </is>
      </c>
      <c r="Y348" s="46"/>
      <c r="Z348" s="46"/>
      <c r="AA348" s="48" t="inlineStr">
        <is>
          <t xml:space="preserve">Surplus Lines</t>
        </is>
      </c>
      <c r="AB348" s="50">
        <v>7382.55</v>
      </c>
      <c r="AC348" s="51">
        <v>0</v>
      </c>
      <c r="AD348" s="38">
        <f>IF(ISNUMBER($AB348),$AB348*(1+N($AC348)),"")</f>
      </c>
      <c r="AE348" s="50">
        <v>350</v>
      </c>
      <c r="AF348" s="50">
        <v>0</v>
      </c>
      <c r="AG348" s="51"/>
      <c r="AH348" s="39">
        <f>IF(ISNUMBER($AD348),($AD348+$AE348+$AF348)*$AG348,"")</f>
      </c>
      <c r="AI348" s="50"/>
      <c r="AJ348" s="38">
        <f>IF(ISNUMBER($AD348),SUM($AD348:$AH348),"")</f>
      </c>
      <c r="AK348" s="40">
        <f>IF(AND(ISNUMBER($AB348),ISNUMBER($AD348)),IF($AB348&gt;0,$AD348/$AB348,""),"")</f>
      </c>
      <c r="AL348" s="48" t="inlineStr">
        <is>
          <t xml:space="preserve">At technical</t>
        </is>
      </c>
      <c r="AM348" s="41">
        <f>IF(ISNUMBER($AD348),Header!$I$3,"")</f>
      </c>
      <c r="AN348" s="39">
        <f>IF(ISNUMBER($AD348),$AO348+$AP348,"")</f>
      </c>
      <c r="AO348" s="39">
        <f>IF(ISNUMBER($AD348),ROUND($AD348*Header!$K$3,2),"")</f>
      </c>
      <c r="AP348" s="39">
        <f>IF(ISNUMBER($AD348),ROUND($AD348*Header!$M$3,2),"")</f>
      </c>
      <c r="AQ348" s="38">
        <f>IF(ISNUMBER($AD348),ROUND($AD348,2)-$AO348-$AP348,"")</f>
      </c>
      <c r="AR348" s="39">
        <f>IF(ISNUMBER($AD348),IF(Header!$D$34="","?",$AD348*Header!$D$34),"")</f>
      </c>
      <c r="AS348" s="39">
        <f>IF(ISNUMBER($AB348),IF(Header!$D$34="","?",$AB348*Header!$D$34),"")</f>
      </c>
      <c r="AT348" s="42">
        <f>IF(AND(ISNUMBER($AB348),$M348&gt;0),$AB348/$M348*100,"")</f>
      </c>
      <c r="AU348" s="42">
        <f>IF(AND(ISNUMBER($AD348),$M348&gt;0),$AD348/$M348*100,"")</f>
      </c>
      <c r="AV348" s="40">
        <f>IF(AND(ISNUMBER($AB348),ISNUMBER($AD348),ABS($AB348)&gt;0),$AD348/$AB348,"")</f>
      </c>
      <c r="AW348" s="39">
        <f>IF(ISNUMBER($AD348),MAX(0,(1-0.55-Header!$O$3)*Header!$Q$3*$AQ348),"")</f>
      </c>
      <c r="AX348" s="43">
        <f>IF($A348="","",IF(TRIM(IF($A348="","Missing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",""))="","PASS","FAIL: "&amp;TRIM(IF($A348="","Missing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f>
      </c>
      <c r="AY348" s="44">
        <f>IF($M348="","",IF(ISNUMBER($M348),IF($M348&gt;=Header!$C$18,"YES — refer","No"),""))</f>
      </c>
      <c r="AZ348" s="44">
        <f>IF($AD348="","",IF(ISNUMBER($AD348),IF($AD348&lt;Header!$C$20,"BELOW MIN PREMIUM","OK"),""))</f>
      </c>
      <c r="BA348" s="48" t="inlineStr">
        <is>
          <t xml:space="preserve">Yes</t>
        </is>
      </c>
      <c r="BB348" s="48" t="inlineStr">
        <is>
          <t xml:space="preserve">Yes</t>
        </is>
      </c>
      <c r="BC348" s="46" t="inlineStr">
        <is>
          <t xml:space="preserve">Synthetic demo data</t>
        </is>
      </c>
      <c r="BE348" s="45">
        <f>IF(OR($A348="",$L348="",$H348=""),"",IF(AND(LEFT($L348,2)="06",$H348&gt;1945),"FAIL - pre-war class, year "&amp;$H348,IF(AND(LEFT($L348,2)="07",OR($H348&lt;1946,$H348&gt;1972)),"FAIL - 1946-72 class, year "&amp;$H348,IF(AND(LEFT($L348,2)="08",OR($H348&lt;1973,$H348&gt;1999)),"FAIL - 1973-99 class, year "&amp;$H348,IF(AND(LEFT($L348,2)="09",OR($H348&lt;2000,$H348&gt;2010)),"FAIL - 2000-10 class, year "&amp;$H348,"OK")))))</f>
      </c>
      <c r="BF348" s="45">
        <f>IF($AD348="","",IF(ROUND($AO348+$AP348+$AQ348-$AD348,2)=0,"OK","FAIL - out by "&amp;TEXT($AO348+$AP348+$AQ348-$AD348,"$0.00")))</f>
      </c>
    </row>
    <row r="349" spans="1:58" ht="18.75" customHeight="1" x14ac:dyDescent="0.25">
      <c r="A349" s="30" t="inlineStr">
        <is>
          <t xml:space="preserve">CANON-202508-000475</t>
        </is>
      </c>
      <c r="B349" s="30" t="inlineStr">
        <is>
          <t xml:space="preserve">Saoirse Whitlock</t>
        </is>
      </c>
      <c r="C349" s="31">
        <v>45877</v>
      </c>
      <c r="D349" s="32" t="inlineStr">
        <is>
          <t xml:space="preserve">Bound - within authority</t>
        </is>
      </c>
      <c r="E349" s="32" t="inlineStr">
        <is>
          <t xml:space="preserve">New business</t>
        </is>
      </c>
      <c r="F349" s="30" t="inlineStr">
        <is>
          <t xml:space="preserve">B1234EXOTIC26</t>
        </is>
      </c>
      <c r="G349" s="33">
        <f>IF($A349="","",IF($C349="","",YEAR($C349)))</f>
      </c>
      <c r="H349" s="34">
        <v>2010</v>
      </c>
      <c r="I349" s="30" t="inlineStr">
        <is>
          <t xml:space="preserve">Porsche</t>
        </is>
      </c>
      <c r="J349" s="30" t="inlineStr">
        <is>
          <t xml:space="preserve">911 Turbo S</t>
        </is>
      </c>
      <c r="K349" s="30" t="inlineStr">
        <is>
          <t xml:space="preserve">KZ5EDEM991L454DYZ</t>
        </is>
      </c>
      <c r="L349" s="32" t="inlineStr">
        <is>
          <t xml:space="preserve">02 - Sports / GT</t>
        </is>
      </c>
      <c r="M349" s="35">
        <v>765000</v>
      </c>
      <c r="N349" s="32" t="inlineStr">
        <is>
          <t xml:space="preserve">Personal</t>
        </is>
      </c>
      <c r="O349" s="30" t="inlineStr">
        <is>
          <t xml:space="preserve">Personal - regular use</t>
        </is>
      </c>
      <c r="P349" s="30" t="inlineStr">
        <is>
          <t xml:space="preserve">1,000 - 2,500</t>
        </is>
      </c>
      <c r="Q349" s="30" t="inlineStr">
        <is>
          <t xml:space="preserve">Alaska</t>
        </is>
      </c>
      <c r="R349" s="30" t="inlineStr">
        <is>
          <t xml:space="preserve">99501</t>
        </is>
      </c>
      <c r="S349" s="32" t="inlineStr">
        <is>
          <t xml:space="preserve">Earthquake - high (CA, Cascadia, New Madrid)</t>
        </is>
      </c>
      <c r="T349" s="36">
        <f>IF($A349="","",IF($S349="","",IFERROR(INDEX('[1]natural catastrophe'!$D$6:$D$17,MATCH($S349,'[1]natural catastrophe'!$B$6:$B$17,0)),"?")))</f>
      </c>
      <c r="U349" s="30" t="inlineStr">
        <is>
          <t xml:space="preserve">$5,000</t>
        </is>
      </c>
      <c r="V349" s="32" t="inlineStr">
        <is>
          <t xml:space="preserve">Agreed Value</t>
        </is>
      </c>
      <c r="W349" s="30" t="inlineStr">
        <is>
          <t xml:space="preserve">$1,000</t>
        </is>
      </c>
      <c r="X349" s="32" t="inlineStr">
        <is>
          <t xml:space="preserve">$1,000,000 CSL</t>
        </is>
      </c>
      <c r="Y349" s="30"/>
      <c r="Z349" s="30"/>
      <c r="AA349" s="32" t="inlineStr">
        <is>
          <t xml:space="preserve">Surplus Lines</t>
        </is>
      </c>
      <c r="AB349" s="35">
        <v>10695.57</v>
      </c>
      <c r="AC349" s="37">
        <v>0</v>
      </c>
      <c r="AD349" s="38">
        <f>IF(ISNUMBER($AB349),$AB349*(1+N($AC349)),"")</f>
      </c>
      <c r="AE349" s="35">
        <v>350</v>
      </c>
      <c r="AF349" s="35">
        <v>0</v>
      </c>
      <c r="AG349" s="37"/>
      <c r="AH349" s="39">
        <f>IF(ISNUMBER($AD349),($AD349+$AE349+$AF349)*$AG349,"")</f>
      </c>
      <c r="AI349" s="35"/>
      <c r="AJ349" s="38">
        <f>IF(ISNUMBER($AD349),SUM($AD349:$AH349),"")</f>
      </c>
      <c r="AK349" s="40">
        <f>IF(AND(ISNUMBER($AB349),ISNUMBER($AD349)),IF($AB349&gt;0,$AD349/$AB349,""),"")</f>
      </c>
      <c r="AL349" s="32" t="inlineStr">
        <is>
          <t xml:space="preserve">At technical</t>
        </is>
      </c>
      <c r="AM349" s="41">
        <f>IF(ISNUMBER($AD349),Header!$I$3,"")</f>
      </c>
      <c r="AN349" s="39">
        <f>IF(ISNUMBER($AD349),$AO349+$AP349,"")</f>
      </c>
      <c r="AO349" s="39">
        <f>IF(ISNUMBER($AD349),ROUND($AD349*Header!$K$3,2),"")</f>
      </c>
      <c r="AP349" s="39">
        <f>IF(ISNUMBER($AD349),ROUND($AD349*Header!$M$3,2),"")</f>
      </c>
      <c r="AQ349" s="38">
        <f>IF(ISNUMBER($AD349),ROUND($AD349,2)-$AO349-$AP349,"")</f>
      </c>
      <c r="AR349" s="39">
        <f>IF(ISNUMBER($AD349),IF(Header!$D$34="","?",$AD349*Header!$D$34),"")</f>
      </c>
      <c r="AS349" s="39">
        <f>IF(ISNUMBER($AB349),IF(Header!$D$34="","?",$AB349*Header!$D$34),"")</f>
      </c>
      <c r="AT349" s="42">
        <f>IF(AND(ISNUMBER($AB349),$M349&gt;0),$AB349/$M349*100,"")</f>
      </c>
      <c r="AU349" s="42">
        <f>IF(AND(ISNUMBER($AD349),$M349&gt;0),$AD349/$M349*100,"")</f>
      </c>
      <c r="AV349" s="40">
        <f>IF(AND(ISNUMBER($AB349),ISNUMBER($AD349),ABS($AB349)&gt;0),$AD349/$AB349,"")</f>
      </c>
      <c r="AW349" s="39">
        <f>IF(ISNUMBER($AD349),MAX(0,(1-0.55-Header!$O$3)*Header!$Q$3*$AQ349),"")</f>
      </c>
      <c r="AX349" s="43">
        <f>IF($A349="","",IF(TRIM(IF($A349="","Missing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",""))="","PASS","FAIL: "&amp;TRIM(IF($A349="","Missing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f>
      </c>
      <c r="AY349" s="44">
        <f>IF($M349="","",IF(ISNUMBER($M349),IF($M349&gt;=Header!$C$18,"YES — refer","No"),""))</f>
      </c>
      <c r="AZ349" s="44">
        <f>IF($AD349="","",IF(ISNUMBER($AD349),IF($AD349&lt;Header!$C$20,"BELOW MIN PREMIUM","OK"),""))</f>
      </c>
      <c r="BA349" s="32" t="inlineStr">
        <is>
          <t xml:space="preserve">Yes</t>
        </is>
      </c>
      <c r="BB349" s="32" t="inlineStr">
        <is>
          <t xml:space="preserve">Yes</t>
        </is>
      </c>
      <c r="BC349" s="30" t="inlineStr">
        <is>
          <t xml:space="preserve">Synthetic demo data</t>
        </is>
      </c>
      <c r="BE349" s="45">
        <f>IF(OR($A349="",$L349="",$H349=""),"",IF(AND(LEFT($L349,2)="06",$H349&gt;1945),"FAIL - pre-war class, year "&amp;$H349,IF(AND(LEFT($L349,2)="07",OR($H349&lt;1946,$H349&gt;1972)),"FAIL - 1946-72 class, year "&amp;$H349,IF(AND(LEFT($L349,2)="08",OR($H349&lt;1973,$H349&gt;1999)),"FAIL - 1973-99 class, year "&amp;$H349,IF(AND(LEFT($L349,2)="09",OR($H349&lt;2000,$H349&gt;2010)),"FAIL - 2000-10 class, year "&amp;$H349,"OK")))))</f>
      </c>
      <c r="BF349" s="45">
        <f>IF($AD349="","",IF(ROUND($AO349+$AP349+$AQ349-$AD349,2)=0,"OK","FAIL - out by "&amp;TEXT($AO349+$AP349+$AQ349-$AD349,"$0.00")))</f>
      </c>
    </row>
    <row r="350" spans="1:58" ht="18.75" customHeight="1" x14ac:dyDescent="0.25">
      <c r="A350" s="46" t="inlineStr">
        <is>
          <t xml:space="preserve">CANON-202508-000476</t>
        </is>
      </c>
      <c r="B350" s="46" t="inlineStr">
        <is>
          <t xml:space="preserve">Lorenzo Merriweather</t>
        </is>
      </c>
      <c r="C350" s="47">
        <v>45896</v>
      </c>
      <c r="D350" s="48" t="inlineStr">
        <is>
          <t xml:space="preserve">Bound - within authority</t>
        </is>
      </c>
      <c r="E350" s="48" t="inlineStr">
        <is>
          <t xml:space="preserve">New business</t>
        </is>
      </c>
      <c r="F350" s="46" t="inlineStr">
        <is>
          <t xml:space="preserve">B1234EXOTIC26</t>
        </is>
      </c>
      <c r="G350" s="33">
        <f>IF($A350="","",IF($C350="","",YEAR($C350)))</f>
      </c>
      <c r="H350" s="49">
        <v>2018</v>
      </c>
      <c r="I350" s="46" t="inlineStr">
        <is>
          <t xml:space="preserve">Ferrari</t>
        </is>
      </c>
      <c r="J350" s="46" t="inlineStr">
        <is>
          <t xml:space="preserve">296 GTB</t>
        </is>
      </c>
      <c r="K350" s="46" t="inlineStr">
        <is>
          <t xml:space="preserve">73GY0NXR6U640LL2A</t>
        </is>
      </c>
      <c r="L350" s="48" t="inlineStr">
        <is>
          <t xml:space="preserve">03 - Supercar</t>
        </is>
      </c>
      <c r="M350" s="50">
        <v>1575000</v>
      </c>
      <c r="N350" s="48" t="inlineStr">
        <is>
          <t xml:space="preserve">Personal</t>
        </is>
      </c>
      <c r="O350" s="46" t="inlineStr">
        <is>
          <t xml:space="preserve">Personal - regular use</t>
        </is>
      </c>
      <c r="P350" s="46" t="inlineStr">
        <is>
          <t xml:space="preserve">Under 1,000</t>
        </is>
      </c>
      <c r="Q350" s="46" t="inlineStr">
        <is>
          <t xml:space="preserve">New York</t>
        </is>
      </c>
      <c r="R350" s="46" t="inlineStr">
        <is>
          <t xml:space="preserve">10022</t>
        </is>
      </c>
      <c r="S350" s="48" t="inlineStr">
        <is>
          <t xml:space="preserve">Tier 3 - Coastal wind (25-100 miles)</t>
        </is>
      </c>
      <c r="T350" s="36">
        <f>IF($A350="","",IF($S350="","",IFERROR(INDEX('[1]natural catastrophe'!$D$6:$D$17,MATCH($S350,'[1]natural catastrophe'!$B$6:$B$17,0)),"?")))</f>
      </c>
      <c r="U350" s="46" t="inlineStr">
        <is>
          <t xml:space="preserve">2% of agreed value, minimum $10,000</t>
        </is>
      </c>
      <c r="V350" s="48" t="inlineStr">
        <is>
          <t xml:space="preserve">Agreed Value</t>
        </is>
      </c>
      <c r="W350" s="46" t="inlineStr">
        <is>
          <t xml:space="preserve">$1,000</t>
        </is>
      </c>
      <c r="X350" s="48" t="inlineStr">
        <is>
          <t xml:space="preserve">$1,000,000 CSL</t>
        </is>
      </c>
      <c r="Y350" s="46"/>
      <c r="Z350" s="46"/>
      <c r="AA350" s="48" t="inlineStr">
        <is>
          <t xml:space="preserve">Surplus Lines</t>
        </is>
      </c>
      <c r="AB350" s="50">
        <v>30430.19</v>
      </c>
      <c r="AC350" s="51">
        <v>0</v>
      </c>
      <c r="AD350" s="38">
        <f>IF(ISNUMBER($AB350),$AB350*(1+N($AC350)),"")</f>
      </c>
      <c r="AE350" s="50">
        <v>350</v>
      </c>
      <c r="AF350" s="50">
        <v>250</v>
      </c>
      <c r="AG350" s="51"/>
      <c r="AH350" s="39">
        <f>IF(ISNUMBER($AD350),($AD350+$AE350+$AF350)*$AG350,"")</f>
      </c>
      <c r="AI350" s="50"/>
      <c r="AJ350" s="38">
        <f>IF(ISNUMBER($AD350),SUM($AD350:$AH350),"")</f>
      </c>
      <c r="AK350" s="40">
        <f>IF(AND(ISNUMBER($AB350),ISNUMBER($AD350)),IF($AB350&gt;0,$AD350/$AB350,""),"")</f>
      </c>
      <c r="AL350" s="48" t="inlineStr">
        <is>
          <t xml:space="preserve">At technical</t>
        </is>
      </c>
      <c r="AM350" s="41">
        <f>IF(ISNUMBER($AD350),Header!$I$3,"")</f>
      </c>
      <c r="AN350" s="39">
        <f>IF(ISNUMBER($AD350),$AO350+$AP350,"")</f>
      </c>
      <c r="AO350" s="39">
        <f>IF(ISNUMBER($AD350),ROUND($AD350*Header!$K$3,2),"")</f>
      </c>
      <c r="AP350" s="39">
        <f>IF(ISNUMBER($AD350),ROUND($AD350*Header!$M$3,2),"")</f>
      </c>
      <c r="AQ350" s="38">
        <f>IF(ISNUMBER($AD350),ROUND($AD350,2)-$AO350-$AP350,"")</f>
      </c>
      <c r="AR350" s="39">
        <f>IF(ISNUMBER($AD350),IF(Header!$D$34="","?",$AD350*Header!$D$34),"")</f>
      </c>
      <c r="AS350" s="39">
        <f>IF(ISNUMBER($AB350),IF(Header!$D$34="","?",$AB350*Header!$D$34),"")</f>
      </c>
      <c r="AT350" s="42">
        <f>IF(AND(ISNUMBER($AB350),$M350&gt;0),$AB350/$M350*100,"")</f>
      </c>
      <c r="AU350" s="42">
        <f>IF(AND(ISNUMBER($AD350),$M350&gt;0),$AD350/$M350*100,"")</f>
      </c>
      <c r="AV350" s="40">
        <f>IF(AND(ISNUMBER($AB350),ISNUMBER($AD350),ABS($AB350)&gt;0),$AD350/$AB350,"")</f>
      </c>
      <c r="AW350" s="39">
        <f>IF(ISNUMBER($AD350),MAX(0,(1-0.55-Header!$O$3)*Header!$Q$3*$AQ350),"")</f>
      </c>
      <c r="AX350" s="43">
        <f>IF($A350="","",IF(TRIM(IF($A350="","Missing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",""))="","PASS","FAIL: "&amp;TRIM(IF($A350="","Missing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f>
      </c>
      <c r="AY350" s="44">
        <f>IF($M350="","",IF(ISNUMBER($M350),IF($M350&gt;=Header!$C$18,"YES — refer","No"),""))</f>
      </c>
      <c r="AZ350" s="44">
        <f>IF($AD350="","",IF(ISNUMBER($AD350),IF($AD350&lt;Header!$C$20,"BELOW MIN PREMIUM","OK"),""))</f>
      </c>
      <c r="BA350" s="48" t="inlineStr">
        <is>
          <t xml:space="preserve">Yes</t>
        </is>
      </c>
      <c r="BB350" s="48" t="inlineStr">
        <is>
          <t xml:space="preserve">Yes</t>
        </is>
      </c>
      <c r="BC350" s="46" t="inlineStr">
        <is>
          <t xml:space="preserve">Synthetic demo data</t>
        </is>
      </c>
      <c r="BE350" s="45">
        <f>IF(OR($A350="",$L350="",$H350=""),"",IF(AND(LEFT($L350,2)="06",$H350&gt;1945),"FAIL - pre-war class, year "&amp;$H350,IF(AND(LEFT($L350,2)="07",OR($H350&lt;1946,$H350&gt;1972)),"FAIL - 1946-72 class, year "&amp;$H350,IF(AND(LEFT($L350,2)="08",OR($H350&lt;1973,$H350&gt;1999)),"FAIL - 1973-99 class, year "&amp;$H350,IF(AND(LEFT($L350,2)="09",OR($H350&lt;2000,$H350&gt;2010)),"FAIL - 2000-10 class, year "&amp;$H350,"OK")))))</f>
      </c>
      <c r="BF350" s="45">
        <f>IF($AD350="","",IF(ROUND($AO350+$AP350+$AQ350-$AD350,2)=0,"OK","FAIL - out by "&amp;TEXT($AO350+$AP350+$AQ350-$AD350,"$0.00")))</f>
      </c>
    </row>
    <row r="351" spans="1:58" ht="18.75" customHeight="1" x14ac:dyDescent="0.25">
      <c r="A351" s="30" t="inlineStr">
        <is>
          <t xml:space="preserve">CANON-202508-000478</t>
        </is>
      </c>
      <c r="B351" s="30" t="inlineStr">
        <is>
          <t xml:space="preserve">Ramona Larsson</t>
        </is>
      </c>
      <c r="C351" s="31">
        <v>45883</v>
      </c>
      <c r="D351" s="32" t="inlineStr">
        <is>
          <t xml:space="preserve">Bound - within authority</t>
        </is>
      </c>
      <c r="E351" s="32" t="inlineStr">
        <is>
          <t xml:space="preserve">New business</t>
        </is>
      </c>
      <c r="F351" s="30" t="inlineStr">
        <is>
          <t xml:space="preserve">B1234EXOTIC26</t>
        </is>
      </c>
      <c r="G351" s="33">
        <f>IF($A351="","",IF($C351="","",YEAR($C351)))</f>
      </c>
      <c r="H351" s="34">
        <v>1971</v>
      </c>
      <c r="I351" s="30" t="inlineStr">
        <is>
          <t xml:space="preserve">Ferrari</t>
        </is>
      </c>
      <c r="J351" s="30" t="inlineStr">
        <is>
          <t xml:space="preserve">SF90 Stradale</t>
        </is>
      </c>
      <c r="K351" s="30" t="inlineStr">
        <is>
          <t xml:space="preserve">XKRGS1YDEG9C487C4</t>
        </is>
      </c>
      <c r="L351" s="32" t="inlineStr">
        <is>
          <t xml:space="preserve">03 - Supercar</t>
        </is>
      </c>
      <c r="M351" s="35">
        <v>410000</v>
      </c>
      <c r="N351" s="32" t="inlineStr">
        <is>
          <t xml:space="preserve">Personal</t>
        </is>
      </c>
      <c r="O351" s="30" t="inlineStr">
        <is>
          <t xml:space="preserve">Personal - regular use</t>
        </is>
      </c>
      <c r="P351" s="30" t="inlineStr">
        <is>
          <t xml:space="preserve">2,500 - 5,000</t>
        </is>
      </c>
      <c r="Q351" s="30" t="inlineStr">
        <is>
          <t xml:space="preserve">California</t>
        </is>
      </c>
      <c r="R351" s="30" t="inlineStr">
        <is>
          <t xml:space="preserve">90012</t>
        </is>
      </c>
      <c r="S351" s="32" t="inlineStr">
        <is>
          <t xml:space="preserve">Earthquake - high (CA, Cascadia, New Madrid)</t>
        </is>
      </c>
      <c r="T351" s="36">
        <f>IF($A351="","",IF($S351="","",IFERROR(INDEX('[1]natural catastrophe'!$D$6:$D$17,MATCH($S351,'[1]natural catastrophe'!$B$6:$B$17,0)),"?")))</f>
      </c>
      <c r="U351" s="30" t="inlineStr">
        <is>
          <t xml:space="preserve">$5,000</t>
        </is>
      </c>
      <c r="V351" s="32" t="inlineStr">
        <is>
          <t xml:space="preserve">Agreed Value</t>
        </is>
      </c>
      <c r="W351" s="30" t="inlineStr">
        <is>
          <t xml:space="preserve">$1,000</t>
        </is>
      </c>
      <c r="X351" s="32" t="inlineStr">
        <is>
          <t xml:space="preserve">$1,000,000 CSL</t>
        </is>
      </c>
      <c r="Y351" s="30"/>
      <c r="Z351" s="30"/>
      <c r="AA351" s="32" t="inlineStr">
        <is>
          <t xml:space="preserve">Surplus Lines</t>
        </is>
      </c>
      <c r="AB351" s="35">
        <v>12009.91</v>
      </c>
      <c r="AC351" s="37">
        <v>0</v>
      </c>
      <c r="AD351" s="38">
        <f>IF(ISNUMBER($AB351),$AB351*(1+N($AC351)),"")</f>
      </c>
      <c r="AE351" s="35">
        <v>350</v>
      </c>
      <c r="AF351" s="35">
        <v>0</v>
      </c>
      <c r="AG351" s="37"/>
      <c r="AH351" s="39">
        <f>IF(ISNUMBER($AD351),($AD351+$AE351+$AF351)*$AG351,"")</f>
      </c>
      <c r="AI351" s="35"/>
      <c r="AJ351" s="38">
        <f>IF(ISNUMBER($AD351),SUM($AD351:$AH351),"")</f>
      </c>
      <c r="AK351" s="40">
        <f>IF(AND(ISNUMBER($AB351),ISNUMBER($AD351)),IF($AB351&gt;0,$AD351/$AB351,""),"")</f>
      </c>
      <c r="AL351" s="32" t="inlineStr">
        <is>
          <t xml:space="preserve">At technical</t>
        </is>
      </c>
      <c r="AM351" s="41">
        <f>IF(ISNUMBER($AD351),Header!$I$3,"")</f>
      </c>
      <c r="AN351" s="39">
        <f>IF(ISNUMBER($AD351),$AO351+$AP351,"")</f>
      </c>
      <c r="AO351" s="39">
        <f>IF(ISNUMBER($AD351),ROUND($AD351*Header!$K$3,2),"")</f>
      </c>
      <c r="AP351" s="39">
        <f>IF(ISNUMBER($AD351),ROUND($AD351*Header!$M$3,2),"")</f>
      </c>
      <c r="AQ351" s="38">
        <f>IF(ISNUMBER($AD351),ROUND($AD351,2)-$AO351-$AP351,"")</f>
      </c>
      <c r="AR351" s="39">
        <f>IF(ISNUMBER($AD351),IF(Header!$D$34="","?",$AD351*Header!$D$34),"")</f>
      </c>
      <c r="AS351" s="39">
        <f>IF(ISNUMBER($AB351),IF(Header!$D$34="","?",$AB351*Header!$D$34),"")</f>
      </c>
      <c r="AT351" s="42">
        <f>IF(AND(ISNUMBER($AB351),$M351&gt;0),$AB351/$M351*100,"")</f>
      </c>
      <c r="AU351" s="42">
        <f>IF(AND(ISNUMBER($AD351),$M351&gt;0),$AD351/$M351*100,"")</f>
      </c>
      <c r="AV351" s="40">
        <f>IF(AND(ISNUMBER($AB351),ISNUMBER($AD351),ABS($AB351)&gt;0),$AD351/$AB351,"")</f>
      </c>
      <c r="AW351" s="39">
        <f>IF(ISNUMBER($AD351),MAX(0,(1-0.55-Header!$O$3)*Header!$Q$3*$AQ351),"")</f>
      </c>
      <c r="AX351" s="43">
        <f>IF($A351="","",IF(TRIM(IF($A351="","Missing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",""))="","PASS","FAIL: "&amp;TRIM(IF($A351="","Missing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f>
      </c>
      <c r="AY351" s="44">
        <f>IF($M351="","",IF(ISNUMBER($M351),IF($M351&gt;=Header!$C$18,"YES — refer","No"),""))</f>
      </c>
      <c r="AZ351" s="44">
        <f>IF($AD351="","",IF(ISNUMBER($AD351),IF($AD351&lt;Header!$C$20,"BELOW MIN PREMIUM","OK"),""))</f>
      </c>
      <c r="BA351" s="32" t="inlineStr">
        <is>
          <t xml:space="preserve">Yes</t>
        </is>
      </c>
      <c r="BB351" s="32" t="inlineStr">
        <is>
          <t xml:space="preserve">Yes</t>
        </is>
      </c>
      <c r="BC351" s="30" t="inlineStr">
        <is>
          <t xml:space="preserve">Synthetic demo data</t>
        </is>
      </c>
      <c r="BE351" s="45">
        <f>IF(OR($A351="",$L351="",$H351=""),"",IF(AND(LEFT($L351,2)="06",$H351&gt;1945),"FAIL - pre-war class, year "&amp;$H351,IF(AND(LEFT($L351,2)="07",OR($H351&lt;1946,$H351&gt;1972)),"FAIL - 1946-72 class, year "&amp;$H351,IF(AND(LEFT($L351,2)="08",OR($H351&lt;1973,$H351&gt;1999)),"FAIL - 1973-99 class, year "&amp;$H351,IF(AND(LEFT($L351,2)="09",OR($H351&lt;2000,$H351&gt;2010)),"FAIL - 2000-10 class, year "&amp;$H351,"OK")))))</f>
      </c>
      <c r="BF351" s="45">
        <f>IF($AD351="","",IF(ROUND($AO351+$AP351+$AQ351-$AD351,2)=0,"OK","FAIL - out by "&amp;TEXT($AO351+$AP351+$AQ351-$AD351,"$0.00")))</f>
      </c>
    </row>
    <row r="352" spans="1:58" ht="18.75" customHeight="1" x14ac:dyDescent="0.25">
      <c r="A352" s="46" t="inlineStr">
        <is>
          <t xml:space="preserve">CANON-202508-000479</t>
        </is>
      </c>
      <c r="B352" s="46" t="inlineStr">
        <is>
          <t xml:space="preserve">Everett Nakashima</t>
        </is>
      </c>
      <c r="C352" s="47">
        <v>45891</v>
      </c>
      <c r="D352" s="48" t="inlineStr">
        <is>
          <t xml:space="preserve">Bound - within authority</t>
        </is>
      </c>
      <c r="E352" s="48" t="inlineStr">
        <is>
          <t xml:space="preserve">New business</t>
        </is>
      </c>
      <c r="F352" s="46" t="inlineStr">
        <is>
          <t xml:space="preserve">B1234EXOTIC26</t>
        </is>
      </c>
      <c r="G352" s="33">
        <f>IF($A352="","",IF($C352="","",YEAR($C352)))</f>
      </c>
      <c r="H352" s="49">
        <v>1985</v>
      </c>
      <c r="I352" s="46" t="inlineStr">
        <is>
          <t xml:space="preserve">Ferrari</t>
        </is>
      </c>
      <c r="J352" s="46" t="inlineStr">
        <is>
          <t xml:space="preserve">SF90 Stradale</t>
        </is>
      </c>
      <c r="K352" s="46" t="inlineStr">
        <is>
          <t xml:space="preserve">7996049DDNRN5J5Y2</t>
        </is>
      </c>
      <c r="L352" s="48" t="inlineStr">
        <is>
          <t xml:space="preserve">03 - Supercar</t>
        </is>
      </c>
      <c r="M352" s="50">
        <v>455000</v>
      </c>
      <c r="N352" s="48" t="inlineStr">
        <is>
          <t xml:space="preserve">Personal</t>
        </is>
      </c>
      <c r="O352" s="46" t="inlineStr">
        <is>
          <t xml:space="preserve">Personal - regular use</t>
        </is>
      </c>
      <c r="P352" s="46" t="inlineStr">
        <is>
          <t xml:space="preserve">Under 1,000</t>
        </is>
      </c>
      <c r="Q352" s="46" t="inlineStr">
        <is>
          <t xml:space="preserve">Nebraska</t>
        </is>
      </c>
      <c r="R352" s="46" t="inlineStr">
        <is>
          <t xml:space="preserve">68102</t>
        </is>
      </c>
      <c r="S352" s="48" t="inlineStr">
        <is>
          <t xml:space="preserve">Severe convective - hail alley (high)</t>
        </is>
      </c>
      <c r="T352" s="36">
        <f>IF($A352="","",IF($S352="","",IFERROR(INDEX('[1]natural catastrophe'!$D$6:$D$17,MATCH($S352,'[1]natural catastrophe'!$B$6:$B$17,0)),"?")))</f>
      </c>
      <c r="U352" s="46" t="inlineStr">
        <is>
          <t xml:space="preserve">$5,000</t>
        </is>
      </c>
      <c r="V352" s="48" t="inlineStr">
        <is>
          <t xml:space="preserve">Agreed Value</t>
        </is>
      </c>
      <c r="W352" s="46" t="inlineStr">
        <is>
          <t xml:space="preserve">$1,000</t>
        </is>
      </c>
      <c r="X352" s="48" t="inlineStr">
        <is>
          <t xml:space="preserve">$1,000,000 CSL</t>
        </is>
      </c>
      <c r="Y352" s="46"/>
      <c r="Z352" s="46"/>
      <c r="AA352" s="48" t="inlineStr">
        <is>
          <t xml:space="preserve">Surplus Lines</t>
        </is>
      </c>
      <c r="AB352" s="50">
        <v>12834.43</v>
      </c>
      <c r="AC352" s="51">
        <v>0</v>
      </c>
      <c r="AD352" s="38">
        <f>IF(ISNUMBER($AB352),$AB352*(1+N($AC352)),"")</f>
      </c>
      <c r="AE352" s="50">
        <v>350</v>
      </c>
      <c r="AF352" s="50">
        <v>0</v>
      </c>
      <c r="AG352" s="51"/>
      <c r="AH352" s="39">
        <f>IF(ISNUMBER($AD352),($AD352+$AE352+$AF352)*$AG352,"")</f>
      </c>
      <c r="AI352" s="50"/>
      <c r="AJ352" s="38">
        <f>IF(ISNUMBER($AD352),SUM($AD352:$AH352),"")</f>
      </c>
      <c r="AK352" s="40">
        <f>IF(AND(ISNUMBER($AB352),ISNUMBER($AD352)),IF($AB352&gt;0,$AD352/$AB352,""),"")</f>
      </c>
      <c r="AL352" s="48" t="inlineStr">
        <is>
          <t xml:space="preserve">At technical</t>
        </is>
      </c>
      <c r="AM352" s="41">
        <f>IF(ISNUMBER($AD352),Header!$I$3,"")</f>
      </c>
      <c r="AN352" s="39">
        <f>IF(ISNUMBER($AD352),$AO352+$AP352,"")</f>
      </c>
      <c r="AO352" s="39">
        <f>IF(ISNUMBER($AD352),ROUND($AD352*Header!$K$3,2),"")</f>
      </c>
      <c r="AP352" s="39">
        <f>IF(ISNUMBER($AD352),ROUND($AD352*Header!$M$3,2),"")</f>
      </c>
      <c r="AQ352" s="38">
        <f>IF(ISNUMBER($AD352),ROUND($AD352,2)-$AO352-$AP352,"")</f>
      </c>
      <c r="AR352" s="39">
        <f>IF(ISNUMBER($AD352),IF(Header!$D$34="","?",$AD352*Header!$D$34),"")</f>
      </c>
      <c r="AS352" s="39">
        <f>IF(ISNUMBER($AB352),IF(Header!$D$34="","?",$AB352*Header!$D$34),"")</f>
      </c>
      <c r="AT352" s="42">
        <f>IF(AND(ISNUMBER($AB352),$M352&gt;0),$AB352/$M352*100,"")</f>
      </c>
      <c r="AU352" s="42">
        <f>IF(AND(ISNUMBER($AD352),$M352&gt;0),$AD352/$M352*100,"")</f>
      </c>
      <c r="AV352" s="40">
        <f>IF(AND(ISNUMBER($AB352),ISNUMBER($AD352),ABS($AB352)&gt;0),$AD352/$AB352,"")</f>
      </c>
      <c r="AW352" s="39">
        <f>IF(ISNUMBER($AD352),MAX(0,(1-0.55-Header!$O$3)*Header!$Q$3*$AQ352),"")</f>
      </c>
      <c r="AX352" s="43">
        <f>IF($A352="","",IF(TRIM(IF($A352="","Missing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",""))="","PASS","FAIL: "&amp;TRIM(IF($A352="","Missing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f>
      </c>
      <c r="AY352" s="44">
        <f>IF($M352="","",IF(ISNUMBER($M352),IF($M352&gt;=Header!$C$18,"YES — refer","No"),""))</f>
      </c>
      <c r="AZ352" s="44">
        <f>IF($AD352="","",IF(ISNUMBER($AD352),IF($AD352&lt;Header!$C$20,"BELOW MIN PREMIUM","OK"),""))</f>
      </c>
      <c r="BA352" s="48" t="inlineStr">
        <is>
          <t xml:space="preserve">Yes</t>
        </is>
      </c>
      <c r="BB352" s="48" t="inlineStr">
        <is>
          <t xml:space="preserve">Yes</t>
        </is>
      </c>
      <c r="BC352" s="46" t="inlineStr">
        <is>
          <t xml:space="preserve">Synthetic demo data</t>
        </is>
      </c>
      <c r="BE352" s="45">
        <f>IF(OR($A352="",$L352="",$H352=""),"",IF(AND(LEFT($L352,2)="06",$H352&gt;1945),"FAIL - pre-war class, year "&amp;$H352,IF(AND(LEFT($L352,2)="07",OR($H352&lt;1946,$H352&gt;1972)),"FAIL - 1946-72 class, year "&amp;$H352,IF(AND(LEFT($L352,2)="08",OR($H352&lt;1973,$H352&gt;1999)),"FAIL - 1973-99 class, year "&amp;$H352,IF(AND(LEFT($L352,2)="09",OR($H352&lt;2000,$H352&gt;2010)),"FAIL - 2000-10 class, year "&amp;$H352,"OK")))))</f>
      </c>
      <c r="BF352" s="45">
        <f>IF($AD352="","",IF(ROUND($AO352+$AP352+$AQ352-$AD352,2)=0,"OK","FAIL - out by "&amp;TEXT($AO352+$AP352+$AQ352-$AD352,"$0.00")))</f>
      </c>
    </row>
    <row r="353" spans="1:58" ht="18.75" customHeight="1" x14ac:dyDescent="0.25">
      <c r="A353" s="30" t="inlineStr">
        <is>
          <t xml:space="preserve">CANON-202508-000480</t>
        </is>
      </c>
      <c r="B353" s="30" t="inlineStr">
        <is>
          <t xml:space="preserve">Anouk Merriweather</t>
        </is>
      </c>
      <c r="C353" s="31">
        <v>45885</v>
      </c>
      <c r="D353" s="32" t="inlineStr">
        <is>
          <t xml:space="preserve">Bound - within authority</t>
        </is>
      </c>
      <c r="E353" s="32" t="inlineStr">
        <is>
          <t xml:space="preserve">New business</t>
        </is>
      </c>
      <c r="F353" s="30" t="inlineStr">
        <is>
          <t xml:space="preserve">B1234EXOTIC26</t>
        </is>
      </c>
      <c r="G353" s="33">
        <f>IF($A353="","",IF($C353="","",YEAR($C353)))</f>
      </c>
      <c r="H353" s="34">
        <v>1961</v>
      </c>
      <c r="I353" s="30" t="inlineStr">
        <is>
          <t xml:space="preserve">Singer</t>
        </is>
      </c>
      <c r="J353" s="30" t="inlineStr">
        <is>
          <t xml:space="preserve">911 Reimagined</t>
        </is>
      </c>
      <c r="K353" s="30" t="inlineStr">
        <is>
          <t xml:space="preserve">BRAPN7P4PJ9ZW184G</t>
        </is>
      </c>
      <c r="L353" s="32" t="inlineStr">
        <is>
          <t xml:space="preserve">11 - Restomod / Coachbuilt / Bespoke</t>
        </is>
      </c>
      <c r="M353" s="35">
        <v>730000</v>
      </c>
      <c r="N353" s="32" t="inlineStr">
        <is>
          <t xml:space="preserve">Personal</t>
        </is>
      </c>
      <c r="O353" s="30" t="inlineStr">
        <is>
          <t xml:space="preserve">Personal - regular use</t>
        </is>
      </c>
      <c r="P353" s="30" t="inlineStr">
        <is>
          <t xml:space="preserve">Under 1,000</t>
        </is>
      </c>
      <c r="Q353" s="30" t="inlineStr">
        <is>
          <t xml:space="preserve">Nevada</t>
        </is>
      </c>
      <c r="R353" s="30" t="inlineStr">
        <is>
          <t xml:space="preserve">89101</t>
        </is>
      </c>
      <c r="S353" s="32" t="inlineStr">
        <is>
          <t xml:space="preserve">Wildfire - WUI high hazard</t>
        </is>
      </c>
      <c r="T353" s="36">
        <f>IF($A353="","",IF($S353="","",IFERROR(INDEX('[1]natural catastrophe'!$D$6:$D$17,MATCH($S353,'[1]natural catastrophe'!$B$6:$B$17,0)),"?")))</f>
      </c>
      <c r="U353" s="30" t="inlineStr">
        <is>
          <t xml:space="preserve">$5,000</t>
        </is>
      </c>
      <c r="V353" s="32" t="inlineStr">
        <is>
          <t xml:space="preserve">Agreed Value</t>
        </is>
      </c>
      <c r="W353" s="30" t="inlineStr">
        <is>
          <t xml:space="preserve">$1,000</t>
        </is>
      </c>
      <c r="X353" s="32" t="inlineStr">
        <is>
          <t xml:space="preserve">$1,000,000 CSL</t>
        </is>
      </c>
      <c r="Y353" s="30"/>
      <c r="Z353" s="30"/>
      <c r="AA353" s="32" t="inlineStr">
        <is>
          <t xml:space="preserve">Surplus Lines</t>
        </is>
      </c>
      <c r="AB353" s="35">
        <v>12569.77</v>
      </c>
      <c r="AC353" s="37">
        <v>0</v>
      </c>
      <c r="AD353" s="38">
        <f>IF(ISNUMBER($AB353),$AB353*(1+N($AC353)),"")</f>
      </c>
      <c r="AE353" s="35">
        <v>350</v>
      </c>
      <c r="AF353" s="35">
        <v>0</v>
      </c>
      <c r="AG353" s="37"/>
      <c r="AH353" s="39">
        <f>IF(ISNUMBER($AD353),($AD353+$AE353+$AF353)*$AG353,"")</f>
      </c>
      <c r="AI353" s="35"/>
      <c r="AJ353" s="38">
        <f>IF(ISNUMBER($AD353),SUM($AD353:$AH353),"")</f>
      </c>
      <c r="AK353" s="40">
        <f>IF(AND(ISNUMBER($AB353),ISNUMBER($AD353)),IF($AB353&gt;0,$AD353/$AB353,""),"")</f>
      </c>
      <c r="AL353" s="32" t="inlineStr">
        <is>
          <t xml:space="preserve">At technical</t>
        </is>
      </c>
      <c r="AM353" s="41">
        <f>IF(ISNUMBER($AD353),Header!$I$3,"")</f>
      </c>
      <c r="AN353" s="39">
        <f>IF(ISNUMBER($AD353),$AO353+$AP353,"")</f>
      </c>
      <c r="AO353" s="39">
        <f>IF(ISNUMBER($AD353),ROUND($AD353*Header!$K$3,2),"")</f>
      </c>
      <c r="AP353" s="39">
        <f>IF(ISNUMBER($AD353),ROUND($AD353*Header!$M$3,2),"")</f>
      </c>
      <c r="AQ353" s="38">
        <f>IF(ISNUMBER($AD353),ROUND($AD353,2)-$AO353-$AP353,"")</f>
      </c>
      <c r="AR353" s="39">
        <f>IF(ISNUMBER($AD353),IF(Header!$D$34="","?",$AD353*Header!$D$34),"")</f>
      </c>
      <c r="AS353" s="39">
        <f>IF(ISNUMBER($AB353),IF(Header!$D$34="","?",$AB353*Header!$D$34),"")</f>
      </c>
      <c r="AT353" s="42">
        <f>IF(AND(ISNUMBER($AB353),$M353&gt;0),$AB353/$M353*100,"")</f>
      </c>
      <c r="AU353" s="42">
        <f>IF(AND(ISNUMBER($AD353),$M353&gt;0),$AD353/$M353*100,"")</f>
      </c>
      <c r="AV353" s="40">
        <f>IF(AND(ISNUMBER($AB353),ISNUMBER($AD353),ABS($AB353)&gt;0),$AD353/$AB353,"")</f>
      </c>
      <c r="AW353" s="39">
        <f>IF(ISNUMBER($AD353),MAX(0,(1-0.55-Header!$O$3)*Header!$Q$3*$AQ353),"")</f>
      </c>
      <c r="AX353" s="43">
        <f>IF($A353="","",IF(TRIM(IF($A353="","Missing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",""))="","PASS","FAIL: "&amp;TRIM(IF($A353="","Missing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f>
      </c>
      <c r="AY353" s="44">
        <f>IF($M353="","",IF(ISNUMBER($M353),IF($M353&gt;=Header!$C$18,"YES — refer","No"),""))</f>
      </c>
      <c r="AZ353" s="44">
        <f>IF($AD353="","",IF(ISNUMBER($AD353),IF($AD353&lt;Header!$C$20,"BELOW MIN PREMIUM","OK"),""))</f>
      </c>
      <c r="BA353" s="32" t="inlineStr">
        <is>
          <t xml:space="preserve">Yes</t>
        </is>
      </c>
      <c r="BB353" s="32" t="inlineStr">
        <is>
          <t xml:space="preserve">Yes</t>
        </is>
      </c>
      <c r="BC353" s="30" t="inlineStr">
        <is>
          <t xml:space="preserve">Synthetic demo data</t>
        </is>
      </c>
      <c r="BE353" s="45">
        <f>IF(OR($A353="",$L353="",$H353=""),"",IF(AND(LEFT($L353,2)="06",$H353&gt;1945),"FAIL - pre-war class, year "&amp;$H353,IF(AND(LEFT($L353,2)="07",OR($H353&lt;1946,$H353&gt;1972)),"FAIL - 1946-72 class, year "&amp;$H353,IF(AND(LEFT($L353,2)="08",OR($H353&lt;1973,$H353&gt;1999)),"FAIL - 1973-99 class, year "&amp;$H353,IF(AND(LEFT($L353,2)="09",OR($H353&lt;2000,$H353&gt;2010)),"FAIL - 2000-10 class, year "&amp;$H353,"OK")))))</f>
      </c>
      <c r="BF353" s="45">
        <f>IF($AD353="","",IF(ROUND($AO353+$AP353+$AQ353-$AD353,2)=0,"OK","FAIL - out by "&amp;TEXT($AO353+$AP353+$AQ353-$AD353,"$0.00")))</f>
      </c>
    </row>
    <row r="354" spans="1:58" ht="18.75" customHeight="1" x14ac:dyDescent="0.25">
      <c r="A354" s="46" t="inlineStr">
        <is>
          <t xml:space="preserve">CANON-202508-000481</t>
        </is>
      </c>
      <c r="B354" s="46" t="inlineStr">
        <is>
          <t xml:space="preserve">Delphine Farkas</t>
        </is>
      </c>
      <c r="C354" s="47">
        <v>45883</v>
      </c>
      <c r="D354" s="48" t="inlineStr">
        <is>
          <t xml:space="preserve">Bound - within authority</t>
        </is>
      </c>
      <c r="E354" s="48" t="inlineStr">
        <is>
          <t xml:space="preserve">New business</t>
        </is>
      </c>
      <c r="F354" s="46" t="inlineStr">
        <is>
          <t xml:space="preserve">B1234EXOTIC26</t>
        </is>
      </c>
      <c r="G354" s="33">
        <f>IF($A354="","",IF($C354="","",YEAR($C354)))</f>
      </c>
      <c r="H354" s="49">
        <v>1995</v>
      </c>
      <c r="I354" s="46" t="inlineStr">
        <is>
          <t xml:space="preserve">BMW</t>
        </is>
      </c>
      <c r="J354" s="46" t="inlineStr">
        <is>
          <t xml:space="preserve">M8 Competition</t>
        </is>
      </c>
      <c r="K354" s="46" t="inlineStr">
        <is>
          <t xml:space="preserve">N6JMS10DH6S32T5CU</t>
        </is>
      </c>
      <c r="L354" s="48" t="inlineStr">
        <is>
          <t xml:space="preserve">02 - Sports / GT</t>
        </is>
      </c>
      <c r="M354" s="50">
        <v>430000</v>
      </c>
      <c r="N354" s="48" t="inlineStr">
        <is>
          <t xml:space="preserve">Personal</t>
        </is>
      </c>
      <c r="O354" s="46" t="inlineStr">
        <is>
          <t xml:space="preserve">Personal - regular use</t>
        </is>
      </c>
      <c r="P354" s="46" t="inlineStr">
        <is>
          <t xml:space="preserve">2,500 - 5,000</t>
        </is>
      </c>
      <c r="Q354" s="46" t="inlineStr">
        <is>
          <t xml:space="preserve">California</t>
        </is>
      </c>
      <c r="R354" s="46" t="inlineStr">
        <is>
          <t xml:space="preserve">90012</t>
        </is>
      </c>
      <c r="S354" s="48" t="inlineStr">
        <is>
          <t xml:space="preserve">Earthquake - high (CA, Cascadia, New Madrid)</t>
        </is>
      </c>
      <c r="T354" s="36">
        <f>IF($A354="","",IF($S354="","",IFERROR(INDEX('[1]natural catastrophe'!$D$6:$D$17,MATCH($S354,'[1]natural catastrophe'!$B$6:$B$17,0)),"?")))</f>
      </c>
      <c r="U354" s="46" t="inlineStr">
        <is>
          <t xml:space="preserve">$5,000</t>
        </is>
      </c>
      <c r="V354" s="48" t="inlineStr">
        <is>
          <t xml:space="preserve">Agreed Value</t>
        </is>
      </c>
      <c r="W354" s="46" t="inlineStr">
        <is>
          <t xml:space="preserve">$1,000</t>
        </is>
      </c>
      <c r="X354" s="48" t="inlineStr">
        <is>
          <t xml:space="preserve">$1,000,000 CSL</t>
        </is>
      </c>
      <c r="Y354" s="46"/>
      <c r="Z354" s="46"/>
      <c r="AA354" s="48" t="inlineStr">
        <is>
          <t xml:space="preserve">Surplus Lines</t>
        </is>
      </c>
      <c r="AB354" s="50">
        <v>8214.62</v>
      </c>
      <c r="AC354" s="51">
        <v>0</v>
      </c>
      <c r="AD354" s="38">
        <f>IF(ISNUMBER($AB354),$AB354*(1+N($AC354)),"")</f>
      </c>
      <c r="AE354" s="50">
        <v>350</v>
      </c>
      <c r="AF354" s="50">
        <v>0</v>
      </c>
      <c r="AG354" s="51"/>
      <c r="AH354" s="39">
        <f>IF(ISNUMBER($AD354),($AD354+$AE354+$AF354)*$AG354,"")</f>
      </c>
      <c r="AI354" s="50"/>
      <c r="AJ354" s="38">
        <f>IF(ISNUMBER($AD354),SUM($AD354:$AH354),"")</f>
      </c>
      <c r="AK354" s="40">
        <f>IF(AND(ISNUMBER($AB354),ISNUMBER($AD354)),IF($AB354&gt;0,$AD354/$AB354,""),"")</f>
      </c>
      <c r="AL354" s="48" t="inlineStr">
        <is>
          <t xml:space="preserve">At technical</t>
        </is>
      </c>
      <c r="AM354" s="41">
        <f>IF(ISNUMBER($AD354),Header!$I$3,"")</f>
      </c>
      <c r="AN354" s="39">
        <f>IF(ISNUMBER($AD354),$AO354+$AP354,"")</f>
      </c>
      <c r="AO354" s="39">
        <f>IF(ISNUMBER($AD354),ROUND($AD354*Header!$K$3,2),"")</f>
      </c>
      <c r="AP354" s="39">
        <f>IF(ISNUMBER($AD354),ROUND($AD354*Header!$M$3,2),"")</f>
      </c>
      <c r="AQ354" s="38">
        <f>IF(ISNUMBER($AD354),ROUND($AD354,2)-$AO354-$AP354,"")</f>
      </c>
      <c r="AR354" s="39">
        <f>IF(ISNUMBER($AD354),IF(Header!$D$34="","?",$AD354*Header!$D$34),"")</f>
      </c>
      <c r="AS354" s="39">
        <f>IF(ISNUMBER($AB354),IF(Header!$D$34="","?",$AB354*Header!$D$34),"")</f>
      </c>
      <c r="AT354" s="42">
        <f>IF(AND(ISNUMBER($AB354),$M354&gt;0),$AB354/$M354*100,"")</f>
      </c>
      <c r="AU354" s="42">
        <f>IF(AND(ISNUMBER($AD354),$M354&gt;0),$AD354/$M354*100,"")</f>
      </c>
      <c r="AV354" s="40">
        <f>IF(AND(ISNUMBER($AB354),ISNUMBER($AD354),ABS($AB354)&gt;0),$AD354/$AB354,"")</f>
      </c>
      <c r="AW354" s="39">
        <f>IF(ISNUMBER($AD354),MAX(0,(1-0.55-Header!$O$3)*Header!$Q$3*$AQ354),"")</f>
      </c>
      <c r="AX354" s="43">
        <f>IF($A354="","",IF(TRIM(IF($A354="","Missing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",""))="","PASS","FAIL: "&amp;TRIM(IF($A354="","Missing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f>
      </c>
      <c r="AY354" s="44">
        <f>IF($M354="","",IF(ISNUMBER($M354),IF($M354&gt;=Header!$C$18,"YES — refer","No"),""))</f>
      </c>
      <c r="AZ354" s="44">
        <f>IF($AD354="","",IF(ISNUMBER($AD354),IF($AD354&lt;Header!$C$20,"BELOW MIN PREMIUM","OK"),""))</f>
      </c>
      <c r="BA354" s="48" t="inlineStr">
        <is>
          <t xml:space="preserve">Yes</t>
        </is>
      </c>
      <c r="BB354" s="48" t="inlineStr">
        <is>
          <t xml:space="preserve">Yes</t>
        </is>
      </c>
      <c r="BC354" s="46" t="inlineStr">
        <is>
          <t xml:space="preserve">Synthetic demo data</t>
        </is>
      </c>
      <c r="BE354" s="45">
        <f>IF(OR($A354="",$L354="",$H354=""),"",IF(AND(LEFT($L354,2)="06",$H354&gt;1945),"FAIL - pre-war class, year "&amp;$H354,IF(AND(LEFT($L354,2)="07",OR($H354&lt;1946,$H354&gt;1972)),"FAIL - 1946-72 class, year "&amp;$H354,IF(AND(LEFT($L354,2)="08",OR($H354&lt;1973,$H354&gt;1999)),"FAIL - 1973-99 class, year "&amp;$H354,IF(AND(LEFT($L354,2)="09",OR($H354&lt;2000,$H354&gt;2010)),"FAIL - 2000-10 class, year "&amp;$H354,"OK")))))</f>
      </c>
      <c r="BF354" s="45">
        <f>IF($AD354="","",IF(ROUND($AO354+$AP354+$AQ354-$AD354,2)=0,"OK","FAIL - out by "&amp;TEXT($AO354+$AP354+$AQ354-$AD354,"$0.00")))</f>
      </c>
    </row>
    <row r="355" spans="1:58" ht="18.75" customHeight="1" x14ac:dyDescent="0.25">
      <c r="A355" s="30" t="inlineStr">
        <is>
          <t xml:space="preserve">CANON-202508-000482</t>
        </is>
      </c>
      <c r="B355" s="30" t="inlineStr">
        <is>
          <t xml:space="preserve">Anouk Farkas</t>
        </is>
      </c>
      <c r="C355" s="31">
        <v>45871</v>
      </c>
      <c r="D355" s="32" t="inlineStr">
        <is>
          <t xml:space="preserve">Bound - within authority</t>
        </is>
      </c>
      <c r="E355" s="32" t="inlineStr">
        <is>
          <t xml:space="preserve">New business</t>
        </is>
      </c>
      <c r="F355" s="30" t="inlineStr">
        <is>
          <t xml:space="preserve">B1234EXOTIC26</t>
        </is>
      </c>
      <c r="G355" s="33">
        <f>IF($A355="","",IF($C355="","",YEAR($C355)))</f>
      </c>
      <c r="H355" s="34">
        <v>1995</v>
      </c>
      <c r="I355" s="30" t="inlineStr">
        <is>
          <t xml:space="preserve">Bentley</t>
        </is>
      </c>
      <c r="J355" s="30" t="inlineStr">
        <is>
          <t xml:space="preserve">Continental GT</t>
        </is>
      </c>
      <c r="K355" s="30" t="inlineStr">
        <is>
          <t xml:space="preserve">2V9HSD8NMMUMF8L7V</t>
        </is>
      </c>
      <c r="L355" s="32" t="inlineStr">
        <is>
          <t xml:space="preserve">02 - Sports / GT</t>
        </is>
      </c>
      <c r="M355" s="35">
        <v>325000</v>
      </c>
      <c r="N355" s="32" t="inlineStr">
        <is>
          <t xml:space="preserve">Personal</t>
        </is>
      </c>
      <c r="O355" s="30" t="inlineStr">
        <is>
          <t xml:space="preserve">Personal - regular use</t>
        </is>
      </c>
      <c r="P355" s="30" t="inlineStr">
        <is>
          <t xml:space="preserve">2,500 - 5,000</t>
        </is>
      </c>
      <c r="Q355" s="30" t="inlineStr">
        <is>
          <t xml:space="preserve">Georgia</t>
        </is>
      </c>
      <c r="R355" s="30" t="inlineStr">
        <is>
          <t xml:space="preserve">30303</t>
        </is>
      </c>
      <c r="S355" s="32" t="inlineStr">
        <is>
          <t xml:space="preserve">Tier 2 - Coastal wind (1-25 miles)</t>
        </is>
      </c>
      <c r="T355" s="36">
        <f>IF($A355="","",IF($S355="","",IFERROR(INDEX('[1]natural catastrophe'!$D$6:$D$17,MATCH($S355,'[1]natural catastrophe'!$B$6:$B$17,0)),"?")))</f>
      </c>
      <c r="U355" s="30" t="inlineStr">
        <is>
          <t xml:space="preserve">2% of agreed value, minimum $10,000</t>
        </is>
      </c>
      <c r="V355" s="32" t="inlineStr">
        <is>
          <t xml:space="preserve">Agreed Value</t>
        </is>
      </c>
      <c r="W355" s="30" t="inlineStr">
        <is>
          <t xml:space="preserve">$1,000</t>
        </is>
      </c>
      <c r="X355" s="32" t="inlineStr">
        <is>
          <t xml:space="preserve">$1,000,000 CSL</t>
        </is>
      </c>
      <c r="Y355" s="30"/>
      <c r="Z355" s="30"/>
      <c r="AA355" s="32" t="inlineStr">
        <is>
          <t xml:space="preserve">Surplus Lines</t>
        </is>
      </c>
      <c r="AB355" s="35">
        <v>5150.94</v>
      </c>
      <c r="AC355" s="37">
        <v>0</v>
      </c>
      <c r="AD355" s="38">
        <f>IF(ISNUMBER($AB355),$AB355*(1+N($AC355)),"")</f>
      </c>
      <c r="AE355" s="35">
        <v>350</v>
      </c>
      <c r="AF355" s="35">
        <v>0</v>
      </c>
      <c r="AG355" s="37"/>
      <c r="AH355" s="39">
        <f>IF(ISNUMBER($AD355),($AD355+$AE355+$AF355)*$AG355,"")</f>
      </c>
      <c r="AI355" s="35"/>
      <c r="AJ355" s="38">
        <f>IF(ISNUMBER($AD355),SUM($AD355:$AH355),"")</f>
      </c>
      <c r="AK355" s="40">
        <f>IF(AND(ISNUMBER($AB355),ISNUMBER($AD355)),IF($AB355&gt;0,$AD355/$AB355,""),"")</f>
      </c>
      <c r="AL355" s="32" t="inlineStr">
        <is>
          <t xml:space="preserve">At technical</t>
        </is>
      </c>
      <c r="AM355" s="41">
        <f>IF(ISNUMBER($AD355),Header!$I$3,"")</f>
      </c>
      <c r="AN355" s="39">
        <f>IF(ISNUMBER($AD355),$AO355+$AP355,"")</f>
      </c>
      <c r="AO355" s="39">
        <f>IF(ISNUMBER($AD355),ROUND($AD355*Header!$K$3,2),"")</f>
      </c>
      <c r="AP355" s="39">
        <f>IF(ISNUMBER($AD355),ROUND($AD355*Header!$M$3,2),"")</f>
      </c>
      <c r="AQ355" s="38">
        <f>IF(ISNUMBER($AD355),ROUND($AD355,2)-$AO355-$AP355,"")</f>
      </c>
      <c r="AR355" s="39">
        <f>IF(ISNUMBER($AD355),IF(Header!$D$34="","?",$AD355*Header!$D$34),"")</f>
      </c>
      <c r="AS355" s="39">
        <f>IF(ISNUMBER($AB355),IF(Header!$D$34="","?",$AB355*Header!$D$34),"")</f>
      </c>
      <c r="AT355" s="42">
        <f>IF(AND(ISNUMBER($AB355),$M355&gt;0),$AB355/$M355*100,"")</f>
      </c>
      <c r="AU355" s="42">
        <f>IF(AND(ISNUMBER($AD355),$M355&gt;0),$AD355/$M355*100,"")</f>
      </c>
      <c r="AV355" s="40">
        <f>IF(AND(ISNUMBER($AB355),ISNUMBER($AD355),ABS($AB355)&gt;0),$AD355/$AB355,"")</f>
      </c>
      <c r="AW355" s="39">
        <f>IF(ISNUMBER($AD355),MAX(0,(1-0.55-Header!$O$3)*Header!$Q$3*$AQ355),"")</f>
      </c>
      <c r="AX355" s="43">
        <f>IF($A355="","",IF(TRIM(IF($A355="","Missing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",""))="","PASS","FAIL: "&amp;TRIM(IF($A355="","Missing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f>
      </c>
      <c r="AY355" s="44">
        <f>IF($M355="","",IF(ISNUMBER($M355),IF($M355&gt;=Header!$C$18,"YES — refer","No"),""))</f>
      </c>
      <c r="AZ355" s="44">
        <f>IF($AD355="","",IF(ISNUMBER($AD355),IF($AD355&lt;Header!$C$20,"BELOW MIN PREMIUM","OK"),""))</f>
      </c>
      <c r="BA355" s="32" t="inlineStr">
        <is>
          <t xml:space="preserve">Yes</t>
        </is>
      </c>
      <c r="BB355" s="32" t="inlineStr">
        <is>
          <t xml:space="preserve">Yes</t>
        </is>
      </c>
      <c r="BC355" s="30" t="inlineStr">
        <is>
          <t xml:space="preserve">Synthetic demo data</t>
        </is>
      </c>
      <c r="BE355" s="45">
        <f>IF(OR($A355="",$L355="",$H355=""),"",IF(AND(LEFT($L355,2)="06",$H355&gt;1945),"FAIL - pre-war class, year "&amp;$H355,IF(AND(LEFT($L355,2)="07",OR($H355&lt;1946,$H355&gt;1972)),"FAIL - 1946-72 class, year "&amp;$H355,IF(AND(LEFT($L355,2)="08",OR($H355&lt;1973,$H355&gt;1999)),"FAIL - 1973-99 class, year "&amp;$H355,IF(AND(LEFT($L355,2)="09",OR($H355&lt;2000,$H355&gt;2010)),"FAIL - 2000-10 class, year "&amp;$H355,"OK")))))</f>
      </c>
      <c r="BF355" s="45">
        <f>IF($AD355="","",IF(ROUND($AO355+$AP355+$AQ355-$AD355,2)=0,"OK","FAIL - out by "&amp;TEXT($AO355+$AP355+$AQ355-$AD355,"$0.00")))</f>
      </c>
    </row>
    <row r="356" spans="1:58" ht="18.75" customHeight="1" x14ac:dyDescent="0.25">
      <c r="A356" s="46" t="inlineStr">
        <is>
          <t xml:space="preserve">CANON-202508-000485</t>
        </is>
      </c>
      <c r="B356" s="46" t="inlineStr">
        <is>
          <t xml:space="preserve">Sunniva Harrington</t>
        </is>
      </c>
      <c r="C356" s="47">
        <v>45881</v>
      </c>
      <c r="D356" s="48" t="inlineStr">
        <is>
          <t xml:space="preserve">Bound - within authority</t>
        </is>
      </c>
      <c r="E356" s="48" t="inlineStr">
        <is>
          <t xml:space="preserve">New business</t>
        </is>
      </c>
      <c r="F356" s="46" t="inlineStr">
        <is>
          <t xml:space="preserve">B1234EXOTIC26</t>
        </is>
      </c>
      <c r="G356" s="33">
        <f>IF($A356="","",IF($C356="","",YEAR($C356)))</f>
      </c>
      <c r="H356" s="49">
        <v>2012</v>
      </c>
      <c r="I356" s="46" t="inlineStr">
        <is>
          <t xml:space="preserve">Porsche</t>
        </is>
      </c>
      <c r="J356" s="46" t="inlineStr">
        <is>
          <t xml:space="preserve">911 Turbo S</t>
        </is>
      </c>
      <c r="K356" s="46" t="inlineStr">
        <is>
          <t xml:space="preserve">2R329SR0X110X24R8</t>
        </is>
      </c>
      <c r="L356" s="48" t="inlineStr">
        <is>
          <t xml:space="preserve">02 - Sports / GT</t>
        </is>
      </c>
      <c r="M356" s="50">
        <v>395000</v>
      </c>
      <c r="N356" s="48" t="inlineStr">
        <is>
          <t xml:space="preserve">Personal</t>
        </is>
      </c>
      <c r="O356" s="46" t="inlineStr">
        <is>
          <t xml:space="preserve">Personal - regular use</t>
        </is>
      </c>
      <c r="P356" s="46" t="inlineStr">
        <is>
          <t xml:space="preserve">2,500 - 5,000</t>
        </is>
      </c>
      <c r="Q356" s="46" t="inlineStr">
        <is>
          <t xml:space="preserve">California</t>
        </is>
      </c>
      <c r="R356" s="46" t="inlineStr">
        <is>
          <t xml:space="preserve">90012</t>
        </is>
      </c>
      <c r="S356" s="48" t="inlineStr">
        <is>
          <t xml:space="preserve">Earthquake - high (CA, Cascadia, New Madrid)</t>
        </is>
      </c>
      <c r="T356" s="36">
        <f>IF($A356="","",IF($S356="","",IFERROR(INDEX('[1]natural catastrophe'!$D$6:$D$17,MATCH($S356,'[1]natural catastrophe'!$B$6:$B$17,0)),"?")))</f>
      </c>
      <c r="U356" s="46" t="inlineStr">
        <is>
          <t xml:space="preserve">$5,000</t>
        </is>
      </c>
      <c r="V356" s="48" t="inlineStr">
        <is>
          <t xml:space="preserve">Agreed Value</t>
        </is>
      </c>
      <c r="W356" s="46" t="inlineStr">
        <is>
          <t xml:space="preserve">$1,000</t>
        </is>
      </c>
      <c r="X356" s="48" t="inlineStr">
        <is>
          <t xml:space="preserve">$1,000,000 CSL</t>
        </is>
      </c>
      <c r="Y356" s="46"/>
      <c r="Z356" s="46"/>
      <c r="AA356" s="48" t="inlineStr">
        <is>
          <t xml:space="preserve">Surplus Lines</t>
        </is>
      </c>
      <c r="AB356" s="50">
        <v>7545.99</v>
      </c>
      <c r="AC356" s="51">
        <v>0</v>
      </c>
      <c r="AD356" s="38">
        <f>IF(ISNUMBER($AB356),$AB356*(1+N($AC356)),"")</f>
      </c>
      <c r="AE356" s="50">
        <v>350</v>
      </c>
      <c r="AF356" s="50">
        <v>0</v>
      </c>
      <c r="AG356" s="51"/>
      <c r="AH356" s="39">
        <f>IF(ISNUMBER($AD356),($AD356+$AE356+$AF356)*$AG356,"")</f>
      </c>
      <c r="AI356" s="50"/>
      <c r="AJ356" s="38">
        <f>IF(ISNUMBER($AD356),SUM($AD356:$AH356),"")</f>
      </c>
      <c r="AK356" s="40">
        <f>IF(AND(ISNUMBER($AB356),ISNUMBER($AD356)),IF($AB356&gt;0,$AD356/$AB356,""),"")</f>
      </c>
      <c r="AL356" s="48" t="inlineStr">
        <is>
          <t xml:space="preserve">At technical</t>
        </is>
      </c>
      <c r="AM356" s="41">
        <f>IF(ISNUMBER($AD356),Header!$I$3,"")</f>
      </c>
      <c r="AN356" s="39">
        <f>IF(ISNUMBER($AD356),$AO356+$AP356,"")</f>
      </c>
      <c r="AO356" s="39">
        <f>IF(ISNUMBER($AD356),ROUND($AD356*Header!$K$3,2),"")</f>
      </c>
      <c r="AP356" s="39">
        <f>IF(ISNUMBER($AD356),ROUND($AD356*Header!$M$3,2),"")</f>
      </c>
      <c r="AQ356" s="38">
        <f>IF(ISNUMBER($AD356),ROUND($AD356,2)-$AO356-$AP356,"")</f>
      </c>
      <c r="AR356" s="39">
        <f>IF(ISNUMBER($AD356),IF(Header!$D$34="","?",$AD356*Header!$D$34),"")</f>
      </c>
      <c r="AS356" s="39">
        <f>IF(ISNUMBER($AB356),IF(Header!$D$34="","?",$AB356*Header!$D$34),"")</f>
      </c>
      <c r="AT356" s="42">
        <f>IF(AND(ISNUMBER($AB356),$M356&gt;0),$AB356/$M356*100,"")</f>
      </c>
      <c r="AU356" s="42">
        <f>IF(AND(ISNUMBER($AD356),$M356&gt;0),$AD356/$M356*100,"")</f>
      </c>
      <c r="AV356" s="40">
        <f>IF(AND(ISNUMBER($AB356),ISNUMBER($AD356),ABS($AB356)&gt;0),$AD356/$AB356,"")</f>
      </c>
      <c r="AW356" s="39">
        <f>IF(ISNUMBER($AD356),MAX(0,(1-0.55-Header!$O$3)*Header!$Q$3*$AQ356),"")</f>
      </c>
      <c r="AX356" s="43">
        <f>IF($A356="","",IF(TRIM(IF($A356="","Missing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",""))="","PASS","FAIL: "&amp;TRIM(IF($A356="","Missing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f>
      </c>
      <c r="AY356" s="44">
        <f>IF($M356="","",IF(ISNUMBER($M356),IF($M356&gt;=Header!$C$18,"YES — refer","No"),""))</f>
      </c>
      <c r="AZ356" s="44">
        <f>IF($AD356="","",IF(ISNUMBER($AD356),IF($AD356&lt;Header!$C$20,"BELOW MIN PREMIUM","OK"),""))</f>
      </c>
      <c r="BA356" s="48" t="inlineStr">
        <is>
          <t xml:space="preserve">Yes</t>
        </is>
      </c>
      <c r="BB356" s="48" t="inlineStr">
        <is>
          <t xml:space="preserve">Yes</t>
        </is>
      </c>
      <c r="BC356" s="46" t="inlineStr">
        <is>
          <t xml:space="preserve">Synthetic demo data</t>
        </is>
      </c>
      <c r="BE356" s="45">
        <f>IF(OR($A356="",$L356="",$H356=""),"",IF(AND(LEFT($L356,2)="06",$H356&gt;1945),"FAIL - pre-war class, year "&amp;$H356,IF(AND(LEFT($L356,2)="07",OR($H356&lt;1946,$H356&gt;1972)),"FAIL - 1946-72 class, year "&amp;$H356,IF(AND(LEFT($L356,2)="08",OR($H356&lt;1973,$H356&gt;1999)),"FAIL - 1973-99 class, year "&amp;$H356,IF(AND(LEFT($L356,2)="09",OR($H356&lt;2000,$H356&gt;2010)),"FAIL - 2000-10 class, year "&amp;$H356,"OK")))))</f>
      </c>
      <c r="BF356" s="45">
        <f>IF($AD356="","",IF(ROUND($AO356+$AP356+$AQ356-$AD356,2)=0,"OK","FAIL - out by "&amp;TEXT($AO356+$AP356+$AQ356-$AD356,"$0.00")))</f>
      </c>
    </row>
    <row r="357" spans="1:58" ht="18.75" customHeight="1" x14ac:dyDescent="0.25">
      <c r="A357" s="30" t="inlineStr">
        <is>
          <t xml:space="preserve">CANON-202508-000487</t>
        </is>
      </c>
      <c r="B357" s="30" t="inlineStr">
        <is>
          <t xml:space="preserve">Callum Delacroix</t>
        </is>
      </c>
      <c r="C357" s="31">
        <v>45889</v>
      </c>
      <c r="D357" s="32" t="inlineStr">
        <is>
          <t xml:space="preserve">Bound - within authority</t>
        </is>
      </c>
      <c r="E357" s="32" t="inlineStr">
        <is>
          <t xml:space="preserve">New business</t>
        </is>
      </c>
      <c r="F357" s="30" t="inlineStr">
        <is>
          <t xml:space="preserve">B1234EXOTIC26</t>
        </is>
      </c>
      <c r="G357" s="33">
        <f>IF($A357="","",IF($C357="","",YEAR($C357)))</f>
      </c>
      <c r="H357" s="34">
        <v>1988</v>
      </c>
      <c r="I357" s="30" t="inlineStr">
        <is>
          <t xml:space="preserve">McLaren</t>
        </is>
      </c>
      <c r="J357" s="30" t="inlineStr">
        <is>
          <t xml:space="preserve">750S</t>
        </is>
      </c>
      <c r="K357" s="30" t="inlineStr">
        <is>
          <t xml:space="preserve">9HCFRKBRTVL8UAP4V</t>
        </is>
      </c>
      <c r="L357" s="32" t="inlineStr">
        <is>
          <t xml:space="preserve">03 - Supercar</t>
        </is>
      </c>
      <c r="M357" s="35">
        <v>950000</v>
      </c>
      <c r="N357" s="32" t="inlineStr">
        <is>
          <t xml:space="preserve">Personal</t>
        </is>
      </c>
      <c r="O357" s="30" t="inlineStr">
        <is>
          <t xml:space="preserve">Personal - regular use</t>
        </is>
      </c>
      <c r="P357" s="30" t="inlineStr">
        <is>
          <t xml:space="preserve">1,000 - 2,500</t>
        </is>
      </c>
      <c r="Q357" s="30" t="inlineStr">
        <is>
          <t xml:space="preserve">Connecticut</t>
        </is>
      </c>
      <c r="R357" s="30" t="inlineStr">
        <is>
          <t xml:space="preserve">06103</t>
        </is>
      </c>
      <c r="S357" s="32" t="inlineStr">
        <is>
          <t xml:space="preserve">Tier 3 - Coastal wind (25-100 miles)</t>
        </is>
      </c>
      <c r="T357" s="36">
        <f>IF($A357="","",IF($S357="","",IFERROR(INDEX('[1]natural catastrophe'!$D$6:$D$17,MATCH($S357,'[1]natural catastrophe'!$B$6:$B$17,0)),"?")))</f>
      </c>
      <c r="U357" s="30" t="inlineStr">
        <is>
          <t xml:space="preserve">2% of agreed value, minimum $10,000</t>
        </is>
      </c>
      <c r="V357" s="32" t="inlineStr">
        <is>
          <t xml:space="preserve">Agreed Value</t>
        </is>
      </c>
      <c r="W357" s="30" t="inlineStr">
        <is>
          <t xml:space="preserve">$1,000</t>
        </is>
      </c>
      <c r="X357" s="32" t="inlineStr">
        <is>
          <t xml:space="preserve">$1,000,000 CSL</t>
        </is>
      </c>
      <c r="Y357" s="30"/>
      <c r="Z357" s="30"/>
      <c r="AA357" s="32" t="inlineStr">
        <is>
          <t xml:space="preserve">Surplus Lines</t>
        </is>
      </c>
      <c r="AB357" s="35">
        <v>19071.7</v>
      </c>
      <c r="AC357" s="37">
        <v>0</v>
      </c>
      <c r="AD357" s="38">
        <f>IF(ISNUMBER($AB357),$AB357*(1+N($AC357)),"")</f>
      </c>
      <c r="AE357" s="35">
        <v>350</v>
      </c>
      <c r="AF357" s="35">
        <v>0</v>
      </c>
      <c r="AG357" s="37"/>
      <c r="AH357" s="39">
        <f>IF(ISNUMBER($AD357),($AD357+$AE357+$AF357)*$AG357,"")</f>
      </c>
      <c r="AI357" s="35"/>
      <c r="AJ357" s="38">
        <f>IF(ISNUMBER($AD357),SUM($AD357:$AH357),"")</f>
      </c>
      <c r="AK357" s="40">
        <f>IF(AND(ISNUMBER($AB357),ISNUMBER($AD357)),IF($AB357&gt;0,$AD357/$AB357,""),"")</f>
      </c>
      <c r="AL357" s="32" t="inlineStr">
        <is>
          <t xml:space="preserve">At technical</t>
        </is>
      </c>
      <c r="AM357" s="41">
        <f>IF(ISNUMBER($AD357),Header!$I$3,"")</f>
      </c>
      <c r="AN357" s="39">
        <f>IF(ISNUMBER($AD357),$AO357+$AP357,"")</f>
      </c>
      <c r="AO357" s="39">
        <f>IF(ISNUMBER($AD357),ROUND($AD357*Header!$K$3,2),"")</f>
      </c>
      <c r="AP357" s="39">
        <f>IF(ISNUMBER($AD357),ROUND($AD357*Header!$M$3,2),"")</f>
      </c>
      <c r="AQ357" s="38">
        <f>IF(ISNUMBER($AD357),ROUND($AD357,2)-$AO357-$AP357,"")</f>
      </c>
      <c r="AR357" s="39">
        <f>IF(ISNUMBER($AD357),IF(Header!$D$34="","?",$AD357*Header!$D$34),"")</f>
      </c>
      <c r="AS357" s="39">
        <f>IF(ISNUMBER($AB357),IF(Header!$D$34="","?",$AB357*Header!$D$34),"")</f>
      </c>
      <c r="AT357" s="42">
        <f>IF(AND(ISNUMBER($AB357),$M357&gt;0),$AB357/$M357*100,"")</f>
      </c>
      <c r="AU357" s="42">
        <f>IF(AND(ISNUMBER($AD357),$M357&gt;0),$AD357/$M357*100,"")</f>
      </c>
      <c r="AV357" s="40">
        <f>IF(AND(ISNUMBER($AB357),ISNUMBER($AD357),ABS($AB357)&gt;0),$AD357/$AB357,"")</f>
      </c>
      <c r="AW357" s="39">
        <f>IF(ISNUMBER($AD357),MAX(0,(1-0.55-Header!$O$3)*Header!$Q$3*$AQ357),"")</f>
      </c>
      <c r="AX357" s="43">
        <f>IF($A357="","",IF(TRIM(IF($A357="","Missing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",""))="","PASS","FAIL: "&amp;TRIM(IF($A357="","Missing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f>
      </c>
      <c r="AY357" s="44">
        <f>IF($M357="","",IF(ISNUMBER($M357),IF($M357&gt;=Header!$C$18,"YES — refer","No"),""))</f>
      </c>
      <c r="AZ357" s="44">
        <f>IF($AD357="","",IF(ISNUMBER($AD357),IF($AD357&lt;Header!$C$20,"BELOW MIN PREMIUM","OK"),""))</f>
      </c>
      <c r="BA357" s="32" t="inlineStr">
        <is>
          <t xml:space="preserve">Yes</t>
        </is>
      </c>
      <c r="BB357" s="32" t="inlineStr">
        <is>
          <t xml:space="preserve">Yes</t>
        </is>
      </c>
      <c r="BC357" s="30" t="inlineStr">
        <is>
          <t xml:space="preserve">Synthetic demo data</t>
        </is>
      </c>
      <c r="BE357" s="45">
        <f>IF(OR($A357="",$L357="",$H357=""),"",IF(AND(LEFT($L357,2)="06",$H357&gt;1945),"FAIL - pre-war class, year "&amp;$H357,IF(AND(LEFT($L357,2)="07",OR($H357&lt;1946,$H357&gt;1972)),"FAIL - 1946-72 class, year "&amp;$H357,IF(AND(LEFT($L357,2)="08",OR($H357&lt;1973,$H357&gt;1999)),"FAIL - 1973-99 class, year "&amp;$H357,IF(AND(LEFT($L357,2)="09",OR($H357&lt;2000,$H357&gt;2010)),"FAIL - 2000-10 class, year "&amp;$H357,"OK")))))</f>
      </c>
      <c r="BF357" s="45">
        <f>IF($AD357="","",IF(ROUND($AO357+$AP357+$AQ357-$AD357,2)=0,"OK","FAIL - out by "&amp;TEXT($AO357+$AP357+$AQ357-$AD357,"$0.00")))</f>
      </c>
    </row>
    <row r="358" spans="1:58" ht="18.75" customHeight="1" x14ac:dyDescent="0.25">
      <c r="A358" s="46" t="inlineStr">
        <is>
          <t xml:space="preserve">CANON-202508-000488</t>
        </is>
      </c>
      <c r="B358" s="46" t="inlineStr">
        <is>
          <t xml:space="preserve">Anouk Vasquez</t>
        </is>
      </c>
      <c r="C358" s="47">
        <v>45876</v>
      </c>
      <c r="D358" s="48" t="inlineStr">
        <is>
          <t xml:space="preserve">Bound - within authority</t>
        </is>
      </c>
      <c r="E358" s="48" t="inlineStr">
        <is>
          <t xml:space="preserve">New business</t>
        </is>
      </c>
      <c r="F358" s="46" t="inlineStr">
        <is>
          <t xml:space="preserve">B1234EXOTIC26</t>
        </is>
      </c>
      <c r="G358" s="33">
        <f>IF($A358="","",IF($C358="","",YEAR($C358)))</f>
      </c>
      <c r="H358" s="49">
        <v>1989</v>
      </c>
      <c r="I358" s="46" t="inlineStr">
        <is>
          <t xml:space="preserve">Jaguar</t>
        </is>
      </c>
      <c r="J358" s="46" t="inlineStr">
        <is>
          <t xml:space="preserve">E-Type Series 1</t>
        </is>
      </c>
      <c r="K358" s="46" t="inlineStr">
        <is>
          <t xml:space="preserve">VUKN2YGML22T34D32</t>
        </is>
      </c>
      <c r="L358" s="48" t="inlineStr">
        <is>
          <t xml:space="preserve">08 - Modern Classic (1973-1999)</t>
        </is>
      </c>
      <c r="M358" s="50">
        <v>795000</v>
      </c>
      <c r="N358" s="48" t="inlineStr">
        <is>
          <t xml:space="preserve">Personal</t>
        </is>
      </c>
      <c r="O358" s="46" t="inlineStr">
        <is>
          <t xml:space="preserve">Personal - regular use</t>
        </is>
      </c>
      <c r="P358" s="46" t="inlineStr">
        <is>
          <t xml:space="preserve">1,000 - 2,500</t>
        </is>
      </c>
      <c r="Q358" s="46" t="inlineStr">
        <is>
          <t xml:space="preserve">Florida</t>
        </is>
      </c>
      <c r="R358" s="46" t="inlineStr">
        <is>
          <t xml:space="preserve">33139</t>
        </is>
      </c>
      <c r="S358" s="48" t="inlineStr">
        <is>
          <t xml:space="preserve">Tier 2 - Coastal wind (1-25 miles)</t>
        </is>
      </c>
      <c r="T358" s="36">
        <f>IF($A358="","",IF($S358="","",IFERROR(INDEX('[1]natural catastrophe'!$D$6:$D$17,MATCH($S358,'[1]natural catastrophe'!$B$6:$B$17,0)),"?")))</f>
      </c>
      <c r="U358" s="46" t="inlineStr">
        <is>
          <t xml:space="preserve">2% of agreed value, minimum $10,000</t>
        </is>
      </c>
      <c r="V358" s="48" t="inlineStr">
        <is>
          <t xml:space="preserve">Agreed Value</t>
        </is>
      </c>
      <c r="W358" s="46" t="inlineStr">
        <is>
          <t xml:space="preserve">$1,000</t>
        </is>
      </c>
      <c r="X358" s="48" t="inlineStr">
        <is>
          <t xml:space="preserve">$1,000,000 CSL</t>
        </is>
      </c>
      <c r="Y358" s="46"/>
      <c r="Z358" s="46"/>
      <c r="AA358" s="48" t="inlineStr">
        <is>
          <t xml:space="preserve">Surplus Lines</t>
        </is>
      </c>
      <c r="AB358" s="50">
        <v>9159</v>
      </c>
      <c r="AC358" s="51">
        <v>0</v>
      </c>
      <c r="AD358" s="38">
        <f>IF(ISNUMBER($AB358),$AB358*(1+N($AC358)),"")</f>
      </c>
      <c r="AE358" s="50">
        <v>350</v>
      </c>
      <c r="AF358" s="50">
        <v>0</v>
      </c>
      <c r="AG358" s="51"/>
      <c r="AH358" s="39">
        <f>IF(ISNUMBER($AD358),($AD358+$AE358+$AF358)*$AG358,"")</f>
      </c>
      <c r="AI358" s="50"/>
      <c r="AJ358" s="38">
        <f>IF(ISNUMBER($AD358),SUM($AD358:$AH358),"")</f>
      </c>
      <c r="AK358" s="40">
        <f>IF(AND(ISNUMBER($AB358),ISNUMBER($AD358)),IF($AB358&gt;0,$AD358/$AB358,""),"")</f>
      </c>
      <c r="AL358" s="48" t="inlineStr">
        <is>
          <t xml:space="preserve">At technical</t>
        </is>
      </c>
      <c r="AM358" s="41">
        <f>IF(ISNUMBER($AD358),Header!$I$3,"")</f>
      </c>
      <c r="AN358" s="39">
        <f>IF(ISNUMBER($AD358),$AO358+$AP358,"")</f>
      </c>
      <c r="AO358" s="39">
        <f>IF(ISNUMBER($AD358),ROUND($AD358*Header!$K$3,2),"")</f>
      </c>
      <c r="AP358" s="39">
        <f>IF(ISNUMBER($AD358),ROUND($AD358*Header!$M$3,2),"")</f>
      </c>
      <c r="AQ358" s="38">
        <f>IF(ISNUMBER($AD358),ROUND($AD358,2)-$AO358-$AP358,"")</f>
      </c>
      <c r="AR358" s="39">
        <f>IF(ISNUMBER($AD358),IF(Header!$D$34="","?",$AD358*Header!$D$34),"")</f>
      </c>
      <c r="AS358" s="39">
        <f>IF(ISNUMBER($AB358),IF(Header!$D$34="","?",$AB358*Header!$D$34),"")</f>
      </c>
      <c r="AT358" s="42">
        <f>IF(AND(ISNUMBER($AB358),$M358&gt;0),$AB358/$M358*100,"")</f>
      </c>
      <c r="AU358" s="42">
        <f>IF(AND(ISNUMBER($AD358),$M358&gt;0),$AD358/$M358*100,"")</f>
      </c>
      <c r="AV358" s="40">
        <f>IF(AND(ISNUMBER($AB358),ISNUMBER($AD358),ABS($AB358)&gt;0),$AD358/$AB358,"")</f>
      </c>
      <c r="AW358" s="39">
        <f>IF(ISNUMBER($AD358),MAX(0,(1-0.55-Header!$O$3)*Header!$Q$3*$AQ358),"")</f>
      </c>
      <c r="AX358" s="43">
        <f>IF($A358="","",IF(TRIM(IF($A358="","Missing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",""))="","PASS","FAIL: "&amp;TRIM(IF($A358="","Missing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f>
      </c>
      <c r="AY358" s="44">
        <f>IF($M358="","",IF(ISNUMBER($M358),IF($M358&gt;=Header!$C$18,"YES — refer","No"),""))</f>
      </c>
      <c r="AZ358" s="44">
        <f>IF($AD358="","",IF(ISNUMBER($AD358),IF($AD358&lt;Header!$C$20,"BELOW MIN PREMIUM","OK"),""))</f>
      </c>
      <c r="BA358" s="48" t="inlineStr">
        <is>
          <t xml:space="preserve">Yes</t>
        </is>
      </c>
      <c r="BB358" s="48" t="inlineStr">
        <is>
          <t xml:space="preserve">Yes</t>
        </is>
      </c>
      <c r="BC358" s="46" t="inlineStr">
        <is>
          <t xml:space="preserve">Synthetic demo data</t>
        </is>
      </c>
      <c r="BE358" s="45">
        <f>IF(OR($A358="",$L358="",$H358=""),"",IF(AND(LEFT($L358,2)="06",$H358&gt;1945),"FAIL - pre-war class, year "&amp;$H358,IF(AND(LEFT($L358,2)="07",OR($H358&lt;1946,$H358&gt;1972)),"FAIL - 1946-72 class, year "&amp;$H358,IF(AND(LEFT($L358,2)="08",OR($H358&lt;1973,$H358&gt;1999)),"FAIL - 1973-99 class, year "&amp;$H358,IF(AND(LEFT($L358,2)="09",OR($H358&lt;2000,$H358&gt;2010)),"FAIL - 2000-10 class, year "&amp;$H358,"OK")))))</f>
      </c>
      <c r="BF358" s="45">
        <f>IF($AD358="","",IF(ROUND($AO358+$AP358+$AQ358-$AD358,2)=0,"OK","FAIL - out by "&amp;TEXT($AO358+$AP358+$AQ358-$AD358,"$0.00")))</f>
      </c>
    </row>
    <row r="359" spans="1:58" ht="18.75" customHeight="1" x14ac:dyDescent="0.25">
      <c r="A359" s="30" t="inlineStr">
        <is>
          <t xml:space="preserve">CANON-202508-000491</t>
        </is>
      </c>
      <c r="B359" s="30" t="inlineStr">
        <is>
          <t xml:space="preserve">Saoirse Vasquez</t>
        </is>
      </c>
      <c r="C359" s="31">
        <v>45885</v>
      </c>
      <c r="D359" s="32" t="inlineStr">
        <is>
          <t xml:space="preserve">Bound - within authority</t>
        </is>
      </c>
      <c r="E359" s="32" t="inlineStr">
        <is>
          <t xml:space="preserve">New business</t>
        </is>
      </c>
      <c r="F359" s="30" t="inlineStr">
        <is>
          <t xml:space="preserve">B1234EXOTIC26</t>
        </is>
      </c>
      <c r="G359" s="33">
        <f>IF($A359="","",IF($C359="","",YEAR($C359)))</f>
      </c>
      <c r="H359" s="34">
        <v>1983</v>
      </c>
      <c r="I359" s="30" t="inlineStr">
        <is>
          <t xml:space="preserve">McLaren</t>
        </is>
      </c>
      <c r="J359" s="30" t="inlineStr">
        <is>
          <t xml:space="preserve">750S</t>
        </is>
      </c>
      <c r="K359" s="30" t="inlineStr">
        <is>
          <t xml:space="preserve">X86V9HACASBCDH5KE</t>
        </is>
      </c>
      <c r="L359" s="32" t="inlineStr">
        <is>
          <t xml:space="preserve">03 - Supercar</t>
        </is>
      </c>
      <c r="M359" s="35">
        <v>765000</v>
      </c>
      <c r="N359" s="32" t="inlineStr">
        <is>
          <t xml:space="preserve">Personal</t>
        </is>
      </c>
      <c r="O359" s="30" t="inlineStr">
        <is>
          <t xml:space="preserve">Personal - regular use</t>
        </is>
      </c>
      <c r="P359" s="30" t="inlineStr">
        <is>
          <t xml:space="preserve">1,000 - 2,500</t>
        </is>
      </c>
      <c r="Q359" s="30" t="inlineStr">
        <is>
          <t xml:space="preserve">Delaware</t>
        </is>
      </c>
      <c r="R359" s="30" t="inlineStr">
        <is>
          <t xml:space="preserve">19801</t>
        </is>
      </c>
      <c r="S359" s="32" t="inlineStr">
        <is>
          <t xml:space="preserve">Tier 3 - Coastal wind (25-100 miles)</t>
        </is>
      </c>
      <c r="T359" s="36">
        <f>IF($A359="","",IF($S359="","",IFERROR(INDEX('[1]natural catastrophe'!$D$6:$D$17,MATCH($S359,'[1]natural catastrophe'!$B$6:$B$17,0)),"?")))</f>
      </c>
      <c r="U359" s="30" t="inlineStr">
        <is>
          <t xml:space="preserve">2% of agreed value, minimum $10,000</t>
        </is>
      </c>
      <c r="V359" s="32" t="inlineStr">
        <is>
          <t xml:space="preserve">Agreed Value</t>
        </is>
      </c>
      <c r="W359" s="30" t="inlineStr">
        <is>
          <t xml:space="preserve">$1,000</t>
        </is>
      </c>
      <c r="X359" s="32" t="inlineStr">
        <is>
          <t xml:space="preserve">$1,000,000 CSL</t>
        </is>
      </c>
      <c r="Y359" s="30"/>
      <c r="Z359" s="30"/>
      <c r="AA359" s="32" t="inlineStr">
        <is>
          <t xml:space="preserve">Surplus Lines</t>
        </is>
      </c>
      <c r="AB359" s="35">
        <v>17140.33</v>
      </c>
      <c r="AC359" s="37">
        <v>0</v>
      </c>
      <c r="AD359" s="38">
        <f>IF(ISNUMBER($AB359),$AB359*(1+N($AC359)),"")</f>
      </c>
      <c r="AE359" s="35">
        <v>350</v>
      </c>
      <c r="AF359" s="35">
        <v>0</v>
      </c>
      <c r="AG359" s="37"/>
      <c r="AH359" s="39">
        <f>IF(ISNUMBER($AD359),($AD359+$AE359+$AF359)*$AG359,"")</f>
      </c>
      <c r="AI359" s="35"/>
      <c r="AJ359" s="38">
        <f>IF(ISNUMBER($AD359),SUM($AD359:$AH359),"")</f>
      </c>
      <c r="AK359" s="40">
        <f>IF(AND(ISNUMBER($AB359),ISNUMBER($AD359)),IF($AB359&gt;0,$AD359/$AB359,""),"")</f>
      </c>
      <c r="AL359" s="32" t="inlineStr">
        <is>
          <t xml:space="preserve">At technical</t>
        </is>
      </c>
      <c r="AM359" s="41">
        <f>IF(ISNUMBER($AD359),Header!$I$3,"")</f>
      </c>
      <c r="AN359" s="39">
        <f>IF(ISNUMBER($AD359),$AO359+$AP359,"")</f>
      </c>
      <c r="AO359" s="39">
        <f>IF(ISNUMBER($AD359),ROUND($AD359*Header!$K$3,2),"")</f>
      </c>
      <c r="AP359" s="39">
        <f>IF(ISNUMBER($AD359),ROUND($AD359*Header!$M$3,2),"")</f>
      </c>
      <c r="AQ359" s="38">
        <f>IF(ISNUMBER($AD359),ROUND($AD359,2)-$AO359-$AP359,"")</f>
      </c>
      <c r="AR359" s="39">
        <f>IF(ISNUMBER($AD359),IF(Header!$D$34="","?",$AD359*Header!$D$34),"")</f>
      </c>
      <c r="AS359" s="39">
        <f>IF(ISNUMBER($AB359),IF(Header!$D$34="","?",$AB359*Header!$D$34),"")</f>
      </c>
      <c r="AT359" s="42">
        <f>IF(AND(ISNUMBER($AB359),$M359&gt;0),$AB359/$M359*100,"")</f>
      </c>
      <c r="AU359" s="42">
        <f>IF(AND(ISNUMBER($AD359),$M359&gt;0),$AD359/$M359*100,"")</f>
      </c>
      <c r="AV359" s="40">
        <f>IF(AND(ISNUMBER($AB359),ISNUMBER($AD359),ABS($AB359)&gt;0),$AD359/$AB359,"")</f>
      </c>
      <c r="AW359" s="39">
        <f>IF(ISNUMBER($AD359),MAX(0,(1-0.55-Header!$O$3)*Header!$Q$3*$AQ359),"")</f>
      </c>
      <c r="AX359" s="43">
        <f>IF($A359="","",IF(TRIM(IF($A359="","Missing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",""))="","PASS","FAIL: "&amp;TRIM(IF($A359="","Missing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f>
      </c>
      <c r="AY359" s="44">
        <f>IF($M359="","",IF(ISNUMBER($M359),IF($M359&gt;=Header!$C$18,"YES — refer","No"),""))</f>
      </c>
      <c r="AZ359" s="44">
        <f>IF($AD359="","",IF(ISNUMBER($AD359),IF($AD359&lt;Header!$C$20,"BELOW MIN PREMIUM","OK"),""))</f>
      </c>
      <c r="BA359" s="32" t="inlineStr">
        <is>
          <t xml:space="preserve">Yes</t>
        </is>
      </c>
      <c r="BB359" s="32" t="inlineStr">
        <is>
          <t xml:space="preserve">Yes</t>
        </is>
      </c>
      <c r="BC359" s="30" t="inlineStr">
        <is>
          <t xml:space="preserve">Synthetic demo data</t>
        </is>
      </c>
      <c r="BE359" s="45">
        <f>IF(OR($A359="",$L359="",$H359=""),"",IF(AND(LEFT($L359,2)="06",$H359&gt;1945),"FAIL - pre-war class, year "&amp;$H359,IF(AND(LEFT($L359,2)="07",OR($H359&lt;1946,$H359&gt;1972)),"FAIL - 1946-72 class, year "&amp;$H359,IF(AND(LEFT($L359,2)="08",OR($H359&lt;1973,$H359&gt;1999)),"FAIL - 1973-99 class, year "&amp;$H359,IF(AND(LEFT($L359,2)="09",OR($H359&lt;2000,$H359&gt;2010)),"FAIL - 2000-10 class, year "&amp;$H359,"OK")))))</f>
      </c>
      <c r="BF359" s="45">
        <f>IF($AD359="","",IF(ROUND($AO359+$AP359+$AQ359-$AD359,2)=0,"OK","FAIL - out by "&amp;TEXT($AO359+$AP359+$AQ359-$AD359,"$0.00")))</f>
      </c>
    </row>
    <row r="360" spans="1:58" ht="18.75" customHeight="1" x14ac:dyDescent="0.25">
      <c r="A360" s="46" t="inlineStr">
        <is>
          <t xml:space="preserve">CANON-202508-000492</t>
        </is>
      </c>
      <c r="B360" s="46" t="inlineStr">
        <is>
          <t xml:space="preserve">Beatrix Vandermeer</t>
        </is>
      </c>
      <c r="C360" s="47">
        <v>45883</v>
      </c>
      <c r="D360" s="48" t="inlineStr">
        <is>
          <t xml:space="preserve">Bound - within authority</t>
        </is>
      </c>
      <c r="E360" s="48" t="inlineStr">
        <is>
          <t xml:space="preserve">New business</t>
        </is>
      </c>
      <c r="F360" s="46" t="inlineStr">
        <is>
          <t xml:space="preserve">B1234EXOTIC26</t>
        </is>
      </c>
      <c r="G360" s="33">
        <f>IF($A360="","",IF($C360="","",YEAR($C360)))</f>
      </c>
      <c r="H360" s="49">
        <v>1996</v>
      </c>
      <c r="I360" s="46" t="inlineStr">
        <is>
          <t xml:space="preserve">Singer</t>
        </is>
      </c>
      <c r="J360" s="46" t="inlineStr">
        <is>
          <t xml:space="preserve">911 Reimagined</t>
        </is>
      </c>
      <c r="K360" s="46" t="inlineStr">
        <is>
          <t xml:space="preserve">NKPXA8T0G59RABLEG</t>
        </is>
      </c>
      <c r="L360" s="48" t="inlineStr">
        <is>
          <t xml:space="preserve">11 - Restomod / Coachbuilt / Bespoke</t>
        </is>
      </c>
      <c r="M360" s="50">
        <v>790000</v>
      </c>
      <c r="N360" s="48" t="inlineStr">
        <is>
          <t xml:space="preserve">Personal</t>
        </is>
      </c>
      <c r="O360" s="46" t="inlineStr">
        <is>
          <t xml:space="preserve">Personal - regular use</t>
        </is>
      </c>
      <c r="P360" s="46" t="inlineStr">
        <is>
          <t xml:space="preserve">2,500 - 5,000</t>
        </is>
      </c>
      <c r="Q360" s="46" t="inlineStr">
        <is>
          <t xml:space="preserve">Montana</t>
        </is>
      </c>
      <c r="R360" s="46" t="inlineStr">
        <is>
          <t xml:space="preserve">59601</t>
        </is>
      </c>
      <c r="S360" s="48" t="inlineStr">
        <is>
          <t xml:space="preserve">Wildfire - WUI high hazard</t>
        </is>
      </c>
      <c r="T360" s="36">
        <f>IF($A360="","",IF($S360="","",IFERROR(INDEX('[1]natural catastrophe'!$D$6:$D$17,MATCH($S360,'[1]natural catastrophe'!$B$6:$B$17,0)),"?")))</f>
      </c>
      <c r="U360" s="46" t="inlineStr">
        <is>
          <t xml:space="preserve">$5,000</t>
        </is>
      </c>
      <c r="V360" s="48" t="inlineStr">
        <is>
          <t xml:space="preserve">Agreed Value</t>
        </is>
      </c>
      <c r="W360" s="46" t="inlineStr">
        <is>
          <t xml:space="preserve">$1,000</t>
        </is>
      </c>
      <c r="X360" s="48" t="inlineStr">
        <is>
          <t xml:space="preserve">$1,000,000 CSL</t>
        </is>
      </c>
      <c r="Y360" s="46"/>
      <c r="Z360" s="46"/>
      <c r="AA360" s="48" t="inlineStr">
        <is>
          <t xml:space="preserve">Surplus Lines</t>
        </is>
      </c>
      <c r="AB360" s="50">
        <v>10812.57</v>
      </c>
      <c r="AC360" s="51">
        <v>0</v>
      </c>
      <c r="AD360" s="38">
        <f>IF(ISNUMBER($AB360),$AB360*(1+N($AC360)),"")</f>
      </c>
      <c r="AE360" s="50">
        <v>350</v>
      </c>
      <c r="AF360" s="50">
        <v>0</v>
      </c>
      <c r="AG360" s="51"/>
      <c r="AH360" s="39">
        <f>IF(ISNUMBER($AD360),($AD360+$AE360+$AF360)*$AG360,"")</f>
      </c>
      <c r="AI360" s="50"/>
      <c r="AJ360" s="38">
        <f>IF(ISNUMBER($AD360),SUM($AD360:$AH360),"")</f>
      </c>
      <c r="AK360" s="40">
        <f>IF(AND(ISNUMBER($AB360),ISNUMBER($AD360)),IF($AB360&gt;0,$AD360/$AB360,""),"")</f>
      </c>
      <c r="AL360" s="48" t="inlineStr">
        <is>
          <t xml:space="preserve">At technical</t>
        </is>
      </c>
      <c r="AM360" s="41">
        <f>IF(ISNUMBER($AD360),Header!$I$3,"")</f>
      </c>
      <c r="AN360" s="39">
        <f>IF(ISNUMBER($AD360),$AO360+$AP360,"")</f>
      </c>
      <c r="AO360" s="39">
        <f>IF(ISNUMBER($AD360),ROUND($AD360*Header!$K$3,2),"")</f>
      </c>
      <c r="AP360" s="39">
        <f>IF(ISNUMBER($AD360),ROUND($AD360*Header!$M$3,2),"")</f>
      </c>
      <c r="AQ360" s="38">
        <f>IF(ISNUMBER($AD360),ROUND($AD360,2)-$AO360-$AP360,"")</f>
      </c>
      <c r="AR360" s="39">
        <f>IF(ISNUMBER($AD360),IF(Header!$D$34="","?",$AD360*Header!$D$34),"")</f>
      </c>
      <c r="AS360" s="39">
        <f>IF(ISNUMBER($AB360),IF(Header!$D$34="","?",$AB360*Header!$D$34),"")</f>
      </c>
      <c r="AT360" s="42">
        <f>IF(AND(ISNUMBER($AB360),$M360&gt;0),$AB360/$M360*100,"")</f>
      </c>
      <c r="AU360" s="42">
        <f>IF(AND(ISNUMBER($AD360),$M360&gt;0),$AD360/$M360*100,"")</f>
      </c>
      <c r="AV360" s="40">
        <f>IF(AND(ISNUMBER($AB360),ISNUMBER($AD360),ABS($AB360)&gt;0),$AD360/$AB360,"")</f>
      </c>
      <c r="AW360" s="39">
        <f>IF(ISNUMBER($AD360),MAX(0,(1-0.55-Header!$O$3)*Header!$Q$3*$AQ360),"")</f>
      </c>
      <c r="AX360" s="43">
        <f>IF($A360="","",IF(TRIM(IF($A360="","Missing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",""))="","PASS","FAIL: "&amp;TRIM(IF($A360="","Missing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f>
      </c>
      <c r="AY360" s="44">
        <f>IF($M360="","",IF(ISNUMBER($M360),IF($M360&gt;=Header!$C$18,"YES — refer","No"),""))</f>
      </c>
      <c r="AZ360" s="44">
        <f>IF($AD360="","",IF(ISNUMBER($AD360),IF($AD360&lt;Header!$C$20,"BELOW MIN PREMIUM","OK"),""))</f>
      </c>
      <c r="BA360" s="48" t="inlineStr">
        <is>
          <t xml:space="preserve">Yes</t>
        </is>
      </c>
      <c r="BB360" s="48" t="inlineStr">
        <is>
          <t xml:space="preserve">Yes</t>
        </is>
      </c>
      <c r="BC360" s="46" t="inlineStr">
        <is>
          <t xml:space="preserve">Synthetic demo data</t>
        </is>
      </c>
      <c r="BE360" s="45">
        <f>IF(OR($A360="",$L360="",$H360=""),"",IF(AND(LEFT($L360,2)="06",$H360&gt;1945),"FAIL - pre-war class, year "&amp;$H360,IF(AND(LEFT($L360,2)="07",OR($H360&lt;1946,$H360&gt;1972)),"FAIL - 1946-72 class, year "&amp;$H360,IF(AND(LEFT($L360,2)="08",OR($H360&lt;1973,$H360&gt;1999)),"FAIL - 1973-99 class, year "&amp;$H360,IF(AND(LEFT($L360,2)="09",OR($H360&lt;2000,$H360&gt;2010)),"FAIL - 2000-10 class, year "&amp;$H360,"OK")))))</f>
      </c>
      <c r="BF360" s="45">
        <f>IF($AD360="","",IF(ROUND($AO360+$AP360+$AQ360-$AD360,2)=0,"OK","FAIL - out by "&amp;TEXT($AO360+$AP360+$AQ360-$AD360,"$0.00")))</f>
      </c>
    </row>
    <row r="361" spans="1:58" ht="18.75" customHeight="1" x14ac:dyDescent="0.25">
      <c r="A361" s="30" t="inlineStr">
        <is>
          <t xml:space="preserve">CANON-202508-000493</t>
        </is>
      </c>
      <c r="B361" s="30" t="inlineStr">
        <is>
          <t xml:space="preserve">Anouk Farkas</t>
        </is>
      </c>
      <c r="C361" s="31">
        <v>45876</v>
      </c>
      <c r="D361" s="32" t="inlineStr">
        <is>
          <t xml:space="preserve">Bound - within authority</t>
        </is>
      </c>
      <c r="E361" s="32" t="inlineStr">
        <is>
          <t xml:space="preserve">New business</t>
        </is>
      </c>
      <c r="F361" s="30" t="inlineStr">
        <is>
          <t xml:space="preserve">B1234EXOTIC26</t>
        </is>
      </c>
      <c r="G361" s="33">
        <f>IF($A361="","",IF($C361="","",YEAR($C361)))</f>
      </c>
      <c r="H361" s="34">
        <v>2009</v>
      </c>
      <c r="I361" s="30" t="inlineStr">
        <is>
          <t xml:space="preserve">Ferrari</t>
        </is>
      </c>
      <c r="J361" s="30" t="inlineStr">
        <is>
          <t xml:space="preserve">SF90 Stradale</t>
        </is>
      </c>
      <c r="K361" s="30" t="inlineStr">
        <is>
          <t xml:space="preserve">ZHPZUP587MT0GXCME</t>
        </is>
      </c>
      <c r="L361" s="32" t="inlineStr">
        <is>
          <t xml:space="preserve">03 - Supercar</t>
        </is>
      </c>
      <c r="M361" s="35">
        <v>1950000</v>
      </c>
      <c r="N361" s="32" t="inlineStr">
        <is>
          <t xml:space="preserve">Personal</t>
        </is>
      </c>
      <c r="O361" s="30" t="inlineStr">
        <is>
          <t xml:space="preserve">Personal - regular use</t>
        </is>
      </c>
      <c r="P361" s="30" t="inlineStr">
        <is>
          <t xml:space="preserve">1,000 - 2,500</t>
        </is>
      </c>
      <c r="Q361" s="30" t="inlineStr">
        <is>
          <t xml:space="preserve">New York</t>
        </is>
      </c>
      <c r="R361" s="30" t="inlineStr">
        <is>
          <t xml:space="preserve">10022</t>
        </is>
      </c>
      <c r="S361" s="32" t="inlineStr">
        <is>
          <t xml:space="preserve">Tier 3 - Coastal wind (25-100 miles)</t>
        </is>
      </c>
      <c r="T361" s="36">
        <f>IF($A361="","",IF($S361="","",IFERROR(INDEX('[1]natural catastrophe'!$D$6:$D$17,MATCH($S361,'[1]natural catastrophe'!$B$6:$B$17,0)),"?")))</f>
      </c>
      <c r="U361" s="30" t="inlineStr">
        <is>
          <t xml:space="preserve">2% of agreed value, minimum $10,000</t>
        </is>
      </c>
      <c r="V361" s="32" t="inlineStr">
        <is>
          <t xml:space="preserve">Agreed Value</t>
        </is>
      </c>
      <c r="W361" s="30" t="inlineStr">
        <is>
          <t xml:space="preserve">$1,000</t>
        </is>
      </c>
      <c r="X361" s="32" t="inlineStr">
        <is>
          <t xml:space="preserve">$1,000,000 CSL</t>
        </is>
      </c>
      <c r="Y361" s="30"/>
      <c r="Z361" s="30"/>
      <c r="AA361" s="32" t="inlineStr">
        <is>
          <t xml:space="preserve">Surplus Lines</t>
        </is>
      </c>
      <c r="AB361" s="35">
        <v>37675.47</v>
      </c>
      <c r="AC361" s="37">
        <v>0</v>
      </c>
      <c r="AD361" s="38">
        <f>IF(ISNUMBER($AB361),$AB361*(1+N($AC361)),"")</f>
      </c>
      <c r="AE361" s="35">
        <v>350</v>
      </c>
      <c r="AF361" s="35">
        <v>250</v>
      </c>
      <c r="AG361" s="37"/>
      <c r="AH361" s="39">
        <f>IF(ISNUMBER($AD361),($AD361+$AE361+$AF361)*$AG361,"")</f>
      </c>
      <c r="AI361" s="35"/>
      <c r="AJ361" s="38">
        <f>IF(ISNUMBER($AD361),SUM($AD361:$AH361),"")</f>
      </c>
      <c r="AK361" s="40">
        <f>IF(AND(ISNUMBER($AB361),ISNUMBER($AD361)),IF($AB361&gt;0,$AD361/$AB361,""),"")</f>
      </c>
      <c r="AL361" s="32" t="inlineStr">
        <is>
          <t xml:space="preserve">At technical</t>
        </is>
      </c>
      <c r="AM361" s="41">
        <f>IF(ISNUMBER($AD361),Header!$I$3,"")</f>
      </c>
      <c r="AN361" s="39">
        <f>IF(ISNUMBER($AD361),$AO361+$AP361,"")</f>
      </c>
      <c r="AO361" s="39">
        <f>IF(ISNUMBER($AD361),ROUND($AD361*Header!$K$3,2),"")</f>
      </c>
      <c r="AP361" s="39">
        <f>IF(ISNUMBER($AD361),ROUND($AD361*Header!$M$3,2),"")</f>
      </c>
      <c r="AQ361" s="38">
        <f>IF(ISNUMBER($AD361),ROUND($AD361,2)-$AO361-$AP361,"")</f>
      </c>
      <c r="AR361" s="39">
        <f>IF(ISNUMBER($AD361),IF(Header!$D$34="","?",$AD361*Header!$D$34),"")</f>
      </c>
      <c r="AS361" s="39">
        <f>IF(ISNUMBER($AB361),IF(Header!$D$34="","?",$AB361*Header!$D$34),"")</f>
      </c>
      <c r="AT361" s="42">
        <f>IF(AND(ISNUMBER($AB361),$M361&gt;0),$AB361/$M361*100,"")</f>
      </c>
      <c r="AU361" s="42">
        <f>IF(AND(ISNUMBER($AD361),$M361&gt;0),$AD361/$M361*100,"")</f>
      </c>
      <c r="AV361" s="40">
        <f>IF(AND(ISNUMBER($AB361),ISNUMBER($AD361),ABS($AB361)&gt;0),$AD361/$AB361,"")</f>
      </c>
      <c r="AW361" s="39">
        <f>IF(ISNUMBER($AD361),MAX(0,(1-0.55-Header!$O$3)*Header!$Q$3*$AQ361),"")</f>
      </c>
      <c r="AX361" s="43">
        <f>IF($A361="","",IF(TRIM(IF($A361="","Missing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",""))="","PASS","FAIL: "&amp;TRIM(IF($A361="","Missing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f>
      </c>
      <c r="AY361" s="44">
        <f>IF($M361="","",IF(ISNUMBER($M361),IF($M361&gt;=Header!$C$18,"YES — refer","No"),""))</f>
      </c>
      <c r="AZ361" s="44">
        <f>IF($AD361="","",IF(ISNUMBER($AD361),IF($AD361&lt;Header!$C$20,"BELOW MIN PREMIUM","OK"),""))</f>
      </c>
      <c r="BA361" s="32" t="inlineStr">
        <is>
          <t xml:space="preserve">Yes</t>
        </is>
      </c>
      <c r="BB361" s="32" t="inlineStr">
        <is>
          <t xml:space="preserve">Yes</t>
        </is>
      </c>
      <c r="BC361" s="30" t="inlineStr">
        <is>
          <t xml:space="preserve">Synthetic demo data</t>
        </is>
      </c>
      <c r="BE361" s="45">
        <f>IF(OR($A361="",$L361="",$H361=""),"",IF(AND(LEFT($L361,2)="06",$H361&gt;1945),"FAIL - pre-war class, year "&amp;$H361,IF(AND(LEFT($L361,2)="07",OR($H361&lt;1946,$H361&gt;1972)),"FAIL - 1946-72 class, year "&amp;$H361,IF(AND(LEFT($L361,2)="08",OR($H361&lt;1973,$H361&gt;1999)),"FAIL - 1973-99 class, year "&amp;$H361,IF(AND(LEFT($L361,2)="09",OR($H361&lt;2000,$H361&gt;2010)),"FAIL - 2000-10 class, year "&amp;$H361,"OK")))))</f>
      </c>
      <c r="BF361" s="45">
        <f>IF($AD361="","",IF(ROUND($AO361+$AP361+$AQ361-$AD361,2)=0,"OK","FAIL - out by "&amp;TEXT($AO361+$AP361+$AQ361-$AD361,"$0.00")))</f>
      </c>
    </row>
    <row r="362" spans="1:58" ht="18.75" customHeight="1" x14ac:dyDescent="0.25">
      <c r="A362" s="46" t="inlineStr">
        <is>
          <t xml:space="preserve">CANON-202508-000495</t>
        </is>
      </c>
      <c r="B362" s="46" t="inlineStr">
        <is>
          <t xml:space="preserve">Cassius Vandermeer</t>
        </is>
      </c>
      <c r="C362" s="47">
        <v>45873</v>
      </c>
      <c r="D362" s="48" t="inlineStr">
        <is>
          <t xml:space="preserve">Bound - within authority</t>
        </is>
      </c>
      <c r="E362" s="48" t="inlineStr">
        <is>
          <t xml:space="preserve">New business</t>
        </is>
      </c>
      <c r="F362" s="46" t="inlineStr">
        <is>
          <t xml:space="preserve">B1234EXOTIC26</t>
        </is>
      </c>
      <c r="G362" s="33">
        <f>IF($A362="","",IF($C362="","",YEAR($C362)))</f>
      </c>
      <c r="H362" s="49">
        <v>2023</v>
      </c>
      <c r="I362" s="46" t="inlineStr">
        <is>
          <t xml:space="preserve">Porsche</t>
        </is>
      </c>
      <c r="J362" s="46" t="inlineStr">
        <is>
          <t xml:space="preserve">911 Turbo S</t>
        </is>
      </c>
      <c r="K362" s="46" t="inlineStr">
        <is>
          <t xml:space="preserve">4RSLKFX7NYLCCR3BJ</t>
        </is>
      </c>
      <c r="L362" s="48" t="inlineStr">
        <is>
          <t xml:space="preserve">02 - Sports / GT</t>
        </is>
      </c>
      <c r="M362" s="50">
        <v>325000</v>
      </c>
      <c r="N362" s="48" t="inlineStr">
        <is>
          <t xml:space="preserve">Personal</t>
        </is>
      </c>
      <c r="O362" s="46" t="inlineStr">
        <is>
          <t xml:space="preserve">Personal - regular use</t>
        </is>
      </c>
      <c r="P362" s="46" t="inlineStr">
        <is>
          <t xml:space="preserve">1,000 - 2,500</t>
        </is>
      </c>
      <c r="Q362" s="46" t="inlineStr">
        <is>
          <t xml:space="preserve">Iowa</t>
        </is>
      </c>
      <c r="R362" s="46" t="inlineStr">
        <is>
          <t xml:space="preserve">50309</t>
        </is>
      </c>
      <c r="S362" s="48" t="inlineStr">
        <is>
          <t xml:space="preserve">Severe convective - hail alley (high)</t>
        </is>
      </c>
      <c r="T362" s="36">
        <f>IF($A362="","",IF($S362="","",IFERROR(INDEX('[1]natural catastrophe'!$D$6:$D$17,MATCH($S362,'[1]natural catastrophe'!$B$6:$B$17,0)),"?")))</f>
      </c>
      <c r="U362" s="46" t="inlineStr">
        <is>
          <t xml:space="preserve">$5,000</t>
        </is>
      </c>
      <c r="V362" s="48" t="inlineStr">
        <is>
          <t xml:space="preserve">Agreed Value</t>
        </is>
      </c>
      <c r="W362" s="46" t="inlineStr">
        <is>
          <t xml:space="preserve">$1,000</t>
        </is>
      </c>
      <c r="X362" s="48" t="inlineStr">
        <is>
          <t xml:space="preserve">$1,000,000 CSL</t>
        </is>
      </c>
      <c r="Y362" s="46"/>
      <c r="Z362" s="46"/>
      <c r="AA362" s="48" t="inlineStr">
        <is>
          <t xml:space="preserve">Surplus Lines</t>
        </is>
      </c>
      <c r="AB362" s="50">
        <v>5058.96</v>
      </c>
      <c r="AC362" s="51">
        <v>0</v>
      </c>
      <c r="AD362" s="38">
        <f>IF(ISNUMBER($AB362),$AB362*(1+N($AC362)),"")</f>
      </c>
      <c r="AE362" s="50">
        <v>350</v>
      </c>
      <c r="AF362" s="50">
        <v>0</v>
      </c>
      <c r="AG362" s="51"/>
      <c r="AH362" s="39">
        <f>IF(ISNUMBER($AD362),($AD362+$AE362+$AF362)*$AG362,"")</f>
      </c>
      <c r="AI362" s="50"/>
      <c r="AJ362" s="38">
        <f>IF(ISNUMBER($AD362),SUM($AD362:$AH362),"")</f>
      </c>
      <c r="AK362" s="40">
        <f>IF(AND(ISNUMBER($AB362),ISNUMBER($AD362)),IF($AB362&gt;0,$AD362/$AB362,""),"")</f>
      </c>
      <c r="AL362" s="48" t="inlineStr">
        <is>
          <t xml:space="preserve">At technical</t>
        </is>
      </c>
      <c r="AM362" s="41">
        <f>IF(ISNUMBER($AD362),Header!$I$3,"")</f>
      </c>
      <c r="AN362" s="39">
        <f>IF(ISNUMBER($AD362),$AO362+$AP362,"")</f>
      </c>
      <c r="AO362" s="39">
        <f>IF(ISNUMBER($AD362),ROUND($AD362*Header!$K$3,2),"")</f>
      </c>
      <c r="AP362" s="39">
        <f>IF(ISNUMBER($AD362),ROUND($AD362*Header!$M$3,2),"")</f>
      </c>
      <c r="AQ362" s="38">
        <f>IF(ISNUMBER($AD362),ROUND($AD362,2)-$AO362-$AP362,"")</f>
      </c>
      <c r="AR362" s="39">
        <f>IF(ISNUMBER($AD362),IF(Header!$D$34="","?",$AD362*Header!$D$34),"")</f>
      </c>
      <c r="AS362" s="39">
        <f>IF(ISNUMBER($AB362),IF(Header!$D$34="","?",$AB362*Header!$D$34),"")</f>
      </c>
      <c r="AT362" s="42">
        <f>IF(AND(ISNUMBER($AB362),$M362&gt;0),$AB362/$M362*100,"")</f>
      </c>
      <c r="AU362" s="42">
        <f>IF(AND(ISNUMBER($AD362),$M362&gt;0),$AD362/$M362*100,"")</f>
      </c>
      <c r="AV362" s="40">
        <f>IF(AND(ISNUMBER($AB362),ISNUMBER($AD362),ABS($AB362)&gt;0),$AD362/$AB362,"")</f>
      </c>
      <c r="AW362" s="39">
        <f>IF(ISNUMBER($AD362),MAX(0,(1-0.55-Header!$O$3)*Header!$Q$3*$AQ362),"")</f>
      </c>
      <c r="AX362" s="43">
        <f>IF($A362="","",IF(TRIM(IF($A362="","Missing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",""))="","PASS","FAIL: "&amp;TRIM(IF($A362="","Missing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f>
      </c>
      <c r="AY362" s="44">
        <f>IF($M362="","",IF(ISNUMBER($M362),IF($M362&gt;=Header!$C$18,"YES — refer","No"),""))</f>
      </c>
      <c r="AZ362" s="44">
        <f>IF($AD362="","",IF(ISNUMBER($AD362),IF($AD362&lt;Header!$C$20,"BELOW MIN PREMIUM","OK"),""))</f>
      </c>
      <c r="BA362" s="48" t="inlineStr">
        <is>
          <t xml:space="preserve">Yes</t>
        </is>
      </c>
      <c r="BB362" s="48" t="inlineStr">
        <is>
          <t xml:space="preserve">Yes</t>
        </is>
      </c>
      <c r="BC362" s="46" t="inlineStr">
        <is>
          <t xml:space="preserve">Synthetic demo data</t>
        </is>
      </c>
      <c r="BE362" s="45">
        <f>IF(OR($A362="",$L362="",$H362=""),"",IF(AND(LEFT($L362,2)="06",$H362&gt;1945),"FAIL - pre-war class, year "&amp;$H362,IF(AND(LEFT($L362,2)="07",OR($H362&lt;1946,$H362&gt;1972)),"FAIL - 1946-72 class, year "&amp;$H362,IF(AND(LEFT($L362,2)="08",OR($H362&lt;1973,$H362&gt;1999)),"FAIL - 1973-99 class, year "&amp;$H362,IF(AND(LEFT($L362,2)="09",OR($H362&lt;2000,$H362&gt;2010)),"FAIL - 2000-10 class, year "&amp;$H362,"OK")))))</f>
      </c>
      <c r="BF362" s="45">
        <f>IF($AD362="","",IF(ROUND($AO362+$AP362+$AQ362-$AD362,2)=0,"OK","FAIL - out by "&amp;TEXT($AO362+$AP362+$AQ362-$AD362,"$0.00")))</f>
      </c>
    </row>
    <row r="363" spans="1:58" ht="18.75" customHeight="1" x14ac:dyDescent="0.25">
      <c r="A363" s="30" t="inlineStr">
        <is>
          <t xml:space="preserve">CANON-202508-000496</t>
        </is>
      </c>
      <c r="B363" s="30" t="inlineStr">
        <is>
          <t xml:space="preserve">Lorenzo Nakashima</t>
        </is>
      </c>
      <c r="C363" s="31">
        <v>45878</v>
      </c>
      <c r="D363" s="32" t="inlineStr">
        <is>
          <t xml:space="preserve">Bound - within authority</t>
        </is>
      </c>
      <c r="E363" s="32" t="inlineStr">
        <is>
          <t xml:space="preserve">New business</t>
        </is>
      </c>
      <c r="F363" s="30" t="inlineStr">
        <is>
          <t xml:space="preserve">B1234EXOTIC26</t>
        </is>
      </c>
      <c r="G363" s="33">
        <f>IF($A363="","",IF($C363="","",YEAR($C363)))</f>
      </c>
      <c r="H363" s="34">
        <v>2018</v>
      </c>
      <c r="I363" s="30" t="inlineStr">
        <is>
          <t xml:space="preserve">McLaren</t>
        </is>
      </c>
      <c r="J363" s="30" t="inlineStr">
        <is>
          <t xml:space="preserve">750S</t>
        </is>
      </c>
      <c r="K363" s="30" t="inlineStr">
        <is>
          <t xml:space="preserve">RAHUMMJ2HSMNGN4WT</t>
        </is>
      </c>
      <c r="L363" s="32" t="inlineStr">
        <is>
          <t xml:space="preserve">03 - Supercar</t>
        </is>
      </c>
      <c r="M363" s="35">
        <v>250000</v>
      </c>
      <c r="N363" s="32" t="inlineStr">
        <is>
          <t xml:space="preserve">Personal</t>
        </is>
      </c>
      <c r="O363" s="30" t="inlineStr">
        <is>
          <t xml:space="preserve">Personal - regular use</t>
        </is>
      </c>
      <c r="P363" s="30" t="inlineStr">
        <is>
          <t xml:space="preserve">Under 1,000</t>
        </is>
      </c>
      <c r="Q363" s="30" t="inlineStr">
        <is>
          <t xml:space="preserve">New York</t>
        </is>
      </c>
      <c r="R363" s="30" t="inlineStr">
        <is>
          <t xml:space="preserve">10022</t>
        </is>
      </c>
      <c r="S363" s="32" t="inlineStr">
        <is>
          <t xml:space="preserve">Tier 3 - Coastal wind (25-100 miles)</t>
        </is>
      </c>
      <c r="T363" s="36">
        <f>IF($A363="","",IF($S363="","",IFERROR(INDEX('[1]natural catastrophe'!$D$6:$D$17,MATCH($S363,'[1]natural catastrophe'!$B$6:$B$17,0)),"?")))</f>
      </c>
      <c r="U363" s="30" t="inlineStr">
        <is>
          <t xml:space="preserve">2% of agreed value, minimum $10,000</t>
        </is>
      </c>
      <c r="V363" s="32" t="inlineStr">
        <is>
          <t xml:space="preserve">Agreed Value</t>
        </is>
      </c>
      <c r="W363" s="30" t="inlineStr">
        <is>
          <t xml:space="preserve">$1,000</t>
        </is>
      </c>
      <c r="X363" s="32" t="inlineStr">
        <is>
          <t xml:space="preserve">$1,000,000 CSL</t>
        </is>
      </c>
      <c r="Y363" s="30"/>
      <c r="Z363" s="30"/>
      <c r="AA363" s="32" t="inlineStr">
        <is>
          <t xml:space="preserve">Surplus Lines</t>
        </is>
      </c>
      <c r="AB363" s="35">
        <v>6943.4</v>
      </c>
      <c r="AC363" s="37">
        <v>0</v>
      </c>
      <c r="AD363" s="38">
        <f>IF(ISNUMBER($AB363),$AB363*(1+N($AC363)),"")</f>
      </c>
      <c r="AE363" s="35">
        <v>350</v>
      </c>
      <c r="AF363" s="35">
        <v>0</v>
      </c>
      <c r="AG363" s="37"/>
      <c r="AH363" s="39">
        <f>IF(ISNUMBER($AD363),($AD363+$AE363+$AF363)*$AG363,"")</f>
      </c>
      <c r="AI363" s="35"/>
      <c r="AJ363" s="38">
        <f>IF(ISNUMBER($AD363),SUM($AD363:$AH363),"")</f>
      </c>
      <c r="AK363" s="40">
        <f>IF(AND(ISNUMBER($AB363),ISNUMBER($AD363)),IF($AB363&gt;0,$AD363/$AB363,""),"")</f>
      </c>
      <c r="AL363" s="32" t="inlineStr">
        <is>
          <t xml:space="preserve">At technical</t>
        </is>
      </c>
      <c r="AM363" s="41">
        <f>IF(ISNUMBER($AD363),Header!$I$3,"")</f>
      </c>
      <c r="AN363" s="39">
        <f>IF(ISNUMBER($AD363),$AO363+$AP363,"")</f>
      </c>
      <c r="AO363" s="39">
        <f>IF(ISNUMBER($AD363),ROUND($AD363*Header!$K$3,2),"")</f>
      </c>
      <c r="AP363" s="39">
        <f>IF(ISNUMBER($AD363),ROUND($AD363*Header!$M$3,2),"")</f>
      </c>
      <c r="AQ363" s="38">
        <f>IF(ISNUMBER($AD363),ROUND($AD363,2)-$AO363-$AP363,"")</f>
      </c>
      <c r="AR363" s="39">
        <f>IF(ISNUMBER($AD363),IF(Header!$D$34="","?",$AD363*Header!$D$34),"")</f>
      </c>
      <c r="AS363" s="39">
        <f>IF(ISNUMBER($AB363),IF(Header!$D$34="","?",$AB363*Header!$D$34),"")</f>
      </c>
      <c r="AT363" s="42">
        <f>IF(AND(ISNUMBER($AB363),$M363&gt;0),$AB363/$M363*100,"")</f>
      </c>
      <c r="AU363" s="42">
        <f>IF(AND(ISNUMBER($AD363),$M363&gt;0),$AD363/$M363*100,"")</f>
      </c>
      <c r="AV363" s="40">
        <f>IF(AND(ISNUMBER($AB363),ISNUMBER($AD363),ABS($AB363)&gt;0),$AD363/$AB363,"")</f>
      </c>
      <c r="AW363" s="39">
        <f>IF(ISNUMBER($AD363),MAX(0,(1-0.55-Header!$O$3)*Header!$Q$3*$AQ363),"")</f>
      </c>
      <c r="AX363" s="43">
        <f>IF($A363="","",IF(TRIM(IF($A363="","Missing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",""))="","PASS","FAIL: "&amp;TRIM(IF($A363="","Missing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f>
      </c>
      <c r="AY363" s="44">
        <f>IF($M363="","",IF(ISNUMBER($M363),IF($M363&gt;=Header!$C$18,"YES — refer","No"),""))</f>
      </c>
      <c r="AZ363" s="44">
        <f>IF($AD363="","",IF(ISNUMBER($AD363),IF($AD363&lt;Header!$C$20,"BELOW MIN PREMIUM","OK"),""))</f>
      </c>
      <c r="BA363" s="32" t="inlineStr">
        <is>
          <t xml:space="preserve">Yes</t>
        </is>
      </c>
      <c r="BB363" s="32" t="inlineStr">
        <is>
          <t xml:space="preserve">Yes</t>
        </is>
      </c>
      <c r="BC363" s="30" t="inlineStr">
        <is>
          <t xml:space="preserve">Synthetic demo data</t>
        </is>
      </c>
      <c r="BE363" s="45">
        <f>IF(OR($A363="",$L363="",$H363=""),"",IF(AND(LEFT($L363,2)="06",$H363&gt;1945),"FAIL - pre-war class, year "&amp;$H363,IF(AND(LEFT($L363,2)="07",OR($H363&lt;1946,$H363&gt;1972)),"FAIL - 1946-72 class, year "&amp;$H363,IF(AND(LEFT($L363,2)="08",OR($H363&lt;1973,$H363&gt;1999)),"FAIL - 1973-99 class, year "&amp;$H363,IF(AND(LEFT($L363,2)="09",OR($H363&lt;2000,$H363&gt;2010)),"FAIL - 2000-10 class, year "&amp;$H363,"OK")))))</f>
      </c>
      <c r="BF363" s="45">
        <f>IF($AD363="","",IF(ROUND($AO363+$AP363+$AQ363-$AD363,2)=0,"OK","FAIL - out by "&amp;TEXT($AO363+$AP363+$AQ363-$AD363,"$0.00")))</f>
      </c>
    </row>
    <row r="364" spans="1:58" ht="18.75" customHeight="1" x14ac:dyDescent="0.25">
      <c r="A364" s="46" t="inlineStr">
        <is>
          <t xml:space="preserve">CANON-202508-000498</t>
        </is>
      </c>
      <c r="B364" s="46" t="inlineStr">
        <is>
          <t xml:space="preserve">Ottilie Rourke</t>
        </is>
      </c>
      <c r="C364" s="47">
        <v>45885</v>
      </c>
      <c r="D364" s="48" t="inlineStr">
        <is>
          <t xml:space="preserve">Bound - within authority</t>
        </is>
      </c>
      <c r="E364" s="48" t="inlineStr">
        <is>
          <t xml:space="preserve">New business</t>
        </is>
      </c>
      <c r="F364" s="46" t="inlineStr">
        <is>
          <t xml:space="preserve">B1234EXOTIC26</t>
        </is>
      </c>
      <c r="G364" s="33">
        <f>IF($A364="","",IF($C364="","",YEAR($C364)))</f>
      </c>
      <c r="H364" s="49">
        <v>1956</v>
      </c>
      <c r="I364" s="46" t="inlineStr">
        <is>
          <t xml:space="preserve">McLaren</t>
        </is>
      </c>
      <c r="J364" s="46" t="inlineStr">
        <is>
          <t xml:space="preserve">750S</t>
        </is>
      </c>
      <c r="K364" s="46" t="inlineStr">
        <is>
          <t xml:space="preserve">7X9XU4LSFU7UYYAD6</t>
        </is>
      </c>
      <c r="L364" s="48" t="inlineStr">
        <is>
          <t xml:space="preserve">03 - Supercar</t>
        </is>
      </c>
      <c r="M364" s="50">
        <v>845000</v>
      </c>
      <c r="N364" s="48" t="inlineStr">
        <is>
          <t xml:space="preserve">Personal</t>
        </is>
      </c>
      <c r="O364" s="46" t="inlineStr">
        <is>
          <t xml:space="preserve">Personal - regular use</t>
        </is>
      </c>
      <c r="P364" s="46" t="inlineStr">
        <is>
          <t xml:space="preserve">2,500 - 5,000</t>
        </is>
      </c>
      <c r="Q364" s="46" t="inlineStr">
        <is>
          <t xml:space="preserve">Rhode Island</t>
        </is>
      </c>
      <c r="R364" s="46" t="inlineStr">
        <is>
          <t xml:space="preserve">02903</t>
        </is>
      </c>
      <c r="S364" s="48" t="inlineStr">
        <is>
          <t xml:space="preserve">Tier 3 - Coastal wind (25-100 miles)</t>
        </is>
      </c>
      <c r="T364" s="36">
        <f>IF($A364="","",IF($S364="","",IFERROR(INDEX('[1]natural catastrophe'!$D$6:$D$17,MATCH($S364,'[1]natural catastrophe'!$B$6:$B$17,0)),"?")))</f>
      </c>
      <c r="U364" s="46" t="inlineStr">
        <is>
          <t xml:space="preserve">2% of agreed value, minimum $10,000</t>
        </is>
      </c>
      <c r="V364" s="48" t="inlineStr">
        <is>
          <t xml:space="preserve">Agreed Value</t>
        </is>
      </c>
      <c r="W364" s="46" t="inlineStr">
        <is>
          <t xml:space="preserve">$1,000</t>
        </is>
      </c>
      <c r="X364" s="48" t="inlineStr">
        <is>
          <t xml:space="preserve">$1,000,000 CSL</t>
        </is>
      </c>
      <c r="Y364" s="46"/>
      <c r="Z364" s="46"/>
      <c r="AA364" s="48" t="inlineStr">
        <is>
          <t xml:space="preserve">Surplus Lines</t>
        </is>
      </c>
      <c r="AB364" s="50">
        <v>20750.33</v>
      </c>
      <c r="AC364" s="51">
        <v>0</v>
      </c>
      <c r="AD364" s="38">
        <f>IF(ISNUMBER($AB364),$AB364*(1+N($AC364)),"")</f>
      </c>
      <c r="AE364" s="50">
        <v>350</v>
      </c>
      <c r="AF364" s="50">
        <v>0</v>
      </c>
      <c r="AG364" s="51"/>
      <c r="AH364" s="39">
        <f>IF(ISNUMBER($AD364),($AD364+$AE364+$AF364)*$AG364,"")</f>
      </c>
      <c r="AI364" s="50"/>
      <c r="AJ364" s="38">
        <f>IF(ISNUMBER($AD364),SUM($AD364:$AH364),"")</f>
      </c>
      <c r="AK364" s="40">
        <f>IF(AND(ISNUMBER($AB364),ISNUMBER($AD364)),IF($AB364&gt;0,$AD364/$AB364,""),"")</f>
      </c>
      <c r="AL364" s="48" t="inlineStr">
        <is>
          <t xml:space="preserve">At technical</t>
        </is>
      </c>
      <c r="AM364" s="41">
        <f>IF(ISNUMBER($AD364),Header!$I$3,"")</f>
      </c>
      <c r="AN364" s="39">
        <f>IF(ISNUMBER($AD364),$AO364+$AP364,"")</f>
      </c>
      <c r="AO364" s="39">
        <f>IF(ISNUMBER($AD364),ROUND($AD364*Header!$K$3,2),"")</f>
      </c>
      <c r="AP364" s="39">
        <f>IF(ISNUMBER($AD364),ROUND($AD364*Header!$M$3,2),"")</f>
      </c>
      <c r="AQ364" s="38">
        <f>IF(ISNUMBER($AD364),ROUND($AD364,2)-$AO364-$AP364,"")</f>
      </c>
      <c r="AR364" s="39">
        <f>IF(ISNUMBER($AD364),IF(Header!$D$34="","?",$AD364*Header!$D$34),"")</f>
      </c>
      <c r="AS364" s="39">
        <f>IF(ISNUMBER($AB364),IF(Header!$D$34="","?",$AB364*Header!$D$34),"")</f>
      </c>
      <c r="AT364" s="42">
        <f>IF(AND(ISNUMBER($AB364),$M364&gt;0),$AB364/$M364*100,"")</f>
      </c>
      <c r="AU364" s="42">
        <f>IF(AND(ISNUMBER($AD364),$M364&gt;0),$AD364/$M364*100,"")</f>
      </c>
      <c r="AV364" s="40">
        <f>IF(AND(ISNUMBER($AB364),ISNUMBER($AD364),ABS($AB364)&gt;0),$AD364/$AB364,"")</f>
      </c>
      <c r="AW364" s="39">
        <f>IF(ISNUMBER($AD364),MAX(0,(1-0.55-Header!$O$3)*Header!$Q$3*$AQ364),"")</f>
      </c>
      <c r="AX364" s="43">
        <f>IF($A364="","",IF(TRIM(IF($A364="","Missing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",""))="","PASS","FAIL: "&amp;TRIM(IF($A364="","Missing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f>
      </c>
      <c r="AY364" s="44">
        <f>IF($M364="","",IF(ISNUMBER($M364),IF($M364&gt;=Header!$C$18,"YES — refer","No"),""))</f>
      </c>
      <c r="AZ364" s="44">
        <f>IF($AD364="","",IF(ISNUMBER($AD364),IF($AD364&lt;Header!$C$20,"BELOW MIN PREMIUM","OK"),""))</f>
      </c>
      <c r="BA364" s="48" t="inlineStr">
        <is>
          <t xml:space="preserve">Yes</t>
        </is>
      </c>
      <c r="BB364" s="48" t="inlineStr">
        <is>
          <t xml:space="preserve">Yes</t>
        </is>
      </c>
      <c r="BC364" s="46" t="inlineStr">
        <is>
          <t xml:space="preserve">Synthetic demo data</t>
        </is>
      </c>
      <c r="BE364" s="45">
        <f>IF(OR($A364="",$L364="",$H364=""),"",IF(AND(LEFT($L364,2)="06",$H364&gt;1945),"FAIL - pre-war class, year "&amp;$H364,IF(AND(LEFT($L364,2)="07",OR($H364&lt;1946,$H364&gt;1972)),"FAIL - 1946-72 class, year "&amp;$H364,IF(AND(LEFT($L364,2)="08",OR($H364&lt;1973,$H364&gt;1999)),"FAIL - 1973-99 class, year "&amp;$H364,IF(AND(LEFT($L364,2)="09",OR($H364&lt;2000,$H364&gt;2010)),"FAIL - 2000-10 class, year "&amp;$H364,"OK")))))</f>
      </c>
      <c r="BF364" s="45">
        <f>IF($AD364="","",IF(ROUND($AO364+$AP364+$AQ364-$AD364,2)=0,"OK","FAIL - out by "&amp;TEXT($AO364+$AP364+$AQ364-$AD364,"$0.00")))</f>
      </c>
    </row>
    <row r="365" spans="1:58" ht="18.75" customHeight="1" x14ac:dyDescent="0.25">
      <c r="A365" s="30" t="inlineStr">
        <is>
          <t xml:space="preserve">CANON-202508-000499</t>
        </is>
      </c>
      <c r="B365" s="30" t="inlineStr">
        <is>
          <t xml:space="preserve">Leopold Underwood</t>
        </is>
      </c>
      <c r="C365" s="31">
        <v>45889</v>
      </c>
      <c r="D365" s="32" t="inlineStr">
        <is>
          <t xml:space="preserve">Bound - within authority</t>
        </is>
      </c>
      <c r="E365" s="32" t="inlineStr">
        <is>
          <t xml:space="preserve">New business</t>
        </is>
      </c>
      <c r="F365" s="30" t="inlineStr">
        <is>
          <t xml:space="preserve">B1234EXOTIC26</t>
        </is>
      </c>
      <c r="G365" s="33">
        <f>IF($A365="","",IF($C365="","",YEAR($C365)))</f>
      </c>
      <c r="H365" s="34">
        <v>2014</v>
      </c>
      <c r="I365" s="30" t="inlineStr">
        <is>
          <t xml:space="preserve">Lamborghini</t>
        </is>
      </c>
      <c r="J365" s="30" t="inlineStr">
        <is>
          <t xml:space="preserve">Huracan EVO</t>
        </is>
      </c>
      <c r="K365" s="30" t="inlineStr">
        <is>
          <t xml:space="preserve">60G8TMG5XUKYCMTDU</t>
        </is>
      </c>
      <c r="L365" s="32" t="inlineStr">
        <is>
          <t xml:space="preserve">03 - Supercar</t>
        </is>
      </c>
      <c r="M365" s="35">
        <v>595000</v>
      </c>
      <c r="N365" s="32" t="inlineStr">
        <is>
          <t xml:space="preserve">Personal</t>
        </is>
      </c>
      <c r="O365" s="30" t="inlineStr">
        <is>
          <t xml:space="preserve">Personal - regular use</t>
        </is>
      </c>
      <c r="P365" s="30" t="inlineStr">
        <is>
          <t xml:space="preserve">2,500 - 5,000</t>
        </is>
      </c>
      <c r="Q365" s="30" t="inlineStr">
        <is>
          <t xml:space="preserve">Hawaii</t>
        </is>
      </c>
      <c r="R365" s="30" t="inlineStr">
        <is>
          <t xml:space="preserve">96813</t>
        </is>
      </c>
      <c r="S365" s="32" t="inlineStr">
        <is>
          <t xml:space="preserve">Earthquake - high (CA, Cascadia, New Madrid)</t>
        </is>
      </c>
      <c r="T365" s="36">
        <f>IF($A365="","",IF($S365="","",IFERROR(INDEX('[1]natural catastrophe'!$D$6:$D$17,MATCH($S365,'[1]natural catastrophe'!$B$6:$B$17,0)),"?")))</f>
      </c>
      <c r="U365" s="30" t="inlineStr">
        <is>
          <t xml:space="preserve">$5,000</t>
        </is>
      </c>
      <c r="V365" s="32" t="inlineStr">
        <is>
          <t xml:space="preserve">Agreed Value</t>
        </is>
      </c>
      <c r="W365" s="30" t="inlineStr">
        <is>
          <t xml:space="preserve">$1,000</t>
        </is>
      </c>
      <c r="X365" s="32" t="inlineStr">
        <is>
          <t xml:space="preserve">$1,000,000 CSL</t>
        </is>
      </c>
      <c r="Y365" s="30"/>
      <c r="Z365" s="30"/>
      <c r="AA365" s="32" t="inlineStr">
        <is>
          <t xml:space="preserve">Surplus Lines</t>
        </is>
      </c>
      <c r="AB365" s="35">
        <v>13864.62</v>
      </c>
      <c r="AC365" s="37">
        <v>0</v>
      </c>
      <c r="AD365" s="38">
        <f>IF(ISNUMBER($AB365),$AB365*(1+N($AC365)),"")</f>
      </c>
      <c r="AE365" s="35">
        <v>350</v>
      </c>
      <c r="AF365" s="35">
        <v>0</v>
      </c>
      <c r="AG365" s="37"/>
      <c r="AH365" s="39">
        <f>IF(ISNUMBER($AD365),($AD365+$AE365+$AF365)*$AG365,"")</f>
      </c>
      <c r="AI365" s="35"/>
      <c r="AJ365" s="38">
        <f>IF(ISNUMBER($AD365),SUM($AD365:$AH365),"")</f>
      </c>
      <c r="AK365" s="40">
        <f>IF(AND(ISNUMBER($AB365),ISNUMBER($AD365)),IF($AB365&gt;0,$AD365/$AB365,""),"")</f>
      </c>
      <c r="AL365" s="32" t="inlineStr">
        <is>
          <t xml:space="preserve">At technical</t>
        </is>
      </c>
      <c r="AM365" s="41">
        <f>IF(ISNUMBER($AD365),Header!$I$3,"")</f>
      </c>
      <c r="AN365" s="39">
        <f>IF(ISNUMBER($AD365),$AO365+$AP365,"")</f>
      </c>
      <c r="AO365" s="39">
        <f>IF(ISNUMBER($AD365),ROUND($AD365*Header!$K$3,2),"")</f>
      </c>
      <c r="AP365" s="39">
        <f>IF(ISNUMBER($AD365),ROUND($AD365*Header!$M$3,2),"")</f>
      </c>
      <c r="AQ365" s="38">
        <f>IF(ISNUMBER($AD365),ROUND($AD365,2)-$AO365-$AP365,"")</f>
      </c>
      <c r="AR365" s="39">
        <f>IF(ISNUMBER($AD365),IF(Header!$D$34="","?",$AD365*Header!$D$34),"")</f>
      </c>
      <c r="AS365" s="39">
        <f>IF(ISNUMBER($AB365),IF(Header!$D$34="","?",$AB365*Header!$D$34),"")</f>
      </c>
      <c r="AT365" s="42">
        <f>IF(AND(ISNUMBER($AB365),$M365&gt;0),$AB365/$M365*100,"")</f>
      </c>
      <c r="AU365" s="42">
        <f>IF(AND(ISNUMBER($AD365),$M365&gt;0),$AD365/$M365*100,"")</f>
      </c>
      <c r="AV365" s="40">
        <f>IF(AND(ISNUMBER($AB365),ISNUMBER($AD365),ABS($AB365)&gt;0),$AD365/$AB365,"")</f>
      </c>
      <c r="AW365" s="39">
        <f>IF(ISNUMBER($AD365),MAX(0,(1-0.55-Header!$O$3)*Header!$Q$3*$AQ365),"")</f>
      </c>
      <c r="AX365" s="43">
        <f>IF($A365="","",IF(TRIM(IF($A365="","Missing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",""))="","PASS","FAIL: "&amp;TRIM(IF($A365="","Missing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f>
      </c>
      <c r="AY365" s="44">
        <f>IF($M365="","",IF(ISNUMBER($M365),IF($M365&gt;=Header!$C$18,"YES — refer","No"),""))</f>
      </c>
      <c r="AZ365" s="44">
        <f>IF($AD365="","",IF(ISNUMBER($AD365),IF($AD365&lt;Header!$C$20,"BELOW MIN PREMIUM","OK"),""))</f>
      </c>
      <c r="BA365" s="32" t="inlineStr">
        <is>
          <t xml:space="preserve">Yes</t>
        </is>
      </c>
      <c r="BB365" s="32" t="inlineStr">
        <is>
          <t xml:space="preserve">Yes</t>
        </is>
      </c>
      <c r="BC365" s="30" t="inlineStr">
        <is>
          <t xml:space="preserve">Synthetic demo data</t>
        </is>
      </c>
      <c r="BE365" s="45">
        <f>IF(OR($A365="",$L365="",$H365=""),"",IF(AND(LEFT($L365,2)="06",$H365&gt;1945),"FAIL - pre-war class, year "&amp;$H365,IF(AND(LEFT($L365,2)="07",OR($H365&lt;1946,$H365&gt;1972)),"FAIL - 1946-72 class, year "&amp;$H365,IF(AND(LEFT($L365,2)="08",OR($H365&lt;1973,$H365&gt;1999)),"FAIL - 1973-99 class, year "&amp;$H365,IF(AND(LEFT($L365,2)="09",OR($H365&lt;2000,$H365&gt;2010)),"FAIL - 2000-10 class, year "&amp;$H365,"OK")))))</f>
      </c>
      <c r="BF365" s="45">
        <f>IF($AD365="","",IF(ROUND($AO365+$AP365+$AQ365-$AD365,2)=0,"OK","FAIL - out by "&amp;TEXT($AO365+$AP365+$AQ365-$AD365,"$0.00")))</f>
      </c>
    </row>
    <row r="366" spans="1:58" ht="18.75" customHeight="1" x14ac:dyDescent="0.25">
      <c r="A366" s="46" t="inlineStr">
        <is>
          <t xml:space="preserve">CANON-202508-000500</t>
        </is>
      </c>
      <c r="B366" s="46" t="inlineStr">
        <is>
          <t xml:space="preserve">Saoirse Okonkwo</t>
        </is>
      </c>
      <c r="C366" s="47">
        <v>45896</v>
      </c>
      <c r="D366" s="48" t="inlineStr">
        <is>
          <t xml:space="preserve">Bound - within authority</t>
        </is>
      </c>
      <c r="E366" s="48" t="inlineStr">
        <is>
          <t xml:space="preserve">New business</t>
        </is>
      </c>
      <c r="F366" s="46" t="inlineStr">
        <is>
          <t xml:space="preserve">B1234EXOTIC26</t>
        </is>
      </c>
      <c r="G366" s="33">
        <f>IF($A366="","",IF($C366="","",YEAR($C366)))</f>
      </c>
      <c r="H366" s="49">
        <v>1955</v>
      </c>
      <c r="I366" s="46" t="inlineStr">
        <is>
          <t xml:space="preserve">Jaguar</t>
        </is>
      </c>
      <c r="J366" s="46" t="inlineStr">
        <is>
          <t xml:space="preserve">E-Type Series 1</t>
        </is>
      </c>
      <c r="K366" s="46" t="inlineStr">
        <is>
          <t xml:space="preserve">ET9JKDLSXHRB678JC</t>
        </is>
      </c>
      <c r="L366" s="48" t="inlineStr">
        <is>
          <t xml:space="preserve">07 - Post-War Classic (1946-1972)</t>
        </is>
      </c>
      <c r="M366" s="50">
        <v>555000</v>
      </c>
      <c r="N366" s="48" t="inlineStr">
        <is>
          <t xml:space="preserve">Personal</t>
        </is>
      </c>
      <c r="O366" s="46" t="inlineStr">
        <is>
          <t xml:space="preserve">Personal - regular use</t>
        </is>
      </c>
      <c r="P366" s="46" t="inlineStr">
        <is>
          <t xml:space="preserve">2,500 - 5,000</t>
        </is>
      </c>
      <c r="Q366" s="46" t="inlineStr">
        <is>
          <t xml:space="preserve">Massachusetts</t>
        </is>
      </c>
      <c r="R366" s="46" t="inlineStr">
        <is>
          <t xml:space="preserve">02108</t>
        </is>
      </c>
      <c r="S366" s="48" t="inlineStr">
        <is>
          <t xml:space="preserve">Tier 3 - Coastal wind (25-100 miles)</t>
        </is>
      </c>
      <c r="T366" s="36">
        <f>IF($A366="","",IF($S366="","",IFERROR(INDEX('[1]natural catastrophe'!$D$6:$D$17,MATCH($S366,'[1]natural catastrophe'!$B$6:$B$17,0)),"?")))</f>
      </c>
      <c r="U366" s="46" t="inlineStr">
        <is>
          <t xml:space="preserve">2% of agreed value, minimum $10,000</t>
        </is>
      </c>
      <c r="V366" s="48" t="inlineStr">
        <is>
          <t xml:space="preserve">Agreed Value</t>
        </is>
      </c>
      <c r="W366" s="46" t="inlineStr">
        <is>
          <t xml:space="preserve">$1,000</t>
        </is>
      </c>
      <c r="X366" s="48" t="inlineStr">
        <is>
          <t xml:space="preserve">$1,000,000 CSL</t>
        </is>
      </c>
      <c r="Y366" s="46"/>
      <c r="Z366" s="46"/>
      <c r="AA366" s="48" t="inlineStr">
        <is>
          <t xml:space="preserve">Surplus Lines</t>
        </is>
      </c>
      <c r="AB366" s="50">
        <v>5628.54</v>
      </c>
      <c r="AC366" s="51">
        <v>0</v>
      </c>
      <c r="AD366" s="38">
        <f>IF(ISNUMBER($AB366),$AB366*(1+N($AC366)),"")</f>
      </c>
      <c r="AE366" s="50">
        <v>350</v>
      </c>
      <c r="AF366" s="50">
        <v>0</v>
      </c>
      <c r="AG366" s="51"/>
      <c r="AH366" s="39">
        <f>IF(ISNUMBER($AD366),($AD366+$AE366+$AF366)*$AG366,"")</f>
      </c>
      <c r="AI366" s="50"/>
      <c r="AJ366" s="38">
        <f>IF(ISNUMBER($AD366),SUM($AD366:$AH366),"")</f>
      </c>
      <c r="AK366" s="40">
        <f>IF(AND(ISNUMBER($AB366),ISNUMBER($AD366)),IF($AB366&gt;0,$AD366/$AB366,""),"")</f>
      </c>
      <c r="AL366" s="48" t="inlineStr">
        <is>
          <t xml:space="preserve">At technical</t>
        </is>
      </c>
      <c r="AM366" s="41">
        <f>IF(ISNUMBER($AD366),Header!$I$3,"")</f>
      </c>
      <c r="AN366" s="39">
        <f>IF(ISNUMBER($AD366),$AO366+$AP366,"")</f>
      </c>
      <c r="AO366" s="39">
        <f>IF(ISNUMBER($AD366),ROUND($AD366*Header!$K$3,2),"")</f>
      </c>
      <c r="AP366" s="39">
        <f>IF(ISNUMBER($AD366),ROUND($AD366*Header!$M$3,2),"")</f>
      </c>
      <c r="AQ366" s="38">
        <f>IF(ISNUMBER($AD366),ROUND($AD366,2)-$AO366-$AP366,"")</f>
      </c>
      <c r="AR366" s="39">
        <f>IF(ISNUMBER($AD366),IF(Header!$D$34="","?",$AD366*Header!$D$34),"")</f>
      </c>
      <c r="AS366" s="39">
        <f>IF(ISNUMBER($AB366),IF(Header!$D$34="","?",$AB366*Header!$D$34),"")</f>
      </c>
      <c r="AT366" s="42">
        <f>IF(AND(ISNUMBER($AB366),$M366&gt;0),$AB366/$M366*100,"")</f>
      </c>
      <c r="AU366" s="42">
        <f>IF(AND(ISNUMBER($AD366),$M366&gt;0),$AD366/$M366*100,"")</f>
      </c>
      <c r="AV366" s="40">
        <f>IF(AND(ISNUMBER($AB366),ISNUMBER($AD366),ABS($AB366)&gt;0),$AD366/$AB366,"")</f>
      </c>
      <c r="AW366" s="39">
        <f>IF(ISNUMBER($AD366),MAX(0,(1-0.55-Header!$O$3)*Header!$Q$3*$AQ366),"")</f>
      </c>
      <c r="AX366" s="43">
        <f>IF($A366="","",IF(TRIM(IF($A366="","Missing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",""))="","PASS","FAIL: "&amp;TRIM(IF($A366="","Missing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f>
      </c>
      <c r="AY366" s="44">
        <f>IF($M366="","",IF(ISNUMBER($M366),IF($M366&gt;=Header!$C$18,"YES — refer","No"),""))</f>
      </c>
      <c r="AZ366" s="44">
        <f>IF($AD366="","",IF(ISNUMBER($AD366),IF($AD366&lt;Header!$C$20,"BELOW MIN PREMIUM","OK"),""))</f>
      </c>
      <c r="BA366" s="48" t="inlineStr">
        <is>
          <t xml:space="preserve">Yes</t>
        </is>
      </c>
      <c r="BB366" s="48" t="inlineStr">
        <is>
          <t xml:space="preserve">Yes</t>
        </is>
      </c>
      <c r="BC366" s="46" t="inlineStr">
        <is>
          <t xml:space="preserve">Synthetic demo data</t>
        </is>
      </c>
      <c r="BE366" s="45">
        <f>IF(OR($A366="",$L366="",$H366=""),"",IF(AND(LEFT($L366,2)="06",$H366&gt;1945),"FAIL - pre-war class, year "&amp;$H366,IF(AND(LEFT($L366,2)="07",OR($H366&lt;1946,$H366&gt;1972)),"FAIL - 1946-72 class, year "&amp;$H366,IF(AND(LEFT($L366,2)="08",OR($H366&lt;1973,$H366&gt;1999)),"FAIL - 1973-99 class, year "&amp;$H366,IF(AND(LEFT($L366,2)="09",OR($H366&lt;2000,$H366&gt;2010)),"FAIL - 2000-10 class, year "&amp;$H366,"OK")))))</f>
      </c>
      <c r="BF366" s="45">
        <f>IF($AD366="","",IF(ROUND($AO366+$AP366+$AQ366-$AD366,2)=0,"OK","FAIL - out by "&amp;TEXT($AO366+$AP366+$AQ366-$AD366,"$0.00")))</f>
      </c>
    </row>
    <row r="367" spans="1:58" ht="18.75" customHeight="1" x14ac:dyDescent="0.25">
      <c r="A367" s="30" t="inlineStr">
        <is>
          <t xml:space="preserve">CANON-202508-000501</t>
        </is>
      </c>
      <c r="B367" s="30" t="inlineStr">
        <is>
          <t xml:space="preserve">Delphine Montoya</t>
        </is>
      </c>
      <c r="C367" s="31">
        <v>45900</v>
      </c>
      <c r="D367" s="32" t="inlineStr">
        <is>
          <t xml:space="preserve">Bound - within authority</t>
        </is>
      </c>
      <c r="E367" s="32" t="inlineStr">
        <is>
          <t xml:space="preserve">New business</t>
        </is>
      </c>
      <c r="F367" s="30" t="inlineStr">
        <is>
          <t xml:space="preserve">B1234EXOTIC26</t>
        </is>
      </c>
      <c r="G367" s="33">
        <f>IF($A367="","",IF($C367="","",YEAR($C367)))</f>
      </c>
      <c r="H367" s="34">
        <v>1963</v>
      </c>
      <c r="I367" s="30" t="inlineStr">
        <is>
          <t xml:space="preserve">Bentley</t>
        </is>
      </c>
      <c r="J367" s="30" t="inlineStr">
        <is>
          <t xml:space="preserve">4.5 Litre</t>
        </is>
      </c>
      <c r="K367" s="30" t="inlineStr">
        <is>
          <t xml:space="preserve">S0BE230Z8ESW1LGU5</t>
        </is>
      </c>
      <c r="L367" s="32" t="inlineStr">
        <is>
          <t xml:space="preserve">07 - Post-War Classic (1946-1972)</t>
        </is>
      </c>
      <c r="M367" s="35">
        <v>630000</v>
      </c>
      <c r="N367" s="32" t="inlineStr">
        <is>
          <t xml:space="preserve">Personal</t>
        </is>
      </c>
      <c r="O367" s="30" t="inlineStr">
        <is>
          <t xml:space="preserve">Personal - regular use</t>
        </is>
      </c>
      <c r="P367" s="30" t="inlineStr">
        <is>
          <t xml:space="preserve">Under 1,000</t>
        </is>
      </c>
      <c r="Q367" s="30" t="inlineStr">
        <is>
          <t xml:space="preserve">Iowa</t>
        </is>
      </c>
      <c r="R367" s="30" t="inlineStr">
        <is>
          <t xml:space="preserve">50309</t>
        </is>
      </c>
      <c r="S367" s="32" t="inlineStr">
        <is>
          <t xml:space="preserve">Severe convective - hail alley (high)</t>
        </is>
      </c>
      <c r="T367" s="36">
        <f>IF($A367="","",IF($S367="","",IFERROR(INDEX('[1]natural catastrophe'!$D$6:$D$17,MATCH($S367,'[1]natural catastrophe'!$B$6:$B$17,0)),"?")))</f>
      </c>
      <c r="U367" s="30" t="inlineStr">
        <is>
          <t xml:space="preserve">$5,000</t>
        </is>
      </c>
      <c r="V367" s="32" t="inlineStr">
        <is>
          <t xml:space="preserve">Agreed Value</t>
        </is>
      </c>
      <c r="W367" s="30" t="inlineStr">
        <is>
          <t xml:space="preserve">$1,000</t>
        </is>
      </c>
      <c r="X367" s="32" t="inlineStr">
        <is>
          <t xml:space="preserve">$1,000,000 CSL</t>
        </is>
      </c>
      <c r="Y367" s="30"/>
      <c r="Z367" s="30"/>
      <c r="AA367" s="32" t="inlineStr">
        <is>
          <t xml:space="preserve">Surplus Lines</t>
        </is>
      </c>
      <c r="AB367" s="35">
        <v>4968.68</v>
      </c>
      <c r="AC367" s="37">
        <v>0</v>
      </c>
      <c r="AD367" s="38">
        <f>IF(ISNUMBER($AB367),$AB367*(1+N($AC367)),"")</f>
      </c>
      <c r="AE367" s="35">
        <v>350</v>
      </c>
      <c r="AF367" s="35">
        <v>0</v>
      </c>
      <c r="AG367" s="37"/>
      <c r="AH367" s="39">
        <f>IF(ISNUMBER($AD367),($AD367+$AE367+$AF367)*$AG367,"")</f>
      </c>
      <c r="AI367" s="35"/>
      <c r="AJ367" s="38">
        <f>IF(ISNUMBER($AD367),SUM($AD367:$AH367),"")</f>
      </c>
      <c r="AK367" s="40">
        <f>IF(AND(ISNUMBER($AB367),ISNUMBER($AD367)),IF($AB367&gt;0,$AD367/$AB367,""),"")</f>
      </c>
      <c r="AL367" s="32" t="inlineStr">
        <is>
          <t xml:space="preserve">At technical</t>
        </is>
      </c>
      <c r="AM367" s="41">
        <f>IF(ISNUMBER($AD367),Header!$I$3,"")</f>
      </c>
      <c r="AN367" s="39">
        <f>IF(ISNUMBER($AD367),$AO367+$AP367,"")</f>
      </c>
      <c r="AO367" s="39">
        <f>IF(ISNUMBER($AD367),ROUND($AD367*Header!$K$3,2),"")</f>
      </c>
      <c r="AP367" s="39">
        <f>IF(ISNUMBER($AD367),ROUND($AD367*Header!$M$3,2),"")</f>
      </c>
      <c r="AQ367" s="38">
        <f>IF(ISNUMBER($AD367),ROUND($AD367,2)-$AO367-$AP367,"")</f>
      </c>
      <c r="AR367" s="39">
        <f>IF(ISNUMBER($AD367),IF(Header!$D$34="","?",$AD367*Header!$D$34),"")</f>
      </c>
      <c r="AS367" s="39">
        <f>IF(ISNUMBER($AB367),IF(Header!$D$34="","?",$AB367*Header!$D$34),"")</f>
      </c>
      <c r="AT367" s="42">
        <f>IF(AND(ISNUMBER($AB367),$M367&gt;0),$AB367/$M367*100,"")</f>
      </c>
      <c r="AU367" s="42">
        <f>IF(AND(ISNUMBER($AD367),$M367&gt;0),$AD367/$M367*100,"")</f>
      </c>
      <c r="AV367" s="40">
        <f>IF(AND(ISNUMBER($AB367),ISNUMBER($AD367),ABS($AB367)&gt;0),$AD367/$AB367,"")</f>
      </c>
      <c r="AW367" s="39">
        <f>IF(ISNUMBER($AD367),MAX(0,(1-0.55-Header!$O$3)*Header!$Q$3*$AQ367),"")</f>
      </c>
      <c r="AX367" s="43">
        <f>IF($A367="","",IF(TRIM(IF($A367="","Missing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",""))="","PASS","FAIL: "&amp;TRIM(IF($A367="","Missing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f>
      </c>
      <c r="AY367" s="44">
        <f>IF($M367="","",IF(ISNUMBER($M367),IF($M367&gt;=Header!$C$18,"YES — refer","No"),""))</f>
      </c>
      <c r="AZ367" s="44">
        <f>IF($AD367="","",IF(ISNUMBER($AD367),IF($AD367&lt;Header!$C$20,"BELOW MIN PREMIUM","OK"),""))</f>
      </c>
      <c r="BA367" s="32" t="inlineStr">
        <is>
          <t xml:space="preserve">Yes</t>
        </is>
      </c>
      <c r="BB367" s="32" t="inlineStr">
        <is>
          <t xml:space="preserve">Yes</t>
        </is>
      </c>
      <c r="BC367" s="30" t="inlineStr">
        <is>
          <t xml:space="preserve">Synthetic demo data</t>
        </is>
      </c>
      <c r="BE367" s="45">
        <f>IF(OR($A367="",$L367="",$H367=""),"",IF(AND(LEFT($L367,2)="06",$H367&gt;1945),"FAIL - pre-war class, year "&amp;$H367,IF(AND(LEFT($L367,2)="07",OR($H367&lt;1946,$H367&gt;1972)),"FAIL - 1946-72 class, year "&amp;$H367,IF(AND(LEFT($L367,2)="08",OR($H367&lt;1973,$H367&gt;1999)),"FAIL - 1973-99 class, year "&amp;$H367,IF(AND(LEFT($L367,2)="09",OR($H367&lt;2000,$H367&gt;2010)),"FAIL - 2000-10 class, year "&amp;$H367,"OK")))))</f>
      </c>
      <c r="BF367" s="45">
        <f>IF($AD367="","",IF(ROUND($AO367+$AP367+$AQ367-$AD367,2)=0,"OK","FAIL - out by "&amp;TEXT($AO367+$AP367+$AQ367-$AD367,"$0.00")))</f>
      </c>
    </row>
    <row r="368" spans="1:58" ht="18.75" customHeight="1" x14ac:dyDescent="0.25">
      <c r="A368" s="46" t="inlineStr">
        <is>
          <t xml:space="preserve">CANON-202508-000504</t>
        </is>
      </c>
      <c r="B368" s="46" t="inlineStr">
        <is>
          <t xml:space="preserve">Marisol Delacroix</t>
        </is>
      </c>
      <c r="C368" s="47">
        <v>45872</v>
      </c>
      <c r="D368" s="48" t="inlineStr">
        <is>
          <t xml:space="preserve">Bound - within authority</t>
        </is>
      </c>
      <c r="E368" s="48" t="inlineStr">
        <is>
          <t xml:space="preserve">New business</t>
        </is>
      </c>
      <c r="F368" s="46" t="inlineStr">
        <is>
          <t xml:space="preserve">B1234EXOTIC26</t>
        </is>
      </c>
      <c r="G368" s="33">
        <f>IF($A368="","",IF($C368="","",YEAR($C368)))</f>
      </c>
      <c r="H368" s="49">
        <v>1973</v>
      </c>
      <c r="I368" s="46" t="inlineStr">
        <is>
          <t xml:space="preserve">Bentley</t>
        </is>
      </c>
      <c r="J368" s="46" t="inlineStr">
        <is>
          <t xml:space="preserve">Continental GT</t>
        </is>
      </c>
      <c r="K368" s="46" t="inlineStr">
        <is>
          <t xml:space="preserve">FH71KV6D0HVUZZ3TM</t>
        </is>
      </c>
      <c r="L368" s="48" t="inlineStr">
        <is>
          <t xml:space="preserve">02 - Sports / GT</t>
        </is>
      </c>
      <c r="M368" s="50">
        <v>245000</v>
      </c>
      <c r="N368" s="48" t="inlineStr">
        <is>
          <t xml:space="preserve">Personal</t>
        </is>
      </c>
      <c r="O368" s="46" t="inlineStr">
        <is>
          <t xml:space="preserve">Personal - regular use</t>
        </is>
      </c>
      <c r="P368" s="46" t="inlineStr">
        <is>
          <t xml:space="preserve">Under 1,000</t>
        </is>
      </c>
      <c r="Q368" s="46" t="inlineStr">
        <is>
          <t xml:space="preserve">Florida</t>
        </is>
      </c>
      <c r="R368" s="46" t="inlineStr">
        <is>
          <t xml:space="preserve">33139</t>
        </is>
      </c>
      <c r="S368" s="48" t="inlineStr">
        <is>
          <t xml:space="preserve">Tier 2 - Coastal wind (1-25 miles)</t>
        </is>
      </c>
      <c r="T368" s="36">
        <f>IF($A368="","",IF($S368="","",IFERROR(INDEX('[1]natural catastrophe'!$D$6:$D$17,MATCH($S368,'[1]natural catastrophe'!$B$6:$B$17,0)),"?")))</f>
      </c>
      <c r="U368" s="46" t="inlineStr">
        <is>
          <t xml:space="preserve">2% of agreed value, minimum $10,000</t>
        </is>
      </c>
      <c r="V368" s="48" t="inlineStr">
        <is>
          <t xml:space="preserve">Agreed Value</t>
        </is>
      </c>
      <c r="W368" s="46" t="inlineStr">
        <is>
          <t xml:space="preserve">$1,000</t>
        </is>
      </c>
      <c r="X368" s="48" t="inlineStr">
        <is>
          <t xml:space="preserve">$1,000,000 CSL</t>
        </is>
      </c>
      <c r="Y368" s="46"/>
      <c r="Z368" s="46"/>
      <c r="AA368" s="48" t="inlineStr">
        <is>
          <t xml:space="preserve">Surplus Lines</t>
        </is>
      </c>
      <c r="AB368" s="50">
        <v>6039.02</v>
      </c>
      <c r="AC368" s="51">
        <v>0</v>
      </c>
      <c r="AD368" s="38">
        <f>IF(ISNUMBER($AB368),$AB368*(1+N($AC368)),"")</f>
      </c>
      <c r="AE368" s="50">
        <v>350</v>
      </c>
      <c r="AF368" s="50">
        <v>0</v>
      </c>
      <c r="AG368" s="51"/>
      <c r="AH368" s="39">
        <f>IF(ISNUMBER($AD368),($AD368+$AE368+$AF368)*$AG368,"")</f>
      </c>
      <c r="AI368" s="50"/>
      <c r="AJ368" s="38">
        <f>IF(ISNUMBER($AD368),SUM($AD368:$AH368),"")</f>
      </c>
      <c r="AK368" s="40">
        <f>IF(AND(ISNUMBER($AB368),ISNUMBER($AD368)),IF($AB368&gt;0,$AD368/$AB368,""),"")</f>
      </c>
      <c r="AL368" s="48" t="inlineStr">
        <is>
          <t xml:space="preserve">At technical</t>
        </is>
      </c>
      <c r="AM368" s="41">
        <f>IF(ISNUMBER($AD368),Header!$I$3,"")</f>
      </c>
      <c r="AN368" s="39">
        <f>IF(ISNUMBER($AD368),$AO368+$AP368,"")</f>
      </c>
      <c r="AO368" s="39">
        <f>IF(ISNUMBER($AD368),ROUND($AD368*Header!$K$3,2),"")</f>
      </c>
      <c r="AP368" s="39">
        <f>IF(ISNUMBER($AD368),ROUND($AD368*Header!$M$3,2),"")</f>
      </c>
      <c r="AQ368" s="38">
        <f>IF(ISNUMBER($AD368),ROUND($AD368,2)-$AO368-$AP368,"")</f>
      </c>
      <c r="AR368" s="39">
        <f>IF(ISNUMBER($AD368),IF(Header!$D$34="","?",$AD368*Header!$D$34),"")</f>
      </c>
      <c r="AS368" s="39">
        <f>IF(ISNUMBER($AB368),IF(Header!$D$34="","?",$AB368*Header!$D$34),"")</f>
      </c>
      <c r="AT368" s="42">
        <f>IF(AND(ISNUMBER($AB368),$M368&gt;0),$AB368/$M368*100,"")</f>
      </c>
      <c r="AU368" s="42">
        <f>IF(AND(ISNUMBER($AD368),$M368&gt;0),$AD368/$M368*100,"")</f>
      </c>
      <c r="AV368" s="40">
        <f>IF(AND(ISNUMBER($AB368),ISNUMBER($AD368),ABS($AB368)&gt;0),$AD368/$AB368,"")</f>
      </c>
      <c r="AW368" s="39">
        <f>IF(ISNUMBER($AD368),MAX(0,(1-0.55-Header!$O$3)*Header!$Q$3*$AQ368),"")</f>
      </c>
      <c r="AX368" s="43">
        <f>IF($A368="","",IF(TRIM(IF($A368="","Missing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",""))="","PASS","FAIL: "&amp;TRIM(IF($A368="","Missing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f>
      </c>
      <c r="AY368" s="44">
        <f>IF($M368="","",IF(ISNUMBER($M368),IF($M368&gt;=Header!$C$18,"YES — refer","No"),""))</f>
      </c>
      <c r="AZ368" s="44">
        <f>IF($AD368="","",IF(ISNUMBER($AD368),IF($AD368&lt;Header!$C$20,"BELOW MIN PREMIUM","OK"),""))</f>
      </c>
      <c r="BA368" s="48" t="inlineStr">
        <is>
          <t xml:space="preserve">Yes</t>
        </is>
      </c>
      <c r="BB368" s="48" t="inlineStr">
        <is>
          <t xml:space="preserve">Yes</t>
        </is>
      </c>
      <c r="BC368" s="46" t="inlineStr">
        <is>
          <t xml:space="preserve">Synthetic demo data</t>
        </is>
      </c>
      <c r="BE368" s="45">
        <f>IF(OR($A368="",$L368="",$H368=""),"",IF(AND(LEFT($L368,2)="06",$H368&gt;1945),"FAIL - pre-war class, year "&amp;$H368,IF(AND(LEFT($L368,2)="07",OR($H368&lt;1946,$H368&gt;1972)),"FAIL - 1946-72 class, year "&amp;$H368,IF(AND(LEFT($L368,2)="08",OR($H368&lt;1973,$H368&gt;1999)),"FAIL - 1973-99 class, year "&amp;$H368,IF(AND(LEFT($L368,2)="09",OR($H368&lt;2000,$H368&gt;2010)),"FAIL - 2000-10 class, year "&amp;$H368,"OK")))))</f>
      </c>
      <c r="BF368" s="45">
        <f>IF($AD368="","",IF(ROUND($AO368+$AP368+$AQ368-$AD368,2)=0,"OK","FAIL - out by "&amp;TEXT($AO368+$AP368+$AQ368-$AD368,"$0.00")))</f>
      </c>
    </row>
    <row r="369" spans="1:58" ht="18.75" customHeight="1" x14ac:dyDescent="0.25">
      <c r="A369" s="30" t="inlineStr">
        <is>
          <t xml:space="preserve">CANON-202508-000505</t>
        </is>
      </c>
      <c r="B369" s="30" t="inlineStr">
        <is>
          <t xml:space="preserve">Sunniva Okonkwo</t>
        </is>
      </c>
      <c r="C369" s="31">
        <v>45895</v>
      </c>
      <c r="D369" s="32" t="inlineStr">
        <is>
          <t xml:space="preserve">Bound - within authority</t>
        </is>
      </c>
      <c r="E369" s="32" t="inlineStr">
        <is>
          <t xml:space="preserve">New business</t>
        </is>
      </c>
      <c r="F369" s="30" t="inlineStr">
        <is>
          <t xml:space="preserve">B1234EXOTIC26</t>
        </is>
      </c>
      <c r="G369" s="33">
        <f>IF($A369="","",IF($C369="","",YEAR($C369)))</f>
      </c>
      <c r="H369" s="34">
        <v>1996</v>
      </c>
      <c r="I369" s="30" t="inlineStr">
        <is>
          <t xml:space="preserve">Aston Martin</t>
        </is>
      </c>
      <c r="J369" s="30" t="inlineStr">
        <is>
          <t xml:space="preserve">DB12</t>
        </is>
      </c>
      <c r="K369" s="30" t="inlineStr">
        <is>
          <t xml:space="preserve">RF1MZFY3M82AFTWVY</t>
        </is>
      </c>
      <c r="L369" s="32" t="inlineStr">
        <is>
          <t xml:space="preserve">02 - Sports / GT</t>
        </is>
      </c>
      <c r="M369" s="35">
        <v>240000</v>
      </c>
      <c r="N369" s="32" t="inlineStr">
        <is>
          <t xml:space="preserve">Personal</t>
        </is>
      </c>
      <c r="O369" s="30" t="inlineStr">
        <is>
          <t xml:space="preserve">Personal - regular use</t>
        </is>
      </c>
      <c r="P369" s="30" t="inlineStr">
        <is>
          <t xml:space="preserve">Under 1,000</t>
        </is>
      </c>
      <c r="Q369" s="30" t="inlineStr">
        <is>
          <t xml:space="preserve">Ohio</t>
        </is>
      </c>
      <c r="R369" s="30" t="inlineStr">
        <is>
          <t xml:space="preserve">43215</t>
        </is>
      </c>
      <c r="S369" s="32" t="inlineStr">
        <is>
          <t xml:space="preserve">Severe convective - hail / tornado (moderate)</t>
        </is>
      </c>
      <c r="T369" s="36">
        <f>IF($A369="","",IF($S369="","",IFERROR(INDEX('[1]natural catastrophe'!$D$6:$D$17,MATCH($S369,'[1]natural catastrophe'!$B$6:$B$17,0)),"?")))</f>
      </c>
      <c r="U369" s="30" t="inlineStr">
        <is>
          <t xml:space="preserve">$5,000</t>
        </is>
      </c>
      <c r="V369" s="32" t="inlineStr">
        <is>
          <t xml:space="preserve">Agreed Value</t>
        </is>
      </c>
      <c r="W369" s="30" t="inlineStr">
        <is>
          <t xml:space="preserve">$1,000</t>
        </is>
      </c>
      <c r="X369" s="32" t="inlineStr">
        <is>
          <t xml:space="preserve">$1,000,000 CSL</t>
        </is>
      </c>
      <c r="Y369" s="30"/>
      <c r="Z369" s="30"/>
      <c r="AA369" s="32" t="inlineStr">
        <is>
          <t xml:space="preserve">Surplus Lines</t>
        </is>
      </c>
      <c r="AB369" s="35">
        <v>5790.79</v>
      </c>
      <c r="AC369" s="37">
        <v>0</v>
      </c>
      <c r="AD369" s="38">
        <f>IF(ISNUMBER($AB369),$AB369*(1+N($AC369)),"")</f>
      </c>
      <c r="AE369" s="35">
        <v>350</v>
      </c>
      <c r="AF369" s="35">
        <v>0</v>
      </c>
      <c r="AG369" s="37"/>
      <c r="AH369" s="39">
        <f>IF(ISNUMBER($AD369),($AD369+$AE369+$AF369)*$AG369,"")</f>
      </c>
      <c r="AI369" s="35"/>
      <c r="AJ369" s="38">
        <f>IF(ISNUMBER($AD369),SUM($AD369:$AH369),"")</f>
      </c>
      <c r="AK369" s="40">
        <f>IF(AND(ISNUMBER($AB369),ISNUMBER($AD369)),IF($AB369&gt;0,$AD369/$AB369,""),"")</f>
      </c>
      <c r="AL369" s="32" t="inlineStr">
        <is>
          <t xml:space="preserve">At technical</t>
        </is>
      </c>
      <c r="AM369" s="41">
        <f>IF(ISNUMBER($AD369),Header!$I$3,"")</f>
      </c>
      <c r="AN369" s="39">
        <f>IF(ISNUMBER($AD369),$AO369+$AP369,"")</f>
      </c>
      <c r="AO369" s="39">
        <f>IF(ISNUMBER($AD369),ROUND($AD369*Header!$K$3,2),"")</f>
      </c>
      <c r="AP369" s="39">
        <f>IF(ISNUMBER($AD369),ROUND($AD369*Header!$M$3,2),"")</f>
      </c>
      <c r="AQ369" s="38">
        <f>IF(ISNUMBER($AD369),ROUND($AD369,2)-$AO369-$AP369,"")</f>
      </c>
      <c r="AR369" s="39">
        <f>IF(ISNUMBER($AD369),IF(Header!$D$34="","?",$AD369*Header!$D$34),"")</f>
      </c>
      <c r="AS369" s="39">
        <f>IF(ISNUMBER($AB369),IF(Header!$D$34="","?",$AB369*Header!$D$34),"")</f>
      </c>
      <c r="AT369" s="42">
        <f>IF(AND(ISNUMBER($AB369),$M369&gt;0),$AB369/$M369*100,"")</f>
      </c>
      <c r="AU369" s="42">
        <f>IF(AND(ISNUMBER($AD369),$M369&gt;0),$AD369/$M369*100,"")</f>
      </c>
      <c r="AV369" s="40">
        <f>IF(AND(ISNUMBER($AB369),ISNUMBER($AD369),ABS($AB369)&gt;0),$AD369/$AB369,"")</f>
      </c>
      <c r="AW369" s="39">
        <f>IF(ISNUMBER($AD369),MAX(0,(1-0.55-Header!$O$3)*Header!$Q$3*$AQ369),"")</f>
      </c>
      <c r="AX369" s="43">
        <f>IF($A369="","",IF(TRIM(IF($A369="","Missing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",""))="","PASS","FAIL: "&amp;TRIM(IF($A369="","Missing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f>
      </c>
      <c r="AY369" s="44">
        <f>IF($M369="","",IF(ISNUMBER($M369),IF($M369&gt;=Header!$C$18,"YES — refer","No"),""))</f>
      </c>
      <c r="AZ369" s="44">
        <f>IF($AD369="","",IF(ISNUMBER($AD369),IF($AD369&lt;Header!$C$20,"BELOW MIN PREMIUM","OK"),""))</f>
      </c>
      <c r="BA369" s="32" t="inlineStr">
        <is>
          <t xml:space="preserve">Yes</t>
        </is>
      </c>
      <c r="BB369" s="32" t="inlineStr">
        <is>
          <t xml:space="preserve">Yes</t>
        </is>
      </c>
      <c r="BC369" s="30" t="inlineStr">
        <is>
          <t xml:space="preserve">Synthetic demo data</t>
        </is>
      </c>
      <c r="BE369" s="45">
        <f>IF(OR($A369="",$L369="",$H369=""),"",IF(AND(LEFT($L369,2)="06",$H369&gt;1945),"FAIL - pre-war class, year "&amp;$H369,IF(AND(LEFT($L369,2)="07",OR($H369&lt;1946,$H369&gt;1972)),"FAIL - 1946-72 class, year "&amp;$H369,IF(AND(LEFT($L369,2)="08",OR($H369&lt;1973,$H369&gt;1999)),"FAIL - 1973-99 class, year "&amp;$H369,IF(AND(LEFT($L369,2)="09",OR($H369&lt;2000,$H369&gt;2010)),"FAIL - 2000-10 class, year "&amp;$H369,"OK")))))</f>
      </c>
      <c r="BF369" s="45">
        <f>IF($AD369="","",IF(ROUND($AO369+$AP369+$AQ369-$AD369,2)=0,"OK","FAIL - out by "&amp;TEXT($AO369+$AP369+$AQ369-$AD369,"$0.00")))</f>
      </c>
    </row>
    <row r="370" spans="1:58" ht="18.75" customHeight="1" x14ac:dyDescent="0.25">
      <c r="A370" s="46" t="inlineStr">
        <is>
          <t xml:space="preserve">CANON-202508-000507</t>
        </is>
      </c>
      <c r="B370" s="46" t="inlineStr">
        <is>
          <t xml:space="preserve">Anouk Chattopadhyay</t>
        </is>
      </c>
      <c r="C370" s="47">
        <v>45892</v>
      </c>
      <c r="D370" s="48" t="inlineStr">
        <is>
          <t xml:space="preserve">Bound - within authority</t>
        </is>
      </c>
      <c r="E370" s="48" t="inlineStr">
        <is>
          <t xml:space="preserve">New business</t>
        </is>
      </c>
      <c r="F370" s="46" t="inlineStr">
        <is>
          <t xml:space="preserve">B1234EXOTIC26</t>
        </is>
      </c>
      <c r="G370" s="33">
        <f>IF($A370="","",IF($C370="","",YEAR($C370)))</f>
      </c>
      <c r="H370" s="49">
        <v>1986</v>
      </c>
      <c r="I370" s="46" t="inlineStr">
        <is>
          <t xml:space="preserve">Jaguar</t>
        </is>
      </c>
      <c r="J370" s="46" t="inlineStr">
        <is>
          <t xml:space="preserve">E-Type Series 1</t>
        </is>
      </c>
      <c r="K370" s="46" t="inlineStr">
        <is>
          <t xml:space="preserve">FDWL1JK2469F9VHVM</t>
        </is>
      </c>
      <c r="L370" s="48" t="inlineStr">
        <is>
          <t xml:space="preserve">08 - Modern Classic (1973-1999)</t>
        </is>
      </c>
      <c r="M370" s="50">
        <v>765000</v>
      </c>
      <c r="N370" s="48" t="inlineStr">
        <is>
          <t xml:space="preserve">Personal</t>
        </is>
      </c>
      <c r="O370" s="46" t="inlineStr">
        <is>
          <t xml:space="preserve">Personal - regular use</t>
        </is>
      </c>
      <c r="P370" s="46" t="inlineStr">
        <is>
          <t xml:space="preserve">Under 1,000</t>
        </is>
      </c>
      <c r="Q370" s="46" t="inlineStr">
        <is>
          <t xml:space="preserve">California</t>
        </is>
      </c>
      <c r="R370" s="46" t="inlineStr">
        <is>
          <t xml:space="preserve">90012</t>
        </is>
      </c>
      <c r="S370" s="48" t="inlineStr">
        <is>
          <t xml:space="preserve">Earthquake - high (CA, Cascadia, New Madrid)</t>
        </is>
      </c>
      <c r="T370" s="36">
        <f>IF($A370="","",IF($S370="","",IFERROR(INDEX('[1]natural catastrophe'!$D$6:$D$17,MATCH($S370,'[1]natural catastrophe'!$B$6:$B$17,0)),"?")))</f>
      </c>
      <c r="U370" s="46" t="inlineStr">
        <is>
          <t xml:space="preserve">$5,000</t>
        </is>
      </c>
      <c r="V370" s="48" t="inlineStr">
        <is>
          <t xml:space="preserve">Agreed Value</t>
        </is>
      </c>
      <c r="W370" s="46" t="inlineStr">
        <is>
          <t xml:space="preserve">$1,000</t>
        </is>
      </c>
      <c r="X370" s="48" t="inlineStr">
        <is>
          <t xml:space="preserve">$1,000,000 CSL</t>
        </is>
      </c>
      <c r="Y370" s="46"/>
      <c r="Z370" s="46"/>
      <c r="AA370" s="48" t="inlineStr">
        <is>
          <t xml:space="preserve">Surplus Lines</t>
        </is>
      </c>
      <c r="AB370" s="50">
        <v>8378.92</v>
      </c>
      <c r="AC370" s="51">
        <v>0</v>
      </c>
      <c r="AD370" s="38">
        <f>IF(ISNUMBER($AB370),$AB370*(1+N($AC370)),"")</f>
      </c>
      <c r="AE370" s="50">
        <v>350</v>
      </c>
      <c r="AF370" s="50">
        <v>0</v>
      </c>
      <c r="AG370" s="51"/>
      <c r="AH370" s="39">
        <f>IF(ISNUMBER($AD370),($AD370+$AE370+$AF370)*$AG370,"")</f>
      </c>
      <c r="AI370" s="50"/>
      <c r="AJ370" s="38">
        <f>IF(ISNUMBER($AD370),SUM($AD370:$AH370),"")</f>
      </c>
      <c r="AK370" s="40">
        <f>IF(AND(ISNUMBER($AB370),ISNUMBER($AD370)),IF($AB370&gt;0,$AD370/$AB370,""),"")</f>
      </c>
      <c r="AL370" s="48" t="inlineStr">
        <is>
          <t xml:space="preserve">At technical</t>
        </is>
      </c>
      <c r="AM370" s="41">
        <f>IF(ISNUMBER($AD370),Header!$I$3,"")</f>
      </c>
      <c r="AN370" s="39">
        <f>IF(ISNUMBER($AD370),$AO370+$AP370,"")</f>
      </c>
      <c r="AO370" s="39">
        <f>IF(ISNUMBER($AD370),ROUND($AD370*Header!$K$3,2),"")</f>
      </c>
      <c r="AP370" s="39">
        <f>IF(ISNUMBER($AD370),ROUND($AD370*Header!$M$3,2),"")</f>
      </c>
      <c r="AQ370" s="38">
        <f>IF(ISNUMBER($AD370),ROUND($AD370,2)-$AO370-$AP370,"")</f>
      </c>
      <c r="AR370" s="39">
        <f>IF(ISNUMBER($AD370),IF(Header!$D$34="","?",$AD370*Header!$D$34),"")</f>
      </c>
      <c r="AS370" s="39">
        <f>IF(ISNUMBER($AB370),IF(Header!$D$34="","?",$AB370*Header!$D$34),"")</f>
      </c>
      <c r="AT370" s="42">
        <f>IF(AND(ISNUMBER($AB370),$M370&gt;0),$AB370/$M370*100,"")</f>
      </c>
      <c r="AU370" s="42">
        <f>IF(AND(ISNUMBER($AD370),$M370&gt;0),$AD370/$M370*100,"")</f>
      </c>
      <c r="AV370" s="40">
        <f>IF(AND(ISNUMBER($AB370),ISNUMBER($AD370),ABS($AB370)&gt;0),$AD370/$AB370,"")</f>
      </c>
      <c r="AW370" s="39">
        <f>IF(ISNUMBER($AD370),MAX(0,(1-0.55-Header!$O$3)*Header!$Q$3*$AQ370),"")</f>
      </c>
      <c r="AX370" s="43">
        <f>IF($A370="","",IF(TRIM(IF($A370="","Missing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",""))="","PASS","FAIL: "&amp;TRIM(IF($A370="","Missing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f>
      </c>
      <c r="AY370" s="44">
        <f>IF($M370="","",IF(ISNUMBER($M370),IF($M370&gt;=Header!$C$18,"YES — refer","No"),""))</f>
      </c>
      <c r="AZ370" s="44">
        <f>IF($AD370="","",IF(ISNUMBER($AD370),IF($AD370&lt;Header!$C$20,"BELOW MIN PREMIUM","OK"),""))</f>
      </c>
      <c r="BA370" s="48" t="inlineStr">
        <is>
          <t xml:space="preserve">Yes</t>
        </is>
      </c>
      <c r="BB370" s="48" t="inlineStr">
        <is>
          <t xml:space="preserve">Yes</t>
        </is>
      </c>
      <c r="BC370" s="46" t="inlineStr">
        <is>
          <t xml:space="preserve">Synthetic demo data</t>
        </is>
      </c>
      <c r="BE370" s="45">
        <f>IF(OR($A370="",$L370="",$H370=""),"",IF(AND(LEFT($L370,2)="06",$H370&gt;1945),"FAIL - pre-war class, year "&amp;$H370,IF(AND(LEFT($L370,2)="07",OR($H370&lt;1946,$H370&gt;1972)),"FAIL - 1946-72 class, year "&amp;$H370,IF(AND(LEFT($L370,2)="08",OR($H370&lt;1973,$H370&gt;1999)),"FAIL - 1973-99 class, year "&amp;$H370,IF(AND(LEFT($L370,2)="09",OR($H370&lt;2000,$H370&gt;2010)),"FAIL - 2000-10 class, year "&amp;$H370,"OK")))))</f>
      </c>
      <c r="BF370" s="45">
        <f>IF($AD370="","",IF(ROUND($AO370+$AP370+$AQ370-$AD370,2)=0,"OK","FAIL - out by "&amp;TEXT($AO370+$AP370+$AQ370-$AD370,"$0.00")))</f>
      </c>
    </row>
    <row r="371" spans="1:58" ht="18.75" customHeight="1" x14ac:dyDescent="0.25">
      <c r="A371" s="30" t="inlineStr">
        <is>
          <t xml:space="preserve">CANON-202508-000508</t>
        </is>
      </c>
      <c r="B371" s="30" t="inlineStr">
        <is>
          <t xml:space="preserve">Mireille Rourke</t>
        </is>
      </c>
      <c r="C371" s="31">
        <v>45873</v>
      </c>
      <c r="D371" s="32" t="inlineStr">
        <is>
          <t xml:space="preserve">Bound - within authority</t>
        </is>
      </c>
      <c r="E371" s="32" t="inlineStr">
        <is>
          <t xml:space="preserve">New business</t>
        </is>
      </c>
      <c r="F371" s="30" t="inlineStr">
        <is>
          <t xml:space="preserve">B1234EXOTIC26</t>
        </is>
      </c>
      <c r="G371" s="33">
        <f>IF($A371="","",IF($C371="","",YEAR($C371)))</f>
      </c>
      <c r="H371" s="34">
        <v>1963</v>
      </c>
      <c r="I371" s="30" t="inlineStr">
        <is>
          <t xml:space="preserve">Ferrari</t>
        </is>
      </c>
      <c r="J371" s="30" t="inlineStr">
        <is>
          <t xml:space="preserve">296 GTB</t>
        </is>
      </c>
      <c r="K371" s="30" t="inlineStr">
        <is>
          <t xml:space="preserve">WDBSJZPRT84HBPRBF</t>
        </is>
      </c>
      <c r="L371" s="32" t="inlineStr">
        <is>
          <t xml:space="preserve">03 - Supercar</t>
        </is>
      </c>
      <c r="M371" s="35">
        <v>1050000</v>
      </c>
      <c r="N371" s="32" t="inlineStr">
        <is>
          <t xml:space="preserve">Personal</t>
        </is>
      </c>
      <c r="O371" s="30" t="inlineStr">
        <is>
          <t xml:space="preserve">Personal - regular use</t>
        </is>
      </c>
      <c r="P371" s="30" t="inlineStr">
        <is>
          <t xml:space="preserve">1,000 - 2,500</t>
        </is>
      </c>
      <c r="Q371" s="30" t="inlineStr">
        <is>
          <t xml:space="preserve">Texas</t>
        </is>
      </c>
      <c r="R371" s="30" t="inlineStr">
        <is>
          <t xml:space="preserve">75201</t>
        </is>
      </c>
      <c r="S371" s="32" t="inlineStr">
        <is>
          <t xml:space="preserve">Tier 2 - Coastal wind (1-25 miles)</t>
        </is>
      </c>
      <c r="T371" s="36">
        <f>IF($A371="","",IF($S371="","",IFERROR(INDEX('[1]natural catastrophe'!$D$6:$D$17,MATCH($S371,'[1]natural catastrophe'!$B$6:$B$17,0)),"?")))</f>
      </c>
      <c r="U371" s="30" t="inlineStr">
        <is>
          <t xml:space="preserve">2% of agreed value, minimum $10,000</t>
        </is>
      </c>
      <c r="V371" s="32" t="inlineStr">
        <is>
          <t xml:space="preserve">Agreed Value</t>
        </is>
      </c>
      <c r="W371" s="30" t="inlineStr">
        <is>
          <t xml:space="preserve">$1,000</t>
        </is>
      </c>
      <c r="X371" s="32" t="inlineStr">
        <is>
          <t xml:space="preserve">$1,000,000 CSL</t>
        </is>
      </c>
      <c r="Y371" s="30"/>
      <c r="Z371" s="30"/>
      <c r="AA371" s="32" t="inlineStr">
        <is>
          <t xml:space="preserve">Surplus Lines</t>
        </is>
      </c>
      <c r="AB371" s="35">
        <v>18226.42</v>
      </c>
      <c r="AC371" s="37">
        <v>0</v>
      </c>
      <c r="AD371" s="38">
        <f>IF(ISNUMBER($AB371),$AB371*(1+N($AC371)),"")</f>
      </c>
      <c r="AE371" s="35">
        <v>350</v>
      </c>
      <c r="AF371" s="35">
        <v>250</v>
      </c>
      <c r="AG371" s="37"/>
      <c r="AH371" s="39">
        <f>IF(ISNUMBER($AD371),($AD371+$AE371+$AF371)*$AG371,"")</f>
      </c>
      <c r="AI371" s="35"/>
      <c r="AJ371" s="38">
        <f>IF(ISNUMBER($AD371),SUM($AD371:$AH371),"")</f>
      </c>
      <c r="AK371" s="40">
        <f>IF(AND(ISNUMBER($AB371),ISNUMBER($AD371)),IF($AB371&gt;0,$AD371/$AB371,""),"")</f>
      </c>
      <c r="AL371" s="32" t="inlineStr">
        <is>
          <t xml:space="preserve">At technical</t>
        </is>
      </c>
      <c r="AM371" s="41">
        <f>IF(ISNUMBER($AD371),Header!$I$3,"")</f>
      </c>
      <c r="AN371" s="39">
        <f>IF(ISNUMBER($AD371),$AO371+$AP371,"")</f>
      </c>
      <c r="AO371" s="39">
        <f>IF(ISNUMBER($AD371),ROUND($AD371*Header!$K$3,2),"")</f>
      </c>
      <c r="AP371" s="39">
        <f>IF(ISNUMBER($AD371),ROUND($AD371*Header!$M$3,2),"")</f>
      </c>
      <c r="AQ371" s="38">
        <f>IF(ISNUMBER($AD371),ROUND($AD371,2)-$AO371-$AP371,"")</f>
      </c>
      <c r="AR371" s="39">
        <f>IF(ISNUMBER($AD371),IF(Header!$D$34="","?",$AD371*Header!$D$34),"")</f>
      </c>
      <c r="AS371" s="39">
        <f>IF(ISNUMBER($AB371),IF(Header!$D$34="","?",$AB371*Header!$D$34),"")</f>
      </c>
      <c r="AT371" s="42">
        <f>IF(AND(ISNUMBER($AB371),$M371&gt;0),$AB371/$M371*100,"")</f>
      </c>
      <c r="AU371" s="42">
        <f>IF(AND(ISNUMBER($AD371),$M371&gt;0),$AD371/$M371*100,"")</f>
      </c>
      <c r="AV371" s="40">
        <f>IF(AND(ISNUMBER($AB371),ISNUMBER($AD371),ABS($AB371)&gt;0),$AD371/$AB371,"")</f>
      </c>
      <c r="AW371" s="39">
        <f>IF(ISNUMBER($AD371),MAX(0,(1-0.55-Header!$O$3)*Header!$Q$3*$AQ371),"")</f>
      </c>
      <c r="AX371" s="43">
        <f>IF($A371="","",IF(TRIM(IF($A371="","Missing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",""))="","PASS","FAIL: "&amp;TRIM(IF($A371="","Missing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f>
      </c>
      <c r="AY371" s="44">
        <f>IF($M371="","",IF(ISNUMBER($M371),IF($M371&gt;=Header!$C$18,"YES — refer","No"),""))</f>
      </c>
      <c r="AZ371" s="44">
        <f>IF($AD371="","",IF(ISNUMBER($AD371),IF($AD371&lt;Header!$C$20,"BELOW MIN PREMIUM","OK"),""))</f>
      </c>
      <c r="BA371" s="32" t="inlineStr">
        <is>
          <t xml:space="preserve">Yes</t>
        </is>
      </c>
      <c r="BB371" s="32" t="inlineStr">
        <is>
          <t xml:space="preserve">Yes</t>
        </is>
      </c>
      <c r="BC371" s="30" t="inlineStr">
        <is>
          <t xml:space="preserve">Synthetic demo data</t>
        </is>
      </c>
      <c r="BE371" s="45">
        <f>IF(OR($A371="",$L371="",$H371=""),"",IF(AND(LEFT($L371,2)="06",$H371&gt;1945),"FAIL - pre-war class, year "&amp;$H371,IF(AND(LEFT($L371,2)="07",OR($H371&lt;1946,$H371&gt;1972)),"FAIL - 1946-72 class, year "&amp;$H371,IF(AND(LEFT($L371,2)="08",OR($H371&lt;1973,$H371&gt;1999)),"FAIL - 1973-99 class, year "&amp;$H371,IF(AND(LEFT($L371,2)="09",OR($H371&lt;2000,$H371&gt;2010)),"FAIL - 2000-10 class, year "&amp;$H371,"OK")))))</f>
      </c>
      <c r="BF371" s="45">
        <f>IF($AD371="","",IF(ROUND($AO371+$AP371+$AQ371-$AD371,2)=0,"OK","FAIL - out by "&amp;TEXT($AO371+$AP371+$AQ371-$AD371,"$0.00")))</f>
      </c>
    </row>
    <row r="372" spans="1:58" ht="18.75" customHeight="1" x14ac:dyDescent="0.25">
      <c r="A372" s="46" t="inlineStr">
        <is>
          <t xml:space="preserve">CANON-202508-000509</t>
        </is>
      </c>
      <c r="B372" s="46" t="inlineStr">
        <is>
          <t xml:space="preserve">Beatrix Harrington</t>
        </is>
      </c>
      <c r="C372" s="47">
        <v>45882</v>
      </c>
      <c r="D372" s="48" t="inlineStr">
        <is>
          <t xml:space="preserve">Bound - within authority</t>
        </is>
      </c>
      <c r="E372" s="48" t="inlineStr">
        <is>
          <t xml:space="preserve">New business</t>
        </is>
      </c>
      <c r="F372" s="46" t="inlineStr">
        <is>
          <t xml:space="preserve">B1234EXOTIC26</t>
        </is>
      </c>
      <c r="G372" s="33">
        <f>IF($A372="","",IF($C372="","",YEAR($C372)))</f>
      </c>
      <c r="H372" s="49">
        <v>2020</v>
      </c>
      <c r="I372" s="46" t="inlineStr">
        <is>
          <t xml:space="preserve">Porsche</t>
        </is>
      </c>
      <c r="J372" s="46" t="inlineStr">
        <is>
          <t xml:space="preserve">911 Turbo S</t>
        </is>
      </c>
      <c r="K372" s="46" t="inlineStr">
        <is>
          <t xml:space="preserve">YSR626TP232F3D878</t>
        </is>
      </c>
      <c r="L372" s="48" t="inlineStr">
        <is>
          <t xml:space="preserve">02 - Sports / GT</t>
        </is>
      </c>
      <c r="M372" s="50">
        <v>960000</v>
      </c>
      <c r="N372" s="48" t="inlineStr">
        <is>
          <t xml:space="preserve">Personal</t>
        </is>
      </c>
      <c r="O372" s="46" t="inlineStr">
        <is>
          <t xml:space="preserve">Personal - regular use</t>
        </is>
      </c>
      <c r="P372" s="46" t="inlineStr">
        <is>
          <t xml:space="preserve">2,500 - 5,000</t>
        </is>
      </c>
      <c r="Q372" s="46" t="inlineStr">
        <is>
          <t xml:space="preserve">Pennsylvania</t>
        </is>
      </c>
      <c r="R372" s="46" t="inlineStr">
        <is>
          <t xml:space="preserve">19103</t>
        </is>
      </c>
      <c r="S372" s="48" t="inlineStr">
        <is>
          <t xml:space="preserve">Low hazard - inland benign</t>
        </is>
      </c>
      <c r="T372" s="36">
        <f>IF($A372="","",IF($S372="","",IFERROR(INDEX('[1]natural catastrophe'!$D$6:$D$17,MATCH($S372,'[1]natural catastrophe'!$B$6:$B$17,0)),"?")))</f>
      </c>
      <c r="U372" s="46" t="inlineStr">
        <is>
          <t xml:space="preserve">$5,000</t>
        </is>
      </c>
      <c r="V372" s="48" t="inlineStr">
        <is>
          <t xml:space="preserve">Agreed Value</t>
        </is>
      </c>
      <c r="W372" s="46" t="inlineStr">
        <is>
          <t xml:space="preserve">$1,000</t>
        </is>
      </c>
      <c r="X372" s="48" t="inlineStr">
        <is>
          <t xml:space="preserve">$1,000,000 CSL</t>
        </is>
      </c>
      <c r="Y372" s="46"/>
      <c r="Z372" s="46"/>
      <c r="AA372" s="48" t="inlineStr">
        <is>
          <t xml:space="preserve">Surplus Lines</t>
        </is>
      </c>
      <c r="AB372" s="50">
        <v>11773.58</v>
      </c>
      <c r="AC372" s="51">
        <v>0</v>
      </c>
      <c r="AD372" s="38">
        <f>IF(ISNUMBER($AB372),$AB372*(1+N($AC372)),"")</f>
      </c>
      <c r="AE372" s="50">
        <v>350</v>
      </c>
      <c r="AF372" s="50">
        <v>0</v>
      </c>
      <c r="AG372" s="51"/>
      <c r="AH372" s="39">
        <f>IF(ISNUMBER($AD372),($AD372+$AE372+$AF372)*$AG372,"")</f>
      </c>
      <c r="AI372" s="50"/>
      <c r="AJ372" s="38">
        <f>IF(ISNUMBER($AD372),SUM($AD372:$AH372),"")</f>
      </c>
      <c r="AK372" s="40">
        <f>IF(AND(ISNUMBER($AB372),ISNUMBER($AD372)),IF($AB372&gt;0,$AD372/$AB372,""),"")</f>
      </c>
      <c r="AL372" s="48" t="inlineStr">
        <is>
          <t xml:space="preserve">At technical</t>
        </is>
      </c>
      <c r="AM372" s="41">
        <f>IF(ISNUMBER($AD372),Header!$I$3,"")</f>
      </c>
      <c r="AN372" s="39">
        <f>IF(ISNUMBER($AD372),$AO372+$AP372,"")</f>
      </c>
      <c r="AO372" s="39">
        <f>IF(ISNUMBER($AD372),ROUND($AD372*Header!$K$3,2),"")</f>
      </c>
      <c r="AP372" s="39">
        <f>IF(ISNUMBER($AD372),ROUND($AD372*Header!$M$3,2),"")</f>
      </c>
      <c r="AQ372" s="38">
        <f>IF(ISNUMBER($AD372),ROUND($AD372,2)-$AO372-$AP372,"")</f>
      </c>
      <c r="AR372" s="39">
        <f>IF(ISNUMBER($AD372),IF(Header!$D$34="","?",$AD372*Header!$D$34),"")</f>
      </c>
      <c r="AS372" s="39">
        <f>IF(ISNUMBER($AB372),IF(Header!$D$34="","?",$AB372*Header!$D$34),"")</f>
      </c>
      <c r="AT372" s="42">
        <f>IF(AND(ISNUMBER($AB372),$M372&gt;0),$AB372/$M372*100,"")</f>
      </c>
      <c r="AU372" s="42">
        <f>IF(AND(ISNUMBER($AD372),$M372&gt;0),$AD372/$M372*100,"")</f>
      </c>
      <c r="AV372" s="40">
        <f>IF(AND(ISNUMBER($AB372),ISNUMBER($AD372),ABS($AB372)&gt;0),$AD372/$AB372,"")</f>
      </c>
      <c r="AW372" s="39">
        <f>IF(ISNUMBER($AD372),MAX(0,(1-0.55-Header!$O$3)*Header!$Q$3*$AQ372),"")</f>
      </c>
      <c r="AX372" s="43">
        <f>IF($A372="","",IF(TRIM(IF($A372="","Missing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",""))="","PASS","FAIL: "&amp;TRIM(IF($A372="","Missing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f>
      </c>
      <c r="AY372" s="44">
        <f>IF($M372="","",IF(ISNUMBER($M372),IF($M372&gt;=Header!$C$18,"YES — refer","No"),""))</f>
      </c>
      <c r="AZ372" s="44">
        <f>IF($AD372="","",IF(ISNUMBER($AD372),IF($AD372&lt;Header!$C$20,"BELOW MIN PREMIUM","OK"),""))</f>
      </c>
      <c r="BA372" s="48" t="inlineStr">
        <is>
          <t xml:space="preserve">Yes</t>
        </is>
      </c>
      <c r="BB372" s="48" t="inlineStr">
        <is>
          <t xml:space="preserve">Yes</t>
        </is>
      </c>
      <c r="BC372" s="46" t="inlineStr">
        <is>
          <t xml:space="preserve">Synthetic demo data</t>
        </is>
      </c>
      <c r="BE372" s="45">
        <f>IF(OR($A372="",$L372="",$H372=""),"",IF(AND(LEFT($L372,2)="06",$H372&gt;1945),"FAIL - pre-war class, year "&amp;$H372,IF(AND(LEFT($L372,2)="07",OR($H372&lt;1946,$H372&gt;1972)),"FAIL - 1946-72 class, year "&amp;$H372,IF(AND(LEFT($L372,2)="08",OR($H372&lt;1973,$H372&gt;1999)),"FAIL - 1973-99 class, year "&amp;$H372,IF(AND(LEFT($L372,2)="09",OR($H372&lt;2000,$H372&gt;2010)),"FAIL - 2000-10 class, year "&amp;$H372,"OK")))))</f>
      </c>
      <c r="BF372" s="45">
        <f>IF($AD372="","",IF(ROUND($AO372+$AP372+$AQ372-$AD372,2)=0,"OK","FAIL - out by "&amp;TEXT($AO372+$AP372+$AQ372-$AD372,"$0.00")))</f>
      </c>
    </row>
    <row r="373" spans="1:58" ht="18.75" customHeight="1" x14ac:dyDescent="0.25">
      <c r="A373" s="30" t="inlineStr">
        <is>
          <t xml:space="preserve">CANON-202508-000510</t>
        </is>
      </c>
      <c r="B373" s="30" t="inlineStr">
        <is>
          <t xml:space="preserve">Priya Blackwood</t>
        </is>
      </c>
      <c r="C373" s="31">
        <v>45895</v>
      </c>
      <c r="D373" s="32" t="inlineStr">
        <is>
          <t xml:space="preserve">Bound - within authority</t>
        </is>
      </c>
      <c r="E373" s="32" t="inlineStr">
        <is>
          <t xml:space="preserve">New business</t>
        </is>
      </c>
      <c r="F373" s="30" t="inlineStr">
        <is>
          <t xml:space="preserve">B1234EXOTIC26</t>
        </is>
      </c>
      <c r="G373" s="33">
        <f>IF($A373="","",IF($C373="","",YEAR($C373)))</f>
      </c>
      <c r="H373" s="34">
        <v>2017</v>
      </c>
      <c r="I373" s="30" t="inlineStr">
        <is>
          <t xml:space="preserve">Mercedes-Benz</t>
        </is>
      </c>
      <c r="J373" s="30" t="inlineStr">
        <is>
          <t xml:space="preserve">AMG GT</t>
        </is>
      </c>
      <c r="K373" s="30" t="inlineStr">
        <is>
          <t xml:space="preserve">G7BM96VXN3Z8N2THA</t>
        </is>
      </c>
      <c r="L373" s="32" t="inlineStr">
        <is>
          <t xml:space="preserve">02 - Sports / GT</t>
        </is>
      </c>
      <c r="M373" s="35">
        <v>520000</v>
      </c>
      <c r="N373" s="32" t="inlineStr">
        <is>
          <t xml:space="preserve">Personal</t>
        </is>
      </c>
      <c r="O373" s="30" t="inlineStr">
        <is>
          <t xml:space="preserve">Personal - regular use</t>
        </is>
      </c>
      <c r="P373" s="30" t="inlineStr">
        <is>
          <t xml:space="preserve">Under 1,000</t>
        </is>
      </c>
      <c r="Q373" s="30" t="inlineStr">
        <is>
          <t xml:space="preserve">New Mexico</t>
        </is>
      </c>
      <c r="R373" s="30" t="inlineStr">
        <is>
          <t xml:space="preserve">87501</t>
        </is>
      </c>
      <c r="S373" s="32" t="inlineStr">
        <is>
          <t xml:space="preserve">Wildfire - WUI high hazard</t>
        </is>
      </c>
      <c r="T373" s="36">
        <f>IF($A373="","",IF($S373="","",IFERROR(INDEX('[1]natural catastrophe'!$D$6:$D$17,MATCH($S373,'[1]natural catastrophe'!$B$6:$B$17,0)),"?")))</f>
      </c>
      <c r="U373" s="30" t="inlineStr">
        <is>
          <t xml:space="preserve">$5,000</t>
        </is>
      </c>
      <c r="V373" s="32" t="inlineStr">
        <is>
          <t xml:space="preserve">Agreed Value</t>
        </is>
      </c>
      <c r="W373" s="30" t="inlineStr">
        <is>
          <t xml:space="preserve">$1,000</t>
        </is>
      </c>
      <c r="X373" s="32" t="inlineStr">
        <is>
          <t xml:space="preserve">$1,000,000 CSL</t>
        </is>
      </c>
      <c r="Y373" s="30"/>
      <c r="Z373" s="30"/>
      <c r="AA373" s="32" t="inlineStr">
        <is>
          <t xml:space="preserve">Surplus Lines</t>
        </is>
      </c>
      <c r="AB373" s="35">
        <v>8163.02</v>
      </c>
      <c r="AC373" s="37">
        <v>0</v>
      </c>
      <c r="AD373" s="38">
        <f>IF(ISNUMBER($AB373),$AB373*(1+N($AC373)),"")</f>
      </c>
      <c r="AE373" s="35">
        <v>350</v>
      </c>
      <c r="AF373" s="35">
        <v>0</v>
      </c>
      <c r="AG373" s="37"/>
      <c r="AH373" s="39">
        <f>IF(ISNUMBER($AD373),($AD373+$AE373+$AF373)*$AG373,"")</f>
      </c>
      <c r="AI373" s="35"/>
      <c r="AJ373" s="38">
        <f>IF(ISNUMBER($AD373),SUM($AD373:$AH373),"")</f>
      </c>
      <c r="AK373" s="40">
        <f>IF(AND(ISNUMBER($AB373),ISNUMBER($AD373)),IF($AB373&gt;0,$AD373/$AB373,""),"")</f>
      </c>
      <c r="AL373" s="32" t="inlineStr">
        <is>
          <t xml:space="preserve">At technical</t>
        </is>
      </c>
      <c r="AM373" s="41">
        <f>IF(ISNUMBER($AD373),Header!$I$3,"")</f>
      </c>
      <c r="AN373" s="39">
        <f>IF(ISNUMBER($AD373),$AO373+$AP373,"")</f>
      </c>
      <c r="AO373" s="39">
        <f>IF(ISNUMBER($AD373),ROUND($AD373*Header!$K$3,2),"")</f>
      </c>
      <c r="AP373" s="39">
        <f>IF(ISNUMBER($AD373),ROUND($AD373*Header!$M$3,2),"")</f>
      </c>
      <c r="AQ373" s="38">
        <f>IF(ISNUMBER($AD373),ROUND($AD373,2)-$AO373-$AP373,"")</f>
      </c>
      <c r="AR373" s="39">
        <f>IF(ISNUMBER($AD373),IF(Header!$D$34="","?",$AD373*Header!$D$34),"")</f>
      </c>
      <c r="AS373" s="39">
        <f>IF(ISNUMBER($AB373),IF(Header!$D$34="","?",$AB373*Header!$D$34),"")</f>
      </c>
      <c r="AT373" s="42">
        <f>IF(AND(ISNUMBER($AB373),$M373&gt;0),$AB373/$M373*100,"")</f>
      </c>
      <c r="AU373" s="42">
        <f>IF(AND(ISNUMBER($AD373),$M373&gt;0),$AD373/$M373*100,"")</f>
      </c>
      <c r="AV373" s="40">
        <f>IF(AND(ISNUMBER($AB373),ISNUMBER($AD373),ABS($AB373)&gt;0),$AD373/$AB373,"")</f>
      </c>
      <c r="AW373" s="39">
        <f>IF(ISNUMBER($AD373),MAX(0,(1-0.55-Header!$O$3)*Header!$Q$3*$AQ373),"")</f>
      </c>
      <c r="AX373" s="43">
        <f>IF($A373="","",IF(TRIM(IF($A373="","Missing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",""))="","PASS","FAIL: "&amp;TRIM(IF($A373="","Missing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f>
      </c>
      <c r="AY373" s="44">
        <f>IF($M373="","",IF(ISNUMBER($M373),IF($M373&gt;=Header!$C$18,"YES — refer","No"),""))</f>
      </c>
      <c r="AZ373" s="44">
        <f>IF($AD373="","",IF(ISNUMBER($AD373),IF($AD373&lt;Header!$C$20,"BELOW MIN PREMIUM","OK"),""))</f>
      </c>
      <c r="BA373" s="32" t="inlineStr">
        <is>
          <t xml:space="preserve">Yes</t>
        </is>
      </c>
      <c r="BB373" s="32" t="inlineStr">
        <is>
          <t xml:space="preserve">Yes</t>
        </is>
      </c>
      <c r="BC373" s="30" t="inlineStr">
        <is>
          <t xml:space="preserve">Synthetic demo data</t>
        </is>
      </c>
      <c r="BE373" s="45">
        <f>IF(OR($A373="",$L373="",$H373=""),"",IF(AND(LEFT($L373,2)="06",$H373&gt;1945),"FAIL - pre-war class, year "&amp;$H373,IF(AND(LEFT($L373,2)="07",OR($H373&lt;1946,$H373&gt;1972)),"FAIL - 1946-72 class, year "&amp;$H373,IF(AND(LEFT($L373,2)="08",OR($H373&lt;1973,$H373&gt;1999)),"FAIL - 1973-99 class, year "&amp;$H373,IF(AND(LEFT($L373,2)="09",OR($H373&lt;2000,$H373&gt;2010)),"FAIL - 2000-10 class, year "&amp;$H373,"OK")))))</f>
      </c>
      <c r="BF373" s="45">
        <f>IF($AD373="","",IF(ROUND($AO373+$AP373+$AQ373-$AD373,2)=0,"OK","FAIL - out by "&amp;TEXT($AO373+$AP373+$AQ373-$AD373,"$0.00")))</f>
      </c>
    </row>
    <row r="374" spans="1:58" ht="18.75" customHeight="1" x14ac:dyDescent="0.25">
      <c r="A374" s="46" t="inlineStr">
        <is>
          <t xml:space="preserve">CANON-202508-000511</t>
        </is>
      </c>
      <c r="B374" s="46" t="inlineStr">
        <is>
          <t xml:space="preserve">Horace Montoya</t>
        </is>
      </c>
      <c r="C374" s="47">
        <v>45875</v>
      </c>
      <c r="D374" s="48" t="inlineStr">
        <is>
          <t xml:space="preserve">Bound - within authority</t>
        </is>
      </c>
      <c r="E374" s="48" t="inlineStr">
        <is>
          <t xml:space="preserve">New business</t>
        </is>
      </c>
      <c r="F374" s="46" t="inlineStr">
        <is>
          <t xml:space="preserve">B1234EXOTIC26</t>
        </is>
      </c>
      <c r="G374" s="33">
        <f>IF($A374="","",IF($C374="","",YEAR($C374)))</f>
      </c>
      <c r="H374" s="49">
        <v>1956</v>
      </c>
      <c r="I374" s="46" t="inlineStr">
        <is>
          <t xml:space="preserve">Ferrari</t>
        </is>
      </c>
      <c r="J374" s="46" t="inlineStr">
        <is>
          <t xml:space="preserve">SF90 Stradale</t>
        </is>
      </c>
      <c r="K374" s="46" t="inlineStr">
        <is>
          <t xml:space="preserve">HSL9327V0LJW0P2Y5</t>
        </is>
      </c>
      <c r="L374" s="48" t="inlineStr">
        <is>
          <t xml:space="preserve">03 - Supercar</t>
        </is>
      </c>
      <c r="M374" s="50">
        <v>1500000</v>
      </c>
      <c r="N374" s="48" t="inlineStr">
        <is>
          <t xml:space="preserve">Personal</t>
        </is>
      </c>
      <c r="O374" s="46" t="inlineStr">
        <is>
          <t xml:space="preserve">Personal - regular use</t>
        </is>
      </c>
      <c r="P374" s="46" t="inlineStr">
        <is>
          <t xml:space="preserve">2,500 - 5,000</t>
        </is>
      </c>
      <c r="Q374" s="46" t="inlineStr">
        <is>
          <t xml:space="preserve">Texas</t>
        </is>
      </c>
      <c r="R374" s="46" t="inlineStr">
        <is>
          <t xml:space="preserve">75201</t>
        </is>
      </c>
      <c r="S374" s="48" t="inlineStr">
        <is>
          <t xml:space="preserve">Tier 2 - Coastal wind (1-25 miles)</t>
        </is>
      </c>
      <c r="T374" s="36">
        <f>IF($A374="","",IF($S374="","",IFERROR(INDEX('[1]natural catastrophe'!$D$6:$D$17,MATCH($S374,'[1]natural catastrophe'!$B$6:$B$17,0)),"?")))</f>
      </c>
      <c r="U374" s="46" t="inlineStr">
        <is>
          <t xml:space="preserve">2% of agreed value, minimum $10,000</t>
        </is>
      </c>
      <c r="V374" s="48" t="inlineStr">
        <is>
          <t xml:space="preserve">Agreed Value</t>
        </is>
      </c>
      <c r="W374" s="46" t="inlineStr">
        <is>
          <t xml:space="preserve">$1,000</t>
        </is>
      </c>
      <c r="X374" s="48" t="inlineStr">
        <is>
          <t xml:space="preserve">$1,000,000 CSL</t>
        </is>
      </c>
      <c r="Y374" s="46"/>
      <c r="Z374" s="46"/>
      <c r="AA374" s="48" t="inlineStr">
        <is>
          <t xml:space="preserve">Surplus Lines</t>
        </is>
      </c>
      <c r="AB374" s="50">
        <v>26037.74</v>
      </c>
      <c r="AC374" s="51">
        <v>0</v>
      </c>
      <c r="AD374" s="38">
        <f>IF(ISNUMBER($AB374),$AB374*(1+N($AC374)),"")</f>
      </c>
      <c r="AE374" s="50">
        <v>350</v>
      </c>
      <c r="AF374" s="50">
        <v>250</v>
      </c>
      <c r="AG374" s="51"/>
      <c r="AH374" s="39">
        <f>IF(ISNUMBER($AD374),($AD374+$AE374+$AF374)*$AG374,"")</f>
      </c>
      <c r="AI374" s="50"/>
      <c r="AJ374" s="38">
        <f>IF(ISNUMBER($AD374),SUM($AD374:$AH374),"")</f>
      </c>
      <c r="AK374" s="40">
        <f>IF(AND(ISNUMBER($AB374),ISNUMBER($AD374)),IF($AB374&gt;0,$AD374/$AB374,""),"")</f>
      </c>
      <c r="AL374" s="48" t="inlineStr">
        <is>
          <t xml:space="preserve">At technical</t>
        </is>
      </c>
      <c r="AM374" s="41">
        <f>IF(ISNUMBER($AD374),Header!$I$3,"")</f>
      </c>
      <c r="AN374" s="39">
        <f>IF(ISNUMBER($AD374),$AO374+$AP374,"")</f>
      </c>
      <c r="AO374" s="39">
        <f>IF(ISNUMBER($AD374),ROUND($AD374*Header!$K$3,2),"")</f>
      </c>
      <c r="AP374" s="39">
        <f>IF(ISNUMBER($AD374),ROUND($AD374*Header!$M$3,2),"")</f>
      </c>
      <c r="AQ374" s="38">
        <f>IF(ISNUMBER($AD374),ROUND($AD374,2)-$AO374-$AP374,"")</f>
      </c>
      <c r="AR374" s="39">
        <f>IF(ISNUMBER($AD374),IF(Header!$D$34="","?",$AD374*Header!$D$34),"")</f>
      </c>
      <c r="AS374" s="39">
        <f>IF(ISNUMBER($AB374),IF(Header!$D$34="","?",$AB374*Header!$D$34),"")</f>
      </c>
      <c r="AT374" s="42">
        <f>IF(AND(ISNUMBER($AB374),$M374&gt;0),$AB374/$M374*100,"")</f>
      </c>
      <c r="AU374" s="42">
        <f>IF(AND(ISNUMBER($AD374),$M374&gt;0),$AD374/$M374*100,"")</f>
      </c>
      <c r="AV374" s="40">
        <f>IF(AND(ISNUMBER($AB374),ISNUMBER($AD374),ABS($AB374)&gt;0),$AD374/$AB374,"")</f>
      </c>
      <c r="AW374" s="39">
        <f>IF(ISNUMBER($AD374),MAX(0,(1-0.55-Header!$O$3)*Header!$Q$3*$AQ374),"")</f>
      </c>
      <c r="AX374" s="43">
        <f>IF($A374="","",IF(TRIM(IF($A374="","Missing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",""))="","PASS","FAIL: "&amp;TRIM(IF($A374="","Missing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f>
      </c>
      <c r="AY374" s="44">
        <f>IF($M374="","",IF(ISNUMBER($M374),IF($M374&gt;=Header!$C$18,"YES — refer","No"),""))</f>
      </c>
      <c r="AZ374" s="44">
        <f>IF($AD374="","",IF(ISNUMBER($AD374),IF($AD374&lt;Header!$C$20,"BELOW MIN PREMIUM","OK"),""))</f>
      </c>
      <c r="BA374" s="48" t="inlineStr">
        <is>
          <t xml:space="preserve">Yes</t>
        </is>
      </c>
      <c r="BB374" s="48" t="inlineStr">
        <is>
          <t xml:space="preserve">Yes</t>
        </is>
      </c>
      <c r="BC374" s="46" t="inlineStr">
        <is>
          <t xml:space="preserve">Synthetic demo data</t>
        </is>
      </c>
      <c r="BE374" s="45">
        <f>IF(OR($A374="",$L374="",$H374=""),"",IF(AND(LEFT($L374,2)="06",$H374&gt;1945),"FAIL - pre-war class, year "&amp;$H374,IF(AND(LEFT($L374,2)="07",OR($H374&lt;1946,$H374&gt;1972)),"FAIL - 1946-72 class, year "&amp;$H374,IF(AND(LEFT($L374,2)="08",OR($H374&lt;1973,$H374&gt;1999)),"FAIL - 1973-99 class, year "&amp;$H374,IF(AND(LEFT($L374,2)="09",OR($H374&lt;2000,$H374&gt;2010)),"FAIL - 2000-10 class, year "&amp;$H374,"OK")))))</f>
      </c>
      <c r="BF374" s="45">
        <f>IF($AD374="","",IF(ROUND($AO374+$AP374+$AQ374-$AD374,2)=0,"OK","FAIL - out by "&amp;TEXT($AO374+$AP374+$AQ374-$AD374,"$0.00")))</f>
      </c>
    </row>
    <row r="375" spans="1:58" ht="18.75" customHeight="1" x14ac:dyDescent="0.25">
      <c r="A375" s="30" t="inlineStr">
        <is>
          <t xml:space="preserve">CANON-202508-000512</t>
        </is>
      </c>
      <c r="B375" s="30" t="inlineStr">
        <is>
          <t xml:space="preserve">Lorenzo Merriweather</t>
        </is>
      </c>
      <c r="C375" s="31">
        <v>45888</v>
      </c>
      <c r="D375" s="32" t="inlineStr">
        <is>
          <t xml:space="preserve">Bound - within authority</t>
        </is>
      </c>
      <c r="E375" s="32" t="inlineStr">
        <is>
          <t xml:space="preserve">New business</t>
        </is>
      </c>
      <c r="F375" s="30" t="inlineStr">
        <is>
          <t xml:space="preserve">B1234EXOTIC26</t>
        </is>
      </c>
      <c r="G375" s="33">
        <f>IF($A375="","",IF($C375="","",YEAR($C375)))</f>
      </c>
      <c r="H375" s="34">
        <v>2017</v>
      </c>
      <c r="I375" s="30" t="inlineStr">
        <is>
          <t xml:space="preserve">Jaguar</t>
        </is>
      </c>
      <c r="J375" s="30" t="inlineStr">
        <is>
          <t xml:space="preserve">E-Type Series 1</t>
        </is>
      </c>
      <c r="K375" s="30" t="inlineStr">
        <is>
          <t xml:space="preserve">7GXL7R2GFKUFN1C4V</t>
        </is>
      </c>
      <c r="L375" s="32" t="inlineStr">
        <is>
          <t xml:space="preserve">02 - Sports / GT</t>
        </is>
      </c>
      <c r="M375" s="35">
        <v>565000</v>
      </c>
      <c r="N375" s="32" t="inlineStr">
        <is>
          <t xml:space="preserve">Personal</t>
        </is>
      </c>
      <c r="O375" s="30" t="inlineStr">
        <is>
          <t xml:space="preserve">Personal - regular use</t>
        </is>
      </c>
      <c r="P375" s="30" t="inlineStr">
        <is>
          <t xml:space="preserve">2,500 - 5,000</t>
        </is>
      </c>
      <c r="Q375" s="30" t="inlineStr">
        <is>
          <t xml:space="preserve">Rhode Island</t>
        </is>
      </c>
      <c r="R375" s="30" t="inlineStr">
        <is>
          <t xml:space="preserve">02903</t>
        </is>
      </c>
      <c r="S375" s="32" t="inlineStr">
        <is>
          <t xml:space="preserve">Tier 3 - Coastal wind (25-100 miles)</t>
        </is>
      </c>
      <c r="T375" s="36">
        <f>IF($A375="","",IF($S375="","",IFERROR(INDEX('[1]natural catastrophe'!$D$6:$D$17,MATCH($S375,'[1]natural catastrophe'!$B$6:$B$17,0)),"?")))</f>
      </c>
      <c r="U375" s="30" t="inlineStr">
        <is>
          <t xml:space="preserve">2% of agreed value, minimum $10,000</t>
        </is>
      </c>
      <c r="V375" s="32" t="inlineStr">
        <is>
          <t xml:space="preserve">Agreed Value</t>
        </is>
      </c>
      <c r="W375" s="30" t="inlineStr">
        <is>
          <t xml:space="preserve">$1,000</t>
        </is>
      </c>
      <c r="X375" s="32" t="inlineStr">
        <is>
          <t xml:space="preserve">$1,000,000 CSL</t>
        </is>
      </c>
      <c r="Y375" s="30"/>
      <c r="Z375" s="30"/>
      <c r="AA375" s="32" t="inlineStr">
        <is>
          <t xml:space="preserve">Surplus Lines</t>
        </is>
      </c>
      <c r="AB375" s="35">
        <v>6280.03</v>
      </c>
      <c r="AC375" s="37">
        <v>0</v>
      </c>
      <c r="AD375" s="38">
        <f>IF(ISNUMBER($AB375),$AB375*(1+N($AC375)),"")</f>
      </c>
      <c r="AE375" s="35">
        <v>350</v>
      </c>
      <c r="AF375" s="35">
        <v>0</v>
      </c>
      <c r="AG375" s="37"/>
      <c r="AH375" s="39">
        <f>IF(ISNUMBER($AD375),($AD375+$AE375+$AF375)*$AG375,"")</f>
      </c>
      <c r="AI375" s="35"/>
      <c r="AJ375" s="38">
        <f>IF(ISNUMBER($AD375),SUM($AD375:$AH375),"")</f>
      </c>
      <c r="AK375" s="40">
        <f>IF(AND(ISNUMBER($AB375),ISNUMBER($AD375)),IF($AB375&gt;0,$AD375/$AB375,""),"")</f>
      </c>
      <c r="AL375" s="32" t="inlineStr">
        <is>
          <t xml:space="preserve">At technical</t>
        </is>
      </c>
      <c r="AM375" s="41">
        <f>IF(ISNUMBER($AD375),Header!$I$3,"")</f>
      </c>
      <c r="AN375" s="39">
        <f>IF(ISNUMBER($AD375),$AO375+$AP375,"")</f>
      </c>
      <c r="AO375" s="39">
        <f>IF(ISNUMBER($AD375),ROUND($AD375*Header!$K$3,2),"")</f>
      </c>
      <c r="AP375" s="39">
        <f>IF(ISNUMBER($AD375),ROUND($AD375*Header!$M$3,2),"")</f>
      </c>
      <c r="AQ375" s="38">
        <f>IF(ISNUMBER($AD375),ROUND($AD375,2)-$AO375-$AP375,"")</f>
      </c>
      <c r="AR375" s="39">
        <f>IF(ISNUMBER($AD375),IF(Header!$D$34="","?",$AD375*Header!$D$34),"")</f>
      </c>
      <c r="AS375" s="39">
        <f>IF(ISNUMBER($AB375),IF(Header!$D$34="","?",$AB375*Header!$D$34),"")</f>
      </c>
      <c r="AT375" s="42">
        <f>IF(AND(ISNUMBER($AB375),$M375&gt;0),$AB375/$M375*100,"")</f>
      </c>
      <c r="AU375" s="42">
        <f>IF(AND(ISNUMBER($AD375),$M375&gt;0),$AD375/$M375*100,"")</f>
      </c>
      <c r="AV375" s="40">
        <f>IF(AND(ISNUMBER($AB375),ISNUMBER($AD375),ABS($AB375)&gt;0),$AD375/$AB375,"")</f>
      </c>
      <c r="AW375" s="39">
        <f>IF(ISNUMBER($AD375),MAX(0,(1-0.55-Header!$O$3)*Header!$Q$3*$AQ375),"")</f>
      </c>
      <c r="AX375" s="43">
        <f>IF($A375="","",IF(TRIM(IF($A375="","Missing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",""))="","PASS","FAIL: "&amp;TRIM(IF($A375="","Missing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f>
      </c>
      <c r="AY375" s="44">
        <f>IF($M375="","",IF(ISNUMBER($M375),IF($M375&gt;=Header!$C$18,"YES — refer","No"),""))</f>
      </c>
      <c r="AZ375" s="44">
        <f>IF($AD375="","",IF(ISNUMBER($AD375),IF($AD375&lt;Header!$C$20,"BELOW MIN PREMIUM","OK"),""))</f>
      </c>
      <c r="BA375" s="32" t="inlineStr">
        <is>
          <t xml:space="preserve">Yes</t>
        </is>
      </c>
      <c r="BB375" s="32" t="inlineStr">
        <is>
          <t xml:space="preserve">Yes</t>
        </is>
      </c>
      <c r="BC375" s="30" t="inlineStr">
        <is>
          <t xml:space="preserve">Synthetic demo data</t>
        </is>
      </c>
      <c r="BE375" s="45">
        <f>IF(OR($A375="",$L375="",$H375=""),"",IF(AND(LEFT($L375,2)="06",$H375&gt;1945),"FAIL - pre-war class, year "&amp;$H375,IF(AND(LEFT($L375,2)="07",OR($H375&lt;1946,$H375&gt;1972)),"FAIL - 1946-72 class, year "&amp;$H375,IF(AND(LEFT($L375,2)="08",OR($H375&lt;1973,$H375&gt;1999)),"FAIL - 1973-99 class, year "&amp;$H375,IF(AND(LEFT($L375,2)="09",OR($H375&lt;2000,$H375&gt;2010)),"FAIL - 2000-10 class, year "&amp;$H375,"OK")))))</f>
      </c>
      <c r="BF375" s="45">
        <f>IF($AD375="","",IF(ROUND($AO375+$AP375+$AQ375-$AD375,2)=0,"OK","FAIL - out by "&amp;TEXT($AO375+$AP375+$AQ375-$AD375,"$0.00")))</f>
      </c>
    </row>
    <row r="376" spans="1:58" ht="18.75" customHeight="1" x14ac:dyDescent="0.25">
      <c r="A376" s="46" t="inlineStr">
        <is>
          <t xml:space="preserve">CANON-202508-000514</t>
        </is>
      </c>
      <c r="B376" s="46" t="inlineStr">
        <is>
          <t xml:space="preserve">Emiliano Pennington</t>
        </is>
      </c>
      <c r="C376" s="47">
        <v>45885</v>
      </c>
      <c r="D376" s="48" t="inlineStr">
        <is>
          <t xml:space="preserve">Bound - within authority</t>
        </is>
      </c>
      <c r="E376" s="48" t="inlineStr">
        <is>
          <t xml:space="preserve">New business</t>
        </is>
      </c>
      <c r="F376" s="46" t="inlineStr">
        <is>
          <t xml:space="preserve">B1234EXOTIC26</t>
        </is>
      </c>
      <c r="G376" s="33">
        <f>IF($A376="","",IF($C376="","",YEAR($C376)))</f>
      </c>
      <c r="H376" s="49">
        <v>2023</v>
      </c>
      <c r="I376" s="46" t="inlineStr">
        <is>
          <t xml:space="preserve">Bugatti</t>
        </is>
      </c>
      <c r="J376" s="46" t="inlineStr">
        <is>
          <t xml:space="preserve">Type 57</t>
        </is>
      </c>
      <c r="K376" s="46" t="inlineStr">
        <is>
          <t xml:space="preserve">VGXLNZ3YUBMYL9BUT</t>
        </is>
      </c>
      <c r="L376" s="48" t="inlineStr">
        <is>
          <t xml:space="preserve">02 - Sports / GT</t>
        </is>
      </c>
      <c r="M376" s="50">
        <v>1950000</v>
      </c>
      <c r="N376" s="48" t="inlineStr">
        <is>
          <t xml:space="preserve">Personal</t>
        </is>
      </c>
      <c r="O376" s="46" t="inlineStr">
        <is>
          <t xml:space="preserve">Personal - regular use</t>
        </is>
      </c>
      <c r="P376" s="46" t="inlineStr">
        <is>
          <t xml:space="preserve">Under 1,000</t>
        </is>
      </c>
      <c r="Q376" s="46" t="inlineStr">
        <is>
          <t xml:space="preserve">Arizona</t>
        </is>
      </c>
      <c r="R376" s="46" t="inlineStr">
        <is>
          <t xml:space="preserve">85001</t>
        </is>
      </c>
      <c r="S376" s="48" t="inlineStr">
        <is>
          <t xml:space="preserve">Wildfire - WUI high hazard</t>
        </is>
      </c>
      <c r="T376" s="36">
        <f>IF($A376="","",IF($S376="","",IFERROR(INDEX('[1]natural catastrophe'!$D$6:$D$17,MATCH($S376,'[1]natural catastrophe'!$B$6:$B$17,0)),"?")))</f>
      </c>
      <c r="U376" s="46" t="inlineStr">
        <is>
          <t xml:space="preserve">$5,000</t>
        </is>
      </c>
      <c r="V376" s="48" t="inlineStr">
        <is>
          <t xml:space="preserve">Agreed Value</t>
        </is>
      </c>
      <c r="W376" s="46" t="inlineStr">
        <is>
          <t xml:space="preserve">$1,000</t>
        </is>
      </c>
      <c r="X376" s="48" t="inlineStr">
        <is>
          <t xml:space="preserve">$1,000,000 CSL</t>
        </is>
      </c>
      <c r="Y376" s="46"/>
      <c r="Z376" s="46"/>
      <c r="AA376" s="48" t="inlineStr">
        <is>
          <t xml:space="preserve">Surplus Lines</t>
        </is>
      </c>
      <c r="AB376" s="50">
        <v>12634.53</v>
      </c>
      <c r="AC376" s="51">
        <v>0</v>
      </c>
      <c r="AD376" s="38">
        <f>IF(ISNUMBER($AB376),$AB376*(1+N($AC376)),"")</f>
      </c>
      <c r="AE376" s="50">
        <v>350</v>
      </c>
      <c r="AF376" s="50">
        <v>250</v>
      </c>
      <c r="AG376" s="51"/>
      <c r="AH376" s="39">
        <f>IF(ISNUMBER($AD376),($AD376+$AE376+$AF376)*$AG376,"")</f>
      </c>
      <c r="AI376" s="50"/>
      <c r="AJ376" s="38">
        <f>IF(ISNUMBER($AD376),SUM($AD376:$AH376),"")</f>
      </c>
      <c r="AK376" s="40">
        <f>IF(AND(ISNUMBER($AB376),ISNUMBER($AD376)),IF($AB376&gt;0,$AD376/$AB376,""),"")</f>
      </c>
      <c r="AL376" s="48" t="inlineStr">
        <is>
          <t xml:space="preserve">At technical</t>
        </is>
      </c>
      <c r="AM376" s="41">
        <f>IF(ISNUMBER($AD376),Header!$I$3,"")</f>
      </c>
      <c r="AN376" s="39">
        <f>IF(ISNUMBER($AD376),$AO376+$AP376,"")</f>
      </c>
      <c r="AO376" s="39">
        <f>IF(ISNUMBER($AD376),ROUND($AD376*Header!$K$3,2),"")</f>
      </c>
      <c r="AP376" s="39">
        <f>IF(ISNUMBER($AD376),ROUND($AD376*Header!$M$3,2),"")</f>
      </c>
      <c r="AQ376" s="38">
        <f>IF(ISNUMBER($AD376),ROUND($AD376,2)-$AO376-$AP376,"")</f>
      </c>
      <c r="AR376" s="39">
        <f>IF(ISNUMBER($AD376),IF(Header!$D$34="","?",$AD376*Header!$D$34),"")</f>
      </c>
      <c r="AS376" s="39">
        <f>IF(ISNUMBER($AB376),IF(Header!$D$34="","?",$AB376*Header!$D$34),"")</f>
      </c>
      <c r="AT376" s="42">
        <f>IF(AND(ISNUMBER($AB376),$M376&gt;0),$AB376/$M376*100,"")</f>
      </c>
      <c r="AU376" s="42">
        <f>IF(AND(ISNUMBER($AD376),$M376&gt;0),$AD376/$M376*100,"")</f>
      </c>
      <c r="AV376" s="40">
        <f>IF(AND(ISNUMBER($AB376),ISNUMBER($AD376),ABS($AB376)&gt;0),$AD376/$AB376,"")</f>
      </c>
      <c r="AW376" s="39">
        <f>IF(ISNUMBER($AD376),MAX(0,(1-0.55-Header!$O$3)*Header!$Q$3*$AQ376),"")</f>
      </c>
      <c r="AX376" s="43">
        <f>IF($A376="","",IF(TRIM(IF($A376="","Missing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",""))="","PASS","FAIL: "&amp;TRIM(IF($A376="","Missing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f>
      </c>
      <c r="AY376" s="44">
        <f>IF($M376="","",IF(ISNUMBER($M376),IF($M376&gt;=Header!$C$18,"YES — refer","No"),""))</f>
      </c>
      <c r="AZ376" s="44">
        <f>IF($AD376="","",IF(ISNUMBER($AD376),IF($AD376&lt;Header!$C$20,"BELOW MIN PREMIUM","OK"),""))</f>
      </c>
      <c r="BA376" s="48" t="inlineStr">
        <is>
          <t xml:space="preserve">Yes</t>
        </is>
      </c>
      <c r="BB376" s="48" t="inlineStr">
        <is>
          <t xml:space="preserve">Yes</t>
        </is>
      </c>
      <c r="BC376" s="46" t="inlineStr">
        <is>
          <t xml:space="preserve">Synthetic demo data</t>
        </is>
      </c>
      <c r="BE376" s="45">
        <f>IF(OR($A376="",$L376="",$H376=""),"",IF(AND(LEFT($L376,2)="06",$H376&gt;1945),"FAIL - pre-war class, year "&amp;$H376,IF(AND(LEFT($L376,2)="07",OR($H376&lt;1946,$H376&gt;1972)),"FAIL - 1946-72 class, year "&amp;$H376,IF(AND(LEFT($L376,2)="08",OR($H376&lt;1973,$H376&gt;1999)),"FAIL - 1973-99 class, year "&amp;$H376,IF(AND(LEFT($L376,2)="09",OR($H376&lt;2000,$H376&gt;2010)),"FAIL - 2000-10 class, year "&amp;$H376,"OK")))))</f>
      </c>
      <c r="BF376" s="45">
        <f>IF($AD376="","",IF(ROUND($AO376+$AP376+$AQ376-$AD376,2)=0,"OK","FAIL - out by "&amp;TEXT($AO376+$AP376+$AQ376-$AD376,"$0.00")))</f>
      </c>
    </row>
    <row r="377" spans="1:58" ht="18.75" customHeight="1" x14ac:dyDescent="0.25">
      <c r="A377" s="30" t="inlineStr">
        <is>
          <t xml:space="preserve">CANON-202508-000515</t>
        </is>
      </c>
      <c r="B377" s="30" t="inlineStr">
        <is>
          <t xml:space="preserve">Thaddeus Vandermeer</t>
        </is>
      </c>
      <c r="C377" s="31">
        <v>45888</v>
      </c>
      <c r="D377" s="32" t="inlineStr">
        <is>
          <t xml:space="preserve">Bound - within authority</t>
        </is>
      </c>
      <c r="E377" s="32" t="inlineStr">
        <is>
          <t xml:space="preserve">New business</t>
        </is>
      </c>
      <c r="F377" s="30" t="inlineStr">
        <is>
          <t xml:space="preserve">B1234EXOTIC26</t>
        </is>
      </c>
      <c r="G377" s="33">
        <f>IF($A377="","",IF($C377="","",YEAR($C377)))</f>
      </c>
      <c r="H377" s="34">
        <v>1983</v>
      </c>
      <c r="I377" s="30" t="inlineStr">
        <is>
          <t xml:space="preserve">Mercedes-Benz</t>
        </is>
      </c>
      <c r="J377" s="30" t="inlineStr">
        <is>
          <t xml:space="preserve">AMG GT</t>
        </is>
      </c>
      <c r="K377" s="30" t="inlineStr">
        <is>
          <t xml:space="preserve">8ZJ19RS7HUBXGCUHU</t>
        </is>
      </c>
      <c r="L377" s="32" t="inlineStr">
        <is>
          <t xml:space="preserve">02 - Sports / GT</t>
        </is>
      </c>
      <c r="M377" s="35">
        <v>1330000</v>
      </c>
      <c r="N377" s="32" t="inlineStr">
        <is>
          <t xml:space="preserve">Personal</t>
        </is>
      </c>
      <c r="O377" s="30" t="inlineStr">
        <is>
          <t xml:space="preserve">Personal - regular use</t>
        </is>
      </c>
      <c r="P377" s="30" t="inlineStr">
        <is>
          <t xml:space="preserve">1,000 - 2,500</t>
        </is>
      </c>
      <c r="Q377" s="30" t="inlineStr">
        <is>
          <t xml:space="preserve">Ohio</t>
        </is>
      </c>
      <c r="R377" s="30" t="inlineStr">
        <is>
          <t xml:space="preserve">43215</t>
        </is>
      </c>
      <c r="S377" s="32" t="inlineStr">
        <is>
          <t xml:space="preserve">Severe convective - hail / tornado (moderate)</t>
        </is>
      </c>
      <c r="T377" s="36">
        <f>IF($A377="","",IF($S377="","",IFERROR(INDEX('[1]natural catastrophe'!$D$6:$D$17,MATCH($S377,'[1]natural catastrophe'!$B$6:$B$17,0)),"?")))</f>
      </c>
      <c r="U377" s="30" t="inlineStr">
        <is>
          <t xml:space="preserve">$5,000</t>
        </is>
      </c>
      <c r="V377" s="32" t="inlineStr">
        <is>
          <t xml:space="preserve">Agreed Value</t>
        </is>
      </c>
      <c r="W377" s="30" t="inlineStr">
        <is>
          <t xml:space="preserve">$1,000</t>
        </is>
      </c>
      <c r="X377" s="32" t="inlineStr">
        <is>
          <t xml:space="preserve">$1,000,000 CSL</t>
        </is>
      </c>
      <c r="Y377" s="30"/>
      <c r="Z377" s="30"/>
      <c r="AA377" s="32" t="inlineStr">
        <is>
          <t xml:space="preserve">Surplus Lines</t>
        </is>
      </c>
      <c r="AB377" s="35">
        <v>19184.62</v>
      </c>
      <c r="AC377" s="37">
        <v>0</v>
      </c>
      <c r="AD377" s="38">
        <f>IF(ISNUMBER($AB377),$AB377*(1+N($AC377)),"")</f>
      </c>
      <c r="AE377" s="35">
        <v>350</v>
      </c>
      <c r="AF377" s="35">
        <v>250</v>
      </c>
      <c r="AG377" s="37"/>
      <c r="AH377" s="39">
        <f>IF(ISNUMBER($AD377),($AD377+$AE377+$AF377)*$AG377,"")</f>
      </c>
      <c r="AI377" s="35"/>
      <c r="AJ377" s="38">
        <f>IF(ISNUMBER($AD377),SUM($AD377:$AH377),"")</f>
      </c>
      <c r="AK377" s="40">
        <f>IF(AND(ISNUMBER($AB377),ISNUMBER($AD377)),IF($AB377&gt;0,$AD377/$AB377,""),"")</f>
      </c>
      <c r="AL377" s="32" t="inlineStr">
        <is>
          <t xml:space="preserve">At technical</t>
        </is>
      </c>
      <c r="AM377" s="41">
        <f>IF(ISNUMBER($AD377),Header!$I$3,"")</f>
      </c>
      <c r="AN377" s="39">
        <f>IF(ISNUMBER($AD377),$AO377+$AP377,"")</f>
      </c>
      <c r="AO377" s="39">
        <f>IF(ISNUMBER($AD377),ROUND($AD377*Header!$K$3,2),"")</f>
      </c>
      <c r="AP377" s="39">
        <f>IF(ISNUMBER($AD377),ROUND($AD377*Header!$M$3,2),"")</f>
      </c>
      <c r="AQ377" s="38">
        <f>IF(ISNUMBER($AD377),ROUND($AD377,2)-$AO377-$AP377,"")</f>
      </c>
      <c r="AR377" s="39">
        <f>IF(ISNUMBER($AD377),IF(Header!$D$34="","?",$AD377*Header!$D$34),"")</f>
      </c>
      <c r="AS377" s="39">
        <f>IF(ISNUMBER($AB377),IF(Header!$D$34="","?",$AB377*Header!$D$34),"")</f>
      </c>
      <c r="AT377" s="42">
        <f>IF(AND(ISNUMBER($AB377),$M377&gt;0),$AB377/$M377*100,"")</f>
      </c>
      <c r="AU377" s="42">
        <f>IF(AND(ISNUMBER($AD377),$M377&gt;0),$AD377/$M377*100,"")</f>
      </c>
      <c r="AV377" s="40">
        <f>IF(AND(ISNUMBER($AB377),ISNUMBER($AD377),ABS($AB377)&gt;0),$AD377/$AB377,"")</f>
      </c>
      <c r="AW377" s="39">
        <f>IF(ISNUMBER($AD377),MAX(0,(1-0.55-Header!$O$3)*Header!$Q$3*$AQ377),"")</f>
      </c>
      <c r="AX377" s="43">
        <f>IF($A377="","",IF(TRIM(IF($A377="","Missing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",""))="","PASS","FAIL: "&amp;TRIM(IF($A377="","Missing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f>
      </c>
      <c r="AY377" s="44">
        <f>IF($M377="","",IF(ISNUMBER($M377),IF($M377&gt;=Header!$C$18,"YES — refer","No"),""))</f>
      </c>
      <c r="AZ377" s="44">
        <f>IF($AD377="","",IF(ISNUMBER($AD377),IF($AD377&lt;Header!$C$20,"BELOW MIN PREMIUM","OK"),""))</f>
      </c>
      <c r="BA377" s="32" t="inlineStr">
        <is>
          <t xml:space="preserve">Yes</t>
        </is>
      </c>
      <c r="BB377" s="32" t="inlineStr">
        <is>
          <t xml:space="preserve">Yes</t>
        </is>
      </c>
      <c r="BC377" s="30" t="inlineStr">
        <is>
          <t xml:space="preserve">Synthetic demo data</t>
        </is>
      </c>
      <c r="BE377" s="45">
        <f>IF(OR($A377="",$L377="",$H377=""),"",IF(AND(LEFT($L377,2)="06",$H377&gt;1945),"FAIL - pre-war class, year "&amp;$H377,IF(AND(LEFT($L377,2)="07",OR($H377&lt;1946,$H377&gt;1972)),"FAIL - 1946-72 class, year "&amp;$H377,IF(AND(LEFT($L377,2)="08",OR($H377&lt;1973,$H377&gt;1999)),"FAIL - 1973-99 class, year "&amp;$H377,IF(AND(LEFT($L377,2)="09",OR($H377&lt;2000,$H377&gt;2010)),"FAIL - 2000-10 class, year "&amp;$H377,"OK")))))</f>
      </c>
      <c r="BF377" s="45">
        <f>IF($AD377="","",IF(ROUND($AO377+$AP377+$AQ377-$AD377,2)=0,"OK","FAIL - out by "&amp;TEXT($AO377+$AP377+$AQ377-$AD377,"$0.00")))</f>
      </c>
    </row>
    <row r="378" spans="1:58" ht="18.75" customHeight="1" x14ac:dyDescent="0.25">
      <c r="A378" s="46" t="inlineStr">
        <is>
          <t xml:space="preserve">CANON-202508-000517</t>
        </is>
      </c>
      <c r="B378" s="46" t="inlineStr">
        <is>
          <t xml:space="preserve">Fitzgerald Rourke</t>
        </is>
      </c>
      <c r="C378" s="47">
        <v>45870</v>
      </c>
      <c r="D378" s="48" t="inlineStr">
        <is>
          <t xml:space="preserve">Bound - within authority</t>
        </is>
      </c>
      <c r="E378" s="48" t="inlineStr">
        <is>
          <t xml:space="preserve">New business</t>
        </is>
      </c>
      <c r="F378" s="46" t="inlineStr">
        <is>
          <t xml:space="preserve">B1234EXOTIC26</t>
        </is>
      </c>
      <c r="G378" s="33">
        <f>IF($A378="","",IF($C378="","",YEAR($C378)))</f>
      </c>
      <c r="H378" s="49">
        <v>1970</v>
      </c>
      <c r="I378" s="46" t="inlineStr">
        <is>
          <t xml:space="preserve">Lamborghini</t>
        </is>
      </c>
      <c r="J378" s="46" t="inlineStr">
        <is>
          <t xml:space="preserve">Huracan EVO</t>
        </is>
      </c>
      <c r="K378" s="46" t="inlineStr">
        <is>
          <t xml:space="preserve">XMM0WHVM3WYD4MPLM</t>
        </is>
      </c>
      <c r="L378" s="48" t="inlineStr">
        <is>
          <t xml:space="preserve">03 - Supercar</t>
        </is>
      </c>
      <c r="M378" s="50">
        <v>760000</v>
      </c>
      <c r="N378" s="48" t="inlineStr">
        <is>
          <t xml:space="preserve">Personal</t>
        </is>
      </c>
      <c r="O378" s="46" t="inlineStr">
        <is>
          <t xml:space="preserve">Personal - regular use</t>
        </is>
      </c>
      <c r="P378" s="46" t="inlineStr">
        <is>
          <t xml:space="preserve">2,500 - 5,000</t>
        </is>
      </c>
      <c r="Q378" s="46" t="inlineStr">
        <is>
          <t xml:space="preserve">Michigan</t>
        </is>
      </c>
      <c r="R378" s="46" t="inlineStr">
        <is>
          <t xml:space="preserve">48226</t>
        </is>
      </c>
      <c r="S378" s="48" t="inlineStr">
        <is>
          <t xml:space="preserve">Severe convective - hail / tornado (moderate)</t>
        </is>
      </c>
      <c r="T378" s="36">
        <f>IF($A378="","",IF($S378="","",IFERROR(INDEX('[1]natural catastrophe'!$D$6:$D$17,MATCH($S378,'[1]natural catastrophe'!$B$6:$B$17,0)),"?")))</f>
      </c>
      <c r="U378" s="46" t="inlineStr">
        <is>
          <t xml:space="preserve">$5,000</t>
        </is>
      </c>
      <c r="V378" s="48" t="inlineStr">
        <is>
          <t xml:space="preserve">Agreed Value</t>
        </is>
      </c>
      <c r="W378" s="46" t="inlineStr">
        <is>
          <t xml:space="preserve">$1,000</t>
        </is>
      </c>
      <c r="X378" s="48" t="inlineStr">
        <is>
          <t xml:space="preserve">$1,000,000 CSL</t>
        </is>
      </c>
      <c r="Y378" s="46"/>
      <c r="Z378" s="46"/>
      <c r="AA378" s="48" t="inlineStr">
        <is>
          <t xml:space="preserve">Surplus Lines</t>
        </is>
      </c>
      <c r="AB378" s="50">
        <v>21115.09</v>
      </c>
      <c r="AC378" s="51">
        <v>0</v>
      </c>
      <c r="AD378" s="38">
        <f>IF(ISNUMBER($AB378),$AB378*(1+N($AC378)),"")</f>
      </c>
      <c r="AE378" s="50">
        <v>350</v>
      </c>
      <c r="AF378" s="50">
        <v>0</v>
      </c>
      <c r="AG378" s="51"/>
      <c r="AH378" s="39">
        <f>IF(ISNUMBER($AD378),($AD378+$AE378+$AF378)*$AG378,"")</f>
      </c>
      <c r="AI378" s="50"/>
      <c r="AJ378" s="38">
        <f>IF(ISNUMBER($AD378),SUM($AD378:$AH378),"")</f>
      </c>
      <c r="AK378" s="40">
        <f>IF(AND(ISNUMBER($AB378),ISNUMBER($AD378)),IF($AB378&gt;0,$AD378/$AB378,""),"")</f>
      </c>
      <c r="AL378" s="48" t="inlineStr">
        <is>
          <t xml:space="preserve">At technical</t>
        </is>
      </c>
      <c r="AM378" s="41">
        <f>IF(ISNUMBER($AD378),Header!$I$3,"")</f>
      </c>
      <c r="AN378" s="39">
        <f>IF(ISNUMBER($AD378),$AO378+$AP378,"")</f>
      </c>
      <c r="AO378" s="39">
        <f>IF(ISNUMBER($AD378),ROUND($AD378*Header!$K$3,2),"")</f>
      </c>
      <c r="AP378" s="39">
        <f>IF(ISNUMBER($AD378),ROUND($AD378*Header!$M$3,2),"")</f>
      </c>
      <c r="AQ378" s="38">
        <f>IF(ISNUMBER($AD378),ROUND($AD378,2)-$AO378-$AP378,"")</f>
      </c>
      <c r="AR378" s="39">
        <f>IF(ISNUMBER($AD378),IF(Header!$D$34="","?",$AD378*Header!$D$34),"")</f>
      </c>
      <c r="AS378" s="39">
        <f>IF(ISNUMBER($AB378),IF(Header!$D$34="","?",$AB378*Header!$D$34),"")</f>
      </c>
      <c r="AT378" s="42">
        <f>IF(AND(ISNUMBER($AB378),$M378&gt;0),$AB378/$M378*100,"")</f>
      </c>
      <c r="AU378" s="42">
        <f>IF(AND(ISNUMBER($AD378),$M378&gt;0),$AD378/$M378*100,"")</f>
      </c>
      <c r="AV378" s="40">
        <f>IF(AND(ISNUMBER($AB378),ISNUMBER($AD378),ABS($AB378)&gt;0),$AD378/$AB378,"")</f>
      </c>
      <c r="AW378" s="39">
        <f>IF(ISNUMBER($AD378),MAX(0,(1-0.55-Header!$O$3)*Header!$Q$3*$AQ378),"")</f>
      </c>
      <c r="AX378" s="43">
        <f>IF($A378="","",IF(TRIM(IF($A378="","Missing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",""))="","PASS","FAIL: "&amp;TRIM(IF($A378="","Missing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f>
      </c>
      <c r="AY378" s="44">
        <f>IF($M378="","",IF(ISNUMBER($M378),IF($M378&gt;=Header!$C$18,"YES — refer","No"),""))</f>
      </c>
      <c r="AZ378" s="44">
        <f>IF($AD378="","",IF(ISNUMBER($AD378),IF($AD378&lt;Header!$C$20,"BELOW MIN PREMIUM","OK"),""))</f>
      </c>
      <c r="BA378" s="48" t="inlineStr">
        <is>
          <t xml:space="preserve">Yes</t>
        </is>
      </c>
      <c r="BB378" s="48" t="inlineStr">
        <is>
          <t xml:space="preserve">Yes</t>
        </is>
      </c>
      <c r="BC378" s="46" t="inlineStr">
        <is>
          <t xml:space="preserve">Synthetic demo data</t>
        </is>
      </c>
      <c r="BE378" s="45">
        <f>IF(OR($A378="",$L378="",$H378=""),"",IF(AND(LEFT($L378,2)="06",$H378&gt;1945),"FAIL - pre-war class, year "&amp;$H378,IF(AND(LEFT($L378,2)="07",OR($H378&lt;1946,$H378&gt;1972)),"FAIL - 1946-72 class, year "&amp;$H378,IF(AND(LEFT($L378,2)="08",OR($H378&lt;1973,$H378&gt;1999)),"FAIL - 1973-99 class, year "&amp;$H378,IF(AND(LEFT($L378,2)="09",OR($H378&lt;2000,$H378&gt;2010)),"FAIL - 2000-10 class, year "&amp;$H378,"OK")))))</f>
      </c>
      <c r="BF378" s="45">
        <f>IF($AD378="","",IF(ROUND($AO378+$AP378+$AQ378-$AD378,2)=0,"OK","FAIL - out by "&amp;TEXT($AO378+$AP378+$AQ378-$AD378,"$0.00")))</f>
      </c>
    </row>
    <row r="379" spans="1:58" ht="18.75" customHeight="1" x14ac:dyDescent="0.25">
      <c r="A379" s="30" t="inlineStr">
        <is>
          <t xml:space="preserve">CANON-202508-000520</t>
        </is>
      </c>
      <c r="B379" s="30" t="inlineStr">
        <is>
          <t xml:space="preserve">Saoirse Castellanos</t>
        </is>
      </c>
      <c r="C379" s="31">
        <v>45896</v>
      </c>
      <c r="D379" s="32" t="inlineStr">
        <is>
          <t xml:space="preserve">Bound - within authority</t>
        </is>
      </c>
      <c r="E379" s="32" t="inlineStr">
        <is>
          <t xml:space="preserve">New business</t>
        </is>
      </c>
      <c r="F379" s="30" t="inlineStr">
        <is>
          <t xml:space="preserve">B1234EXOTIC26</t>
        </is>
      </c>
      <c r="G379" s="33">
        <f>IF($A379="","",IF($C379="","",YEAR($C379)))</f>
      </c>
      <c r="H379" s="34">
        <v>2020</v>
      </c>
      <c r="I379" s="30" t="inlineStr">
        <is>
          <t xml:space="preserve">Porsche</t>
        </is>
      </c>
      <c r="J379" s="30" t="inlineStr">
        <is>
          <t xml:space="preserve">911 Turbo S</t>
        </is>
      </c>
      <c r="K379" s="30" t="inlineStr">
        <is>
          <t xml:space="preserve">XJE5CH6FM6HWL0UJ1</t>
        </is>
      </c>
      <c r="L379" s="32" t="inlineStr">
        <is>
          <t xml:space="preserve">02 - Sports / GT</t>
        </is>
      </c>
      <c r="M379" s="35">
        <v>505000</v>
      </c>
      <c r="N379" s="32" t="inlineStr">
        <is>
          <t xml:space="preserve">Personal</t>
        </is>
      </c>
      <c r="O379" s="30" t="inlineStr">
        <is>
          <t xml:space="preserve">Personal - regular use</t>
        </is>
      </c>
      <c r="P379" s="30" t="inlineStr">
        <is>
          <t xml:space="preserve">1,000 - 2,500</t>
        </is>
      </c>
      <c r="Q379" s="30" t="inlineStr">
        <is>
          <t xml:space="preserve">Pennsylvania</t>
        </is>
      </c>
      <c r="R379" s="30" t="inlineStr">
        <is>
          <t xml:space="preserve">19103</t>
        </is>
      </c>
      <c r="S379" s="32" t="inlineStr">
        <is>
          <t xml:space="preserve">Low hazard - inland benign</t>
        </is>
      </c>
      <c r="T379" s="36">
        <f>IF($A379="","",IF($S379="","",IFERROR(INDEX('[1]natural catastrophe'!$D$6:$D$17,MATCH($S379,'[1]natural catastrophe'!$B$6:$B$17,0)),"?")))</f>
      </c>
      <c r="U379" s="30" t="inlineStr">
        <is>
          <t xml:space="preserve">$5,000</t>
        </is>
      </c>
      <c r="V379" s="32" t="inlineStr">
        <is>
          <t xml:space="preserve">Agreed Value</t>
        </is>
      </c>
      <c r="W379" s="30" t="inlineStr">
        <is>
          <t xml:space="preserve">$1,000</t>
        </is>
      </c>
      <c r="X379" s="32" t="inlineStr">
        <is>
          <t xml:space="preserve">$1,000,000 CSL</t>
        </is>
      </c>
      <c r="Y379" s="30"/>
      <c r="Z379" s="30"/>
      <c r="AA379" s="32" t="inlineStr">
        <is>
          <t xml:space="preserve">Surplus Lines</t>
        </is>
      </c>
      <c r="AB379" s="35">
        <v>6193.4</v>
      </c>
      <c r="AC379" s="37">
        <v>0</v>
      </c>
      <c r="AD379" s="38">
        <f>IF(ISNUMBER($AB379),$AB379*(1+N($AC379)),"")</f>
      </c>
      <c r="AE379" s="35">
        <v>350</v>
      </c>
      <c r="AF379" s="35">
        <v>0</v>
      </c>
      <c r="AG379" s="37"/>
      <c r="AH379" s="39">
        <f>IF(ISNUMBER($AD379),($AD379+$AE379+$AF379)*$AG379,"")</f>
      </c>
      <c r="AI379" s="35"/>
      <c r="AJ379" s="38">
        <f>IF(ISNUMBER($AD379),SUM($AD379:$AH379),"")</f>
      </c>
      <c r="AK379" s="40">
        <f>IF(AND(ISNUMBER($AB379),ISNUMBER($AD379)),IF($AB379&gt;0,$AD379/$AB379,""),"")</f>
      </c>
      <c r="AL379" s="32" t="inlineStr">
        <is>
          <t xml:space="preserve">At technical</t>
        </is>
      </c>
      <c r="AM379" s="41">
        <f>IF(ISNUMBER($AD379),Header!$I$3,"")</f>
      </c>
      <c r="AN379" s="39">
        <f>IF(ISNUMBER($AD379),$AO379+$AP379,"")</f>
      </c>
      <c r="AO379" s="39">
        <f>IF(ISNUMBER($AD379),ROUND($AD379*Header!$K$3,2),"")</f>
      </c>
      <c r="AP379" s="39">
        <f>IF(ISNUMBER($AD379),ROUND($AD379*Header!$M$3,2),"")</f>
      </c>
      <c r="AQ379" s="38">
        <f>IF(ISNUMBER($AD379),ROUND($AD379,2)-$AO379-$AP379,"")</f>
      </c>
      <c r="AR379" s="39">
        <f>IF(ISNUMBER($AD379),IF(Header!$D$34="","?",$AD379*Header!$D$34),"")</f>
      </c>
      <c r="AS379" s="39">
        <f>IF(ISNUMBER($AB379),IF(Header!$D$34="","?",$AB379*Header!$D$34),"")</f>
      </c>
      <c r="AT379" s="42">
        <f>IF(AND(ISNUMBER($AB379),$M379&gt;0),$AB379/$M379*100,"")</f>
      </c>
      <c r="AU379" s="42">
        <f>IF(AND(ISNUMBER($AD379),$M379&gt;0),$AD379/$M379*100,"")</f>
      </c>
      <c r="AV379" s="40">
        <f>IF(AND(ISNUMBER($AB379),ISNUMBER($AD379),ABS($AB379)&gt;0),$AD379/$AB379,"")</f>
      </c>
      <c r="AW379" s="39">
        <f>IF(ISNUMBER($AD379),MAX(0,(1-0.55-Header!$O$3)*Header!$Q$3*$AQ379),"")</f>
      </c>
      <c r="AX379" s="43">
        <f>IF($A379="","",IF(TRIM(IF($A379="","Missing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",""))="","PASS","FAIL: "&amp;TRIM(IF($A379="","Missing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f>
      </c>
      <c r="AY379" s="44">
        <f>IF($M379="","",IF(ISNUMBER($M379),IF($M379&gt;=Header!$C$18,"YES — refer","No"),""))</f>
      </c>
      <c r="AZ379" s="44">
        <f>IF($AD379="","",IF(ISNUMBER($AD379),IF($AD379&lt;Header!$C$20,"BELOW MIN PREMIUM","OK"),""))</f>
      </c>
      <c r="BA379" s="32" t="inlineStr">
        <is>
          <t xml:space="preserve">Yes</t>
        </is>
      </c>
      <c r="BB379" s="32" t="inlineStr">
        <is>
          <t xml:space="preserve">Yes</t>
        </is>
      </c>
      <c r="BC379" s="30" t="inlineStr">
        <is>
          <t xml:space="preserve">Synthetic demo data</t>
        </is>
      </c>
      <c r="BE379" s="45">
        <f>IF(OR($A379="",$L379="",$H379=""),"",IF(AND(LEFT($L379,2)="06",$H379&gt;1945),"FAIL - pre-war class, year "&amp;$H379,IF(AND(LEFT($L379,2)="07",OR($H379&lt;1946,$H379&gt;1972)),"FAIL - 1946-72 class, year "&amp;$H379,IF(AND(LEFT($L379,2)="08",OR($H379&lt;1973,$H379&gt;1999)),"FAIL - 1973-99 class, year "&amp;$H379,IF(AND(LEFT($L379,2)="09",OR($H379&lt;2000,$H379&gt;2010)),"FAIL - 2000-10 class, year "&amp;$H379,"OK")))))</f>
      </c>
      <c r="BF379" s="45">
        <f>IF($AD379="","",IF(ROUND($AO379+$AP379+$AQ379-$AD379,2)=0,"OK","FAIL - out by "&amp;TEXT($AO379+$AP379+$AQ379-$AD379,"$0.00")))</f>
      </c>
    </row>
    <row r="380" spans="1:58" ht="18.75" customHeight="1" x14ac:dyDescent="0.25">
      <c r="A380" s="46" t="inlineStr">
        <is>
          <t xml:space="preserve">CANON-202508-000521</t>
        </is>
      </c>
      <c r="B380" s="46" t="inlineStr">
        <is>
          <t xml:space="preserve">Ingrid Rourke</t>
        </is>
      </c>
      <c r="C380" s="47">
        <v>45871</v>
      </c>
      <c r="D380" s="48" t="inlineStr">
        <is>
          <t xml:space="preserve">Bound - within authority</t>
        </is>
      </c>
      <c r="E380" s="48" t="inlineStr">
        <is>
          <t xml:space="preserve">New business</t>
        </is>
      </c>
      <c r="F380" s="46" t="inlineStr">
        <is>
          <t xml:space="preserve">B1234EXOTIC26</t>
        </is>
      </c>
      <c r="G380" s="33">
        <f>IF($A380="","",IF($C380="","",YEAR($C380)))</f>
      </c>
      <c r="H380" s="49">
        <v>1965</v>
      </c>
      <c r="I380" s="46" t="inlineStr">
        <is>
          <t xml:space="preserve">Ferrari</t>
        </is>
      </c>
      <c r="J380" s="46" t="inlineStr">
        <is>
          <t xml:space="preserve">275 GTB/4</t>
        </is>
      </c>
      <c r="K380" s="46" t="inlineStr">
        <is>
          <t xml:space="preserve">RHWVHNNTMRAB2Z8MJ</t>
        </is>
      </c>
      <c r="L380" s="48" t="inlineStr">
        <is>
          <t xml:space="preserve">07 - Post-War Classic (1946-1972)</t>
        </is>
      </c>
      <c r="M380" s="50">
        <v>1775000</v>
      </c>
      <c r="N380" s="48" t="inlineStr">
        <is>
          <t xml:space="preserve">Personal</t>
        </is>
      </c>
      <c r="O380" s="46" t="inlineStr">
        <is>
          <t xml:space="preserve">Personal - regular use</t>
        </is>
      </c>
      <c r="P380" s="46" t="inlineStr">
        <is>
          <t xml:space="preserve">Under 1,000</t>
        </is>
      </c>
      <c r="Q380" s="46" t="inlineStr">
        <is>
          <t xml:space="preserve">New Hampshire</t>
        </is>
      </c>
      <c r="R380" s="46" t="inlineStr">
        <is>
          <t xml:space="preserve">03301</t>
        </is>
      </c>
      <c r="S380" s="48" t="inlineStr">
        <is>
          <t xml:space="preserve">Tier 3 - Coastal wind (25-100 miles)</t>
        </is>
      </c>
      <c r="T380" s="36">
        <f>IF($A380="","",IF($S380="","",IFERROR(INDEX('[1]natural catastrophe'!$D$6:$D$17,MATCH($S380,'[1]natural catastrophe'!$B$6:$B$17,0)),"?")))</f>
      </c>
      <c r="U380" s="46" t="inlineStr">
        <is>
          <t xml:space="preserve">2% of agreed value, minimum $10,000</t>
        </is>
      </c>
      <c r="V380" s="48" t="inlineStr">
        <is>
          <t xml:space="preserve">Agreed Value</t>
        </is>
      </c>
      <c r="W380" s="46" t="inlineStr">
        <is>
          <t xml:space="preserve">$1,000</t>
        </is>
      </c>
      <c r="X380" s="48" t="inlineStr">
        <is>
          <t xml:space="preserve">$1,000,000 CSL</t>
        </is>
      </c>
      <c r="Y380" s="46"/>
      <c r="Z380" s="46"/>
      <c r="AA380" s="48" t="inlineStr">
        <is>
          <t xml:space="preserve">Surplus Lines</t>
        </is>
      </c>
      <c r="AB380" s="50">
        <v>13235.47</v>
      </c>
      <c r="AC380" s="51">
        <v>0</v>
      </c>
      <c r="AD380" s="38">
        <f>IF(ISNUMBER($AB380),$AB380*(1+N($AC380)),"")</f>
      </c>
      <c r="AE380" s="50">
        <v>350</v>
      </c>
      <c r="AF380" s="50">
        <v>250</v>
      </c>
      <c r="AG380" s="51"/>
      <c r="AH380" s="39">
        <f>IF(ISNUMBER($AD380),($AD380+$AE380+$AF380)*$AG380,"")</f>
      </c>
      <c r="AI380" s="50"/>
      <c r="AJ380" s="38">
        <f>IF(ISNUMBER($AD380),SUM($AD380:$AH380),"")</f>
      </c>
      <c r="AK380" s="40">
        <f>IF(AND(ISNUMBER($AB380),ISNUMBER($AD380)),IF($AB380&gt;0,$AD380/$AB380,""),"")</f>
      </c>
      <c r="AL380" s="48" t="inlineStr">
        <is>
          <t xml:space="preserve">At technical</t>
        </is>
      </c>
      <c r="AM380" s="41">
        <f>IF(ISNUMBER($AD380),Header!$I$3,"")</f>
      </c>
      <c r="AN380" s="39">
        <f>IF(ISNUMBER($AD380),$AO380+$AP380,"")</f>
      </c>
      <c r="AO380" s="39">
        <f>IF(ISNUMBER($AD380),ROUND($AD380*Header!$K$3,2),"")</f>
      </c>
      <c r="AP380" s="39">
        <f>IF(ISNUMBER($AD380),ROUND($AD380*Header!$M$3,2),"")</f>
      </c>
      <c r="AQ380" s="38">
        <f>IF(ISNUMBER($AD380),ROUND($AD380,2)-$AO380-$AP380,"")</f>
      </c>
      <c r="AR380" s="39">
        <f>IF(ISNUMBER($AD380),IF(Header!$D$34="","?",$AD380*Header!$D$34),"")</f>
      </c>
      <c r="AS380" s="39">
        <f>IF(ISNUMBER($AB380),IF(Header!$D$34="","?",$AB380*Header!$D$34),"")</f>
      </c>
      <c r="AT380" s="42">
        <f>IF(AND(ISNUMBER($AB380),$M380&gt;0),$AB380/$M380*100,"")</f>
      </c>
      <c r="AU380" s="42">
        <f>IF(AND(ISNUMBER($AD380),$M380&gt;0),$AD380/$M380*100,"")</f>
      </c>
      <c r="AV380" s="40">
        <f>IF(AND(ISNUMBER($AB380),ISNUMBER($AD380),ABS($AB380)&gt;0),$AD380/$AB380,"")</f>
      </c>
      <c r="AW380" s="39">
        <f>IF(ISNUMBER($AD380),MAX(0,(1-0.55-Header!$O$3)*Header!$Q$3*$AQ380),"")</f>
      </c>
      <c r="AX380" s="43">
        <f>IF($A380="","",IF(TRIM(IF($A380="","Missing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",""))="","PASS","FAIL: "&amp;TRIM(IF($A380="","Missing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f>
      </c>
      <c r="AY380" s="44">
        <f>IF($M380="","",IF(ISNUMBER($M380),IF($M380&gt;=Header!$C$18,"YES — refer","No"),""))</f>
      </c>
      <c r="AZ380" s="44">
        <f>IF($AD380="","",IF(ISNUMBER($AD380),IF($AD380&lt;Header!$C$20,"BELOW MIN PREMIUM","OK"),""))</f>
      </c>
      <c r="BA380" s="48" t="inlineStr">
        <is>
          <t xml:space="preserve">Yes</t>
        </is>
      </c>
      <c r="BB380" s="48" t="inlineStr">
        <is>
          <t xml:space="preserve">Yes</t>
        </is>
      </c>
      <c r="BC380" s="46" t="inlineStr">
        <is>
          <t xml:space="preserve">Synthetic demo data</t>
        </is>
      </c>
      <c r="BE380" s="45">
        <f>IF(OR($A380="",$L380="",$H380=""),"",IF(AND(LEFT($L380,2)="06",$H380&gt;1945),"FAIL - pre-war class, year "&amp;$H380,IF(AND(LEFT($L380,2)="07",OR($H380&lt;1946,$H380&gt;1972)),"FAIL - 1946-72 class, year "&amp;$H380,IF(AND(LEFT($L380,2)="08",OR($H380&lt;1973,$H380&gt;1999)),"FAIL - 1973-99 class, year "&amp;$H380,IF(AND(LEFT($L380,2)="09",OR($H380&lt;2000,$H380&gt;2010)),"FAIL - 2000-10 class, year "&amp;$H380,"OK")))))</f>
      </c>
      <c r="BF380" s="45">
        <f>IF($AD380="","",IF(ROUND($AO380+$AP380+$AQ380-$AD380,2)=0,"OK","FAIL - out by "&amp;TEXT($AO380+$AP380+$AQ380-$AD380,"$0.00")))</f>
      </c>
    </row>
    <row r="381" spans="1:58" ht="18.75" customHeight="1" x14ac:dyDescent="0.25">
      <c r="A381" s="30" t="inlineStr">
        <is>
          <t xml:space="preserve">CANON-202508-000522</t>
        </is>
      </c>
      <c r="B381" s="30" t="inlineStr">
        <is>
          <t xml:space="preserve">Desmond Chattopadhyay</t>
        </is>
      </c>
      <c r="C381" s="31">
        <v>45885</v>
      </c>
      <c r="D381" s="32" t="inlineStr">
        <is>
          <t xml:space="preserve">Bound - within authority</t>
        </is>
      </c>
      <c r="E381" s="32" t="inlineStr">
        <is>
          <t xml:space="preserve">New business</t>
        </is>
      </c>
      <c r="F381" s="30" t="inlineStr">
        <is>
          <t xml:space="preserve">B1234EXOTIC26</t>
        </is>
      </c>
      <c r="G381" s="33">
        <f>IF($A381="","",IF($C381="","",YEAR($C381)))</f>
      </c>
      <c r="H381" s="34">
        <v>1972</v>
      </c>
      <c r="I381" s="30" t="inlineStr">
        <is>
          <t xml:space="preserve">McLaren</t>
        </is>
      </c>
      <c r="J381" s="30" t="inlineStr">
        <is>
          <t xml:space="preserve">750S</t>
        </is>
      </c>
      <c r="K381" s="30" t="inlineStr">
        <is>
          <t xml:space="preserve">2R9WF9DGNWSNP1880</t>
        </is>
      </c>
      <c r="L381" s="32" t="inlineStr">
        <is>
          <t xml:space="preserve">03 - Supercar</t>
        </is>
      </c>
      <c r="M381" s="35">
        <v>835000</v>
      </c>
      <c r="N381" s="32" t="inlineStr">
        <is>
          <t xml:space="preserve">Personal</t>
        </is>
      </c>
      <c r="O381" s="30" t="inlineStr">
        <is>
          <t xml:space="preserve">Personal - regular use</t>
        </is>
      </c>
      <c r="P381" s="30" t="inlineStr">
        <is>
          <t xml:space="preserve">Under 1,000</t>
        </is>
      </c>
      <c r="Q381" s="30" t="inlineStr">
        <is>
          <t xml:space="preserve">Florida</t>
        </is>
      </c>
      <c r="R381" s="30" t="inlineStr">
        <is>
          <t xml:space="preserve">33139</t>
        </is>
      </c>
      <c r="S381" s="32" t="inlineStr">
        <is>
          <t xml:space="preserve">Tier 2 - Coastal wind (1-25 miles)</t>
        </is>
      </c>
      <c r="T381" s="36">
        <f>IF($A381="","",IF($S381="","",IFERROR(INDEX('[1]natural catastrophe'!$D$6:$D$17,MATCH($S381,'[1]natural catastrophe'!$B$6:$B$17,0)),"?")))</f>
      </c>
      <c r="U381" s="30" t="inlineStr">
        <is>
          <t xml:space="preserve">2% of agreed value, minimum $10,000</t>
        </is>
      </c>
      <c r="V381" s="32" t="inlineStr">
        <is>
          <t xml:space="preserve">Agreed Value</t>
        </is>
      </c>
      <c r="W381" s="30" t="inlineStr">
        <is>
          <t xml:space="preserve">$1,000</t>
        </is>
      </c>
      <c r="X381" s="32" t="inlineStr">
        <is>
          <t xml:space="preserve">$1,000,000 CSL</t>
        </is>
      </c>
      <c r="Y381" s="30"/>
      <c r="Z381" s="30"/>
      <c r="AA381" s="32" t="inlineStr">
        <is>
          <t xml:space="preserve">Surplus Lines</t>
        </is>
      </c>
      <c r="AB381" s="35">
        <v>21253.11</v>
      </c>
      <c r="AC381" s="37">
        <v>0</v>
      </c>
      <c r="AD381" s="38">
        <f>IF(ISNUMBER($AB381),$AB381*(1+N($AC381)),"")</f>
      </c>
      <c r="AE381" s="35">
        <v>350</v>
      </c>
      <c r="AF381" s="35">
        <v>0</v>
      </c>
      <c r="AG381" s="37"/>
      <c r="AH381" s="39">
        <f>IF(ISNUMBER($AD381),($AD381+$AE381+$AF381)*$AG381,"")</f>
      </c>
      <c r="AI381" s="35"/>
      <c r="AJ381" s="38">
        <f>IF(ISNUMBER($AD381),SUM($AD381:$AH381),"")</f>
      </c>
      <c r="AK381" s="40">
        <f>IF(AND(ISNUMBER($AB381),ISNUMBER($AD381)),IF($AB381&gt;0,$AD381/$AB381,""),"")</f>
      </c>
      <c r="AL381" s="32" t="inlineStr">
        <is>
          <t xml:space="preserve">At technical</t>
        </is>
      </c>
      <c r="AM381" s="41">
        <f>IF(ISNUMBER($AD381),Header!$I$3,"")</f>
      </c>
      <c r="AN381" s="39">
        <f>IF(ISNUMBER($AD381),$AO381+$AP381,"")</f>
      </c>
      <c r="AO381" s="39">
        <f>IF(ISNUMBER($AD381),ROUND($AD381*Header!$K$3,2),"")</f>
      </c>
      <c r="AP381" s="39">
        <f>IF(ISNUMBER($AD381),ROUND($AD381*Header!$M$3,2),"")</f>
      </c>
      <c r="AQ381" s="38">
        <f>IF(ISNUMBER($AD381),ROUND($AD381,2)-$AO381-$AP381,"")</f>
      </c>
      <c r="AR381" s="39">
        <f>IF(ISNUMBER($AD381),IF(Header!$D$34="","?",$AD381*Header!$D$34),"")</f>
      </c>
      <c r="AS381" s="39">
        <f>IF(ISNUMBER($AB381),IF(Header!$D$34="","?",$AB381*Header!$D$34),"")</f>
      </c>
      <c r="AT381" s="42">
        <f>IF(AND(ISNUMBER($AB381),$M381&gt;0),$AB381/$M381*100,"")</f>
      </c>
      <c r="AU381" s="42">
        <f>IF(AND(ISNUMBER($AD381),$M381&gt;0),$AD381/$M381*100,"")</f>
      </c>
      <c r="AV381" s="40">
        <f>IF(AND(ISNUMBER($AB381),ISNUMBER($AD381),ABS($AB381)&gt;0),$AD381/$AB381,"")</f>
      </c>
      <c r="AW381" s="39">
        <f>IF(ISNUMBER($AD381),MAX(0,(1-0.55-Header!$O$3)*Header!$Q$3*$AQ381),"")</f>
      </c>
      <c r="AX381" s="43">
        <f>IF($A381="","",IF(TRIM(IF($A381="","Missing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",""))="","PASS","FAIL: "&amp;TRIM(IF($A381="","Missing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f>
      </c>
      <c r="AY381" s="44">
        <f>IF($M381="","",IF(ISNUMBER($M381),IF($M381&gt;=Header!$C$18,"YES — refer","No"),""))</f>
      </c>
      <c r="AZ381" s="44">
        <f>IF($AD381="","",IF(ISNUMBER($AD381),IF($AD381&lt;Header!$C$20,"BELOW MIN PREMIUM","OK"),""))</f>
      </c>
      <c r="BA381" s="32" t="inlineStr">
        <is>
          <t xml:space="preserve">Yes</t>
        </is>
      </c>
      <c r="BB381" s="32" t="inlineStr">
        <is>
          <t xml:space="preserve">Yes</t>
        </is>
      </c>
      <c r="BC381" s="30" t="inlineStr">
        <is>
          <t xml:space="preserve">Synthetic demo data</t>
        </is>
      </c>
      <c r="BE381" s="45">
        <f>IF(OR($A381="",$L381="",$H381=""),"",IF(AND(LEFT($L381,2)="06",$H381&gt;1945),"FAIL - pre-war class, year "&amp;$H381,IF(AND(LEFT($L381,2)="07",OR($H381&lt;1946,$H381&gt;1972)),"FAIL - 1946-72 class, year "&amp;$H381,IF(AND(LEFT($L381,2)="08",OR($H381&lt;1973,$H381&gt;1999)),"FAIL - 1973-99 class, year "&amp;$H381,IF(AND(LEFT($L381,2)="09",OR($H381&lt;2000,$H381&gt;2010)),"FAIL - 2000-10 class, year "&amp;$H381,"OK")))))</f>
      </c>
      <c r="BF381" s="45">
        <f>IF($AD381="","",IF(ROUND($AO381+$AP381+$AQ381-$AD381,2)=0,"OK","FAIL - out by "&amp;TEXT($AO381+$AP381+$AQ381-$AD381,"$0.00")))</f>
      </c>
    </row>
    <row r="382" spans="1:58" ht="18.75" customHeight="1" x14ac:dyDescent="0.25">
      <c r="A382" s="46" t="inlineStr">
        <is>
          <t xml:space="preserve">CANON-202508-000523</t>
        </is>
      </c>
      <c r="B382" s="46" t="inlineStr">
        <is>
          <t xml:space="preserve">Anouk Vandermeer</t>
        </is>
      </c>
      <c r="C382" s="47">
        <v>45880</v>
      </c>
      <c r="D382" s="48" t="inlineStr">
        <is>
          <t xml:space="preserve">Bound - within authority</t>
        </is>
      </c>
      <c r="E382" s="48" t="inlineStr">
        <is>
          <t xml:space="preserve">New business</t>
        </is>
      </c>
      <c r="F382" s="46" t="inlineStr">
        <is>
          <t xml:space="preserve">B1234EXOTIC26</t>
        </is>
      </c>
      <c r="G382" s="33">
        <f>IF($A382="","",IF($C382="","",YEAR($C382)))</f>
      </c>
      <c r="H382" s="49">
        <v>1979</v>
      </c>
      <c r="I382" s="46" t="inlineStr">
        <is>
          <t xml:space="preserve">Icon</t>
        </is>
      </c>
      <c r="J382" s="46" t="inlineStr">
        <is>
          <t xml:space="preserve">Derelict</t>
        </is>
      </c>
      <c r="K382" s="46" t="inlineStr">
        <is>
          <t xml:space="preserve">26N8BL6P103MHJRCF</t>
        </is>
      </c>
      <c r="L382" s="48" t="inlineStr">
        <is>
          <t xml:space="preserve">11 - Restomod / Coachbuilt / Bespoke</t>
        </is>
      </c>
      <c r="M382" s="50">
        <v>275000</v>
      </c>
      <c r="N382" s="48" t="inlineStr">
        <is>
          <t xml:space="preserve">Personal</t>
        </is>
      </c>
      <c r="O382" s="46" t="inlineStr">
        <is>
          <t xml:space="preserve">Personal - regular use</t>
        </is>
      </c>
      <c r="P382" s="46" t="inlineStr">
        <is>
          <t xml:space="preserve">1,000 - 2,500</t>
        </is>
      </c>
      <c r="Q382" s="46" t="inlineStr">
        <is>
          <t xml:space="preserve">Rhode Island</t>
        </is>
      </c>
      <c r="R382" s="46" t="inlineStr">
        <is>
          <t xml:space="preserve">02903</t>
        </is>
      </c>
      <c r="S382" s="48" t="inlineStr">
        <is>
          <t xml:space="preserve">Tier 3 - Coastal wind (25-100 miles)</t>
        </is>
      </c>
      <c r="T382" s="36">
        <f>IF($A382="","",IF($S382="","",IFERROR(INDEX('[1]natural catastrophe'!$D$6:$D$17,MATCH($S382,'[1]natural catastrophe'!$B$6:$B$17,0)),"?")))</f>
      </c>
      <c r="U382" s="46" t="inlineStr">
        <is>
          <t xml:space="preserve">2% of agreed value, minimum $10,000</t>
        </is>
      </c>
      <c r="V382" s="48" t="inlineStr">
        <is>
          <t xml:space="preserve">Agreed Value</t>
        </is>
      </c>
      <c r="W382" s="46" t="inlineStr">
        <is>
          <t xml:space="preserve">$1,000</t>
        </is>
      </c>
      <c r="X382" s="48" t="inlineStr">
        <is>
          <t xml:space="preserve">$1,000,000 CSL</t>
        </is>
      </c>
      <c r="Y382" s="46"/>
      <c r="Z382" s="46"/>
      <c r="AA382" s="48" t="inlineStr">
        <is>
          <t xml:space="preserve">Surplus Lines</t>
        </is>
      </c>
      <c r="AB382" s="50">
        <v>6255.47</v>
      </c>
      <c r="AC382" s="51">
        <v>0</v>
      </c>
      <c r="AD382" s="38">
        <f>IF(ISNUMBER($AB382),$AB382*(1+N($AC382)),"")</f>
      </c>
      <c r="AE382" s="50">
        <v>350</v>
      </c>
      <c r="AF382" s="50">
        <v>0</v>
      </c>
      <c r="AG382" s="51"/>
      <c r="AH382" s="39">
        <f>IF(ISNUMBER($AD382),($AD382+$AE382+$AF382)*$AG382,"")</f>
      </c>
      <c r="AI382" s="50"/>
      <c r="AJ382" s="38">
        <f>IF(ISNUMBER($AD382),SUM($AD382:$AH382),"")</f>
      </c>
      <c r="AK382" s="40">
        <f>IF(AND(ISNUMBER($AB382),ISNUMBER($AD382)),IF($AB382&gt;0,$AD382/$AB382,""),"")</f>
      </c>
      <c r="AL382" s="48" t="inlineStr">
        <is>
          <t xml:space="preserve">At technical</t>
        </is>
      </c>
      <c r="AM382" s="41">
        <f>IF(ISNUMBER($AD382),Header!$I$3,"")</f>
      </c>
      <c r="AN382" s="39">
        <f>IF(ISNUMBER($AD382),$AO382+$AP382,"")</f>
      </c>
      <c r="AO382" s="39">
        <f>IF(ISNUMBER($AD382),ROUND($AD382*Header!$K$3,2),"")</f>
      </c>
      <c r="AP382" s="39">
        <f>IF(ISNUMBER($AD382),ROUND($AD382*Header!$M$3,2),"")</f>
      </c>
      <c r="AQ382" s="38">
        <f>IF(ISNUMBER($AD382),ROUND($AD382,2)-$AO382-$AP382,"")</f>
      </c>
      <c r="AR382" s="39">
        <f>IF(ISNUMBER($AD382),IF(Header!$D$34="","?",$AD382*Header!$D$34),"")</f>
      </c>
      <c r="AS382" s="39">
        <f>IF(ISNUMBER($AB382),IF(Header!$D$34="","?",$AB382*Header!$D$34),"")</f>
      </c>
      <c r="AT382" s="42">
        <f>IF(AND(ISNUMBER($AB382),$M382&gt;0),$AB382/$M382*100,"")</f>
      </c>
      <c r="AU382" s="42">
        <f>IF(AND(ISNUMBER($AD382),$M382&gt;0),$AD382/$M382*100,"")</f>
      </c>
      <c r="AV382" s="40">
        <f>IF(AND(ISNUMBER($AB382),ISNUMBER($AD382),ABS($AB382)&gt;0),$AD382/$AB382,"")</f>
      </c>
      <c r="AW382" s="39">
        <f>IF(ISNUMBER($AD382),MAX(0,(1-0.55-Header!$O$3)*Header!$Q$3*$AQ382),"")</f>
      </c>
      <c r="AX382" s="43">
        <f>IF($A382="","",IF(TRIM(IF($A382="","Missing certificate ref. ","") &amp; IF($C382="","Missing effective date. ","") &amp; IF($D382="","Missing binding status. ","") &amp; IF($E382="","Missing movement type. ","") &amp; IF($I382="","Missing make. ","") &amp; IF($L382="","Missing vehicle class. ","") &amp; IF($M382="","Missing agreed value. ","") &amp; IF($N382="","Missing policy type. ","") &amp; IF($Q382="","Missing garaging state. ","") &amp; IF($R382="","Missing garaging ZIP. ","") &amp; IF($S382="","Missing cat zone. ","") &amp; IF($V382="","Missing valuation basis. ","") &amp; IF($W382="","Missing PD deductible. ","") &amp; IF($X382="","Missing liability limit. ","") &amp; IF($AB382="","Missing technical premium. ","") &amp; IF($AF382="","Missing surplus lines tax %. ",""))="","PASS","FAIL: "&amp;TRIM(IF($A382="","Missing certificate ref. ","") &amp; IF($C382="","Missing effective date. ","") &amp; IF($D382="","Missing binding status. ","") &amp; IF($E382="","Missing movement type. ","") &amp; IF($I382="","Missing make. ","") &amp; IF($L382="","Missing vehicle class. ","") &amp; IF($M382="","Missing agreed value. ","") &amp; IF($N382="","Missing policy type. ","") &amp; IF($Q382="","Missing garaging state. ","") &amp; IF($R382="","Missing garaging ZIP. ","") &amp; IF($S382="","Missing cat zone. ","") &amp; IF($V382="","Missing valuation basis. ","") &amp; IF($W382="","Missing PD deductible. ","") &amp; IF($X382="","Missing liability limit. ","") &amp; IF($AB382="","Missing technical premium. ","") &amp; IF($AF382="","Missing surplus lines tax %. ",""))))</f>
      </c>
      <c r="AY382" s="44">
        <f>IF($M382="","",IF(ISNUMBER($M382),IF($M382&gt;=Header!$C$18,"YES — refer","No"),""))</f>
      </c>
      <c r="AZ382" s="44">
        <f>IF($AD382="","",IF(ISNUMBER($AD382),IF($AD382&lt;Header!$C$20,"BELOW MIN PREMIUM","OK"),""))</f>
      </c>
      <c r="BA382" s="48" t="inlineStr">
        <is>
          <t xml:space="preserve">Yes</t>
        </is>
      </c>
      <c r="BB382" s="48" t="inlineStr">
        <is>
          <t xml:space="preserve">Yes</t>
        </is>
      </c>
      <c r="BC382" s="46" t="inlineStr">
        <is>
          <t xml:space="preserve">Synthetic demo data</t>
        </is>
      </c>
      <c r="BE382" s="45">
        <f>IF(OR($A382="",$L382="",$H382=""),"",IF(AND(LEFT($L382,2)="06",$H382&gt;1945),"FAIL - pre-war class, year "&amp;$H382,IF(AND(LEFT($L382,2)="07",OR($H382&lt;1946,$H382&gt;1972)),"FAIL - 1946-72 class, year "&amp;$H382,IF(AND(LEFT($L382,2)="08",OR($H382&lt;1973,$H382&gt;1999)),"FAIL - 1973-99 class, year "&amp;$H382,IF(AND(LEFT($L382,2)="09",OR($H382&lt;2000,$H382&gt;2010)),"FAIL - 2000-10 class, year "&amp;$H382,"OK")))))</f>
      </c>
      <c r="BF382" s="45">
        <f>IF($AD382="","",IF(ROUND($AO382+$AP382+$AQ382-$AD382,2)=0,"OK","FAIL - out by "&amp;TEXT($AO382+$AP382+$AQ382-$AD382,"$0.00")))</f>
      </c>
    </row>
    <row r="383" spans="1:58" ht="18.75" customHeight="1" x14ac:dyDescent="0.25">
      <c r="A383" s="30" t="inlineStr">
        <is>
          <t xml:space="preserve">CANON-202508-000524</t>
        </is>
      </c>
      <c r="B383" s="30" t="inlineStr">
        <is>
          <t xml:space="preserve">Fitzgerald Rourke</t>
        </is>
      </c>
      <c r="C383" s="31">
        <v>45891</v>
      </c>
      <c r="D383" s="32" t="inlineStr">
        <is>
          <t xml:space="preserve">Bound - within authority</t>
        </is>
      </c>
      <c r="E383" s="32" t="inlineStr">
        <is>
          <t xml:space="preserve">New business</t>
        </is>
      </c>
      <c r="F383" s="30" t="inlineStr">
        <is>
          <t xml:space="preserve">B1234EXOTIC26</t>
        </is>
      </c>
      <c r="G383" s="33">
        <f>IF($A383="","",IF($C383="","",YEAR($C383)))</f>
      </c>
      <c r="H383" s="34">
        <v>1978</v>
      </c>
      <c r="I383" s="30" t="inlineStr">
        <is>
          <t xml:space="preserve">Bentley</t>
        </is>
      </c>
      <c r="J383" s="30" t="inlineStr">
        <is>
          <t xml:space="preserve">Continental GT</t>
        </is>
      </c>
      <c r="K383" s="30" t="inlineStr">
        <is>
          <t xml:space="preserve">RC4A906ZGK2P3EU5G</t>
        </is>
      </c>
      <c r="L383" s="32" t="inlineStr">
        <is>
          <t xml:space="preserve">02 - Sports / GT</t>
        </is>
      </c>
      <c r="M383" s="35">
        <v>325000</v>
      </c>
      <c r="N383" s="32" t="inlineStr">
        <is>
          <t xml:space="preserve">Personal</t>
        </is>
      </c>
      <c r="O383" s="30" t="inlineStr">
        <is>
          <t xml:space="preserve">Personal - regular use</t>
        </is>
      </c>
      <c r="P383" s="30" t="inlineStr">
        <is>
          <t xml:space="preserve">1,000 - 2,500</t>
        </is>
      </c>
      <c r="Q383" s="30" t="inlineStr">
        <is>
          <t xml:space="preserve">New Mexico</t>
        </is>
      </c>
      <c r="R383" s="30" t="inlineStr">
        <is>
          <t xml:space="preserve">87501</t>
        </is>
      </c>
      <c r="S383" s="32" t="inlineStr">
        <is>
          <t xml:space="preserve">Wildfire - WUI high hazard</t>
        </is>
      </c>
      <c r="T383" s="36">
        <f>IF($A383="","",IF($S383="","",IFERROR(INDEX('[1]natural catastrophe'!$D$6:$D$17,MATCH($S383,'[1]natural catastrophe'!$B$6:$B$17,0)),"?")))</f>
      </c>
      <c r="U383" s="30" t="inlineStr">
        <is>
          <t xml:space="preserve">$5,000</t>
        </is>
      </c>
      <c r="V383" s="32" t="inlineStr">
        <is>
          <t xml:space="preserve">Agreed Value</t>
        </is>
      </c>
      <c r="W383" s="30" t="inlineStr">
        <is>
          <t xml:space="preserve">$1,000</t>
        </is>
      </c>
      <c r="X383" s="32" t="inlineStr">
        <is>
          <t xml:space="preserve">$1,000,000 CSL</t>
        </is>
      </c>
      <c r="Y383" s="30"/>
      <c r="Z383" s="30"/>
      <c r="AA383" s="32" t="inlineStr">
        <is>
          <t xml:space="preserve">Surplus Lines</t>
        </is>
      </c>
      <c r="AB383" s="35">
        <v>5886.79</v>
      </c>
      <c r="AC383" s="37">
        <v>0</v>
      </c>
      <c r="AD383" s="38">
        <f>IF(ISNUMBER($AB383),$AB383*(1+N($AC383)),"")</f>
      </c>
      <c r="AE383" s="35">
        <v>350</v>
      </c>
      <c r="AF383" s="35">
        <v>0</v>
      </c>
      <c r="AG383" s="37"/>
      <c r="AH383" s="39">
        <f>IF(ISNUMBER($AD383),($AD383+$AE383+$AF383)*$AG383,"")</f>
      </c>
      <c r="AI383" s="35"/>
      <c r="AJ383" s="38">
        <f>IF(ISNUMBER($AD383),SUM($AD383:$AH383),"")</f>
      </c>
      <c r="AK383" s="40">
        <f>IF(AND(ISNUMBER($AB383),ISNUMBER($AD383)),IF($AB383&gt;0,$AD383/$AB383,""),"")</f>
      </c>
      <c r="AL383" s="32" t="inlineStr">
        <is>
          <t xml:space="preserve">At technical</t>
        </is>
      </c>
      <c r="AM383" s="41">
        <f>IF(ISNUMBER($AD383),Header!$I$3,"")</f>
      </c>
      <c r="AN383" s="39">
        <f>IF(ISNUMBER($AD383),$AO383+$AP383,"")</f>
      </c>
      <c r="AO383" s="39">
        <f>IF(ISNUMBER($AD383),ROUND($AD383*Header!$K$3,2),"")</f>
      </c>
      <c r="AP383" s="39">
        <f>IF(ISNUMBER($AD383),ROUND($AD383*Header!$M$3,2),"")</f>
      </c>
      <c r="AQ383" s="38">
        <f>IF(ISNUMBER($AD383),ROUND($AD383,2)-$AO383-$AP383,"")</f>
      </c>
      <c r="AR383" s="39">
        <f>IF(ISNUMBER($AD383),IF(Header!$D$34="","?",$AD383*Header!$D$34),"")</f>
      </c>
      <c r="AS383" s="39">
        <f>IF(ISNUMBER($AB383),IF(Header!$D$34="","?",$AB383*Header!$D$34),"")</f>
      </c>
      <c r="AT383" s="42">
        <f>IF(AND(ISNUMBER($AB383),$M383&gt;0),$AB383/$M383*100,"")</f>
      </c>
      <c r="AU383" s="42">
        <f>IF(AND(ISNUMBER($AD383),$M383&gt;0),$AD383/$M383*100,"")</f>
      </c>
      <c r="AV383" s="40">
        <f>IF(AND(ISNUMBER($AB383),ISNUMBER($AD383),ABS($AB383)&gt;0),$AD383/$AB383,"")</f>
      </c>
      <c r="AW383" s="39">
        <f>IF(ISNUMBER($AD383),MAX(0,(1-0.55-Header!$O$3)*Header!$Q$3*$AQ383),"")</f>
      </c>
      <c r="AX383" s="43">
        <f>IF($A383="","",IF(TRIM(IF($A383="","Missing certificate ref. ","") &amp; IF($C383="","Missing effective date. ","") &amp; IF($D383="","Missing binding status. ","") &amp; IF($E383="","Missing movement type. ","") &amp; IF($I383="","Missing make. ","") &amp; IF($L383="","Missing vehicle class. ","") &amp; IF($M383="","Missing agreed value. ","") &amp; IF($N383="","Missing policy type. ","") &amp; IF($Q383="","Missing garaging state. ","") &amp; IF($R383="","Missing garaging ZIP. ","") &amp; IF($S383="","Missing cat zone. ","") &amp; IF($V383="","Missing valuation basis. ","") &amp; IF($W383="","Missing PD deductible. ","") &amp; IF($X383="","Missing liability limit. ","") &amp; IF($AB383="","Missing technical premium. ","") &amp; IF($AF383="","Missing surplus lines tax %. ",""))="","PASS","FAIL: "&amp;TRIM(IF($A383="","Missing certificate ref. ","") &amp; IF($C383="","Missing effective date. ","") &amp; IF($D383="","Missing binding status. ","") &amp; IF($E383="","Missing movement type. ","") &amp; IF($I383="","Missing make. ","") &amp; IF($L383="","Missing vehicle class. ","") &amp; IF($M383="","Missing agreed value. ","") &amp; IF($N383="","Missing policy type. ","") &amp; IF($Q383="","Missing garaging state. ","") &amp; IF($R383="","Missing garaging ZIP. ","") &amp; IF($S383="","Missing cat zone. ","") &amp; IF($V383="","Missing valuation basis. ","") &amp; IF($W383="","Missing PD deductible. ","") &amp; IF($X383="","Missing liability limit. ","") &amp; IF($AB383="","Missing technical premium. ","") &amp; IF($AF383="","Missing surplus lines tax %. ",""))))</f>
      </c>
      <c r="AY383" s="44">
        <f>IF($M383="","",IF(ISNUMBER($M383),IF($M383&gt;=Header!$C$18,"YES — refer","No"),""))</f>
      </c>
      <c r="AZ383" s="44">
        <f>IF($AD383="","",IF(ISNUMBER($AD383),IF($AD383&lt;Header!$C$20,"BELOW MIN PREMIUM","OK"),""))</f>
      </c>
      <c r="BA383" s="32" t="inlineStr">
        <is>
          <t xml:space="preserve">Yes</t>
        </is>
      </c>
      <c r="BB383" s="32" t="inlineStr">
        <is>
          <t xml:space="preserve">Yes</t>
        </is>
      </c>
      <c r="BC383" s="30" t="inlineStr">
        <is>
          <t xml:space="preserve">Synthetic demo data</t>
        </is>
      </c>
      <c r="BE383" s="45">
        <f>IF(OR($A383="",$L383="",$H383=""),"",IF(AND(LEFT($L383,2)="06",$H383&gt;1945),"FAIL - pre-war class, year "&amp;$H383,IF(AND(LEFT($L383,2)="07",OR($H383&lt;1946,$H383&gt;1972)),"FAIL - 1946-72 class, year "&amp;$H383,IF(AND(LEFT($L383,2)="08",OR($H383&lt;1973,$H383&gt;1999)),"FAIL - 1973-99 class, year "&amp;$H383,IF(AND(LEFT($L383,2)="09",OR($H383&lt;2000,$H383&gt;2010)),"FAIL - 2000-10 class, year "&amp;$H383,"OK")))))</f>
      </c>
      <c r="BF383" s="45">
        <f>IF($AD383="","",IF(ROUND($AO383+$AP383+$AQ383-$AD383,2)=0,"OK","FAIL - out by "&amp;TEXT($AO383+$AP383+$AQ383-$AD383,"$0.00")))</f>
      </c>
    </row>
    <row r="384" spans="1:58" ht="18.75" customHeight="1" x14ac:dyDescent="0.25">
      <c r="A384" s="46" t="inlineStr">
        <is>
          <t xml:space="preserve">CANON-202508-000525</t>
        </is>
      </c>
      <c r="B384" s="46" t="inlineStr">
        <is>
          <t xml:space="preserve">Anouk Montoya</t>
        </is>
      </c>
      <c r="C384" s="47">
        <v>45883</v>
      </c>
      <c r="D384" s="48" t="inlineStr">
        <is>
          <t xml:space="preserve">Bound - within authority</t>
        </is>
      </c>
      <c r="E384" s="48" t="inlineStr">
        <is>
          <t xml:space="preserve">New business</t>
        </is>
      </c>
      <c r="F384" s="46" t="inlineStr">
        <is>
          <t xml:space="preserve">B1234EXOTIC26</t>
        </is>
      </c>
      <c r="G384" s="33">
        <f>IF($A384="","",IF($C384="","",YEAR($C384)))</f>
      </c>
      <c r="H384" s="49">
        <v>1996</v>
      </c>
      <c r="I384" s="46" t="inlineStr">
        <is>
          <t xml:space="preserve">Aston Martin</t>
        </is>
      </c>
      <c r="J384" s="46" t="inlineStr">
        <is>
          <t xml:space="preserve">DB12</t>
        </is>
      </c>
      <c r="K384" s="46" t="inlineStr">
        <is>
          <t xml:space="preserve">RL31S366MERYZK62P</t>
        </is>
      </c>
      <c r="L384" s="48" t="inlineStr">
        <is>
          <t xml:space="preserve">02 - Sports / GT</t>
        </is>
      </c>
      <c r="M384" s="50">
        <v>245000</v>
      </c>
      <c r="N384" s="48" t="inlineStr">
        <is>
          <t xml:space="preserve">Personal</t>
        </is>
      </c>
      <c r="O384" s="46" t="inlineStr">
        <is>
          <t xml:space="preserve">Personal - regular use</t>
        </is>
      </c>
      <c r="P384" s="46" t="inlineStr">
        <is>
          <t xml:space="preserve">1,000 - 2,500</t>
        </is>
      </c>
      <c r="Q384" s="46" t="inlineStr">
        <is>
          <t xml:space="preserve">Kansas</t>
        </is>
      </c>
      <c r="R384" s="46" t="inlineStr">
        <is>
          <t xml:space="preserve">66603</t>
        </is>
      </c>
      <c r="S384" s="48" t="inlineStr">
        <is>
          <t xml:space="preserve">Severe convective - hail alley (high)</t>
        </is>
      </c>
      <c r="T384" s="36">
        <f>IF($A384="","",IF($S384="","",IFERROR(INDEX('[1]natural catastrophe'!$D$6:$D$17,MATCH($S384,'[1]natural catastrophe'!$B$6:$B$17,0)),"?")))</f>
      </c>
      <c r="U384" s="46" t="inlineStr">
        <is>
          <t xml:space="preserve">$5,000</t>
        </is>
      </c>
      <c r="V384" s="48" t="inlineStr">
        <is>
          <t xml:space="preserve">Agreed Value</t>
        </is>
      </c>
      <c r="W384" s="46" t="inlineStr">
        <is>
          <t xml:space="preserve">$1,000</t>
        </is>
      </c>
      <c r="X384" s="48" t="inlineStr">
        <is>
          <t xml:space="preserve">$1,000,000 CSL</t>
        </is>
      </c>
      <c r="Y384" s="46"/>
      <c r="Z384" s="46"/>
      <c r="AA384" s="48" t="inlineStr">
        <is>
          <t xml:space="preserve">Surplus Lines</t>
        </is>
      </c>
      <c r="AB384" s="50">
        <v>4125.25</v>
      </c>
      <c r="AC384" s="51">
        <v>0</v>
      </c>
      <c r="AD384" s="38">
        <f>IF(ISNUMBER($AB384),$AB384*(1+N($AC384)),"")</f>
      </c>
      <c r="AE384" s="50">
        <v>350</v>
      </c>
      <c r="AF384" s="50">
        <v>0</v>
      </c>
      <c r="AG384" s="51"/>
      <c r="AH384" s="39">
        <f>IF(ISNUMBER($AD384),($AD384+$AE384+$AF384)*$AG384,"")</f>
      </c>
      <c r="AI384" s="50"/>
      <c r="AJ384" s="38">
        <f>IF(ISNUMBER($AD384),SUM($AD384:$AH384),"")</f>
      </c>
      <c r="AK384" s="40">
        <f>IF(AND(ISNUMBER($AB384),ISNUMBER($AD384)),IF($AB384&gt;0,$AD384/$AB384,""),"")</f>
      </c>
      <c r="AL384" s="48" t="inlineStr">
        <is>
          <t xml:space="preserve">At technical</t>
        </is>
      </c>
      <c r="AM384" s="41">
        <f>IF(ISNUMBER($AD384),Header!$I$3,"")</f>
      </c>
      <c r="AN384" s="39">
        <f>IF(ISNUMBER($AD384),$AO384+$AP384,"")</f>
      </c>
      <c r="AO384" s="39">
        <f>IF(ISNUMBER($AD384),ROUND($AD384*Header!$K$3,2),"")</f>
      </c>
      <c r="AP384" s="39">
        <f>IF(ISNUMBER($AD384),ROUND($AD384*Header!$M$3,2),"")</f>
      </c>
      <c r="AQ384" s="38">
        <f>IF(ISNUMBER($AD384),ROUND($AD384,2)-$AO384-$AP384,"")</f>
      </c>
      <c r="AR384" s="39">
        <f>IF(ISNUMBER($AD384),IF(Header!$D$34="","?",$AD384*Header!$D$34),"")</f>
      </c>
      <c r="AS384" s="39">
        <f>IF(ISNUMBER($AB384),IF(Header!$D$34="","?",$AB384*Header!$D$34),"")</f>
      </c>
      <c r="AT384" s="42">
        <f>IF(AND(ISNUMBER($AB384),$M384&gt;0),$AB384/$M384*100,"")</f>
      </c>
      <c r="AU384" s="42">
        <f>IF(AND(ISNUMBER($AD384),$M384&gt;0),$AD384/$M384*100,"")</f>
      </c>
      <c r="AV384" s="40">
        <f>IF(AND(ISNUMBER($AB384),ISNUMBER($AD384),ABS($AB384)&gt;0),$AD384/$AB384,"")</f>
      </c>
      <c r="AW384" s="39">
        <f>IF(ISNUMBER($AD384),MAX(0,(1-0.55-Header!$O$3)*Header!$Q$3*$AQ384),"")</f>
      </c>
      <c r="AX384" s="43">
        <f>IF($A384="","",IF(TRIM(IF($A384="","Missing certificate ref. ","") &amp; IF($C384="","Missing effective date. ","") &amp; IF($D384="","Missing binding status. ","") &amp; IF($E384="","Missing movement type. ","") &amp; IF($I384="","Missing make. ","") &amp; IF($L384="","Missing vehicle class. ","") &amp; IF($M384="","Missing agreed value. ","") &amp; IF($N384="","Missing policy type. ","") &amp; IF($Q384="","Missing garaging state. ","") &amp; IF($R384="","Missing garaging ZIP. ","") &amp; IF($S384="","Missing cat zone. ","") &amp; IF($V384="","Missing valuation basis. ","") &amp; IF($W384="","Missing PD deductible. ","") &amp; IF($X384="","Missing liability limit. ","") &amp; IF($AB384="","Missing technical premium. ","") &amp; IF($AF384="","Missing surplus lines tax %. ",""))="","PASS","FAIL: "&amp;TRIM(IF($A384="","Missing certificate ref. ","") &amp; IF($C384="","Missing effective date. ","") &amp; IF($D384="","Missing binding status. ","") &amp; IF($E384="","Missing movement type. ","") &amp; IF($I384="","Missing make. ","") &amp; IF($L384="","Missing vehicle class. ","") &amp; IF($M384="","Missing agreed value. ","") &amp; IF($N384="","Missing policy type. ","") &amp; IF($Q384="","Missing garaging state. ","") &amp; IF($R384="","Missing garaging ZIP. ","") &amp; IF($S384="","Missing cat zone. ","") &amp; IF($V384="","Missing valuation basis. ","") &amp; IF($W384="","Missing PD deductible. ","") &amp; IF($X384="","Missing liability limit. ","") &amp; IF($AB384="","Missing technical premium. ","") &amp; IF($AF384="","Missing surplus lines tax %. ",""))))</f>
      </c>
      <c r="AY384" s="44">
        <f>IF($M384="","",IF(ISNUMBER($M384),IF($M384&gt;=Header!$C$18,"YES — refer","No"),""))</f>
      </c>
      <c r="AZ384" s="44">
        <f>IF($AD384="","",IF(ISNUMBER($AD384),IF($AD384&lt;Header!$C$20,"BELOW MIN PREMIUM","OK"),""))</f>
      </c>
      <c r="BA384" s="48" t="inlineStr">
        <is>
          <t xml:space="preserve">Yes</t>
        </is>
      </c>
      <c r="BB384" s="48" t="inlineStr">
        <is>
          <t xml:space="preserve">Yes</t>
        </is>
      </c>
      <c r="BC384" s="46" t="inlineStr">
        <is>
          <t xml:space="preserve">Synthetic demo data</t>
        </is>
      </c>
      <c r="BE384" s="45">
        <f>IF(OR($A384="",$L384="",$H384=""),"",IF(AND(LEFT($L384,2)="06",$H384&gt;1945),"FAIL - pre-war class, year "&amp;$H384,IF(AND(LEFT($L384,2)="07",OR($H384&lt;1946,$H384&gt;1972)),"FAIL - 1946-72 class, year "&amp;$H384,IF(AND(LEFT($L384,2)="08",OR($H384&lt;1973,$H384&gt;1999)),"FAIL - 1973-99 class, year "&amp;$H384,IF(AND(LEFT($L384,2)="09",OR($H384&lt;2000,$H384&gt;2010)),"FAIL - 2000-10 class, year "&amp;$H384,"OK")))))</f>
      </c>
      <c r="BF384" s="45">
        <f>IF($AD384="","",IF(ROUND($AO384+$AP384+$AQ384-$AD384,2)=0,"OK","FAIL - out by "&amp;TEXT($AO384+$AP384+$AQ384-$AD384,"$0.00")))</f>
      </c>
    </row>
    <row r="385" spans="1:58" ht="18.75" customHeight="1" x14ac:dyDescent="0.25">
      <c r="A385" s="30" t="inlineStr">
        <is>
          <t xml:space="preserve">CANON-202508-000526</t>
        </is>
      </c>
      <c r="B385" s="30" t="inlineStr">
        <is>
          <t xml:space="preserve">Delphine Whitlock</t>
        </is>
      </c>
      <c r="C385" s="31">
        <v>45899</v>
      </c>
      <c r="D385" s="32" t="inlineStr">
        <is>
          <t xml:space="preserve">Bound - within authority</t>
        </is>
      </c>
      <c r="E385" s="32" t="inlineStr">
        <is>
          <t xml:space="preserve">New business</t>
        </is>
      </c>
      <c r="F385" s="30" t="inlineStr">
        <is>
          <t xml:space="preserve">B1234EXOTIC26</t>
        </is>
      </c>
      <c r="G385" s="33">
        <f>IF($A385="","",IF($C385="","",YEAR($C385)))</f>
      </c>
      <c r="H385" s="34">
        <v>2017</v>
      </c>
      <c r="I385" s="30" t="inlineStr">
        <is>
          <t xml:space="preserve">Aston Martin</t>
        </is>
      </c>
      <c r="J385" s="30" t="inlineStr">
        <is>
          <t xml:space="preserve">DB12</t>
        </is>
      </c>
      <c r="K385" s="30" t="inlineStr">
        <is>
          <t xml:space="preserve">TGYKR43VG4LNWXKSH</t>
        </is>
      </c>
      <c r="L385" s="32" t="inlineStr">
        <is>
          <t xml:space="preserve">02 - Sports / GT</t>
        </is>
      </c>
      <c r="M385" s="35">
        <v>970000</v>
      </c>
      <c r="N385" s="32" t="inlineStr">
        <is>
          <t xml:space="preserve">Personal</t>
        </is>
      </c>
      <c r="O385" s="30" t="inlineStr">
        <is>
          <t xml:space="preserve">Personal - regular use</t>
        </is>
      </c>
      <c r="P385" s="30" t="inlineStr">
        <is>
          <t xml:space="preserve">Under 1,000</t>
        </is>
      </c>
      <c r="Q385" s="30" t="inlineStr">
        <is>
          <t xml:space="preserve">Massachusetts</t>
        </is>
      </c>
      <c r="R385" s="30" t="inlineStr">
        <is>
          <t xml:space="preserve">02108</t>
        </is>
      </c>
      <c r="S385" s="32" t="inlineStr">
        <is>
          <t xml:space="preserve">Tier 3 - Coastal wind (25-100 miles)</t>
        </is>
      </c>
      <c r="T385" s="36">
        <f>IF($A385="","",IF($S385="","",IFERROR(INDEX('[1]natural catastrophe'!$D$6:$D$17,MATCH($S385,'[1]natural catastrophe'!$B$6:$B$17,0)),"?")))</f>
      </c>
      <c r="U385" s="30" t="inlineStr">
        <is>
          <t xml:space="preserve">2% of agreed value, minimum $10,000</t>
        </is>
      </c>
      <c r="V385" s="32" t="inlineStr">
        <is>
          <t xml:space="preserve">Agreed Value</t>
        </is>
      </c>
      <c r="W385" s="30" t="inlineStr">
        <is>
          <t xml:space="preserve">$1,000</t>
        </is>
      </c>
      <c r="X385" s="32" t="inlineStr">
        <is>
          <t xml:space="preserve">$1,000,000 CSL</t>
        </is>
      </c>
      <c r="Y385" s="30"/>
      <c r="Z385" s="30"/>
      <c r="AA385" s="32" t="inlineStr">
        <is>
          <t xml:space="preserve">Surplus Lines</t>
        </is>
      </c>
      <c r="AB385" s="35">
        <v>14870.28</v>
      </c>
      <c r="AC385" s="37">
        <v>0</v>
      </c>
      <c r="AD385" s="38">
        <f>IF(ISNUMBER($AB385),$AB385*(1+N($AC385)),"")</f>
      </c>
      <c r="AE385" s="35">
        <v>350</v>
      </c>
      <c r="AF385" s="35">
        <v>0</v>
      </c>
      <c r="AG385" s="37"/>
      <c r="AH385" s="39">
        <f>IF(ISNUMBER($AD385),($AD385+$AE385+$AF385)*$AG385,"")</f>
      </c>
      <c r="AI385" s="35"/>
      <c r="AJ385" s="38">
        <f>IF(ISNUMBER($AD385),SUM($AD385:$AH385),"")</f>
      </c>
      <c r="AK385" s="40">
        <f>IF(AND(ISNUMBER($AB385),ISNUMBER($AD385)),IF($AB385&gt;0,$AD385/$AB385,""),"")</f>
      </c>
      <c r="AL385" s="32" t="inlineStr">
        <is>
          <t xml:space="preserve">At technical</t>
        </is>
      </c>
      <c r="AM385" s="41">
        <f>IF(ISNUMBER($AD385),Header!$I$3,"")</f>
      </c>
      <c r="AN385" s="39">
        <f>IF(ISNUMBER($AD385),$AO385+$AP385,"")</f>
      </c>
      <c r="AO385" s="39">
        <f>IF(ISNUMBER($AD385),ROUND($AD385*Header!$K$3,2),"")</f>
      </c>
      <c r="AP385" s="39">
        <f>IF(ISNUMBER($AD385),ROUND($AD385*Header!$M$3,2),"")</f>
      </c>
      <c r="AQ385" s="38">
        <f>IF(ISNUMBER($AD385),ROUND($AD385,2)-$AO385-$AP385,"")</f>
      </c>
      <c r="AR385" s="39">
        <f>IF(ISNUMBER($AD385),IF(Header!$D$34="","?",$AD385*Header!$D$34),"")</f>
      </c>
      <c r="AS385" s="39">
        <f>IF(ISNUMBER($AB385),IF(Header!$D$34="","?",$AB385*Header!$D$34),"")</f>
      </c>
      <c r="AT385" s="42">
        <f>IF(AND(ISNUMBER($AB385),$M385&gt;0),$AB385/$M385*100,"")</f>
      </c>
      <c r="AU385" s="42">
        <f>IF(AND(ISNUMBER($AD385),$M385&gt;0),$AD385/$M385*100,"")</f>
      </c>
      <c r="AV385" s="40">
        <f>IF(AND(ISNUMBER($AB385),ISNUMBER($AD385),ABS($AB385)&gt;0),$AD385/$AB385,"")</f>
      </c>
      <c r="AW385" s="39">
        <f>IF(ISNUMBER($AD385),MAX(0,(1-0.55-Header!$O$3)*Header!$Q$3*$AQ385),"")</f>
      </c>
      <c r="AX385" s="43">
        <f>IF($A385="","",IF(TRIM(IF($A385="","Missing certificate ref. ","") &amp; IF($C385="","Missing effective date. ","") &amp; IF($D385="","Missing binding status. ","") &amp; IF($E385="","Missing movement type. ","") &amp; IF($I385="","Missing make. ","") &amp; IF($L385="","Missing vehicle class. ","") &amp; IF($M385="","Missing agreed value. ","") &amp; IF($N385="","Missing policy type. ","") &amp; IF($Q385="","Missing garaging state. ","") &amp; IF($R385="","Missing garaging ZIP. ","") &amp; IF($S385="","Missing cat zone. ","") &amp; IF($V385="","Missing valuation basis. ","") &amp; IF($W385="","Missing PD deductible. ","") &amp; IF($X385="","Missing liability limit. ","") &amp; IF($AB385="","Missing technical premium. ","") &amp; IF($AF385="","Missing surplus lines tax %. ",""))="","PASS","FAIL: "&amp;TRIM(IF($A385="","Missing certificate ref. ","") &amp; IF($C385="","Missing effective date. ","") &amp; IF($D385="","Missing binding status. ","") &amp; IF($E385="","Missing movement type. ","") &amp; IF($I385="","Missing make. ","") &amp; IF($L385="","Missing vehicle class. ","") &amp; IF($M385="","Missing agreed value. ","") &amp; IF($N385="","Missing policy type. ","") &amp; IF($Q385="","Missing garaging state. ","") &amp; IF($R385="","Missing garaging ZIP. ","") &amp; IF($S385="","Missing cat zone. ","") &amp; IF($V385="","Missing valuation basis. ","") &amp; IF($W385="","Missing PD deductible. ","") &amp; IF($X385="","Missing liability limit. ","") &amp; IF($AB385="","Missing technical premium. ","") &amp; IF($AF385="","Missing surplus lines tax %. ",""))))</f>
      </c>
      <c r="AY385" s="44">
        <f>IF($M385="","",IF(ISNUMBER($M385),IF($M385&gt;=Header!$C$18,"YES — refer","No"),""))</f>
      </c>
      <c r="AZ385" s="44">
        <f>IF($AD385="","",IF(ISNUMBER($AD385),IF($AD385&lt;Header!$C$20,"BELOW MIN PREMIUM","OK"),""))</f>
      </c>
      <c r="BA385" s="32" t="inlineStr">
        <is>
          <t xml:space="preserve">Yes</t>
        </is>
      </c>
      <c r="BB385" s="32" t="inlineStr">
        <is>
          <t xml:space="preserve">Yes</t>
        </is>
      </c>
      <c r="BC385" s="30" t="inlineStr">
        <is>
          <t xml:space="preserve">Synthetic demo data</t>
        </is>
      </c>
      <c r="BE385" s="45">
        <f>IF(OR($A385="",$L385="",$H385=""),"",IF(AND(LEFT($L385,2)="06",$H385&gt;1945),"FAIL - pre-war class, year "&amp;$H385,IF(AND(LEFT($L385,2)="07",OR($H385&lt;1946,$H385&gt;1972)),"FAIL - 1946-72 class, year "&amp;$H385,IF(AND(LEFT($L385,2)="08",OR($H385&lt;1973,$H385&gt;1999)),"FAIL - 1973-99 class, year "&amp;$H385,IF(AND(LEFT($L385,2)="09",OR($H385&lt;2000,$H385&gt;2010)),"FAIL - 2000-10 class, year "&amp;$H385,"OK")))))</f>
      </c>
      <c r="BF385" s="45">
        <f>IF($AD385="","",IF(ROUND($AO385+$AP385+$AQ385-$AD385,2)=0,"OK","FAIL - out by "&amp;TEXT($AO385+$AP385+$AQ385-$AD385,"$0.00")))</f>
      </c>
    </row>
    <row r="386" spans="1:58" ht="18.75" customHeight="1" x14ac:dyDescent="0.25">
      <c r="A386" s="46" t="inlineStr">
        <is>
          <t xml:space="preserve">CANON-202508-000528</t>
        </is>
      </c>
      <c r="B386" s="46" t="inlineStr">
        <is>
          <t xml:space="preserve">Marisol Pennington</t>
        </is>
      </c>
      <c r="C386" s="47">
        <v>45888</v>
      </c>
      <c r="D386" s="48" t="inlineStr">
        <is>
          <t xml:space="preserve">Bound - within authority</t>
        </is>
      </c>
      <c r="E386" s="48" t="inlineStr">
        <is>
          <t xml:space="preserve">New business</t>
        </is>
      </c>
      <c r="F386" s="46" t="inlineStr">
        <is>
          <t xml:space="preserve">B1234EXOTIC26</t>
        </is>
      </c>
      <c r="G386" s="33">
        <f>IF($A386="","",IF($C386="","",YEAR($C386)))</f>
      </c>
      <c r="H386" s="49">
        <v>1969</v>
      </c>
      <c r="I386" s="46" t="inlineStr">
        <is>
          <t xml:space="preserve">Bentley</t>
        </is>
      </c>
      <c r="J386" s="46" t="inlineStr">
        <is>
          <t xml:space="preserve">Continental GT</t>
        </is>
      </c>
      <c r="K386" s="46" t="inlineStr">
        <is>
          <t xml:space="preserve">3P77EV5VX0D7VLJRV</t>
        </is>
      </c>
      <c r="L386" s="48" t="inlineStr">
        <is>
          <t xml:space="preserve">02 - Sports / GT</t>
        </is>
      </c>
      <c r="M386" s="50">
        <v>640000</v>
      </c>
      <c r="N386" s="48" t="inlineStr">
        <is>
          <t xml:space="preserve">Personal</t>
        </is>
      </c>
      <c r="O386" s="46" t="inlineStr">
        <is>
          <t xml:space="preserve">Personal - regular use</t>
        </is>
      </c>
      <c r="P386" s="46" t="inlineStr">
        <is>
          <t xml:space="preserve">Under 1,000</t>
        </is>
      </c>
      <c r="Q386" s="46" t="inlineStr">
        <is>
          <t xml:space="preserve">Minnesota</t>
        </is>
      </c>
      <c r="R386" s="46" t="inlineStr">
        <is>
          <t xml:space="preserve">55401</t>
        </is>
      </c>
      <c r="S386" s="48" t="inlineStr">
        <is>
          <t xml:space="preserve">Severe convective - hail / tornado (moderate)</t>
        </is>
      </c>
      <c r="T386" s="36">
        <f>IF($A386="","",IF($S386="","",IFERROR(INDEX('[1]natural catastrophe'!$D$6:$D$17,MATCH($S386,'[1]natural catastrophe'!$B$6:$B$17,0)),"?")))</f>
      </c>
      <c r="U386" s="46" t="inlineStr">
        <is>
          <t xml:space="preserve">$5,000</t>
        </is>
      </c>
      <c r="V386" s="48" t="inlineStr">
        <is>
          <t xml:space="preserve">Agreed Value</t>
        </is>
      </c>
      <c r="W386" s="46" t="inlineStr">
        <is>
          <t xml:space="preserve">$1,000</t>
        </is>
      </c>
      <c r="X386" s="48" t="inlineStr">
        <is>
          <t xml:space="preserve">$1,000,000 CSL</t>
        </is>
      </c>
      <c r="Y386" s="46"/>
      <c r="Z386" s="46"/>
      <c r="AA386" s="48" t="inlineStr">
        <is>
          <t xml:space="preserve">Surplus Lines</t>
        </is>
      </c>
      <c r="AB386" s="50">
        <v>10360.75</v>
      </c>
      <c r="AC386" s="51">
        <v>0</v>
      </c>
      <c r="AD386" s="38">
        <f>IF(ISNUMBER($AB386),$AB386*(1+N($AC386)),"")</f>
      </c>
      <c r="AE386" s="50">
        <v>350</v>
      </c>
      <c r="AF386" s="50">
        <v>0</v>
      </c>
      <c r="AG386" s="51"/>
      <c r="AH386" s="39">
        <f>IF(ISNUMBER($AD386),($AD386+$AE386+$AF386)*$AG386,"")</f>
      </c>
      <c r="AI386" s="50"/>
      <c r="AJ386" s="38">
        <f>IF(ISNUMBER($AD386),SUM($AD386:$AH386),"")</f>
      </c>
      <c r="AK386" s="40">
        <f>IF(AND(ISNUMBER($AB386),ISNUMBER($AD386)),IF($AB386&gt;0,$AD386/$AB386,""),"")</f>
      </c>
      <c r="AL386" s="48" t="inlineStr">
        <is>
          <t xml:space="preserve">At technical</t>
        </is>
      </c>
      <c r="AM386" s="41">
        <f>IF(ISNUMBER($AD386),Header!$I$3,"")</f>
      </c>
      <c r="AN386" s="39">
        <f>IF(ISNUMBER($AD386),$AO386+$AP386,"")</f>
      </c>
      <c r="AO386" s="39">
        <f>IF(ISNUMBER($AD386),ROUND($AD386*Header!$K$3,2),"")</f>
      </c>
      <c r="AP386" s="39">
        <f>IF(ISNUMBER($AD386),ROUND($AD386*Header!$M$3,2),"")</f>
      </c>
      <c r="AQ386" s="38">
        <f>IF(ISNUMBER($AD386),ROUND($AD386,2)-$AO386-$AP386,"")</f>
      </c>
      <c r="AR386" s="39">
        <f>IF(ISNUMBER($AD386),IF(Header!$D$34="","?",$AD386*Header!$D$34),"")</f>
      </c>
      <c r="AS386" s="39">
        <f>IF(ISNUMBER($AB386),IF(Header!$D$34="","?",$AB386*Header!$D$34),"")</f>
      </c>
      <c r="AT386" s="42">
        <f>IF(AND(ISNUMBER($AB386),$M386&gt;0),$AB386/$M386*100,"")</f>
      </c>
      <c r="AU386" s="42">
        <f>IF(AND(ISNUMBER($AD386),$M386&gt;0),$AD386/$M386*100,"")</f>
      </c>
      <c r="AV386" s="40">
        <f>IF(AND(ISNUMBER($AB386),ISNUMBER($AD386),ABS($AB386)&gt;0),$AD386/$AB386,"")</f>
      </c>
      <c r="AW386" s="39">
        <f>IF(ISNUMBER($AD386),MAX(0,(1-0.55-Header!$O$3)*Header!$Q$3*$AQ386),"")</f>
      </c>
      <c r="AX386" s="43">
        <f>IF($A386="","",IF(TRIM(IF($A386="","Missing certificate ref. ","") &amp; IF($C386="","Missing effective date. ","") &amp; IF($D386="","Missing binding status. ","") &amp; IF($E386="","Missing movement type. ","") &amp; IF($I386="","Missing make. ","") &amp; IF($L386="","Missing vehicle class. ","") &amp; IF($M386="","Missing agreed value. ","") &amp; IF($N386="","Missing policy type. ","") &amp; IF($Q386="","Missing garaging state. ","") &amp; IF($R386="","Missing garaging ZIP. ","") &amp; IF($S386="","Missing cat zone. ","") &amp; IF($V386="","Missing valuation basis. ","") &amp; IF($W386="","Missing PD deductible. ","") &amp; IF($X386="","Missing liability limit. ","") &amp; IF($AB386="","Missing technical premium. ","") &amp; IF($AF386="","Missing surplus lines tax %. ",""))="","PASS","FAIL: "&amp;TRIM(IF($A386="","Missing certificate ref. ","") &amp; IF($C386="","Missing effective date. ","") &amp; IF($D386="","Missing binding status. ","") &amp; IF($E386="","Missing movement type. ","") &amp; IF($I386="","Missing make. ","") &amp; IF($L386="","Missing vehicle class. ","") &amp; IF($M386="","Missing agreed value. ","") &amp; IF($N386="","Missing policy type. ","") &amp; IF($Q386="","Missing garaging state. ","") &amp; IF($R386="","Missing garaging ZIP. ","") &amp; IF($S386="","Missing cat zone. ","") &amp; IF($V386="","Missing valuation basis. ","") &amp; IF($W386="","Missing PD deductible. ","") &amp; IF($X386="","Missing liability limit. ","") &amp; IF($AB386="","Missing technical premium. ","") &amp; IF($AF386="","Missing surplus lines tax %. ",""))))</f>
      </c>
      <c r="AY386" s="44">
        <f>IF($M386="","",IF(ISNUMBER($M386),IF($M386&gt;=Header!$C$18,"YES — refer","No"),""))</f>
      </c>
      <c r="AZ386" s="44">
        <f>IF($AD386="","",IF(ISNUMBER($AD386),IF($AD386&lt;Header!$C$20,"BELOW MIN PREMIUM","OK"),""))</f>
      </c>
      <c r="BA386" s="48" t="inlineStr">
        <is>
          <t xml:space="preserve">Yes</t>
        </is>
      </c>
      <c r="BB386" s="48" t="inlineStr">
        <is>
          <t xml:space="preserve">Yes</t>
        </is>
      </c>
      <c r="BC386" s="46" t="inlineStr">
        <is>
          <t xml:space="preserve">Synthetic demo data</t>
        </is>
      </c>
      <c r="BE386" s="45">
        <f>IF(OR($A386="",$L386="",$H386=""),"",IF(AND(LEFT($L386,2)="06",$H386&gt;1945),"FAIL - pre-war class, year "&amp;$H386,IF(AND(LEFT($L386,2)="07",OR($H386&lt;1946,$H386&gt;1972)),"FAIL - 1946-72 class, year "&amp;$H386,IF(AND(LEFT($L386,2)="08",OR($H386&lt;1973,$H386&gt;1999)),"FAIL - 1973-99 class, year "&amp;$H386,IF(AND(LEFT($L386,2)="09",OR($H386&lt;2000,$H386&gt;2010)),"FAIL - 2000-10 class, year "&amp;$H386,"OK")))))</f>
      </c>
      <c r="BF386" s="45">
        <f>IF($AD386="","",IF(ROUND($AO386+$AP386+$AQ386-$AD386,2)=0,"OK","FAIL - out by "&amp;TEXT($AO386+$AP386+$AQ386-$AD386,"$0.00")))</f>
      </c>
    </row>
    <row r="387" spans="1:58" ht="18.75" customHeight="1" x14ac:dyDescent="0.25">
      <c r="A387" s="30" t="inlineStr">
        <is>
          <t xml:space="preserve">CANON-202508-000529</t>
        </is>
      </c>
      <c r="B387" s="30" t="inlineStr">
        <is>
          <t xml:space="preserve">Beatrix Montoya</t>
        </is>
      </c>
      <c r="C387" s="31">
        <v>45899</v>
      </c>
      <c r="D387" s="32" t="inlineStr">
        <is>
          <t xml:space="preserve">Bound - within authority</t>
        </is>
      </c>
      <c r="E387" s="32" t="inlineStr">
        <is>
          <t xml:space="preserve">New business</t>
        </is>
      </c>
      <c r="F387" s="30" t="inlineStr">
        <is>
          <t xml:space="preserve">B1234EXOTIC26</t>
        </is>
      </c>
      <c r="G387" s="33">
        <f>IF($A387="","",IF($C387="","",YEAR($C387)))</f>
      </c>
      <c r="H387" s="34">
        <v>1960</v>
      </c>
      <c r="I387" s="30" t="inlineStr">
        <is>
          <t xml:space="preserve">Mercedes-Benz</t>
        </is>
      </c>
      <c r="J387" s="30" t="inlineStr">
        <is>
          <t xml:space="preserve">AMG GT</t>
        </is>
      </c>
      <c r="K387" s="30" t="inlineStr">
        <is>
          <t xml:space="preserve">3ZHWPMSJ8V5EXU9BN</t>
        </is>
      </c>
      <c r="L387" s="32" t="inlineStr">
        <is>
          <t xml:space="preserve">02 - Sports / GT</t>
        </is>
      </c>
      <c r="M387" s="35">
        <v>530000</v>
      </c>
      <c r="N387" s="32" t="inlineStr">
        <is>
          <t xml:space="preserve">Personal</t>
        </is>
      </c>
      <c r="O387" s="30" t="inlineStr">
        <is>
          <t xml:space="preserve">Personal - regular use</t>
        </is>
      </c>
      <c r="P387" s="30" t="inlineStr">
        <is>
          <t xml:space="preserve">Under 1,000</t>
        </is>
      </c>
      <c r="Q387" s="30" t="inlineStr">
        <is>
          <t xml:space="preserve">Texas</t>
        </is>
      </c>
      <c r="R387" s="30" t="inlineStr">
        <is>
          <t xml:space="preserve">75201</t>
        </is>
      </c>
      <c r="S387" s="32" t="inlineStr">
        <is>
          <t xml:space="preserve">Tier 2 - Coastal wind (1-25 miles)</t>
        </is>
      </c>
      <c r="T387" s="36">
        <f>IF($A387="","",IF($S387="","",IFERROR(INDEX('[1]natural catastrophe'!$D$6:$D$17,MATCH($S387,'[1]natural catastrophe'!$B$6:$B$17,0)),"?")))</f>
      </c>
      <c r="U387" s="30" t="inlineStr">
        <is>
          <t xml:space="preserve">2% of agreed value, minimum $10,000</t>
        </is>
      </c>
      <c r="V387" s="32" t="inlineStr">
        <is>
          <t xml:space="preserve">Agreed Value</t>
        </is>
      </c>
      <c r="W387" s="30" t="inlineStr">
        <is>
          <t xml:space="preserve">$1,000</t>
        </is>
      </c>
      <c r="X387" s="32" t="inlineStr">
        <is>
          <t xml:space="preserve">$1,000,000 CSL</t>
        </is>
      </c>
      <c r="Y387" s="30"/>
      <c r="Z387" s="30"/>
      <c r="AA387" s="32" t="inlineStr">
        <is>
          <t xml:space="preserve">Surplus Lines</t>
        </is>
      </c>
      <c r="AB387" s="35">
        <v>7475</v>
      </c>
      <c r="AC387" s="37">
        <v>0</v>
      </c>
      <c r="AD387" s="38">
        <f>IF(ISNUMBER($AB387),$AB387*(1+N($AC387)),"")</f>
      </c>
      <c r="AE387" s="35">
        <v>350</v>
      </c>
      <c r="AF387" s="35">
        <v>0</v>
      </c>
      <c r="AG387" s="37"/>
      <c r="AH387" s="39">
        <f>IF(ISNUMBER($AD387),($AD387+$AE387+$AF387)*$AG387,"")</f>
      </c>
      <c r="AI387" s="35"/>
      <c r="AJ387" s="38">
        <f>IF(ISNUMBER($AD387),SUM($AD387:$AH387),"")</f>
      </c>
      <c r="AK387" s="40">
        <f>IF(AND(ISNUMBER($AB387),ISNUMBER($AD387)),IF($AB387&gt;0,$AD387/$AB387,""),"")</f>
      </c>
      <c r="AL387" s="32" t="inlineStr">
        <is>
          <t xml:space="preserve">At technical</t>
        </is>
      </c>
      <c r="AM387" s="41">
        <f>IF(ISNUMBER($AD387),Header!$I$3,"")</f>
      </c>
      <c r="AN387" s="39">
        <f>IF(ISNUMBER($AD387),$AO387+$AP387,"")</f>
      </c>
      <c r="AO387" s="39">
        <f>IF(ISNUMBER($AD387),ROUND($AD387*Header!$K$3,2),"")</f>
      </c>
      <c r="AP387" s="39">
        <f>IF(ISNUMBER($AD387),ROUND($AD387*Header!$M$3,2),"")</f>
      </c>
      <c r="AQ387" s="38">
        <f>IF(ISNUMBER($AD387),ROUND($AD387,2)-$AO387-$AP387,"")</f>
      </c>
      <c r="AR387" s="39">
        <f>IF(ISNUMBER($AD387),IF(Header!$D$34="","?",$AD387*Header!$D$34),"")</f>
      </c>
      <c r="AS387" s="39">
        <f>IF(ISNUMBER($AB387),IF(Header!$D$34="","?",$AB387*Header!$D$34),"")</f>
      </c>
      <c r="AT387" s="42">
        <f>IF(AND(ISNUMBER($AB387),$M387&gt;0),$AB387/$M387*100,"")</f>
      </c>
      <c r="AU387" s="42">
        <f>IF(AND(ISNUMBER($AD387),$M387&gt;0),$AD387/$M387*100,"")</f>
      </c>
      <c r="AV387" s="40">
        <f>IF(AND(ISNUMBER($AB387),ISNUMBER($AD387),ABS($AB387)&gt;0),$AD387/$AB387,"")</f>
      </c>
      <c r="AW387" s="39">
        <f>IF(ISNUMBER($AD387),MAX(0,(1-0.55-Header!$O$3)*Header!$Q$3*$AQ387),"")</f>
      </c>
      <c r="AX387" s="43">
        <f>IF($A387="","",IF(TRIM(IF($A387="","Missing certificate ref. ","") &amp; IF($C387="","Missing effective date. ","") &amp; IF($D387="","Missing binding status. ","") &amp; IF($E387="","Missing movement type. ","") &amp; IF($I387="","Missing make. ","") &amp; IF($L387="","Missing vehicle class. ","") &amp; IF($M387="","Missing agreed value. ","") &amp; IF($N387="","Missing policy type. ","") &amp; IF($Q387="","Missing garaging state. ","") &amp; IF($R387="","Missing garaging ZIP. ","") &amp; IF($S387="","Missing cat zone. ","") &amp; IF($V387="","Missing valuation basis. ","") &amp; IF($W387="","Missing PD deductible. ","") &amp; IF($X387="","Missing liability limit. ","") &amp; IF($AB387="","Missing technical premium. ","") &amp; IF($AF387="","Missing surplus lines tax %. ",""))="","PASS","FAIL: "&amp;TRIM(IF($A387="","Missing certificate ref. ","") &amp; IF($C387="","Missing effective date. ","") &amp; IF($D387="","Missing binding status. ","") &amp; IF($E387="","Missing movement type. ","") &amp; IF($I387="","Missing make. ","") &amp; IF($L387="","Missing vehicle class. ","") &amp; IF($M387="","Missing agreed value. ","") &amp; IF($N387="","Missing policy type. ","") &amp; IF($Q387="","Missing garaging state. ","") &amp; IF($R387="","Missing garaging ZIP. ","") &amp; IF($S387="","Missing cat zone. ","") &amp; IF($V387="","Missing valuation basis. ","") &amp; IF($W387="","Missing PD deductible. ","") &amp; IF($X387="","Missing liability limit. ","") &amp; IF($AB387="","Missing technical premium. ","") &amp; IF($AF387="","Missing surplus lines tax %. ",""))))</f>
      </c>
      <c r="AY387" s="44">
        <f>IF($M387="","",IF(ISNUMBER($M387),IF($M387&gt;=Header!$C$18,"YES — refer","No"),""))</f>
      </c>
      <c r="AZ387" s="44">
        <f>IF($AD387="","",IF(ISNUMBER($AD387),IF($AD387&lt;Header!$C$20,"BELOW MIN PREMIUM","OK"),""))</f>
      </c>
      <c r="BA387" s="32" t="inlineStr">
        <is>
          <t xml:space="preserve">Yes</t>
        </is>
      </c>
      <c r="BB387" s="32" t="inlineStr">
        <is>
          <t xml:space="preserve">Yes</t>
        </is>
      </c>
      <c r="BC387" s="30" t="inlineStr">
        <is>
          <t xml:space="preserve">Synthetic demo data</t>
        </is>
      </c>
      <c r="BE387" s="45">
        <f>IF(OR($A387="",$L387="",$H387=""),"",IF(AND(LEFT($L387,2)="06",$H387&gt;1945),"FAIL - pre-war class, year "&amp;$H387,IF(AND(LEFT($L387,2)="07",OR($H387&lt;1946,$H387&gt;1972)),"FAIL - 1946-72 class, year "&amp;$H387,IF(AND(LEFT($L387,2)="08",OR($H387&lt;1973,$H387&gt;1999)),"FAIL - 1973-99 class, year "&amp;$H387,IF(AND(LEFT($L387,2)="09",OR($H387&lt;2000,$H387&gt;2010)),"FAIL - 2000-10 class, year "&amp;$H387,"OK")))))</f>
      </c>
      <c r="BF387" s="45">
        <f>IF($AD387="","",IF(ROUND($AO387+$AP387+$AQ387-$AD387,2)=0,"OK","FAIL - out by "&amp;TEXT($AO387+$AP387+$AQ387-$AD387,"$0.00")))</f>
      </c>
    </row>
    <row r="388" spans="1:58" ht="18.75" customHeight="1" x14ac:dyDescent="0.25">
      <c r="A388" s="46" t="inlineStr">
        <is>
          <t xml:space="preserve">CANON-202508-000531</t>
        </is>
      </c>
      <c r="B388" s="46" t="inlineStr">
        <is>
          <t xml:space="preserve">Horace Montoya</t>
        </is>
      </c>
      <c r="C388" s="47">
        <v>45892</v>
      </c>
      <c r="D388" s="48" t="inlineStr">
        <is>
          <t xml:space="preserve">Bound - within authority</t>
        </is>
      </c>
      <c r="E388" s="48" t="inlineStr">
        <is>
          <t xml:space="preserve">New business</t>
        </is>
      </c>
      <c r="F388" s="46" t="inlineStr">
        <is>
          <t xml:space="preserve">B1234EXOTIC26</t>
        </is>
      </c>
      <c r="G388" s="33">
        <f>IF($A388="","",IF($C388="","",YEAR($C388)))</f>
      </c>
      <c r="H388" s="49">
        <v>2016</v>
      </c>
      <c r="I388" s="46" t="inlineStr">
        <is>
          <t xml:space="preserve">Icon</t>
        </is>
      </c>
      <c r="J388" s="46" t="inlineStr">
        <is>
          <t xml:space="preserve">Derelict</t>
        </is>
      </c>
      <c r="K388" s="46" t="inlineStr">
        <is>
          <t xml:space="preserve">EA4EENES6W1D3EA7L</t>
        </is>
      </c>
      <c r="L388" s="48" t="inlineStr">
        <is>
          <t xml:space="preserve">11 - Restomod / Coachbuilt / Bespoke</t>
        </is>
      </c>
      <c r="M388" s="50">
        <v>240000</v>
      </c>
      <c r="N388" s="48" t="inlineStr">
        <is>
          <t xml:space="preserve">Personal</t>
        </is>
      </c>
      <c r="O388" s="46" t="inlineStr">
        <is>
          <t xml:space="preserve">Personal - regular use</t>
        </is>
      </c>
      <c r="P388" s="46" t="inlineStr">
        <is>
          <t xml:space="preserve">Under 1,000</t>
        </is>
      </c>
      <c r="Q388" s="46" t="inlineStr">
        <is>
          <t xml:space="preserve">Connecticut</t>
        </is>
      </c>
      <c r="R388" s="46" t="inlineStr">
        <is>
          <t xml:space="preserve">06103</t>
        </is>
      </c>
      <c r="S388" s="48" t="inlineStr">
        <is>
          <t xml:space="preserve">Tier 3 - Coastal wind (25-100 miles)</t>
        </is>
      </c>
      <c r="T388" s="36">
        <f>IF($A388="","",IF($S388="","",IFERROR(INDEX('[1]natural catastrophe'!$D$6:$D$17,MATCH($S388,'[1]natural catastrophe'!$B$6:$B$17,0)),"?")))</f>
      </c>
      <c r="U388" s="46" t="inlineStr">
        <is>
          <t xml:space="preserve">2% of agreed value, minimum $10,000</t>
        </is>
      </c>
      <c r="V388" s="48" t="inlineStr">
        <is>
          <t xml:space="preserve">Agreed Value</t>
        </is>
      </c>
      <c r="W388" s="46" t="inlineStr">
        <is>
          <t xml:space="preserve">$1,000</t>
        </is>
      </c>
      <c r="X388" s="48" t="inlineStr">
        <is>
          <t xml:space="preserve">$1,000,000 CSL</t>
        </is>
      </c>
      <c r="Y388" s="46"/>
      <c r="Z388" s="46"/>
      <c r="AA388" s="48" t="inlineStr">
        <is>
          <t xml:space="preserve">Surplus Lines</t>
        </is>
      </c>
      <c r="AB388" s="50">
        <v>5325.28</v>
      </c>
      <c r="AC388" s="51">
        <v>0</v>
      </c>
      <c r="AD388" s="38">
        <f>IF(ISNUMBER($AB388),$AB388*(1+N($AC388)),"")</f>
      </c>
      <c r="AE388" s="50">
        <v>350</v>
      </c>
      <c r="AF388" s="50">
        <v>0</v>
      </c>
      <c r="AG388" s="51"/>
      <c r="AH388" s="39">
        <f>IF(ISNUMBER($AD388),($AD388+$AE388+$AF388)*$AG388,"")</f>
      </c>
      <c r="AI388" s="50"/>
      <c r="AJ388" s="38">
        <f>IF(ISNUMBER($AD388),SUM($AD388:$AH388),"")</f>
      </c>
      <c r="AK388" s="40">
        <f>IF(AND(ISNUMBER($AB388),ISNUMBER($AD388)),IF($AB388&gt;0,$AD388/$AB388,""),"")</f>
      </c>
      <c r="AL388" s="48" t="inlineStr">
        <is>
          <t xml:space="preserve">At technical</t>
        </is>
      </c>
      <c r="AM388" s="41">
        <f>IF(ISNUMBER($AD388),Header!$I$3,"")</f>
      </c>
      <c r="AN388" s="39">
        <f>IF(ISNUMBER($AD388),$AO388+$AP388,"")</f>
      </c>
      <c r="AO388" s="39">
        <f>IF(ISNUMBER($AD388),ROUND($AD388*Header!$K$3,2),"")</f>
      </c>
      <c r="AP388" s="39">
        <f>IF(ISNUMBER($AD388),ROUND($AD388*Header!$M$3,2),"")</f>
      </c>
      <c r="AQ388" s="38">
        <f>IF(ISNUMBER($AD388),ROUND($AD388,2)-$AO388-$AP388,"")</f>
      </c>
      <c r="AR388" s="39">
        <f>IF(ISNUMBER($AD388),IF(Header!$D$34="","?",$AD388*Header!$D$34),"")</f>
      </c>
      <c r="AS388" s="39">
        <f>IF(ISNUMBER($AB388),IF(Header!$D$34="","?",$AB388*Header!$D$34),"")</f>
      </c>
      <c r="AT388" s="42">
        <f>IF(AND(ISNUMBER($AB388),$M388&gt;0),$AB388/$M388*100,"")</f>
      </c>
      <c r="AU388" s="42">
        <f>IF(AND(ISNUMBER($AD388),$M388&gt;0),$AD388/$M388*100,"")</f>
      </c>
      <c r="AV388" s="40">
        <f>IF(AND(ISNUMBER($AB388),ISNUMBER($AD388),ABS($AB388)&gt;0),$AD388/$AB388,"")</f>
      </c>
      <c r="AW388" s="39">
        <f>IF(ISNUMBER($AD388),MAX(0,(1-0.55-Header!$O$3)*Header!$Q$3*$AQ388),"")</f>
      </c>
      <c r="AX388" s="43">
        <f>IF($A388="","",IF(TRIM(IF($A388="","Missing certificate ref. ","") &amp; IF($C388="","Missing effective date. ","") &amp; IF($D388="","Missing binding status. ","") &amp; IF($E388="","Missing movement type. ","") &amp; IF($I388="","Missing make. ","") &amp; IF($L388="","Missing vehicle class. ","") &amp; IF($M388="","Missing agreed value. ","") &amp; IF($N388="","Missing policy type. ","") &amp; IF($Q388="","Missing garaging state. ","") &amp; IF($R388="","Missing garaging ZIP. ","") &amp; IF($S388="","Missing cat zone. ","") &amp; IF($V388="","Missing valuation basis. ","") &amp; IF($W388="","Missing PD deductible. ","") &amp; IF($X388="","Missing liability limit. ","") &amp; IF($AB388="","Missing technical premium. ","") &amp; IF($AF388="","Missing surplus lines tax %. ",""))="","PASS","FAIL: "&amp;TRIM(IF($A388="","Missing certificate ref. ","") &amp; IF($C388="","Missing effective date. ","") &amp; IF($D388="","Missing binding status. ","") &amp; IF($E388="","Missing movement type. ","") &amp; IF($I388="","Missing make. ","") &amp; IF($L388="","Missing vehicle class. ","") &amp; IF($M388="","Missing agreed value. ","") &amp; IF($N388="","Missing policy type. ","") &amp; IF($Q388="","Missing garaging state. ","") &amp; IF($R388="","Missing garaging ZIP. ","") &amp; IF($S388="","Missing cat zone. ","") &amp; IF($V388="","Missing valuation basis. ","") &amp; IF($W388="","Missing PD deductible. ","") &amp; IF($X388="","Missing liability limit. ","") &amp; IF($AB388="","Missing technical premium. ","") &amp; IF($AF388="","Missing surplus lines tax %. ",""))))</f>
      </c>
      <c r="AY388" s="44">
        <f>IF($M388="","",IF(ISNUMBER($M388),IF($M388&gt;=Header!$C$18,"YES — refer","No"),""))</f>
      </c>
      <c r="AZ388" s="44">
        <f>IF($AD388="","",IF(ISNUMBER($AD388),IF($AD388&lt;Header!$C$20,"BELOW MIN PREMIUM","OK"),""))</f>
      </c>
      <c r="BA388" s="48" t="inlineStr">
        <is>
          <t xml:space="preserve">Yes</t>
        </is>
      </c>
      <c r="BB388" s="48" t="inlineStr">
        <is>
          <t xml:space="preserve">Yes</t>
        </is>
      </c>
      <c r="BC388" s="46" t="inlineStr">
        <is>
          <t xml:space="preserve">Synthetic demo data</t>
        </is>
      </c>
      <c r="BE388" s="45">
        <f>IF(OR($A388="",$L388="",$H388=""),"",IF(AND(LEFT($L388,2)="06",$H388&gt;1945),"FAIL - pre-war class, year "&amp;$H388,IF(AND(LEFT($L388,2)="07",OR($H388&lt;1946,$H388&gt;1972)),"FAIL - 1946-72 class, year "&amp;$H388,IF(AND(LEFT($L388,2)="08",OR($H388&lt;1973,$H388&gt;1999)),"FAIL - 1973-99 class, year "&amp;$H388,IF(AND(LEFT($L388,2)="09",OR($H388&lt;2000,$H388&gt;2010)),"FAIL - 2000-10 class, year "&amp;$H388,"OK")))))</f>
      </c>
      <c r="BF388" s="45">
        <f>IF($AD388="","",IF(ROUND($AO388+$AP388+$AQ388-$AD388,2)=0,"OK","FAIL - out by "&amp;TEXT($AO388+$AP388+$AQ388-$AD388,"$0.00")))</f>
      </c>
    </row>
    <row r="389" spans="1:58" ht="18.75" customHeight="1" x14ac:dyDescent="0.25">
      <c r="A389" s="30" t="inlineStr">
        <is>
          <t xml:space="preserve">CANON-202508-000533</t>
        </is>
      </c>
      <c r="B389" s="30" t="inlineStr">
        <is>
          <t xml:space="preserve">Fenwick Vasquez</t>
        </is>
      </c>
      <c r="C389" s="31">
        <v>45882</v>
      </c>
      <c r="D389" s="32" t="inlineStr">
        <is>
          <t xml:space="preserve">Bound - within authority</t>
        </is>
      </c>
      <c r="E389" s="32" t="inlineStr">
        <is>
          <t xml:space="preserve">New business</t>
        </is>
      </c>
      <c r="F389" s="30" t="inlineStr">
        <is>
          <t xml:space="preserve">B1234EXOTIC26</t>
        </is>
      </c>
      <c r="G389" s="33">
        <f>IF($A389="","",IF($C389="","",YEAR($C389)))</f>
      </c>
      <c r="H389" s="34">
        <v>2003</v>
      </c>
      <c r="I389" s="30" t="inlineStr">
        <is>
          <t xml:space="preserve">Maserati</t>
        </is>
      </c>
      <c r="J389" s="30" t="inlineStr">
        <is>
          <t xml:space="preserve">GranTurismo</t>
        </is>
      </c>
      <c r="K389" s="30" t="inlineStr">
        <is>
          <t xml:space="preserve">A947P99XPRTJWYCGK</t>
        </is>
      </c>
      <c r="L389" s="32" t="inlineStr">
        <is>
          <t xml:space="preserve">02 - Sports / GT</t>
        </is>
      </c>
      <c r="M389" s="35">
        <v>405000</v>
      </c>
      <c r="N389" s="32" t="inlineStr">
        <is>
          <t xml:space="preserve">Personal</t>
        </is>
      </c>
      <c r="O389" s="30" t="inlineStr">
        <is>
          <t xml:space="preserve">Personal - regular use</t>
        </is>
      </c>
      <c r="P389" s="30" t="inlineStr">
        <is>
          <t xml:space="preserve">1,000 - 2,500</t>
        </is>
      </c>
      <c r="Q389" s="30" t="inlineStr">
        <is>
          <t xml:space="preserve">Texas</t>
        </is>
      </c>
      <c r="R389" s="30" t="inlineStr">
        <is>
          <t xml:space="preserve">75201</t>
        </is>
      </c>
      <c r="S389" s="32" t="inlineStr">
        <is>
          <t xml:space="preserve">Tier 2 - Coastal wind (1-25 miles)</t>
        </is>
      </c>
      <c r="T389" s="36">
        <f>IF($A389="","",IF($S389="","",IFERROR(INDEX('[1]natural catastrophe'!$D$6:$D$17,MATCH($S389,'[1]natural catastrophe'!$B$6:$B$17,0)),"?")))</f>
      </c>
      <c r="U389" s="30" t="inlineStr">
        <is>
          <t xml:space="preserve">2% of agreed value, minimum $10,000</t>
        </is>
      </c>
      <c r="V389" s="32" t="inlineStr">
        <is>
          <t xml:space="preserve">Agreed Value</t>
        </is>
      </c>
      <c r="W389" s="30" t="inlineStr">
        <is>
          <t xml:space="preserve">$1,000</t>
        </is>
      </c>
      <c r="X389" s="32" t="inlineStr">
        <is>
          <t xml:space="preserve">$1,000,000 CSL</t>
        </is>
      </c>
      <c r="Y389" s="30"/>
      <c r="Z389" s="30"/>
      <c r="AA389" s="32" t="inlineStr">
        <is>
          <t xml:space="preserve">Surplus Lines</t>
        </is>
      </c>
      <c r="AB389" s="35">
        <v>6590.8</v>
      </c>
      <c r="AC389" s="37">
        <v>0</v>
      </c>
      <c r="AD389" s="38">
        <f>IF(ISNUMBER($AB389),$AB389*(1+N($AC389)),"")</f>
      </c>
      <c r="AE389" s="35">
        <v>350</v>
      </c>
      <c r="AF389" s="35">
        <v>0</v>
      </c>
      <c r="AG389" s="37"/>
      <c r="AH389" s="39">
        <f>IF(ISNUMBER($AD389),($AD389+$AE389+$AF389)*$AG389,"")</f>
      </c>
      <c r="AI389" s="35"/>
      <c r="AJ389" s="38">
        <f>IF(ISNUMBER($AD389),SUM($AD389:$AH389),"")</f>
      </c>
      <c r="AK389" s="40">
        <f>IF(AND(ISNUMBER($AB389),ISNUMBER($AD389)),IF($AB389&gt;0,$AD389/$AB389,""),"")</f>
      </c>
      <c r="AL389" s="32" t="inlineStr">
        <is>
          <t xml:space="preserve">At technical</t>
        </is>
      </c>
      <c r="AM389" s="41">
        <f>IF(ISNUMBER($AD389),Header!$I$3,"")</f>
      </c>
      <c r="AN389" s="39">
        <f>IF(ISNUMBER($AD389),$AO389+$AP389,"")</f>
      </c>
      <c r="AO389" s="39">
        <f>IF(ISNUMBER($AD389),ROUND($AD389*Header!$K$3,2),"")</f>
      </c>
      <c r="AP389" s="39">
        <f>IF(ISNUMBER($AD389),ROUND($AD389*Header!$M$3,2),"")</f>
      </c>
      <c r="AQ389" s="38">
        <f>IF(ISNUMBER($AD389),ROUND($AD389,2)-$AO389-$AP389,"")</f>
      </c>
      <c r="AR389" s="39">
        <f>IF(ISNUMBER($AD389),IF(Header!$D$34="","?",$AD389*Header!$D$34),"")</f>
      </c>
      <c r="AS389" s="39">
        <f>IF(ISNUMBER($AB389),IF(Header!$D$34="","?",$AB389*Header!$D$34),"")</f>
      </c>
      <c r="AT389" s="42">
        <f>IF(AND(ISNUMBER($AB389),$M389&gt;0),$AB389/$M389*100,"")</f>
      </c>
      <c r="AU389" s="42">
        <f>IF(AND(ISNUMBER($AD389),$M389&gt;0),$AD389/$M389*100,"")</f>
      </c>
      <c r="AV389" s="40">
        <f>IF(AND(ISNUMBER($AB389),ISNUMBER($AD389),ABS($AB389)&gt;0),$AD389/$AB389,"")</f>
      </c>
      <c r="AW389" s="39">
        <f>IF(ISNUMBER($AD389),MAX(0,(1-0.55-Header!$O$3)*Header!$Q$3*$AQ389),"")</f>
      </c>
      <c r="AX389" s="43">
        <f>IF($A389="","",IF(TRIM(IF($A389="","Missing certificate ref. ","") &amp; IF($C389="","Missing effective date. ","") &amp; IF($D389="","Missing binding status. ","") &amp; IF($E389="","Missing movement type. ","") &amp; IF($I389="","Missing make. ","") &amp; IF($L389="","Missing vehicle class. ","") &amp; IF($M389="","Missing agreed value. ","") &amp; IF($N389="","Missing policy type. ","") &amp; IF($Q389="","Missing garaging state. ","") &amp; IF($R389="","Missing garaging ZIP. ","") &amp; IF($S389="","Missing cat zone. ","") &amp; IF($V389="","Missing valuation basis. ","") &amp; IF($W389="","Missing PD deductible. ","") &amp; IF($X389="","Missing liability limit. ","") &amp; IF($AB389="","Missing technical premium. ","") &amp; IF($AF389="","Missing surplus lines tax %. ",""))="","PASS","FAIL: "&amp;TRIM(IF($A389="","Missing certificate ref. ","") &amp; IF($C389="","Missing effective date. ","") &amp; IF($D389="","Missing binding status. ","") &amp; IF($E389="","Missing movement type. ","") &amp; IF($I389="","Missing make. ","") &amp; IF($L389="","Missing vehicle class. ","") &amp; IF($M389="","Missing agreed value. ","") &amp; IF($N389="","Missing policy type. ","") &amp; IF($Q389="","Missing garaging state. ","") &amp; IF($R389="","Missing garaging ZIP. ","") &amp; IF($S389="","Missing cat zone. ","") &amp; IF($V389="","Missing valuation basis. ","") &amp; IF($W389="","Missing PD deductible. ","") &amp; IF($X389="","Missing liability limit. ","") &amp; IF($AB389="","Missing technical premium. ","") &amp; IF($AF389="","Missing surplus lines tax %. ",""))))</f>
      </c>
      <c r="AY389" s="44">
        <f>IF($M389="","",IF(ISNUMBER($M389),IF($M389&gt;=Header!$C$18,"YES — refer","No"),""))</f>
      </c>
      <c r="AZ389" s="44">
        <f>IF($AD389="","",IF(ISNUMBER($AD389),IF($AD389&lt;Header!$C$20,"BELOW MIN PREMIUM","OK"),""))</f>
      </c>
      <c r="BA389" s="32" t="inlineStr">
        <is>
          <t xml:space="preserve">Yes</t>
        </is>
      </c>
      <c r="BB389" s="32" t="inlineStr">
        <is>
          <t xml:space="preserve">Yes</t>
        </is>
      </c>
      <c r="BC389" s="30" t="inlineStr">
        <is>
          <t xml:space="preserve">Synthetic demo data</t>
        </is>
      </c>
      <c r="BE389" s="45">
        <f>IF(OR($A389="",$L389="",$H389=""),"",IF(AND(LEFT($L389,2)="06",$H389&gt;1945),"FAIL - pre-war class, year "&amp;$H389,IF(AND(LEFT($L389,2)="07",OR($H389&lt;1946,$H389&gt;1972)),"FAIL - 1946-72 class, year "&amp;$H389,IF(AND(LEFT($L389,2)="08",OR($H389&lt;1973,$H389&gt;1999)),"FAIL - 1973-99 class, year "&amp;$H389,IF(AND(LEFT($L389,2)="09",OR($H389&lt;2000,$H389&gt;2010)),"FAIL - 2000-10 class, year "&amp;$H389,"OK")))))</f>
      </c>
      <c r="BF389" s="45">
        <f>IF($AD389="","",IF(ROUND($AO389+$AP389+$AQ389-$AD389,2)=0,"OK","FAIL - out by "&amp;TEXT($AO389+$AP389+$AQ389-$AD389,"$0.00")))</f>
      </c>
    </row>
    <row r="390" spans="1:58" ht="18.75" customHeight="1" x14ac:dyDescent="0.25">
      <c r="A390" s="46" t="inlineStr">
        <is>
          <t xml:space="preserve">CANON-202508-000534</t>
        </is>
      </c>
      <c r="B390" s="46" t="inlineStr">
        <is>
          <t xml:space="preserve">Aurelio Chattopadhyay</t>
        </is>
      </c>
      <c r="C390" s="47">
        <v>45876</v>
      </c>
      <c r="D390" s="48" t="inlineStr">
        <is>
          <t xml:space="preserve">Bound - within authority</t>
        </is>
      </c>
      <c r="E390" s="48" t="inlineStr">
        <is>
          <t xml:space="preserve">New business</t>
        </is>
      </c>
      <c r="F390" s="46" t="inlineStr">
        <is>
          <t xml:space="preserve">B1234EXOTIC26</t>
        </is>
      </c>
      <c r="G390" s="33">
        <f>IF($A390="","",IF($C390="","",YEAR($C390)))</f>
      </c>
      <c r="H390" s="49">
        <v>1968</v>
      </c>
      <c r="I390" s="46" t="inlineStr">
        <is>
          <t xml:space="preserve">Mercedes-Benz</t>
        </is>
      </c>
      <c r="J390" s="46" t="inlineStr">
        <is>
          <t xml:space="preserve">AMG GT</t>
        </is>
      </c>
      <c r="K390" s="46" t="inlineStr">
        <is>
          <t xml:space="preserve">AW72CCPMKA9WK3A5A</t>
        </is>
      </c>
      <c r="L390" s="48" t="inlineStr">
        <is>
          <t xml:space="preserve">02 - Sports / GT</t>
        </is>
      </c>
      <c r="M390" s="50">
        <v>250000</v>
      </c>
      <c r="N390" s="48" t="inlineStr">
        <is>
          <t xml:space="preserve">Personal</t>
        </is>
      </c>
      <c r="O390" s="46" t="inlineStr">
        <is>
          <t xml:space="preserve">Personal - regular use</t>
        </is>
      </c>
      <c r="P390" s="46" t="inlineStr">
        <is>
          <t xml:space="preserve">1,000 - 2,500</t>
        </is>
      </c>
      <c r="Q390" s="46" t="inlineStr">
        <is>
          <t xml:space="preserve">Arkansas</t>
        </is>
      </c>
      <c r="R390" s="46" t="inlineStr">
        <is>
          <t xml:space="preserve">72201</t>
        </is>
      </c>
      <c r="S390" s="48" t="inlineStr">
        <is>
          <t xml:space="preserve">Severe convective - hail / tornado (moderate)</t>
        </is>
      </c>
      <c r="T390" s="36">
        <f>IF($A390="","",IF($S390="","",IFERROR(INDEX('[1]natural catastrophe'!$D$6:$D$17,MATCH($S390,'[1]natural catastrophe'!$B$6:$B$17,0)),"?")))</f>
      </c>
      <c r="U390" s="46" t="inlineStr">
        <is>
          <t xml:space="preserve">$5,000</t>
        </is>
      </c>
      <c r="V390" s="48" t="inlineStr">
        <is>
          <t xml:space="preserve">Agreed Value</t>
        </is>
      </c>
      <c r="W390" s="46" t="inlineStr">
        <is>
          <t xml:space="preserve">$1,000</t>
        </is>
      </c>
      <c r="X390" s="48" t="inlineStr">
        <is>
          <t xml:space="preserve">$1,000,000 CSL</t>
        </is>
      </c>
      <c r="Y390" s="46"/>
      <c r="Z390" s="46"/>
      <c r="AA390" s="48" t="inlineStr">
        <is>
          <t xml:space="preserve">Surplus Lines</t>
        </is>
      </c>
      <c r="AB390" s="50">
        <v>4882.08</v>
      </c>
      <c r="AC390" s="51">
        <v>0</v>
      </c>
      <c r="AD390" s="38">
        <f>IF(ISNUMBER($AB390),$AB390*(1+N($AC390)),"")</f>
      </c>
      <c r="AE390" s="50">
        <v>350</v>
      </c>
      <c r="AF390" s="50">
        <v>0</v>
      </c>
      <c r="AG390" s="51"/>
      <c r="AH390" s="39">
        <f>IF(ISNUMBER($AD390),($AD390+$AE390+$AF390)*$AG390,"")</f>
      </c>
      <c r="AI390" s="50"/>
      <c r="AJ390" s="38">
        <f>IF(ISNUMBER($AD390),SUM($AD390:$AH390),"")</f>
      </c>
      <c r="AK390" s="40">
        <f>IF(AND(ISNUMBER($AB390),ISNUMBER($AD390)),IF($AB390&gt;0,$AD390/$AB390,""),"")</f>
      </c>
      <c r="AL390" s="48" t="inlineStr">
        <is>
          <t xml:space="preserve">At technical</t>
        </is>
      </c>
      <c r="AM390" s="41">
        <f>IF(ISNUMBER($AD390),Header!$I$3,"")</f>
      </c>
      <c r="AN390" s="39">
        <f>IF(ISNUMBER($AD390),$AO390+$AP390,"")</f>
      </c>
      <c r="AO390" s="39">
        <f>IF(ISNUMBER($AD390),ROUND($AD390*Header!$K$3,2),"")</f>
      </c>
      <c r="AP390" s="39">
        <f>IF(ISNUMBER($AD390),ROUND($AD390*Header!$M$3,2),"")</f>
      </c>
      <c r="AQ390" s="38">
        <f>IF(ISNUMBER($AD390),ROUND($AD390,2)-$AO390-$AP390,"")</f>
      </c>
      <c r="AR390" s="39">
        <f>IF(ISNUMBER($AD390),IF(Header!$D$34="","?",$AD390*Header!$D$34),"")</f>
      </c>
      <c r="AS390" s="39">
        <f>IF(ISNUMBER($AB390),IF(Header!$D$34="","?",$AB390*Header!$D$34),"")</f>
      </c>
      <c r="AT390" s="42">
        <f>IF(AND(ISNUMBER($AB390),$M390&gt;0),$AB390/$M390*100,"")</f>
      </c>
      <c r="AU390" s="42">
        <f>IF(AND(ISNUMBER($AD390),$M390&gt;0),$AD390/$M390*100,"")</f>
      </c>
      <c r="AV390" s="40">
        <f>IF(AND(ISNUMBER($AB390),ISNUMBER($AD390),ABS($AB390)&gt;0),$AD390/$AB390,"")</f>
      </c>
      <c r="AW390" s="39">
        <f>IF(ISNUMBER($AD390),MAX(0,(1-0.55-Header!$O$3)*Header!$Q$3*$AQ390),"")</f>
      </c>
      <c r="AX390" s="43">
        <f>IF($A390="","",IF(TRIM(IF($A390="","Missing certificate ref. ","") &amp; IF($C390="","Missing effective date. ","") &amp; IF($D390="","Missing binding status. ","") &amp; IF($E390="","Missing movement type. ","") &amp; IF($I390="","Missing make. ","") &amp; IF($L390="","Missing vehicle class. ","") &amp; IF($M390="","Missing agreed value. ","") &amp; IF($N390="","Missing policy type. ","") &amp; IF($Q390="","Missing garaging state. ","") &amp; IF($R390="","Missing garaging ZIP. ","") &amp; IF($S390="","Missing cat zone. ","") &amp; IF($V390="","Missing valuation basis. ","") &amp; IF($W390="","Missing PD deductible. ","") &amp; IF($X390="","Missing liability limit. ","") &amp; IF($AB390="","Missing technical premium. ","") &amp; IF($AF390="","Missing surplus lines tax %. ",""))="","PASS","FAIL: "&amp;TRIM(IF($A390="","Missing certificate ref. ","") &amp; IF($C390="","Missing effective date. ","") &amp; IF($D390="","Missing binding status. ","") &amp; IF($E390="","Missing movement type. ","") &amp; IF($I390="","Missing make. ","") &amp; IF($L390="","Missing vehicle class. ","") &amp; IF($M390="","Missing agreed value. ","") &amp; IF($N390="","Missing policy type. ","") &amp; IF($Q390="","Missing garaging state. ","") &amp; IF($R390="","Missing garaging ZIP. ","") &amp; IF($S390="","Missing cat zone. ","") &amp; IF($V390="","Missing valuation basis. ","") &amp; IF($W390="","Missing PD deductible. ","") &amp; IF($X390="","Missing liability limit. ","") &amp; IF($AB390="","Missing technical premium. ","") &amp; IF($AF390="","Missing surplus lines tax %. ",""))))</f>
      </c>
      <c r="AY390" s="44">
        <f>IF($M390="","",IF(ISNUMBER($M390),IF($M390&gt;=Header!$C$18,"YES — refer","No"),""))</f>
      </c>
      <c r="AZ390" s="44">
        <f>IF($AD390="","",IF(ISNUMBER($AD390),IF($AD390&lt;Header!$C$20,"BELOW MIN PREMIUM","OK"),""))</f>
      </c>
      <c r="BA390" s="48" t="inlineStr">
        <is>
          <t xml:space="preserve">Yes</t>
        </is>
      </c>
      <c r="BB390" s="48" t="inlineStr">
        <is>
          <t xml:space="preserve">Yes</t>
        </is>
      </c>
      <c r="BC390" s="46" t="inlineStr">
        <is>
          <t xml:space="preserve">Synthetic demo data</t>
        </is>
      </c>
      <c r="BE390" s="45">
        <f>IF(OR($A390="",$L390="",$H390=""),"",IF(AND(LEFT($L390,2)="06",$H390&gt;1945),"FAIL - pre-war class, year "&amp;$H390,IF(AND(LEFT($L390,2)="07",OR($H390&lt;1946,$H390&gt;1972)),"FAIL - 1946-72 class, year "&amp;$H390,IF(AND(LEFT($L390,2)="08",OR($H390&lt;1973,$H390&gt;1999)),"FAIL - 1973-99 class, year "&amp;$H390,IF(AND(LEFT($L390,2)="09",OR($H390&lt;2000,$H390&gt;2010)),"FAIL - 2000-10 class, year "&amp;$H390,"OK")))))</f>
      </c>
      <c r="BF390" s="45">
        <f>IF($AD390="","",IF(ROUND($AO390+$AP390+$AQ390-$AD390,2)=0,"OK","FAIL - out by "&amp;TEXT($AO390+$AP390+$AQ390-$AD390,"$0.00")))</f>
      </c>
    </row>
    <row r="391" spans="1:58" ht="18.75" customHeight="1" x14ac:dyDescent="0.25">
      <c r="A391" s="30" t="inlineStr">
        <is>
          <t xml:space="preserve">CANON-202508-000535</t>
        </is>
      </c>
      <c r="B391" s="30" t="inlineStr">
        <is>
          <t xml:space="preserve">Thaddeus Castellanos</t>
        </is>
      </c>
      <c r="C391" s="31">
        <v>45875</v>
      </c>
      <c r="D391" s="32" t="inlineStr">
        <is>
          <t xml:space="preserve">Bound - within authority</t>
        </is>
      </c>
      <c r="E391" s="32" t="inlineStr">
        <is>
          <t xml:space="preserve">New business</t>
        </is>
      </c>
      <c r="F391" s="30" t="inlineStr">
        <is>
          <t xml:space="preserve">B1234EXOTIC26</t>
        </is>
      </c>
      <c r="G391" s="33">
        <f>IF($A391="","",IF($C391="","",YEAR($C391)))</f>
      </c>
      <c r="H391" s="34">
        <v>1999</v>
      </c>
      <c r="I391" s="30" t="inlineStr">
        <is>
          <t xml:space="preserve">Porsche</t>
        </is>
      </c>
      <c r="J391" s="30" t="inlineStr">
        <is>
          <t xml:space="preserve">911 Turbo S</t>
        </is>
      </c>
      <c r="K391" s="30" t="inlineStr">
        <is>
          <t xml:space="preserve">L4RGPW7W4FP4B637C</t>
        </is>
      </c>
      <c r="L391" s="32" t="inlineStr">
        <is>
          <t xml:space="preserve">02 - Sports / GT</t>
        </is>
      </c>
      <c r="M391" s="35">
        <v>345000</v>
      </c>
      <c r="N391" s="32" t="inlineStr">
        <is>
          <t xml:space="preserve">Personal</t>
        </is>
      </c>
      <c r="O391" s="30" t="inlineStr">
        <is>
          <t xml:space="preserve">Personal - regular use</t>
        </is>
      </c>
      <c r="P391" s="30" t="inlineStr">
        <is>
          <t xml:space="preserve">1,000 - 2,500</t>
        </is>
      </c>
      <c r="Q391" s="30" t="inlineStr">
        <is>
          <t xml:space="preserve">Missouri</t>
        </is>
      </c>
      <c r="R391" s="30" t="inlineStr">
        <is>
          <t xml:space="preserve">63101</t>
        </is>
      </c>
      <c r="S391" s="32" t="inlineStr">
        <is>
          <t xml:space="preserve">Severe convective - hail / tornado (moderate)</t>
        </is>
      </c>
      <c r="T391" s="36">
        <f>IF($A391="","",IF($S391="","",IFERROR(INDEX('[1]natural catastrophe'!$D$6:$D$17,MATCH($S391,'[1]natural catastrophe'!$B$6:$B$17,0)),"?")))</f>
      </c>
      <c r="U391" s="30" t="inlineStr">
        <is>
          <t xml:space="preserve">$5,000</t>
        </is>
      </c>
      <c r="V391" s="32" t="inlineStr">
        <is>
          <t xml:space="preserve">Agreed Value</t>
        </is>
      </c>
      <c r="W391" s="30" t="inlineStr">
        <is>
          <t xml:space="preserve">$1,000</t>
        </is>
      </c>
      <c r="X391" s="32" t="inlineStr">
        <is>
          <t xml:space="preserve">$1,000,000 CSL</t>
        </is>
      </c>
      <c r="Y391" s="30"/>
      <c r="Z391" s="30"/>
      <c r="AA391" s="32" t="inlineStr">
        <is>
          <t xml:space="preserve">Surplus Lines</t>
        </is>
      </c>
      <c r="AB391" s="35">
        <v>5175</v>
      </c>
      <c r="AC391" s="37">
        <v>0</v>
      </c>
      <c r="AD391" s="38">
        <f>IF(ISNUMBER($AB391),$AB391*(1+N($AC391)),"")</f>
      </c>
      <c r="AE391" s="35">
        <v>350</v>
      </c>
      <c r="AF391" s="35">
        <v>0</v>
      </c>
      <c r="AG391" s="37"/>
      <c r="AH391" s="39">
        <f>IF(ISNUMBER($AD391),($AD391+$AE391+$AF391)*$AG391,"")</f>
      </c>
      <c r="AI391" s="35"/>
      <c r="AJ391" s="38">
        <f>IF(ISNUMBER($AD391),SUM($AD391:$AH391),"")</f>
      </c>
      <c r="AK391" s="40">
        <f>IF(AND(ISNUMBER($AB391),ISNUMBER($AD391)),IF($AB391&gt;0,$AD391/$AB391,""),"")</f>
      </c>
      <c r="AL391" s="32" t="inlineStr">
        <is>
          <t xml:space="preserve">At technical</t>
        </is>
      </c>
      <c r="AM391" s="41">
        <f>IF(ISNUMBER($AD391),Header!$I$3,"")</f>
      </c>
      <c r="AN391" s="39">
        <f>IF(ISNUMBER($AD391),$AO391+$AP391,"")</f>
      </c>
      <c r="AO391" s="39">
        <f>IF(ISNUMBER($AD391),ROUND($AD391*Header!$K$3,2),"")</f>
      </c>
      <c r="AP391" s="39">
        <f>IF(ISNUMBER($AD391),ROUND($AD391*Header!$M$3,2),"")</f>
      </c>
      <c r="AQ391" s="38">
        <f>IF(ISNUMBER($AD391),ROUND($AD391,2)-$AO391-$AP391,"")</f>
      </c>
      <c r="AR391" s="39">
        <f>IF(ISNUMBER($AD391),IF(Header!$D$34="","?",$AD391*Header!$D$34),"")</f>
      </c>
      <c r="AS391" s="39">
        <f>IF(ISNUMBER($AB391),IF(Header!$D$34="","?",$AB391*Header!$D$34),"")</f>
      </c>
      <c r="AT391" s="42">
        <f>IF(AND(ISNUMBER($AB391),$M391&gt;0),$AB391/$M391*100,"")</f>
      </c>
      <c r="AU391" s="42">
        <f>IF(AND(ISNUMBER($AD391),$M391&gt;0),$AD391/$M391*100,"")</f>
      </c>
      <c r="AV391" s="40">
        <f>IF(AND(ISNUMBER($AB391),ISNUMBER($AD391),ABS($AB391)&gt;0),$AD391/$AB391,"")</f>
      </c>
      <c r="AW391" s="39">
        <f>IF(ISNUMBER($AD391),MAX(0,(1-0.55-Header!$O$3)*Header!$Q$3*$AQ391),"")</f>
      </c>
      <c r="AX391" s="43">
        <f>IF($A391="","",IF(TRIM(IF($A391="","Missing certificate ref. ","") &amp; IF($C391="","Missing effective date. ","") &amp; IF($D391="","Missing binding status. ","") &amp; IF($E391="","Missing movement type. ","") &amp; IF($I391="","Missing make. ","") &amp; IF($L391="","Missing vehicle class. ","") &amp; IF($M391="","Missing agreed value. ","") &amp; IF($N391="","Missing policy type. ","") &amp; IF($Q391="","Missing garaging state. ","") &amp; IF($R391="","Missing garaging ZIP. ","") &amp; IF($S391="","Missing cat zone. ","") &amp; IF($V391="","Missing valuation basis. ","") &amp; IF($W391="","Missing PD deductible. ","") &amp; IF($X391="","Missing liability limit. ","") &amp; IF($AB391="","Missing technical premium. ","") &amp; IF($AF391="","Missing surplus lines tax %. ",""))="","PASS","FAIL: "&amp;TRIM(IF($A391="","Missing certificate ref. ","") &amp; IF($C391="","Missing effective date. ","") &amp; IF($D391="","Missing binding status. ","") &amp; IF($E391="","Missing movement type. ","") &amp; IF($I391="","Missing make. ","") &amp; IF($L391="","Missing vehicle class. ","") &amp; IF($M391="","Missing agreed value. ","") &amp; IF($N391="","Missing policy type. ","") &amp; IF($Q391="","Missing garaging state. ","") &amp; IF($R391="","Missing garaging ZIP. ","") &amp; IF($S391="","Missing cat zone. ","") &amp; IF($V391="","Missing valuation basis. ","") &amp; IF($W391="","Missing PD deductible. ","") &amp; IF($X391="","Missing liability limit. ","") &amp; IF($AB391="","Missing technical premium. ","") &amp; IF($AF391="","Missing surplus lines tax %. ",""))))</f>
      </c>
      <c r="AY391" s="44">
        <f>IF($M391="","",IF(ISNUMBER($M391),IF($M391&gt;=Header!$C$18,"YES — refer","No"),""))</f>
      </c>
      <c r="AZ391" s="44">
        <f>IF($AD391="","",IF(ISNUMBER($AD391),IF($AD391&lt;Header!$C$20,"BELOW MIN PREMIUM","OK"),""))</f>
      </c>
      <c r="BA391" s="32" t="inlineStr">
        <is>
          <t xml:space="preserve">Yes</t>
        </is>
      </c>
      <c r="BB391" s="32" t="inlineStr">
        <is>
          <t xml:space="preserve">Yes</t>
        </is>
      </c>
      <c r="BC391" s="30" t="inlineStr">
        <is>
          <t xml:space="preserve">Synthetic demo data</t>
        </is>
      </c>
      <c r="BE391" s="45">
        <f>IF(OR($A391="",$L391="",$H391=""),"",IF(AND(LEFT($L391,2)="06",$H391&gt;1945),"FAIL - pre-war class, year "&amp;$H391,IF(AND(LEFT($L391,2)="07",OR($H391&lt;1946,$H391&gt;1972)),"FAIL - 1946-72 class, year "&amp;$H391,IF(AND(LEFT($L391,2)="08",OR($H391&lt;1973,$H391&gt;1999)),"FAIL - 1973-99 class, year "&amp;$H391,IF(AND(LEFT($L391,2)="09",OR($H391&lt;2000,$H391&gt;2010)),"FAIL - 2000-10 class, year "&amp;$H391,"OK")))))</f>
      </c>
      <c r="BF391" s="45">
        <f>IF($AD391="","",IF(ROUND($AO391+$AP391+$AQ391-$AD391,2)=0,"OK","FAIL - out by "&amp;TEXT($AO391+$AP391+$AQ391-$AD391,"$0.00")))</f>
      </c>
    </row>
    <row r="392" spans="1:58" ht="18.75" customHeight="1" x14ac:dyDescent="0.25">
      <c r="A392" s="46" t="inlineStr">
        <is>
          <t xml:space="preserve">CANON-202508-000537</t>
        </is>
      </c>
      <c r="B392" s="46" t="inlineStr">
        <is>
          <t xml:space="preserve">Ramona Bellandi</t>
        </is>
      </c>
      <c r="C392" s="47">
        <v>45870</v>
      </c>
      <c r="D392" s="48" t="inlineStr">
        <is>
          <t xml:space="preserve">Bound - within authority</t>
        </is>
      </c>
      <c r="E392" s="48" t="inlineStr">
        <is>
          <t xml:space="preserve">New business</t>
        </is>
      </c>
      <c r="F392" s="46" t="inlineStr">
        <is>
          <t xml:space="preserve">B1234EXOTIC26</t>
        </is>
      </c>
      <c r="G392" s="33">
        <f>IF($A392="","",IF($C392="","",YEAR($C392)))</f>
      </c>
      <c r="H392" s="49">
        <v>2005</v>
      </c>
      <c r="I392" s="46" t="inlineStr">
        <is>
          <t xml:space="preserve">Ferrari</t>
        </is>
      </c>
      <c r="J392" s="46" t="inlineStr">
        <is>
          <t xml:space="preserve">SF90 Stradale</t>
        </is>
      </c>
      <c r="K392" s="46" t="inlineStr">
        <is>
          <t xml:space="preserve">D8A6EGMJUL1HUS10J</t>
        </is>
      </c>
      <c r="L392" s="48" t="inlineStr">
        <is>
          <t xml:space="preserve">03 - Supercar</t>
        </is>
      </c>
      <c r="M392" s="50">
        <v>1950000</v>
      </c>
      <c r="N392" s="48" t="inlineStr">
        <is>
          <t xml:space="preserve">Personal</t>
        </is>
      </c>
      <c r="O392" s="46" t="inlineStr">
        <is>
          <t xml:space="preserve">Personal - regular use</t>
        </is>
      </c>
      <c r="P392" s="46" t="inlineStr">
        <is>
          <t xml:space="preserve">1,000 - 2,500</t>
        </is>
      </c>
      <c r="Q392" s="46" t="inlineStr">
        <is>
          <t xml:space="preserve">Alabama</t>
        </is>
      </c>
      <c r="R392" s="46" t="inlineStr">
        <is>
          <t xml:space="preserve">35203</t>
        </is>
      </c>
      <c r="S392" s="48" t="inlineStr">
        <is>
          <t xml:space="preserve">Tier 2 - Coastal wind (1-25 miles)</t>
        </is>
      </c>
      <c r="T392" s="36">
        <f>IF($A392="","",IF($S392="","",IFERROR(INDEX('[1]natural catastrophe'!$D$6:$D$17,MATCH($S392,'[1]natural catastrophe'!$B$6:$B$17,0)),"?")))</f>
      </c>
      <c r="U392" s="46" t="inlineStr">
        <is>
          <t xml:space="preserve">2% of agreed value, minimum $10,000</t>
        </is>
      </c>
      <c r="V392" s="48" t="inlineStr">
        <is>
          <t xml:space="preserve">Agreed Value</t>
        </is>
      </c>
      <c r="W392" s="46" t="inlineStr">
        <is>
          <t xml:space="preserve">$1,000</t>
        </is>
      </c>
      <c r="X392" s="48" t="inlineStr">
        <is>
          <t xml:space="preserve">$1,000,000 CSL</t>
        </is>
      </c>
      <c r="Y392" s="46"/>
      <c r="Z392" s="46"/>
      <c r="AA392" s="48" t="inlineStr">
        <is>
          <t xml:space="preserve">Surplus Lines</t>
        </is>
      </c>
      <c r="AB392" s="50">
        <v>37381.13</v>
      </c>
      <c r="AC392" s="51">
        <v>0</v>
      </c>
      <c r="AD392" s="38">
        <f>IF(ISNUMBER($AB392),$AB392*(1+N($AC392)),"")</f>
      </c>
      <c r="AE392" s="50">
        <v>350</v>
      </c>
      <c r="AF392" s="50">
        <v>250</v>
      </c>
      <c r="AG392" s="51"/>
      <c r="AH392" s="39">
        <f>IF(ISNUMBER($AD392),($AD392+$AE392+$AF392)*$AG392,"")</f>
      </c>
      <c r="AI392" s="50"/>
      <c r="AJ392" s="38">
        <f>IF(ISNUMBER($AD392),SUM($AD392:$AH392),"")</f>
      </c>
      <c r="AK392" s="40">
        <f>IF(AND(ISNUMBER($AB392),ISNUMBER($AD392)),IF($AB392&gt;0,$AD392/$AB392,""),"")</f>
      </c>
      <c r="AL392" s="48" t="inlineStr">
        <is>
          <t xml:space="preserve">At technical</t>
        </is>
      </c>
      <c r="AM392" s="41">
        <f>IF(ISNUMBER($AD392),Header!$I$3,"")</f>
      </c>
      <c r="AN392" s="39">
        <f>IF(ISNUMBER($AD392),$AO392+$AP392,"")</f>
      </c>
      <c r="AO392" s="39">
        <f>IF(ISNUMBER($AD392),ROUND($AD392*Header!$K$3,2),"")</f>
      </c>
      <c r="AP392" s="39">
        <f>IF(ISNUMBER($AD392),ROUND($AD392*Header!$M$3,2),"")</f>
      </c>
      <c r="AQ392" s="38">
        <f>IF(ISNUMBER($AD392),ROUND($AD392,2)-$AO392-$AP392,"")</f>
      </c>
      <c r="AR392" s="39">
        <f>IF(ISNUMBER($AD392),IF(Header!$D$34="","?",$AD392*Header!$D$34),"")</f>
      </c>
      <c r="AS392" s="39">
        <f>IF(ISNUMBER($AB392),IF(Header!$D$34="","?",$AB392*Header!$D$34),"")</f>
      </c>
      <c r="AT392" s="42">
        <f>IF(AND(ISNUMBER($AB392),$M392&gt;0),$AB392/$M392*100,"")</f>
      </c>
      <c r="AU392" s="42">
        <f>IF(AND(ISNUMBER($AD392),$M392&gt;0),$AD392/$M392*100,"")</f>
      </c>
      <c r="AV392" s="40">
        <f>IF(AND(ISNUMBER($AB392),ISNUMBER($AD392),ABS($AB392)&gt;0),$AD392/$AB392,"")</f>
      </c>
      <c r="AW392" s="39">
        <f>IF(ISNUMBER($AD392),MAX(0,(1-0.55-Header!$O$3)*Header!$Q$3*$AQ392),"")</f>
      </c>
      <c r="AX392" s="43">
        <f>IF($A392="","",IF(TRIM(IF($A392="","Missing certificate ref. ","") &amp; IF($C392="","Missing effective date. ","") &amp; IF($D392="","Missing binding status. ","") &amp; IF($E392="","Missing movement type. ","") &amp; IF($I392="","Missing make. ","") &amp; IF($L392="","Missing vehicle class. ","") &amp; IF($M392="","Missing agreed value. ","") &amp; IF($N392="","Missing policy type. ","") &amp; IF($Q392="","Missing garaging state. ","") &amp; IF($R392="","Missing garaging ZIP. ","") &amp; IF($S392="","Missing cat zone. ","") &amp; IF($V392="","Missing valuation basis. ","") &amp; IF($W392="","Missing PD deductible. ","") &amp; IF($X392="","Missing liability limit. ","") &amp; IF($AB392="","Missing technical premium. ","") &amp; IF($AF392="","Missing surplus lines tax %. ",""))="","PASS","FAIL: "&amp;TRIM(IF($A392="","Missing certificate ref. ","") &amp; IF($C392="","Missing effective date. ","") &amp; IF($D392="","Missing binding status. ","") &amp; IF($E392="","Missing movement type. ","") &amp; IF($I392="","Missing make. ","") &amp; IF($L392="","Missing vehicle class. ","") &amp; IF($M392="","Missing agreed value. ","") &amp; IF($N392="","Missing policy type. ","") &amp; IF($Q392="","Missing garaging state. ","") &amp; IF($R392="","Missing garaging ZIP. ","") &amp; IF($S392="","Missing cat zone. ","") &amp; IF($V392="","Missing valuation basis. ","") &amp; IF($W392="","Missing PD deductible. ","") &amp; IF($X392="","Missing liability limit. ","") &amp; IF($AB392="","Missing technical premium. ","") &amp; IF($AF392="","Missing surplus lines tax %. ",""))))</f>
      </c>
      <c r="AY392" s="44">
        <f>IF($M392="","",IF(ISNUMBER($M392),IF($M392&gt;=Header!$C$18,"YES — refer","No"),""))</f>
      </c>
      <c r="AZ392" s="44">
        <f>IF($AD392="","",IF(ISNUMBER($AD392),IF($AD392&lt;Header!$C$20,"BELOW MIN PREMIUM","OK"),""))</f>
      </c>
      <c r="BA392" s="48" t="inlineStr">
        <is>
          <t xml:space="preserve">Yes</t>
        </is>
      </c>
      <c r="BB392" s="48" t="inlineStr">
        <is>
          <t xml:space="preserve">Yes</t>
        </is>
      </c>
      <c r="BC392" s="46" t="inlineStr">
        <is>
          <t xml:space="preserve">Synthetic demo data</t>
        </is>
      </c>
      <c r="BE392" s="45">
        <f>IF(OR($A392="",$L392="",$H392=""),"",IF(AND(LEFT($L392,2)="06",$H392&gt;1945),"FAIL - pre-war class, year "&amp;$H392,IF(AND(LEFT($L392,2)="07",OR($H392&lt;1946,$H392&gt;1972)),"FAIL - 1946-72 class, year "&amp;$H392,IF(AND(LEFT($L392,2)="08",OR($H392&lt;1973,$H392&gt;1999)),"FAIL - 1973-99 class, year "&amp;$H392,IF(AND(LEFT($L392,2)="09",OR($H392&lt;2000,$H392&gt;2010)),"FAIL - 2000-10 class, year "&amp;$H392,"OK")))))</f>
      </c>
      <c r="BF392" s="45">
        <f>IF($AD392="","",IF(ROUND($AO392+$AP392+$AQ392-$AD392,2)=0,"OK","FAIL - out by "&amp;TEXT($AO392+$AP392+$AQ392-$AD392,"$0.00")))</f>
      </c>
    </row>
    <row r="393" spans="1:58" ht="18.75" customHeight="1" x14ac:dyDescent="0.25">
      <c r="A393" s="30" t="inlineStr">
        <is>
          <t xml:space="preserve">CANON-202508-000538</t>
        </is>
      </c>
      <c r="B393" s="30" t="inlineStr">
        <is>
          <t xml:space="preserve">Ottilie Harrington</t>
        </is>
      </c>
      <c r="C393" s="31">
        <v>45882</v>
      </c>
      <c r="D393" s="32" t="inlineStr">
        <is>
          <t xml:space="preserve">Bound - within authority</t>
        </is>
      </c>
      <c r="E393" s="32" t="inlineStr">
        <is>
          <t xml:space="preserve">New business</t>
        </is>
      </c>
      <c r="F393" s="30" t="inlineStr">
        <is>
          <t xml:space="preserve">B1234EXOTIC26</t>
        </is>
      </c>
      <c r="G393" s="33">
        <f>IF($A393="","",IF($C393="","",YEAR($C393)))</f>
      </c>
      <c r="H393" s="34">
        <v>1975</v>
      </c>
      <c r="I393" s="30" t="inlineStr">
        <is>
          <t xml:space="preserve">Lamborghini</t>
        </is>
      </c>
      <c r="J393" s="30" t="inlineStr">
        <is>
          <t xml:space="preserve">Huracan EVO</t>
        </is>
      </c>
      <c r="K393" s="30" t="inlineStr">
        <is>
          <t xml:space="preserve">AKBGDVS1A68VJAKHY</t>
        </is>
      </c>
      <c r="L393" s="32" t="inlineStr">
        <is>
          <t xml:space="preserve">03 - Supercar</t>
        </is>
      </c>
      <c r="M393" s="35">
        <v>660000</v>
      </c>
      <c r="N393" s="32" t="inlineStr">
        <is>
          <t xml:space="preserve">Personal</t>
        </is>
      </c>
      <c r="O393" s="30" t="inlineStr">
        <is>
          <t xml:space="preserve">Personal - regular use</t>
        </is>
      </c>
      <c r="P393" s="30" t="inlineStr">
        <is>
          <t xml:space="preserve">2,500 - 5,000</t>
        </is>
      </c>
      <c r="Q393" s="30" t="inlineStr">
        <is>
          <t xml:space="preserve">Indiana</t>
        </is>
      </c>
      <c r="R393" s="30" t="inlineStr">
        <is>
          <t xml:space="preserve">46204</t>
        </is>
      </c>
      <c r="S393" s="32" t="inlineStr">
        <is>
          <t xml:space="preserve">Severe convective - hail / tornado (moderate)</t>
        </is>
      </c>
      <c r="T393" s="36">
        <f>IF($A393="","",IF($S393="","",IFERROR(INDEX('[1]natural catastrophe'!$D$6:$D$17,MATCH($S393,'[1]natural catastrophe'!$B$6:$B$17,0)),"?")))</f>
      </c>
      <c r="U393" s="30" t="inlineStr">
        <is>
          <t xml:space="preserve">$5,000</t>
        </is>
      </c>
      <c r="V393" s="32" t="inlineStr">
        <is>
          <t xml:space="preserve">Agreed Value</t>
        </is>
      </c>
      <c r="W393" s="30" t="inlineStr">
        <is>
          <t xml:space="preserve">$1,000</t>
        </is>
      </c>
      <c r="X393" s="32" t="inlineStr">
        <is>
          <t xml:space="preserve">$1,000,000 CSL</t>
        </is>
      </c>
      <c r="Y393" s="30"/>
      <c r="Z393" s="30"/>
      <c r="AA393" s="32" t="inlineStr">
        <is>
          <t xml:space="preserve">Surplus Lines</t>
        </is>
      </c>
      <c r="AB393" s="35">
        <v>14551.13</v>
      </c>
      <c r="AC393" s="37">
        <v>0</v>
      </c>
      <c r="AD393" s="38">
        <f>IF(ISNUMBER($AB393),$AB393*(1+N($AC393)),"")</f>
      </c>
      <c r="AE393" s="35">
        <v>350</v>
      </c>
      <c r="AF393" s="35">
        <v>0</v>
      </c>
      <c r="AG393" s="37"/>
      <c r="AH393" s="39">
        <f>IF(ISNUMBER($AD393),($AD393+$AE393+$AF393)*$AG393,"")</f>
      </c>
      <c r="AI393" s="35"/>
      <c r="AJ393" s="38">
        <f>IF(ISNUMBER($AD393),SUM($AD393:$AH393),"")</f>
      </c>
      <c r="AK393" s="40">
        <f>IF(AND(ISNUMBER($AB393),ISNUMBER($AD393)),IF($AB393&gt;0,$AD393/$AB393,""),"")</f>
      </c>
      <c r="AL393" s="32" t="inlineStr">
        <is>
          <t xml:space="preserve">At technical</t>
        </is>
      </c>
      <c r="AM393" s="41">
        <f>IF(ISNUMBER($AD393),Header!$I$3,"")</f>
      </c>
      <c r="AN393" s="39">
        <f>IF(ISNUMBER($AD393),$AO393+$AP393,"")</f>
      </c>
      <c r="AO393" s="39">
        <f>IF(ISNUMBER($AD393),ROUND($AD393*Header!$K$3,2),"")</f>
      </c>
      <c r="AP393" s="39">
        <f>IF(ISNUMBER($AD393),ROUND($AD393*Header!$M$3,2),"")</f>
      </c>
      <c r="AQ393" s="38">
        <f>IF(ISNUMBER($AD393),ROUND($AD393,2)-$AO393-$AP393,"")</f>
      </c>
      <c r="AR393" s="39">
        <f>IF(ISNUMBER($AD393),IF(Header!$D$34="","?",$AD393*Header!$D$34),"")</f>
      </c>
      <c r="AS393" s="39">
        <f>IF(ISNUMBER($AB393),IF(Header!$D$34="","?",$AB393*Header!$D$34),"")</f>
      </c>
      <c r="AT393" s="42">
        <f>IF(AND(ISNUMBER($AB393),$M393&gt;0),$AB393/$M393*100,"")</f>
      </c>
      <c r="AU393" s="42">
        <f>IF(AND(ISNUMBER($AD393),$M393&gt;0),$AD393/$M393*100,"")</f>
      </c>
      <c r="AV393" s="40">
        <f>IF(AND(ISNUMBER($AB393),ISNUMBER($AD393),ABS($AB393)&gt;0),$AD393/$AB393,"")</f>
      </c>
      <c r="AW393" s="39">
        <f>IF(ISNUMBER($AD393),MAX(0,(1-0.55-Header!$O$3)*Header!$Q$3*$AQ393),"")</f>
      </c>
      <c r="AX393" s="43">
        <f>IF($A393="","",IF(TRIM(IF($A393="","Missing certificate ref. ","") &amp; IF($C393="","Missing effective date. ","") &amp; IF($D393="","Missing binding status. ","") &amp; IF($E393="","Missing movement type. ","") &amp; IF($I393="","Missing make. ","") &amp; IF($L393="","Missing vehicle class. ","") &amp; IF($M393="","Missing agreed value. ","") &amp; IF($N393="","Missing policy type. ","") &amp; IF($Q393="","Missing garaging state. ","") &amp; IF($R393="","Missing garaging ZIP. ","") &amp; IF($S393="","Missing cat zone. ","") &amp; IF($V393="","Missing valuation basis. ","") &amp; IF($W393="","Missing PD deductible. ","") &amp; IF($X393="","Missing liability limit. ","") &amp; IF($AB393="","Missing technical premium. ","") &amp; IF($AF393="","Missing surplus lines tax %. ",""))="","PASS","FAIL: "&amp;TRIM(IF($A393="","Missing certificate ref. ","") &amp; IF($C393="","Missing effective date. ","") &amp; IF($D393="","Missing binding status. ","") &amp; IF($E393="","Missing movement type. ","") &amp; IF($I393="","Missing make. ","") &amp; IF($L393="","Missing vehicle class. ","") &amp; IF($M393="","Missing agreed value. ","") &amp; IF($N393="","Missing policy type. ","") &amp; IF($Q393="","Missing garaging state. ","") &amp; IF($R393="","Missing garaging ZIP. ","") &amp; IF($S393="","Missing cat zone. ","") &amp; IF($V393="","Missing valuation basis. ","") &amp; IF($W393="","Missing PD deductible. ","") &amp; IF($X393="","Missing liability limit. ","") &amp; IF($AB393="","Missing technical premium. ","") &amp; IF($AF393="","Missing surplus lines tax %. ",""))))</f>
      </c>
      <c r="AY393" s="44">
        <f>IF($M393="","",IF(ISNUMBER($M393),IF($M393&gt;=Header!$C$18,"YES — refer","No"),""))</f>
      </c>
      <c r="AZ393" s="44">
        <f>IF($AD393="","",IF(ISNUMBER($AD393),IF($AD393&lt;Header!$C$20,"BELOW MIN PREMIUM","OK"),""))</f>
      </c>
      <c r="BA393" s="32" t="inlineStr">
        <is>
          <t xml:space="preserve">Yes</t>
        </is>
      </c>
      <c r="BB393" s="32" t="inlineStr">
        <is>
          <t xml:space="preserve">Yes</t>
        </is>
      </c>
      <c r="BC393" s="30" t="inlineStr">
        <is>
          <t xml:space="preserve">Synthetic demo data</t>
        </is>
      </c>
      <c r="BE393" s="45">
        <f>IF(OR($A393="",$L393="",$H393=""),"",IF(AND(LEFT($L393,2)="06",$H393&gt;1945),"FAIL - pre-war class, year "&amp;$H393,IF(AND(LEFT($L393,2)="07",OR($H393&lt;1946,$H393&gt;1972)),"FAIL - 1946-72 class, year "&amp;$H393,IF(AND(LEFT($L393,2)="08",OR($H393&lt;1973,$H393&gt;1999)),"FAIL - 1973-99 class, year "&amp;$H393,IF(AND(LEFT($L393,2)="09",OR($H393&lt;2000,$H393&gt;2010)),"FAIL - 2000-10 class, year "&amp;$H393,"OK")))))</f>
      </c>
      <c r="BF393" s="45">
        <f>IF($AD393="","",IF(ROUND($AO393+$AP393+$AQ393-$AD393,2)=0,"OK","FAIL - out by "&amp;TEXT($AO393+$AP393+$AQ393-$AD393,"$0.00")))</f>
      </c>
    </row>
    <row r="394" spans="1:58" ht="18.75" customHeight="1" x14ac:dyDescent="0.25">
      <c r="A394" s="46" t="inlineStr">
        <is>
          <t xml:space="preserve">CANON-202508-000539</t>
        </is>
      </c>
      <c r="B394" s="46" t="inlineStr">
        <is>
          <t xml:space="preserve">Noor Castellanos</t>
        </is>
      </c>
      <c r="C394" s="47">
        <v>45896</v>
      </c>
      <c r="D394" s="48" t="inlineStr">
        <is>
          <t xml:space="preserve">Bound - within authority</t>
        </is>
      </c>
      <c r="E394" s="48" t="inlineStr">
        <is>
          <t xml:space="preserve">New business</t>
        </is>
      </c>
      <c r="F394" s="46" t="inlineStr">
        <is>
          <t xml:space="preserve">B1234EXOTIC26</t>
        </is>
      </c>
      <c r="G394" s="33">
        <f>IF($A394="","",IF($C394="","",YEAR($C394)))</f>
      </c>
      <c r="H394" s="49">
        <v>1972</v>
      </c>
      <c r="I394" s="46" t="inlineStr">
        <is>
          <t xml:space="preserve">Mercedes-Benz</t>
        </is>
      </c>
      <c r="J394" s="46" t="inlineStr">
        <is>
          <t xml:space="preserve">AMG GT</t>
        </is>
      </c>
      <c r="K394" s="46" t="inlineStr">
        <is>
          <t xml:space="preserve">1JTNA94YF18PSAR2P</t>
        </is>
      </c>
      <c r="L394" s="48" t="inlineStr">
        <is>
          <t xml:space="preserve">02 - Sports / GT</t>
        </is>
      </c>
      <c r="M394" s="50">
        <v>745000</v>
      </c>
      <c r="N394" s="48" t="inlineStr">
        <is>
          <t xml:space="preserve">Personal</t>
        </is>
      </c>
      <c r="O394" s="46" t="inlineStr">
        <is>
          <t xml:space="preserve">Personal - regular use</t>
        </is>
      </c>
      <c r="P394" s="46" t="inlineStr">
        <is>
          <t xml:space="preserve">Under 1,000</t>
        </is>
      </c>
      <c r="Q394" s="46" t="inlineStr">
        <is>
          <t xml:space="preserve">Florida</t>
        </is>
      </c>
      <c r="R394" s="46" t="inlineStr">
        <is>
          <t xml:space="preserve">33139</t>
        </is>
      </c>
      <c r="S394" s="48" t="inlineStr">
        <is>
          <t xml:space="preserve">Tier 2 - Coastal wind (1-25 miles)</t>
        </is>
      </c>
      <c r="T394" s="36">
        <f>IF($A394="","",IF($S394="","",IFERROR(INDEX('[1]natural catastrophe'!$D$6:$D$17,MATCH($S394,'[1]natural catastrophe'!$B$6:$B$17,0)),"?")))</f>
      </c>
      <c r="U394" s="46" t="inlineStr">
        <is>
          <t xml:space="preserve">2% of agreed value, minimum $10,000</t>
        </is>
      </c>
      <c r="V394" s="48" t="inlineStr">
        <is>
          <t xml:space="preserve">Agreed Value</t>
        </is>
      </c>
      <c r="W394" s="46" t="inlineStr">
        <is>
          <t xml:space="preserve">$1,000</t>
        </is>
      </c>
      <c r="X394" s="48" t="inlineStr">
        <is>
          <t xml:space="preserve">$1,000,000 CSL</t>
        </is>
      </c>
      <c r="Y394" s="46"/>
      <c r="Z394" s="46"/>
      <c r="AA394" s="48" t="inlineStr">
        <is>
          <t xml:space="preserve">Surplus Lines</t>
        </is>
      </c>
      <c r="AB394" s="50">
        <v>12974.25</v>
      </c>
      <c r="AC394" s="51">
        <v>0</v>
      </c>
      <c r="AD394" s="38">
        <f>IF(ISNUMBER($AB394),$AB394*(1+N($AC394)),"")</f>
      </c>
      <c r="AE394" s="50">
        <v>350</v>
      </c>
      <c r="AF394" s="50">
        <v>0</v>
      </c>
      <c r="AG394" s="51"/>
      <c r="AH394" s="39">
        <f>IF(ISNUMBER($AD394),($AD394+$AE394+$AF394)*$AG394,"")</f>
      </c>
      <c r="AI394" s="50"/>
      <c r="AJ394" s="38">
        <f>IF(ISNUMBER($AD394),SUM($AD394:$AH394),"")</f>
      </c>
      <c r="AK394" s="40">
        <f>IF(AND(ISNUMBER($AB394),ISNUMBER($AD394)),IF($AB394&gt;0,$AD394/$AB394,""),"")</f>
      </c>
      <c r="AL394" s="48" t="inlineStr">
        <is>
          <t xml:space="preserve">At technical</t>
        </is>
      </c>
      <c r="AM394" s="41">
        <f>IF(ISNUMBER($AD394),Header!$I$3,"")</f>
      </c>
      <c r="AN394" s="39">
        <f>IF(ISNUMBER($AD394),$AO394+$AP394,"")</f>
      </c>
      <c r="AO394" s="39">
        <f>IF(ISNUMBER($AD394),ROUND($AD394*Header!$K$3,2),"")</f>
      </c>
      <c r="AP394" s="39">
        <f>IF(ISNUMBER($AD394),ROUND($AD394*Header!$M$3,2),"")</f>
      </c>
      <c r="AQ394" s="38">
        <f>IF(ISNUMBER($AD394),ROUND($AD394,2)-$AO394-$AP394,"")</f>
      </c>
      <c r="AR394" s="39">
        <f>IF(ISNUMBER($AD394),IF(Header!$D$34="","?",$AD394*Header!$D$34),"")</f>
      </c>
      <c r="AS394" s="39">
        <f>IF(ISNUMBER($AB394),IF(Header!$D$34="","?",$AB394*Header!$D$34),"")</f>
      </c>
      <c r="AT394" s="42">
        <f>IF(AND(ISNUMBER($AB394),$M394&gt;0),$AB394/$M394*100,"")</f>
      </c>
      <c r="AU394" s="42">
        <f>IF(AND(ISNUMBER($AD394),$M394&gt;0),$AD394/$M394*100,"")</f>
      </c>
      <c r="AV394" s="40">
        <f>IF(AND(ISNUMBER($AB394),ISNUMBER($AD394),ABS($AB394)&gt;0),$AD394/$AB394,"")</f>
      </c>
      <c r="AW394" s="39">
        <f>IF(ISNUMBER($AD394),MAX(0,(1-0.55-Header!$O$3)*Header!$Q$3*$AQ394),"")</f>
      </c>
      <c r="AX394" s="43">
        <f>IF($A394="","",IF(TRIM(IF($A394="","Missing certificate ref. ","") &amp; IF($C394="","Missing effective date. ","") &amp; IF($D394="","Missing binding status. ","") &amp; IF($E394="","Missing movement type. ","") &amp; IF($I394="","Missing make. ","") &amp; IF($L394="","Missing vehicle class. ","") &amp; IF($M394="","Missing agreed value. ","") &amp; IF($N394="","Missing policy type. ","") &amp; IF($Q394="","Missing garaging state. ","") &amp; IF($R394="","Missing garaging ZIP. ","") &amp; IF($S394="","Missing cat zone. ","") &amp; IF($V394="","Missing valuation basis. ","") &amp; IF($W394="","Missing PD deductible. ","") &amp; IF($X394="","Missing liability limit. ","") &amp; IF($AB394="","Missing technical premium. ","") &amp; IF($AF394="","Missing surplus lines tax %. ",""))="","PASS","FAIL: "&amp;TRIM(IF($A394="","Missing certificate ref. ","") &amp; IF($C394="","Missing effective date. ","") &amp; IF($D394="","Missing binding status. ","") &amp; IF($E394="","Missing movement type. ","") &amp; IF($I394="","Missing make. ","") &amp; IF($L394="","Missing vehicle class. ","") &amp; IF($M394="","Missing agreed value. ","") &amp; IF($N394="","Missing policy type. ","") &amp; IF($Q394="","Missing garaging state. ","") &amp; IF($R394="","Missing garaging ZIP. ","") &amp; IF($S394="","Missing cat zone. ","") &amp; IF($V394="","Missing valuation basis. ","") &amp; IF($W394="","Missing PD deductible. ","") &amp; IF($X394="","Missing liability limit. ","") &amp; IF($AB394="","Missing technical premium. ","") &amp; IF($AF394="","Missing surplus lines tax %. ",""))))</f>
      </c>
      <c r="AY394" s="44">
        <f>IF($M394="","",IF(ISNUMBER($M394),IF($M394&gt;=Header!$C$18,"YES — refer","No"),""))</f>
      </c>
      <c r="AZ394" s="44">
        <f>IF($AD394="","",IF(ISNUMBER($AD394),IF($AD394&lt;Header!$C$20,"BELOW MIN PREMIUM","OK"),""))</f>
      </c>
      <c r="BA394" s="48" t="inlineStr">
        <is>
          <t xml:space="preserve">Yes</t>
        </is>
      </c>
      <c r="BB394" s="48" t="inlineStr">
        <is>
          <t xml:space="preserve">Yes</t>
        </is>
      </c>
      <c r="BC394" s="46" t="inlineStr">
        <is>
          <t xml:space="preserve">Synthetic demo data</t>
        </is>
      </c>
      <c r="BE394" s="45">
        <f>IF(OR($A394="",$L394="",$H394=""),"",IF(AND(LEFT($L394,2)="06",$H394&gt;1945),"FAIL - pre-war class, year "&amp;$H394,IF(AND(LEFT($L394,2)="07",OR($H394&lt;1946,$H394&gt;1972)),"FAIL - 1946-72 class, year "&amp;$H394,IF(AND(LEFT($L394,2)="08",OR($H394&lt;1973,$H394&gt;1999)),"FAIL - 1973-99 class, year "&amp;$H394,IF(AND(LEFT($L394,2)="09",OR($H394&lt;2000,$H394&gt;2010)),"FAIL - 2000-10 class, year "&amp;$H394,"OK")))))</f>
      </c>
      <c r="BF394" s="45">
        <f>IF($AD394="","",IF(ROUND($AO394+$AP394+$AQ394-$AD394,2)=0,"OK","FAIL - out by "&amp;TEXT($AO394+$AP394+$AQ394-$AD394,"$0.00")))</f>
      </c>
    </row>
    <row r="395" spans="1:58" ht="18.75" customHeight="1" x14ac:dyDescent="0.25">
      <c r="A395" s="30" t="inlineStr">
        <is>
          <t xml:space="preserve">CANON-202508-000540</t>
        </is>
      </c>
      <c r="B395" s="30" t="inlineStr">
        <is>
          <t xml:space="preserve">Sunniva Bellandi</t>
        </is>
      </c>
      <c r="C395" s="31">
        <v>45870</v>
      </c>
      <c r="D395" s="32" t="inlineStr">
        <is>
          <t xml:space="preserve">Bound - within authority</t>
        </is>
      </c>
      <c r="E395" s="32" t="inlineStr">
        <is>
          <t xml:space="preserve">New business</t>
        </is>
      </c>
      <c r="F395" s="30" t="inlineStr">
        <is>
          <t xml:space="preserve">B1234EXOTIC26</t>
        </is>
      </c>
      <c r="G395" s="33">
        <f>IF($A395="","",IF($C395="","",YEAR($C395)))</f>
      </c>
      <c r="H395" s="34">
        <v>1997</v>
      </c>
      <c r="I395" s="30" t="inlineStr">
        <is>
          <t xml:space="preserve">BMW</t>
        </is>
      </c>
      <c r="J395" s="30" t="inlineStr">
        <is>
          <t xml:space="preserve">M8 Competition</t>
        </is>
      </c>
      <c r="K395" s="30" t="inlineStr">
        <is>
          <t xml:space="preserve">930X07E8G8CR1A4CC</t>
        </is>
      </c>
      <c r="L395" s="32" t="inlineStr">
        <is>
          <t xml:space="preserve">02 - Sports / GT</t>
        </is>
      </c>
      <c r="M395" s="35">
        <v>295000</v>
      </c>
      <c r="N395" s="32" t="inlineStr">
        <is>
          <t xml:space="preserve">Personal</t>
        </is>
      </c>
      <c r="O395" s="30" t="inlineStr">
        <is>
          <t xml:space="preserve">Personal - regular use</t>
        </is>
      </c>
      <c r="P395" s="30" t="inlineStr">
        <is>
          <t xml:space="preserve">1,000 - 2,500</t>
        </is>
      </c>
      <c r="Q395" s="30" t="inlineStr">
        <is>
          <t xml:space="preserve">New Jersey</t>
        </is>
      </c>
      <c r="R395" s="30" t="inlineStr">
        <is>
          <t xml:space="preserve">07102</t>
        </is>
      </c>
      <c r="S395" s="32" t="inlineStr">
        <is>
          <t xml:space="preserve">Tier 3 - Coastal wind (25-100 miles)</t>
        </is>
      </c>
      <c r="T395" s="36">
        <f>IF($A395="","",IF($S395="","",IFERROR(INDEX('[1]natural catastrophe'!$D$6:$D$17,MATCH($S395,'[1]natural catastrophe'!$B$6:$B$17,0)),"?")))</f>
      </c>
      <c r="U395" s="30" t="inlineStr">
        <is>
          <t xml:space="preserve">2% of agreed value, minimum $10,000</t>
        </is>
      </c>
      <c r="V395" s="32" t="inlineStr">
        <is>
          <t xml:space="preserve">Agreed Value</t>
        </is>
      </c>
      <c r="W395" s="30" t="inlineStr">
        <is>
          <t xml:space="preserve">$1,000</t>
        </is>
      </c>
      <c r="X395" s="32" t="inlineStr">
        <is>
          <t xml:space="preserve">$1,000,000 CSL</t>
        </is>
      </c>
      <c r="Y395" s="30"/>
      <c r="Z395" s="30"/>
      <c r="AA395" s="32" t="inlineStr">
        <is>
          <t xml:space="preserve">Surplus Lines</t>
        </is>
      </c>
      <c r="AB395" s="35">
        <v>3798.82</v>
      </c>
      <c r="AC395" s="37">
        <v>0</v>
      </c>
      <c r="AD395" s="38">
        <f>IF(ISNUMBER($AB395),$AB395*(1+N($AC395)),"")</f>
      </c>
      <c r="AE395" s="35">
        <v>350</v>
      </c>
      <c r="AF395" s="35">
        <v>0</v>
      </c>
      <c r="AG395" s="37"/>
      <c r="AH395" s="39">
        <f>IF(ISNUMBER($AD395),($AD395+$AE395+$AF395)*$AG395,"")</f>
      </c>
      <c r="AI395" s="35"/>
      <c r="AJ395" s="38">
        <f>IF(ISNUMBER($AD395),SUM($AD395:$AH395),"")</f>
      </c>
      <c r="AK395" s="40">
        <f>IF(AND(ISNUMBER($AB395),ISNUMBER($AD395)),IF($AB395&gt;0,$AD395/$AB395,""),"")</f>
      </c>
      <c r="AL395" s="32" t="inlineStr">
        <is>
          <t xml:space="preserve">At technical</t>
        </is>
      </c>
      <c r="AM395" s="41">
        <f>IF(ISNUMBER($AD395),Header!$I$3,"")</f>
      </c>
      <c r="AN395" s="39">
        <f>IF(ISNUMBER($AD395),$AO395+$AP395,"")</f>
      </c>
      <c r="AO395" s="39">
        <f>IF(ISNUMBER($AD395),ROUND($AD395*Header!$K$3,2),"")</f>
      </c>
      <c r="AP395" s="39">
        <f>IF(ISNUMBER($AD395),ROUND($AD395*Header!$M$3,2),"")</f>
      </c>
      <c r="AQ395" s="38">
        <f>IF(ISNUMBER($AD395),ROUND($AD395,2)-$AO395-$AP395,"")</f>
      </c>
      <c r="AR395" s="39">
        <f>IF(ISNUMBER($AD395),IF(Header!$D$34="","?",$AD395*Header!$D$34),"")</f>
      </c>
      <c r="AS395" s="39">
        <f>IF(ISNUMBER($AB395),IF(Header!$D$34="","?",$AB395*Header!$D$34),"")</f>
      </c>
      <c r="AT395" s="42">
        <f>IF(AND(ISNUMBER($AB395),$M395&gt;0),$AB395/$M395*100,"")</f>
      </c>
      <c r="AU395" s="42">
        <f>IF(AND(ISNUMBER($AD395),$M395&gt;0),$AD395/$M395*100,"")</f>
      </c>
      <c r="AV395" s="40">
        <f>IF(AND(ISNUMBER($AB395),ISNUMBER($AD395),ABS($AB395)&gt;0),$AD395/$AB395,"")</f>
      </c>
      <c r="AW395" s="39">
        <f>IF(ISNUMBER($AD395),MAX(0,(1-0.55-Header!$O$3)*Header!$Q$3*$AQ395),"")</f>
      </c>
      <c r="AX395" s="43">
        <f>IF($A395="","",IF(TRIM(IF($A395="","Missing certificate ref. ","") &amp; IF($C395="","Missing effective date. ","") &amp; IF($D395="","Missing binding status. ","") &amp; IF($E395="","Missing movement type. ","") &amp; IF($I395="","Missing make. ","") &amp; IF($L395="","Missing vehicle class. ","") &amp; IF($M395="","Missing agreed value. ","") &amp; IF($N395="","Missing policy type. ","") &amp; IF($Q395="","Missing garaging state. ","") &amp; IF($R395="","Missing garaging ZIP. ","") &amp; IF($S395="","Missing cat zone. ","") &amp; IF($V395="","Missing valuation basis. ","") &amp; IF($W395="","Missing PD deductible. ","") &amp; IF($X395="","Missing liability limit. ","") &amp; IF($AB395="","Missing technical premium. ","") &amp; IF($AF395="","Missing surplus lines tax %. ",""))="","PASS","FAIL: "&amp;TRIM(IF($A395="","Missing certificate ref. ","") &amp; IF($C395="","Missing effective date. ","") &amp; IF($D395="","Missing binding status. ","") &amp; IF($E395="","Missing movement type. ","") &amp; IF($I395="","Missing make. ","") &amp; IF($L395="","Missing vehicle class. ","") &amp; IF($M395="","Missing agreed value. ","") &amp; IF($N395="","Missing policy type. ","") &amp; IF($Q395="","Missing garaging state. ","") &amp; IF($R395="","Missing garaging ZIP. ","") &amp; IF($S395="","Missing cat zone. ","") &amp; IF($V395="","Missing valuation basis. ","") &amp; IF($W395="","Missing PD deductible. ","") &amp; IF($X395="","Missing liability limit. ","") &amp; IF($AB395="","Missing technical premium. ","") &amp; IF($AF395="","Missing surplus lines tax %. ",""))))</f>
      </c>
      <c r="AY395" s="44">
        <f>IF($M395="","",IF(ISNUMBER($M395),IF($M395&gt;=Header!$C$18,"YES — refer","No"),""))</f>
      </c>
      <c r="AZ395" s="44">
        <f>IF($AD395="","",IF(ISNUMBER($AD395),IF($AD395&lt;Header!$C$20,"BELOW MIN PREMIUM","OK"),""))</f>
      </c>
      <c r="BA395" s="32" t="inlineStr">
        <is>
          <t xml:space="preserve">Yes</t>
        </is>
      </c>
      <c r="BB395" s="32" t="inlineStr">
        <is>
          <t xml:space="preserve">Yes</t>
        </is>
      </c>
      <c r="BC395" s="30" t="inlineStr">
        <is>
          <t xml:space="preserve">Synthetic demo data</t>
        </is>
      </c>
      <c r="BE395" s="45">
        <f>IF(OR($A395="",$L395="",$H395=""),"",IF(AND(LEFT($L395,2)="06",$H395&gt;1945),"FAIL - pre-war class, year "&amp;$H395,IF(AND(LEFT($L395,2)="07",OR($H395&lt;1946,$H395&gt;1972)),"FAIL - 1946-72 class, year "&amp;$H395,IF(AND(LEFT($L395,2)="08",OR($H395&lt;1973,$H395&gt;1999)),"FAIL - 1973-99 class, year "&amp;$H395,IF(AND(LEFT($L395,2)="09",OR($H395&lt;2000,$H395&gt;2010)),"FAIL - 2000-10 class, year "&amp;$H395,"OK")))))</f>
      </c>
      <c r="BF395" s="45">
        <f>IF($AD395="","",IF(ROUND($AO395+$AP395+$AQ395-$AD395,2)=0,"OK","FAIL - out by "&amp;TEXT($AO395+$AP395+$AQ395-$AD395,"$0.00")))</f>
      </c>
    </row>
    <row r="396" spans="1:58" ht="18.75" customHeight="1" x14ac:dyDescent="0.25">
      <c r="A396" s="46" t="inlineStr">
        <is>
          <t xml:space="preserve">CANON-202508-000543</t>
        </is>
      </c>
      <c r="B396" s="46" t="inlineStr">
        <is>
          <t xml:space="preserve">Emiliano Castellanos</t>
        </is>
      </c>
      <c r="C396" s="47">
        <v>45888</v>
      </c>
      <c r="D396" s="48" t="inlineStr">
        <is>
          <t xml:space="preserve">Bound - within authority</t>
        </is>
      </c>
      <c r="E396" s="48" t="inlineStr">
        <is>
          <t xml:space="preserve">New business</t>
        </is>
      </c>
      <c r="F396" s="46" t="inlineStr">
        <is>
          <t xml:space="preserve">B1234EXOTIC26</t>
        </is>
      </c>
      <c r="G396" s="33">
        <f>IF($A396="","",IF($C396="","",YEAR($C396)))</f>
      </c>
      <c r="H396" s="49">
        <v>1966</v>
      </c>
      <c r="I396" s="46" t="inlineStr">
        <is>
          <t xml:space="preserve">Ferrari</t>
        </is>
      </c>
      <c r="J396" s="46" t="inlineStr">
        <is>
          <t xml:space="preserve">296 GTB</t>
        </is>
      </c>
      <c r="K396" s="46" t="inlineStr">
        <is>
          <t xml:space="preserve">P44SZHXYCP82MYFB7</t>
        </is>
      </c>
      <c r="L396" s="48" t="inlineStr">
        <is>
          <t xml:space="preserve">03 - Supercar</t>
        </is>
      </c>
      <c r="M396" s="50">
        <v>1165000</v>
      </c>
      <c r="N396" s="48" t="inlineStr">
        <is>
          <t xml:space="preserve">Personal</t>
        </is>
      </c>
      <c r="O396" s="46" t="inlineStr">
        <is>
          <t xml:space="preserve">Personal - regular use</t>
        </is>
      </c>
      <c r="P396" s="46" t="inlineStr">
        <is>
          <t xml:space="preserve">Under 1,000</t>
        </is>
      </c>
      <c r="Q396" s="46" t="inlineStr">
        <is>
          <t xml:space="preserve">Georgia</t>
        </is>
      </c>
      <c r="R396" s="46" t="inlineStr">
        <is>
          <t xml:space="preserve">30303</t>
        </is>
      </c>
      <c r="S396" s="48" t="inlineStr">
        <is>
          <t xml:space="preserve">Tier 2 - Coastal wind (1-25 miles)</t>
        </is>
      </c>
      <c r="T396" s="36">
        <f>IF($A396="","",IF($S396="","",IFERROR(INDEX('[1]natural catastrophe'!$D$6:$D$17,MATCH($S396,'[1]natural catastrophe'!$B$6:$B$17,0)),"?")))</f>
      </c>
      <c r="U396" s="46" t="inlineStr">
        <is>
          <t xml:space="preserve">2% of agreed value, minimum $10,000</t>
        </is>
      </c>
      <c r="V396" s="48" t="inlineStr">
        <is>
          <t xml:space="preserve">Agreed Value</t>
        </is>
      </c>
      <c r="W396" s="46" t="inlineStr">
        <is>
          <t xml:space="preserve">$1,000</t>
        </is>
      </c>
      <c r="X396" s="48" t="inlineStr">
        <is>
          <t xml:space="preserve">$1,000,000 CSL</t>
        </is>
      </c>
      <c r="Y396" s="46"/>
      <c r="Z396" s="46"/>
      <c r="AA396" s="48" t="inlineStr">
        <is>
          <t xml:space="preserve">Surplus Lines</t>
        </is>
      </c>
      <c r="AB396" s="50">
        <v>19695.09</v>
      </c>
      <c r="AC396" s="51">
        <v>0</v>
      </c>
      <c r="AD396" s="38">
        <f>IF(ISNUMBER($AB396),$AB396*(1+N($AC396)),"")</f>
      </c>
      <c r="AE396" s="50">
        <v>350</v>
      </c>
      <c r="AF396" s="50">
        <v>250</v>
      </c>
      <c r="AG396" s="51"/>
      <c r="AH396" s="39">
        <f>IF(ISNUMBER($AD396),($AD396+$AE396+$AF396)*$AG396,"")</f>
      </c>
      <c r="AI396" s="50"/>
      <c r="AJ396" s="38">
        <f>IF(ISNUMBER($AD396),SUM($AD396:$AH396),"")</f>
      </c>
      <c r="AK396" s="40">
        <f>IF(AND(ISNUMBER($AB396),ISNUMBER($AD396)),IF($AB396&gt;0,$AD396/$AB396,""),"")</f>
      </c>
      <c r="AL396" s="48" t="inlineStr">
        <is>
          <t xml:space="preserve">At technical</t>
        </is>
      </c>
      <c r="AM396" s="41">
        <f>IF(ISNUMBER($AD396),Header!$I$3,"")</f>
      </c>
      <c r="AN396" s="39">
        <f>IF(ISNUMBER($AD396),$AO396+$AP396,"")</f>
      </c>
      <c r="AO396" s="39">
        <f>IF(ISNUMBER($AD396),ROUND($AD396*Header!$K$3,2),"")</f>
      </c>
      <c r="AP396" s="39">
        <f>IF(ISNUMBER($AD396),ROUND($AD396*Header!$M$3,2),"")</f>
      </c>
      <c r="AQ396" s="38">
        <f>IF(ISNUMBER($AD396),ROUND($AD396,2)-$AO396-$AP396,"")</f>
      </c>
      <c r="AR396" s="39">
        <f>IF(ISNUMBER($AD396),IF(Header!$D$34="","?",$AD396*Header!$D$34),"")</f>
      </c>
      <c r="AS396" s="39">
        <f>IF(ISNUMBER($AB396),IF(Header!$D$34="","?",$AB396*Header!$D$34),"")</f>
      </c>
      <c r="AT396" s="42">
        <f>IF(AND(ISNUMBER($AB396),$M396&gt;0),$AB396/$M396*100,"")</f>
      </c>
      <c r="AU396" s="42">
        <f>IF(AND(ISNUMBER($AD396),$M396&gt;0),$AD396/$M396*100,"")</f>
      </c>
      <c r="AV396" s="40">
        <f>IF(AND(ISNUMBER($AB396),ISNUMBER($AD396),ABS($AB396)&gt;0),$AD396/$AB396,"")</f>
      </c>
      <c r="AW396" s="39">
        <f>IF(ISNUMBER($AD396),MAX(0,(1-0.55-Header!$O$3)*Header!$Q$3*$AQ396),"")</f>
      </c>
      <c r="AX396" s="43">
        <f>IF($A396="","",IF(TRIM(IF($A396="","Missing certificate ref. ","") &amp; IF($C396="","Missing effective date. ","") &amp; IF($D396="","Missing binding status. ","") &amp; IF($E396="","Missing movement type. ","") &amp; IF($I396="","Missing make. ","") &amp; IF($L396="","Missing vehicle class. ","") &amp; IF($M396="","Missing agreed value. ","") &amp; IF($N396="","Missing policy type. ","") &amp; IF($Q396="","Missing garaging state. ","") &amp; IF($R396="","Missing garaging ZIP. ","") &amp; IF($S396="","Missing cat zone. ","") &amp; IF($V396="","Missing valuation basis. ","") &amp; IF($W396="","Missing PD deductible. ","") &amp; IF($X396="","Missing liability limit. ","") &amp; IF($AB396="","Missing technical premium. ","") &amp; IF($AF396="","Missing surplus lines tax %. ",""))="","PASS","FAIL: "&amp;TRIM(IF($A396="","Missing certificate ref. ","") &amp; IF($C396="","Missing effective date. ","") &amp; IF($D396="","Missing binding status. ","") &amp; IF($E396="","Missing movement type. ","") &amp; IF($I396="","Missing make. ","") &amp; IF($L396="","Missing vehicle class. ","") &amp; IF($M396="","Missing agreed value. ","") &amp; IF($N396="","Missing policy type. ","") &amp; IF($Q396="","Missing garaging state. ","") &amp; IF($R396="","Missing garaging ZIP. ","") &amp; IF($S396="","Missing cat zone. ","") &amp; IF($V396="","Missing valuation basis. ","") &amp; IF($W396="","Missing PD deductible. ","") &amp; IF($X396="","Missing liability limit. ","") &amp; IF($AB396="","Missing technical premium. ","") &amp; IF($AF396="","Missing surplus lines tax %. ",""))))</f>
      </c>
      <c r="AY396" s="44">
        <f>IF($M396="","",IF(ISNUMBER($M396),IF($M396&gt;=Header!$C$18,"YES — refer","No"),""))</f>
      </c>
      <c r="AZ396" s="44">
        <f>IF($AD396="","",IF(ISNUMBER($AD396),IF($AD396&lt;Header!$C$20,"BELOW MIN PREMIUM","OK"),""))</f>
      </c>
      <c r="BA396" s="48" t="inlineStr">
        <is>
          <t xml:space="preserve">Yes</t>
        </is>
      </c>
      <c r="BB396" s="48" t="inlineStr">
        <is>
          <t xml:space="preserve">Yes</t>
        </is>
      </c>
      <c r="BC396" s="46" t="inlineStr">
        <is>
          <t xml:space="preserve">Synthetic demo data</t>
        </is>
      </c>
      <c r="BE396" s="45">
        <f>IF(OR($A396="",$L396="",$H396=""),"",IF(AND(LEFT($L396,2)="06",$H396&gt;1945),"FAIL - pre-war class, year "&amp;$H396,IF(AND(LEFT($L396,2)="07",OR($H396&lt;1946,$H396&gt;1972)),"FAIL - 1946-72 class, year "&amp;$H396,IF(AND(LEFT($L396,2)="08",OR($H396&lt;1973,$H396&gt;1999)),"FAIL - 1973-99 class, year "&amp;$H396,IF(AND(LEFT($L396,2)="09",OR($H396&lt;2000,$H396&gt;2010)),"FAIL - 2000-10 class, year "&amp;$H396,"OK")))))</f>
      </c>
      <c r="BF396" s="45">
        <f>IF($AD396="","",IF(ROUND($AO396+$AP396+$AQ396-$AD396,2)=0,"OK","FAIL - out by "&amp;TEXT($AO396+$AP396+$AQ396-$AD396,"$0.00")))</f>
      </c>
    </row>
    <row r="397" spans="1:58" ht="18.75" customHeight="1" x14ac:dyDescent="0.25">
      <c r="A397" s="30" t="inlineStr">
        <is>
          <t xml:space="preserve">CANON-202508-000544</t>
        </is>
      </c>
      <c r="B397" s="30" t="inlineStr">
        <is>
          <t xml:space="preserve">Ottilie Whitlock</t>
        </is>
      </c>
      <c r="C397" s="31">
        <v>45897</v>
      </c>
      <c r="D397" s="32" t="inlineStr">
        <is>
          <t xml:space="preserve">Bound - within authority</t>
        </is>
      </c>
      <c r="E397" s="32" t="inlineStr">
        <is>
          <t xml:space="preserve">New business</t>
        </is>
      </c>
      <c r="F397" s="30" t="inlineStr">
        <is>
          <t xml:space="preserve">B1234EXOTIC26</t>
        </is>
      </c>
      <c r="G397" s="33">
        <f>IF($A397="","",IF($C397="","",YEAR($C397)))</f>
      </c>
      <c r="H397" s="34">
        <v>1990</v>
      </c>
      <c r="I397" s="30" t="inlineStr">
        <is>
          <t xml:space="preserve">Bentley</t>
        </is>
      </c>
      <c r="J397" s="30" t="inlineStr">
        <is>
          <t xml:space="preserve">Continental GT</t>
        </is>
      </c>
      <c r="K397" s="30" t="inlineStr">
        <is>
          <t xml:space="preserve">GS5XMSYT2HSCYTNKT</t>
        </is>
      </c>
      <c r="L397" s="32" t="inlineStr">
        <is>
          <t xml:space="preserve">02 - Sports / GT</t>
        </is>
      </c>
      <c r="M397" s="35">
        <v>1185000</v>
      </c>
      <c r="N397" s="32" t="inlineStr">
        <is>
          <t xml:space="preserve">Personal</t>
        </is>
      </c>
      <c r="O397" s="30" t="inlineStr">
        <is>
          <t xml:space="preserve">Personal - regular use</t>
        </is>
      </c>
      <c r="P397" s="30" t="inlineStr">
        <is>
          <t xml:space="preserve">1,000 - 2,500</t>
        </is>
      </c>
      <c r="Q397" s="30" t="inlineStr">
        <is>
          <t xml:space="preserve">Massachusetts</t>
        </is>
      </c>
      <c r="R397" s="30" t="inlineStr">
        <is>
          <t xml:space="preserve">02108</t>
        </is>
      </c>
      <c r="S397" s="32" t="inlineStr">
        <is>
          <t xml:space="preserve">Tier 3 - Coastal wind (25-100 miles)</t>
        </is>
      </c>
      <c r="T397" s="36">
        <f>IF($A397="","",IF($S397="","",IFERROR(INDEX('[1]natural catastrophe'!$D$6:$D$17,MATCH($S397,'[1]natural catastrophe'!$B$6:$B$17,0)),"?")))</f>
      </c>
      <c r="U397" s="30" t="inlineStr">
        <is>
          <t xml:space="preserve">2% of agreed value, minimum $10,000</t>
        </is>
      </c>
      <c r="V397" s="32" t="inlineStr">
        <is>
          <t xml:space="preserve">Agreed Value</t>
        </is>
      </c>
      <c r="W397" s="30" t="inlineStr">
        <is>
          <t xml:space="preserve">$1,000</t>
        </is>
      </c>
      <c r="X397" s="32" t="inlineStr">
        <is>
          <t xml:space="preserve">$1,000,000 CSL</t>
        </is>
      </c>
      <c r="Y397" s="30"/>
      <c r="Z397" s="30"/>
      <c r="AA397" s="32" t="inlineStr">
        <is>
          <t xml:space="preserve">Surplus Lines</t>
        </is>
      </c>
      <c r="AB397" s="35">
        <v>15371.46</v>
      </c>
      <c r="AC397" s="37">
        <v>0</v>
      </c>
      <c r="AD397" s="38">
        <f>IF(ISNUMBER($AB397),$AB397*(1+N($AC397)),"")</f>
      </c>
      <c r="AE397" s="35">
        <v>350</v>
      </c>
      <c r="AF397" s="35">
        <v>250</v>
      </c>
      <c r="AG397" s="37"/>
      <c r="AH397" s="39">
        <f>IF(ISNUMBER($AD397),($AD397+$AE397+$AF397)*$AG397,"")</f>
      </c>
      <c r="AI397" s="35"/>
      <c r="AJ397" s="38">
        <f>IF(ISNUMBER($AD397),SUM($AD397:$AH397),"")</f>
      </c>
      <c r="AK397" s="40">
        <f>IF(AND(ISNUMBER($AB397),ISNUMBER($AD397)),IF($AB397&gt;0,$AD397/$AB397,""),"")</f>
      </c>
      <c r="AL397" s="32" t="inlineStr">
        <is>
          <t xml:space="preserve">At technical</t>
        </is>
      </c>
      <c r="AM397" s="41">
        <f>IF(ISNUMBER($AD397),Header!$I$3,"")</f>
      </c>
      <c r="AN397" s="39">
        <f>IF(ISNUMBER($AD397),$AO397+$AP397,"")</f>
      </c>
      <c r="AO397" s="39">
        <f>IF(ISNUMBER($AD397),ROUND($AD397*Header!$K$3,2),"")</f>
      </c>
      <c r="AP397" s="39">
        <f>IF(ISNUMBER($AD397),ROUND($AD397*Header!$M$3,2),"")</f>
      </c>
      <c r="AQ397" s="38">
        <f>IF(ISNUMBER($AD397),ROUND($AD397,2)-$AO397-$AP397,"")</f>
      </c>
      <c r="AR397" s="39">
        <f>IF(ISNUMBER($AD397),IF(Header!$D$34="","?",$AD397*Header!$D$34),"")</f>
      </c>
      <c r="AS397" s="39">
        <f>IF(ISNUMBER($AB397),IF(Header!$D$34="","?",$AB397*Header!$D$34),"")</f>
      </c>
      <c r="AT397" s="42">
        <f>IF(AND(ISNUMBER($AB397),$M397&gt;0),$AB397/$M397*100,"")</f>
      </c>
      <c r="AU397" s="42">
        <f>IF(AND(ISNUMBER($AD397),$M397&gt;0),$AD397/$M397*100,"")</f>
      </c>
      <c r="AV397" s="40">
        <f>IF(AND(ISNUMBER($AB397),ISNUMBER($AD397),ABS($AB397)&gt;0),$AD397/$AB397,"")</f>
      </c>
      <c r="AW397" s="39">
        <f>IF(ISNUMBER($AD397),MAX(0,(1-0.55-Header!$O$3)*Header!$Q$3*$AQ397),"")</f>
      </c>
      <c r="AX397" s="43">
        <f>IF($A397="","",IF(TRIM(IF($A397="","Missing certificate ref. ","") &amp; IF($C397="","Missing effective date. ","") &amp; IF($D397="","Missing binding status. ","") &amp; IF($E397="","Missing movement type. ","") &amp; IF($I397="","Missing make. ","") &amp; IF($L397="","Missing vehicle class. ","") &amp; IF($M397="","Missing agreed value. ","") &amp; IF($N397="","Missing policy type. ","") &amp; IF($Q397="","Missing garaging state. ","") &amp; IF($R397="","Missing garaging ZIP. ","") &amp; IF($S397="","Missing cat zone. ","") &amp; IF($V397="","Missing valuation basis. ","") &amp; IF($W397="","Missing PD deductible. ","") &amp; IF($X397="","Missing liability limit. ","") &amp; IF($AB397="","Missing technical premium. ","") &amp; IF($AF397="","Missing surplus lines tax %. ",""))="","PASS","FAIL: "&amp;TRIM(IF($A397="","Missing certificate ref. ","") &amp; IF($C397="","Missing effective date. ","") &amp; IF($D397="","Missing binding status. ","") &amp; IF($E397="","Missing movement type. ","") &amp; IF($I397="","Missing make. ","") &amp; IF($L397="","Missing vehicle class. ","") &amp; IF($M397="","Missing agreed value. ","") &amp; IF($N397="","Missing policy type. ","") &amp; IF($Q397="","Missing garaging state. ","") &amp; IF($R397="","Missing garaging ZIP. ","") &amp; IF($S397="","Missing cat zone. ","") &amp; IF($V397="","Missing valuation basis. ","") &amp; IF($W397="","Missing PD deductible. ","") &amp; IF($X397="","Missing liability limit. ","") &amp; IF($AB397="","Missing technical premium. ","") &amp; IF($AF397="","Missing surplus lines tax %. ",""))))</f>
      </c>
      <c r="AY397" s="44">
        <f>IF($M397="","",IF(ISNUMBER($M397),IF($M397&gt;=Header!$C$18,"YES — refer","No"),""))</f>
      </c>
      <c r="AZ397" s="44">
        <f>IF($AD397="","",IF(ISNUMBER($AD397),IF($AD397&lt;Header!$C$20,"BELOW MIN PREMIUM","OK"),""))</f>
      </c>
      <c r="BA397" s="32" t="inlineStr">
        <is>
          <t xml:space="preserve">Yes</t>
        </is>
      </c>
      <c r="BB397" s="32" t="inlineStr">
        <is>
          <t xml:space="preserve">Yes</t>
        </is>
      </c>
      <c r="BC397" s="30" t="inlineStr">
        <is>
          <t xml:space="preserve">Synthetic demo data</t>
        </is>
      </c>
      <c r="BE397" s="45">
        <f>IF(OR($A397="",$L397="",$H397=""),"",IF(AND(LEFT($L397,2)="06",$H397&gt;1945),"FAIL - pre-war class, year "&amp;$H397,IF(AND(LEFT($L397,2)="07",OR($H397&lt;1946,$H397&gt;1972)),"FAIL - 1946-72 class, year "&amp;$H397,IF(AND(LEFT($L397,2)="08",OR($H397&lt;1973,$H397&gt;1999)),"FAIL - 1973-99 class, year "&amp;$H397,IF(AND(LEFT($L397,2)="09",OR($H397&lt;2000,$H397&gt;2010)),"FAIL - 2000-10 class, year "&amp;$H397,"OK")))))</f>
      </c>
      <c r="BF397" s="45">
        <f>IF($AD397="","",IF(ROUND($AO397+$AP397+$AQ397-$AD397,2)=0,"OK","FAIL - out by "&amp;TEXT($AO397+$AP397+$AQ397-$AD397,"$0.00")))</f>
      </c>
    </row>
    <row r="398" spans="1:58" ht="18.75" customHeight="1" x14ac:dyDescent="0.25">
      <c r="A398" s="46" t="inlineStr">
        <is>
          <t xml:space="preserve">CANON-202508-000546</t>
        </is>
      </c>
      <c r="B398" s="46" t="inlineStr">
        <is>
          <t xml:space="preserve">Beatrix Whitlock</t>
        </is>
      </c>
      <c r="C398" s="47">
        <v>45887</v>
      </c>
      <c r="D398" s="48" t="inlineStr">
        <is>
          <t xml:space="preserve">Bound - within authority</t>
        </is>
      </c>
      <c r="E398" s="48" t="inlineStr">
        <is>
          <t xml:space="preserve">New business</t>
        </is>
      </c>
      <c r="F398" s="46" t="inlineStr">
        <is>
          <t xml:space="preserve">B1234EXOTIC26</t>
        </is>
      </c>
      <c r="G398" s="33">
        <f>IF($A398="","",IF($C398="","",YEAR($C398)))</f>
      </c>
      <c r="H398" s="49">
        <v>2004</v>
      </c>
      <c r="I398" s="46" t="inlineStr">
        <is>
          <t xml:space="preserve">Mercedes-Benz</t>
        </is>
      </c>
      <c r="J398" s="46" t="inlineStr">
        <is>
          <t xml:space="preserve">AMG GT</t>
        </is>
      </c>
      <c r="K398" s="46" t="inlineStr">
        <is>
          <t xml:space="preserve">EN0UBBTR92PVNE0YX</t>
        </is>
      </c>
      <c r="L398" s="48" t="inlineStr">
        <is>
          <t xml:space="preserve">02 - Sports / GT</t>
        </is>
      </c>
      <c r="M398" s="50">
        <v>420000</v>
      </c>
      <c r="N398" s="48" t="inlineStr">
        <is>
          <t xml:space="preserve">Personal</t>
        </is>
      </c>
      <c r="O398" s="46" t="inlineStr">
        <is>
          <t xml:space="preserve">Personal - regular use</t>
        </is>
      </c>
      <c r="P398" s="46" t="inlineStr">
        <is>
          <t xml:space="preserve">Under 1,000</t>
        </is>
      </c>
      <c r="Q398" s="46" t="inlineStr">
        <is>
          <t xml:space="preserve">Washington</t>
        </is>
      </c>
      <c r="R398" s="46" t="inlineStr">
        <is>
          <t xml:space="preserve">98101</t>
        </is>
      </c>
      <c r="S398" s="48" t="inlineStr">
        <is>
          <t xml:space="preserve">Earthquake - high (CA, Cascadia, New Madrid)</t>
        </is>
      </c>
      <c r="T398" s="36">
        <f>IF($A398="","",IF($S398="","",IFERROR(INDEX('[1]natural catastrophe'!$D$6:$D$17,MATCH($S398,'[1]natural catastrophe'!$B$6:$B$17,0)),"?")))</f>
      </c>
      <c r="U398" s="46" t="inlineStr">
        <is>
          <t xml:space="preserve">$5,000</t>
        </is>
      </c>
      <c r="V398" s="48" t="inlineStr">
        <is>
          <t xml:space="preserve">Agreed Value</t>
        </is>
      </c>
      <c r="W398" s="46" t="inlineStr">
        <is>
          <t xml:space="preserve">$1,000</t>
        </is>
      </c>
      <c r="X398" s="48" t="inlineStr">
        <is>
          <t xml:space="preserve">$1,000,000 CSL</t>
        </is>
      </c>
      <c r="Y398" s="46"/>
      <c r="Z398" s="46"/>
      <c r="AA398" s="48" t="inlineStr">
        <is>
          <t xml:space="preserve">Surplus Lines</t>
        </is>
      </c>
      <c r="AB398" s="50">
        <v>5705.66</v>
      </c>
      <c r="AC398" s="51">
        <v>0</v>
      </c>
      <c r="AD398" s="38">
        <f>IF(ISNUMBER($AB398),$AB398*(1+N($AC398)),"")</f>
      </c>
      <c r="AE398" s="50">
        <v>350</v>
      </c>
      <c r="AF398" s="50">
        <v>0</v>
      </c>
      <c r="AG398" s="51"/>
      <c r="AH398" s="39">
        <f>IF(ISNUMBER($AD398),($AD398+$AE398+$AF398)*$AG398,"")</f>
      </c>
      <c r="AI398" s="50"/>
      <c r="AJ398" s="38">
        <f>IF(ISNUMBER($AD398),SUM($AD398:$AH398),"")</f>
      </c>
      <c r="AK398" s="40">
        <f>IF(AND(ISNUMBER($AB398),ISNUMBER($AD398)),IF($AB398&gt;0,$AD398/$AB398,""),"")</f>
      </c>
      <c r="AL398" s="48" t="inlineStr">
        <is>
          <t xml:space="preserve">At technical</t>
        </is>
      </c>
      <c r="AM398" s="41">
        <f>IF(ISNUMBER($AD398),Header!$I$3,"")</f>
      </c>
      <c r="AN398" s="39">
        <f>IF(ISNUMBER($AD398),$AO398+$AP398,"")</f>
      </c>
      <c r="AO398" s="39">
        <f>IF(ISNUMBER($AD398),ROUND($AD398*Header!$K$3,2),"")</f>
      </c>
      <c r="AP398" s="39">
        <f>IF(ISNUMBER($AD398),ROUND($AD398*Header!$M$3,2),"")</f>
      </c>
      <c r="AQ398" s="38">
        <f>IF(ISNUMBER($AD398),ROUND($AD398,2)-$AO398-$AP398,"")</f>
      </c>
      <c r="AR398" s="39">
        <f>IF(ISNUMBER($AD398),IF(Header!$D$34="","?",$AD398*Header!$D$34),"")</f>
      </c>
      <c r="AS398" s="39">
        <f>IF(ISNUMBER($AB398),IF(Header!$D$34="","?",$AB398*Header!$D$34),"")</f>
      </c>
      <c r="AT398" s="42">
        <f>IF(AND(ISNUMBER($AB398),$M398&gt;0),$AB398/$M398*100,"")</f>
      </c>
      <c r="AU398" s="42">
        <f>IF(AND(ISNUMBER($AD398),$M398&gt;0),$AD398/$M398*100,"")</f>
      </c>
      <c r="AV398" s="40">
        <f>IF(AND(ISNUMBER($AB398),ISNUMBER($AD398),ABS($AB398)&gt;0),$AD398/$AB398,"")</f>
      </c>
      <c r="AW398" s="39">
        <f>IF(ISNUMBER($AD398),MAX(0,(1-0.55-Header!$O$3)*Header!$Q$3*$AQ398),"")</f>
      </c>
      <c r="AX398" s="43">
        <f>IF($A398="","",IF(TRIM(IF($A398="","Missing certificate ref. ","") &amp; IF($C398="","Missing effective date. ","") &amp; IF($D398="","Missing binding status. ","") &amp; IF($E398="","Missing movement type. ","") &amp; IF($I398="","Missing make. ","") &amp; IF($L398="","Missing vehicle class. ","") &amp; IF($M398="","Missing agreed value. ","") &amp; IF($N398="","Missing policy type. ","") &amp; IF($Q398="","Missing garaging state. ","") &amp; IF($R398="","Missing garaging ZIP. ","") &amp; IF($S398="","Missing cat zone. ","") &amp; IF($V398="","Missing valuation basis. ","") &amp; IF($W398="","Missing PD deductible. ","") &amp; IF($X398="","Missing liability limit. ","") &amp; IF($AB398="","Missing technical premium. ","") &amp; IF($AF398="","Missing surplus lines tax %. ",""))="","PASS","FAIL: "&amp;TRIM(IF($A398="","Missing certificate ref. ","") &amp; IF($C398="","Missing effective date. ","") &amp; IF($D398="","Missing binding status. ","") &amp; IF($E398="","Missing movement type. ","") &amp; IF($I398="","Missing make. ","") &amp; IF($L398="","Missing vehicle class. ","") &amp; IF($M398="","Missing agreed value. ","") &amp; IF($N398="","Missing policy type. ","") &amp; IF($Q398="","Missing garaging state. ","") &amp; IF($R398="","Missing garaging ZIP. ","") &amp; IF($S398="","Missing cat zone. ","") &amp; IF($V398="","Missing valuation basis. ","") &amp; IF($W398="","Missing PD deductible. ","") &amp; IF($X398="","Missing liability limit. ","") &amp; IF($AB398="","Missing technical premium. ","") &amp; IF($AF398="","Missing surplus lines tax %. ",""))))</f>
      </c>
      <c r="AY398" s="44">
        <f>IF($M398="","",IF(ISNUMBER($M398),IF($M398&gt;=Header!$C$18,"YES — refer","No"),""))</f>
      </c>
      <c r="AZ398" s="44">
        <f>IF($AD398="","",IF(ISNUMBER($AD398),IF($AD398&lt;Header!$C$20,"BELOW MIN PREMIUM","OK"),""))</f>
      </c>
      <c r="BA398" s="48" t="inlineStr">
        <is>
          <t xml:space="preserve">Yes</t>
        </is>
      </c>
      <c r="BB398" s="48" t="inlineStr">
        <is>
          <t xml:space="preserve">Yes</t>
        </is>
      </c>
      <c r="BC398" s="46" t="inlineStr">
        <is>
          <t xml:space="preserve">Synthetic demo data</t>
        </is>
      </c>
      <c r="BE398" s="45">
        <f>IF(OR($A398="",$L398="",$H398=""),"",IF(AND(LEFT($L398,2)="06",$H398&gt;1945),"FAIL - pre-war class, year "&amp;$H398,IF(AND(LEFT($L398,2)="07",OR($H398&lt;1946,$H398&gt;1972)),"FAIL - 1946-72 class, year "&amp;$H398,IF(AND(LEFT($L398,2)="08",OR($H398&lt;1973,$H398&gt;1999)),"FAIL - 1973-99 class, year "&amp;$H398,IF(AND(LEFT($L398,2)="09",OR($H398&lt;2000,$H398&gt;2010)),"FAIL - 2000-10 class, year "&amp;$H398,"OK")))))</f>
      </c>
      <c r="BF398" s="45">
        <f>IF($AD398="","",IF(ROUND($AO398+$AP398+$AQ398-$AD398,2)=0,"OK","FAIL - out by "&amp;TEXT($AO398+$AP398+$AQ398-$AD398,"$0.00")))</f>
      </c>
    </row>
    <row r="399" spans="1:58" ht="18.75" customHeight="1" x14ac:dyDescent="0.25">
      <c r="A399" s="30" t="inlineStr">
        <is>
          <t xml:space="preserve">CANON-202508-000548</t>
        </is>
      </c>
      <c r="B399" s="30" t="inlineStr">
        <is>
          <t xml:space="preserve">Anouk Nakashima</t>
        </is>
      </c>
      <c r="C399" s="31">
        <v>45872</v>
      </c>
      <c r="D399" s="32" t="inlineStr">
        <is>
          <t xml:space="preserve">Bound - within authority</t>
        </is>
      </c>
      <c r="E399" s="32" t="inlineStr">
        <is>
          <t xml:space="preserve">New business</t>
        </is>
      </c>
      <c r="F399" s="30" t="inlineStr">
        <is>
          <t xml:space="preserve">B1234EXOTIC26</t>
        </is>
      </c>
      <c r="G399" s="33">
        <f>IF($A399="","",IF($C399="","",YEAR($C399)))</f>
      </c>
      <c r="H399" s="34">
        <v>2007</v>
      </c>
      <c r="I399" s="30" t="inlineStr">
        <is>
          <t xml:space="preserve">Mercedes-Benz</t>
        </is>
      </c>
      <c r="J399" s="30" t="inlineStr">
        <is>
          <t xml:space="preserve">AMG GT</t>
        </is>
      </c>
      <c r="K399" s="30" t="inlineStr">
        <is>
          <t xml:space="preserve">NAP31AJFRAUDC8G3N</t>
        </is>
      </c>
      <c r="L399" s="32" t="inlineStr">
        <is>
          <t xml:space="preserve">02 - Sports / GT</t>
        </is>
      </c>
      <c r="M399" s="35">
        <v>310000</v>
      </c>
      <c r="N399" s="32" t="inlineStr">
        <is>
          <t xml:space="preserve">Personal</t>
        </is>
      </c>
      <c r="O399" s="30" t="inlineStr">
        <is>
          <t xml:space="preserve">Personal - regular use</t>
        </is>
      </c>
      <c r="P399" s="30" t="inlineStr">
        <is>
          <t xml:space="preserve">2,500 - 5,000</t>
        </is>
      </c>
      <c r="Q399" s="30" t="inlineStr">
        <is>
          <t xml:space="preserve">Georgia</t>
        </is>
      </c>
      <c r="R399" s="30" t="inlineStr">
        <is>
          <t xml:space="preserve">30303</t>
        </is>
      </c>
      <c r="S399" s="32" t="inlineStr">
        <is>
          <t xml:space="preserve">Tier 2 - Coastal wind (1-25 miles)</t>
        </is>
      </c>
      <c r="T399" s="36">
        <f>IF($A399="","",IF($S399="","",IFERROR(INDEX('[1]natural catastrophe'!$D$6:$D$17,MATCH($S399,'[1]natural catastrophe'!$B$6:$B$17,0)),"?")))</f>
      </c>
      <c r="U399" s="30" t="inlineStr">
        <is>
          <t xml:space="preserve">2% of agreed value, minimum $10,000</t>
        </is>
      </c>
      <c r="V399" s="32" t="inlineStr">
        <is>
          <t xml:space="preserve">Agreed Value</t>
        </is>
      </c>
      <c r="W399" s="30" t="inlineStr">
        <is>
          <t xml:space="preserve">$1,000</t>
        </is>
      </c>
      <c r="X399" s="32" t="inlineStr">
        <is>
          <t xml:space="preserve">$1,000,000 CSL</t>
        </is>
      </c>
      <c r="Y399" s="30"/>
      <c r="Z399" s="30"/>
      <c r="AA399" s="32" t="inlineStr">
        <is>
          <t xml:space="preserve">Surplus Lines</t>
        </is>
      </c>
      <c r="AB399" s="35">
        <v>4913.21</v>
      </c>
      <c r="AC399" s="37">
        <v>0</v>
      </c>
      <c r="AD399" s="38">
        <f>IF(ISNUMBER($AB399),$AB399*(1+N($AC399)),"")</f>
      </c>
      <c r="AE399" s="35">
        <v>350</v>
      </c>
      <c r="AF399" s="35">
        <v>0</v>
      </c>
      <c r="AG399" s="37"/>
      <c r="AH399" s="39">
        <f>IF(ISNUMBER($AD399),($AD399+$AE399+$AF399)*$AG399,"")</f>
      </c>
      <c r="AI399" s="35"/>
      <c r="AJ399" s="38">
        <f>IF(ISNUMBER($AD399),SUM($AD399:$AH399),"")</f>
      </c>
      <c r="AK399" s="40">
        <f>IF(AND(ISNUMBER($AB399),ISNUMBER($AD399)),IF($AB399&gt;0,$AD399/$AB399,""),"")</f>
      </c>
      <c r="AL399" s="32" t="inlineStr">
        <is>
          <t xml:space="preserve">At technical</t>
        </is>
      </c>
      <c r="AM399" s="41">
        <f>IF(ISNUMBER($AD399),Header!$I$3,"")</f>
      </c>
      <c r="AN399" s="39">
        <f>IF(ISNUMBER($AD399),$AO399+$AP399,"")</f>
      </c>
      <c r="AO399" s="39">
        <f>IF(ISNUMBER($AD399),ROUND($AD399*Header!$K$3,2),"")</f>
      </c>
      <c r="AP399" s="39">
        <f>IF(ISNUMBER($AD399),ROUND($AD399*Header!$M$3,2),"")</f>
      </c>
      <c r="AQ399" s="38">
        <f>IF(ISNUMBER($AD399),ROUND($AD399,2)-$AO399-$AP399,"")</f>
      </c>
      <c r="AR399" s="39">
        <f>IF(ISNUMBER($AD399),IF(Header!$D$34="","?",$AD399*Header!$D$34),"")</f>
      </c>
      <c r="AS399" s="39">
        <f>IF(ISNUMBER($AB399),IF(Header!$D$34="","?",$AB399*Header!$D$34),"")</f>
      </c>
      <c r="AT399" s="42">
        <f>IF(AND(ISNUMBER($AB399),$M399&gt;0),$AB399/$M399*100,"")</f>
      </c>
      <c r="AU399" s="42">
        <f>IF(AND(ISNUMBER($AD399),$M399&gt;0),$AD399/$M399*100,"")</f>
      </c>
      <c r="AV399" s="40">
        <f>IF(AND(ISNUMBER($AB399),ISNUMBER($AD399),ABS($AB399)&gt;0),$AD399/$AB399,"")</f>
      </c>
      <c r="AW399" s="39">
        <f>IF(ISNUMBER($AD399),MAX(0,(1-0.55-Header!$O$3)*Header!$Q$3*$AQ399),"")</f>
      </c>
      <c r="AX399" s="43">
        <f>IF($A399="","",IF(TRIM(IF($A399="","Missing certificate ref. ","") &amp; IF($C399="","Missing effective date. ","") &amp; IF($D399="","Missing binding status. ","") &amp; IF($E399="","Missing movement type. ","") &amp; IF($I399="","Missing make. ","") &amp; IF($L399="","Missing vehicle class. ","") &amp; IF($M399="","Missing agreed value. ","") &amp; IF($N399="","Missing policy type. ","") &amp; IF($Q399="","Missing garaging state. ","") &amp; IF($R399="","Missing garaging ZIP. ","") &amp; IF($S399="","Missing cat zone. ","") &amp; IF($V399="","Missing valuation basis. ","") &amp; IF($W399="","Missing PD deductible. ","") &amp; IF($X399="","Missing liability limit. ","") &amp; IF($AB399="","Missing technical premium. ","") &amp; IF($AF399="","Missing surplus lines tax %. ",""))="","PASS","FAIL: "&amp;TRIM(IF($A399="","Missing certificate ref. ","") &amp; IF($C399="","Missing effective date. ","") &amp; IF($D399="","Missing binding status. ","") &amp; IF($E399="","Missing movement type. ","") &amp; IF($I399="","Missing make. ","") &amp; IF($L399="","Missing vehicle class. ","") &amp; IF($M399="","Missing agreed value. ","") &amp; IF($N399="","Missing policy type. ","") &amp; IF($Q399="","Missing garaging state. ","") &amp; IF($R399="","Missing garaging ZIP. ","") &amp; IF($S399="","Missing cat zone. ","") &amp; IF($V399="","Missing valuation basis. ","") &amp; IF($W399="","Missing PD deductible. ","") &amp; IF($X399="","Missing liability limit. ","") &amp; IF($AB399="","Missing technical premium. ","") &amp; IF($AF399="","Missing surplus lines tax %. ",""))))</f>
      </c>
      <c r="AY399" s="44">
        <f>IF($M399="","",IF(ISNUMBER($M399),IF($M399&gt;=Header!$C$18,"YES — refer","No"),""))</f>
      </c>
      <c r="AZ399" s="44">
        <f>IF($AD399="","",IF(ISNUMBER($AD399),IF($AD399&lt;Header!$C$20,"BELOW MIN PREMIUM","OK"),""))</f>
      </c>
      <c r="BA399" s="32" t="inlineStr">
        <is>
          <t xml:space="preserve">Yes</t>
        </is>
      </c>
      <c r="BB399" s="32" t="inlineStr">
        <is>
          <t xml:space="preserve">Yes</t>
        </is>
      </c>
      <c r="BC399" s="30" t="inlineStr">
        <is>
          <t xml:space="preserve">Synthetic demo data</t>
        </is>
      </c>
      <c r="BE399" s="45">
        <f>IF(OR($A399="",$L399="",$H399=""),"",IF(AND(LEFT($L399,2)="06",$H399&gt;1945),"FAIL - pre-war class, year "&amp;$H399,IF(AND(LEFT($L399,2)="07",OR($H399&lt;1946,$H399&gt;1972)),"FAIL - 1946-72 class, year "&amp;$H399,IF(AND(LEFT($L399,2)="08",OR($H399&lt;1973,$H399&gt;1999)),"FAIL - 1973-99 class, year "&amp;$H399,IF(AND(LEFT($L399,2)="09",OR($H399&lt;2000,$H399&gt;2010)),"FAIL - 2000-10 class, year "&amp;$H399,"OK")))))</f>
      </c>
      <c r="BF399" s="45">
        <f>IF($AD399="","",IF(ROUND($AO399+$AP399+$AQ399-$AD399,2)=0,"OK","FAIL - out by "&amp;TEXT($AO399+$AP399+$AQ399-$AD399,"$0.00")))</f>
      </c>
    </row>
    <row r="400" spans="1:58" ht="18.75" customHeight="1" x14ac:dyDescent="0.25">
      <c r="A400" s="46" t="inlineStr">
        <is>
          <t xml:space="preserve">CANON-202508-000549</t>
        </is>
      </c>
      <c r="B400" s="46" t="inlineStr">
        <is>
          <t xml:space="preserve">Fenwick Okonkwo</t>
        </is>
      </c>
      <c r="C400" s="47">
        <v>45895</v>
      </c>
      <c r="D400" s="48" t="inlineStr">
        <is>
          <t xml:space="preserve">Bound - within authority</t>
        </is>
      </c>
      <c r="E400" s="48" t="inlineStr">
        <is>
          <t xml:space="preserve">New business</t>
        </is>
      </c>
      <c r="F400" s="46" t="inlineStr">
        <is>
          <t xml:space="preserve">B1234EXOTIC26</t>
        </is>
      </c>
      <c r="G400" s="33">
        <f>IF($A400="","",IF($C400="","",YEAR($C400)))</f>
      </c>
      <c r="H400" s="49">
        <v>1973</v>
      </c>
      <c r="I400" s="46" t="inlineStr">
        <is>
          <t xml:space="preserve">Maserati</t>
        </is>
      </c>
      <c r="J400" s="46" t="inlineStr">
        <is>
          <t xml:space="preserve">GranTurismo</t>
        </is>
      </c>
      <c r="K400" s="46" t="inlineStr">
        <is>
          <t xml:space="preserve">6TVMNXZDGZBSN25K9</t>
        </is>
      </c>
      <c r="L400" s="48" t="inlineStr">
        <is>
          <t xml:space="preserve">02 - Sports / GT</t>
        </is>
      </c>
      <c r="M400" s="50">
        <v>1035000</v>
      </c>
      <c r="N400" s="48" t="inlineStr">
        <is>
          <t xml:space="preserve">Personal</t>
        </is>
      </c>
      <c r="O400" s="46" t="inlineStr">
        <is>
          <t xml:space="preserve">Personal - regular use</t>
        </is>
      </c>
      <c r="P400" s="46" t="inlineStr">
        <is>
          <t xml:space="preserve">Under 1,000</t>
        </is>
      </c>
      <c r="Q400" s="46" t="inlineStr">
        <is>
          <t xml:space="preserve">Louisiana</t>
        </is>
      </c>
      <c r="R400" s="46" t="inlineStr">
        <is>
          <t xml:space="preserve">70112</t>
        </is>
      </c>
      <c r="S400" s="48" t="inlineStr">
        <is>
          <t xml:space="preserve">Tier 2 - Coastal wind (1-25 miles)</t>
        </is>
      </c>
      <c r="T400" s="36">
        <f>IF($A400="","",IF($S400="","",IFERROR(INDEX('[1]natural catastrophe'!$D$6:$D$17,MATCH($S400,'[1]natural catastrophe'!$B$6:$B$17,0)),"?")))</f>
      </c>
      <c r="U400" s="46" t="inlineStr">
        <is>
          <t xml:space="preserve">2% of agreed value, minimum $10,000</t>
        </is>
      </c>
      <c r="V400" s="48" t="inlineStr">
        <is>
          <t xml:space="preserve">Agreed Value</t>
        </is>
      </c>
      <c r="W400" s="46" t="inlineStr">
        <is>
          <t xml:space="preserve">$1,000</t>
        </is>
      </c>
      <c r="X400" s="48" t="inlineStr">
        <is>
          <t xml:space="preserve">$1,000,000 CSL</t>
        </is>
      </c>
      <c r="Y400" s="46"/>
      <c r="Z400" s="46"/>
      <c r="AA400" s="48" t="inlineStr">
        <is>
          <t xml:space="preserve">Surplus Lines</t>
        </is>
      </c>
      <c r="AB400" s="50">
        <v>12996.08</v>
      </c>
      <c r="AC400" s="51">
        <v>0</v>
      </c>
      <c r="AD400" s="38">
        <f>IF(ISNUMBER($AB400),$AB400*(1+N($AC400)),"")</f>
      </c>
      <c r="AE400" s="50">
        <v>350</v>
      </c>
      <c r="AF400" s="50">
        <v>250</v>
      </c>
      <c r="AG400" s="51"/>
      <c r="AH400" s="39">
        <f>IF(ISNUMBER($AD400),($AD400+$AE400+$AF400)*$AG400,"")</f>
      </c>
      <c r="AI400" s="50"/>
      <c r="AJ400" s="38">
        <f>IF(ISNUMBER($AD400),SUM($AD400:$AH400),"")</f>
      </c>
      <c r="AK400" s="40">
        <f>IF(AND(ISNUMBER($AB400),ISNUMBER($AD400)),IF($AB400&gt;0,$AD400/$AB400,""),"")</f>
      </c>
      <c r="AL400" s="48" t="inlineStr">
        <is>
          <t xml:space="preserve">At technical</t>
        </is>
      </c>
      <c r="AM400" s="41">
        <f>IF(ISNUMBER($AD400),Header!$I$3,"")</f>
      </c>
      <c r="AN400" s="39">
        <f>IF(ISNUMBER($AD400),$AO400+$AP400,"")</f>
      </c>
      <c r="AO400" s="39">
        <f>IF(ISNUMBER($AD400),ROUND($AD400*Header!$K$3,2),"")</f>
      </c>
      <c r="AP400" s="39">
        <f>IF(ISNUMBER($AD400),ROUND($AD400*Header!$M$3,2),"")</f>
      </c>
      <c r="AQ400" s="38">
        <f>IF(ISNUMBER($AD400),ROUND($AD400,2)-$AO400-$AP400,"")</f>
      </c>
      <c r="AR400" s="39">
        <f>IF(ISNUMBER($AD400),IF(Header!$D$34="","?",$AD400*Header!$D$34),"")</f>
      </c>
      <c r="AS400" s="39">
        <f>IF(ISNUMBER($AB400),IF(Header!$D$34="","?",$AB400*Header!$D$34),"")</f>
      </c>
      <c r="AT400" s="42">
        <f>IF(AND(ISNUMBER($AB400),$M400&gt;0),$AB400/$M400*100,"")</f>
      </c>
      <c r="AU400" s="42">
        <f>IF(AND(ISNUMBER($AD400),$M400&gt;0),$AD400/$M400*100,"")</f>
      </c>
      <c r="AV400" s="40">
        <f>IF(AND(ISNUMBER($AB400),ISNUMBER($AD400),ABS($AB400)&gt;0),$AD400/$AB400,"")</f>
      </c>
      <c r="AW400" s="39">
        <f>IF(ISNUMBER($AD400),MAX(0,(1-0.55-Header!$O$3)*Header!$Q$3*$AQ400),"")</f>
      </c>
      <c r="AX400" s="43">
        <f>IF($A400="","",IF(TRIM(IF($A400="","Missing certificate ref. ","") &amp; IF($C400="","Missing effective date. ","") &amp; IF($D400="","Missing binding status. ","") &amp; IF($E400="","Missing movement type. ","") &amp; IF($I400="","Missing make. ","") &amp; IF($L400="","Missing vehicle class. ","") &amp; IF($M400="","Missing agreed value. ","") &amp; IF($N400="","Missing policy type. ","") &amp; IF($Q400="","Missing garaging state. ","") &amp; IF($R400="","Missing garaging ZIP. ","") &amp; IF($S400="","Missing cat zone. ","") &amp; IF($V400="","Missing valuation basis. ","") &amp; IF($W400="","Missing PD deductible. ","") &amp; IF($X400="","Missing liability limit. ","") &amp; IF($AB400="","Missing technical premium. ","") &amp; IF($AF400="","Missing surplus lines tax %. ",""))="","PASS","FAIL: "&amp;TRIM(IF($A400="","Missing certificate ref. ","") &amp; IF($C400="","Missing effective date. ","") &amp; IF($D400="","Missing binding status. ","") &amp; IF($E400="","Missing movement type. ","") &amp; IF($I400="","Missing make. ","") &amp; IF($L400="","Missing vehicle class. ","") &amp; IF($M400="","Missing agreed value. ","") &amp; IF($N400="","Missing policy type. ","") &amp; IF($Q400="","Missing garaging state. ","") &amp; IF($R400="","Missing garaging ZIP. ","") &amp; IF($S400="","Missing cat zone. ","") &amp; IF($V400="","Missing valuation basis. ","") &amp; IF($W400="","Missing PD deductible. ","") &amp; IF($X400="","Missing liability limit. ","") &amp; IF($AB400="","Missing technical premium. ","") &amp; IF($AF400="","Missing surplus lines tax %. ",""))))</f>
      </c>
      <c r="AY400" s="44">
        <f>IF($M400="","",IF(ISNUMBER($M400),IF($M400&gt;=Header!$C$18,"YES — refer","No"),""))</f>
      </c>
      <c r="AZ400" s="44">
        <f>IF($AD400="","",IF(ISNUMBER($AD400),IF($AD400&lt;Header!$C$20,"BELOW MIN PREMIUM","OK"),""))</f>
      </c>
      <c r="BA400" s="48" t="inlineStr">
        <is>
          <t xml:space="preserve">Yes</t>
        </is>
      </c>
      <c r="BB400" s="48" t="inlineStr">
        <is>
          <t xml:space="preserve">Yes</t>
        </is>
      </c>
      <c r="BC400" s="46" t="inlineStr">
        <is>
          <t xml:space="preserve">Synthetic demo data</t>
        </is>
      </c>
      <c r="BE400" s="45">
        <f>IF(OR($A400="",$L400="",$H400=""),"",IF(AND(LEFT($L400,2)="06",$H400&gt;1945),"FAIL - pre-war class, year "&amp;$H400,IF(AND(LEFT($L400,2)="07",OR($H400&lt;1946,$H400&gt;1972)),"FAIL - 1946-72 class, year "&amp;$H400,IF(AND(LEFT($L400,2)="08",OR($H400&lt;1973,$H400&gt;1999)),"FAIL - 1973-99 class, year "&amp;$H400,IF(AND(LEFT($L400,2)="09",OR($H400&lt;2000,$H400&gt;2010)),"FAIL - 2000-10 class, year "&amp;$H400,"OK")))))</f>
      </c>
      <c r="BF400" s="45">
        <f>IF($AD400="","",IF(ROUND($AO400+$AP400+$AQ400-$AD400,2)=0,"OK","FAIL - out by "&amp;TEXT($AO400+$AP400+$AQ400-$AD400,"$0.00")))</f>
      </c>
    </row>
    <row r="401" spans="1:58" ht="18.75" customHeight="1" x14ac:dyDescent="0.25">
      <c r="A401" s="30" t="inlineStr">
        <is>
          <t xml:space="preserve">CANON-202508-000550</t>
        </is>
      </c>
      <c r="B401" s="30" t="inlineStr">
        <is>
          <t xml:space="preserve">Ingrid Farkas</t>
        </is>
      </c>
      <c r="C401" s="31">
        <v>45895</v>
      </c>
      <c r="D401" s="32" t="inlineStr">
        <is>
          <t xml:space="preserve">Bound - within authority</t>
        </is>
      </c>
      <c r="E401" s="32" t="inlineStr">
        <is>
          <t xml:space="preserve">New business</t>
        </is>
      </c>
      <c r="F401" s="30" t="inlineStr">
        <is>
          <t xml:space="preserve">B1234EXOTIC26</t>
        </is>
      </c>
      <c r="G401" s="33">
        <f>IF($A401="","",IF($C401="","",YEAR($C401)))</f>
      </c>
      <c r="H401" s="34">
        <v>1961</v>
      </c>
      <c r="I401" s="30" t="inlineStr">
        <is>
          <t xml:space="preserve">Maserati</t>
        </is>
      </c>
      <c r="J401" s="30" t="inlineStr">
        <is>
          <t xml:space="preserve">GranTurismo</t>
        </is>
      </c>
      <c r="K401" s="30" t="inlineStr">
        <is>
          <t xml:space="preserve">BVMJNHDNGT5SRXT7B</t>
        </is>
      </c>
      <c r="L401" s="32" t="inlineStr">
        <is>
          <t xml:space="preserve">02 - Sports / GT</t>
        </is>
      </c>
      <c r="M401" s="35">
        <v>545000</v>
      </c>
      <c r="N401" s="32" t="inlineStr">
        <is>
          <t xml:space="preserve">Personal</t>
        </is>
      </c>
      <c r="O401" s="30" t="inlineStr">
        <is>
          <t xml:space="preserve">Personal - regular use</t>
        </is>
      </c>
      <c r="P401" s="30" t="inlineStr">
        <is>
          <t xml:space="preserve">1,000 - 2,500</t>
        </is>
      </c>
      <c r="Q401" s="30" t="inlineStr">
        <is>
          <t xml:space="preserve">Minnesota</t>
        </is>
      </c>
      <c r="R401" s="30" t="inlineStr">
        <is>
          <t xml:space="preserve">55401</t>
        </is>
      </c>
      <c r="S401" s="32" t="inlineStr">
        <is>
          <t xml:space="preserve">Severe convective - hail / tornado (moderate)</t>
        </is>
      </c>
      <c r="T401" s="36">
        <f>IF($A401="","",IF($S401="","",IFERROR(INDEX('[1]natural catastrophe'!$D$6:$D$17,MATCH($S401,'[1]natural catastrophe'!$B$6:$B$17,0)),"?")))</f>
      </c>
      <c r="U401" s="30" t="inlineStr">
        <is>
          <t xml:space="preserve">$5,000</t>
        </is>
      </c>
      <c r="V401" s="32" t="inlineStr">
        <is>
          <t xml:space="preserve">Agreed Value</t>
        </is>
      </c>
      <c r="W401" s="30" t="inlineStr">
        <is>
          <t xml:space="preserve">$1,000</t>
        </is>
      </c>
      <c r="X401" s="32" t="inlineStr">
        <is>
          <t xml:space="preserve">$1,000,000 CSL</t>
        </is>
      </c>
      <c r="Y401" s="30"/>
      <c r="Z401" s="30"/>
      <c r="AA401" s="32" t="inlineStr">
        <is>
          <t xml:space="preserve">Surplus Lines</t>
        </is>
      </c>
      <c r="AB401" s="35">
        <v>8822.83</v>
      </c>
      <c r="AC401" s="37">
        <v>0</v>
      </c>
      <c r="AD401" s="38">
        <f>IF(ISNUMBER($AB401),$AB401*(1+N($AC401)),"")</f>
      </c>
      <c r="AE401" s="35">
        <v>350</v>
      </c>
      <c r="AF401" s="35">
        <v>0</v>
      </c>
      <c r="AG401" s="37"/>
      <c r="AH401" s="39">
        <f>IF(ISNUMBER($AD401),($AD401+$AE401+$AF401)*$AG401,"")</f>
      </c>
      <c r="AI401" s="35"/>
      <c r="AJ401" s="38">
        <f>IF(ISNUMBER($AD401),SUM($AD401:$AH401),"")</f>
      </c>
      <c r="AK401" s="40">
        <f>IF(AND(ISNUMBER($AB401),ISNUMBER($AD401)),IF($AB401&gt;0,$AD401/$AB401,""),"")</f>
      </c>
      <c r="AL401" s="32" t="inlineStr">
        <is>
          <t xml:space="preserve">At technical</t>
        </is>
      </c>
      <c r="AM401" s="41">
        <f>IF(ISNUMBER($AD401),Header!$I$3,"")</f>
      </c>
      <c r="AN401" s="39">
        <f>IF(ISNUMBER($AD401),$AO401+$AP401,"")</f>
      </c>
      <c r="AO401" s="39">
        <f>IF(ISNUMBER($AD401),ROUND($AD401*Header!$K$3,2),"")</f>
      </c>
      <c r="AP401" s="39">
        <f>IF(ISNUMBER($AD401),ROUND($AD401*Header!$M$3,2),"")</f>
      </c>
      <c r="AQ401" s="38">
        <f>IF(ISNUMBER($AD401),ROUND($AD401,2)-$AO401-$AP401,"")</f>
      </c>
      <c r="AR401" s="39">
        <f>IF(ISNUMBER($AD401),IF(Header!$D$34="","?",$AD401*Header!$D$34),"")</f>
      </c>
      <c r="AS401" s="39">
        <f>IF(ISNUMBER($AB401),IF(Header!$D$34="","?",$AB401*Header!$D$34),"")</f>
      </c>
      <c r="AT401" s="42">
        <f>IF(AND(ISNUMBER($AB401),$M401&gt;0),$AB401/$M401*100,"")</f>
      </c>
      <c r="AU401" s="42">
        <f>IF(AND(ISNUMBER($AD401),$M401&gt;0),$AD401/$M401*100,"")</f>
      </c>
      <c r="AV401" s="40">
        <f>IF(AND(ISNUMBER($AB401),ISNUMBER($AD401),ABS($AB401)&gt;0),$AD401/$AB401,"")</f>
      </c>
      <c r="AW401" s="39">
        <f>IF(ISNUMBER($AD401),MAX(0,(1-0.55-Header!$O$3)*Header!$Q$3*$AQ401),"")</f>
      </c>
      <c r="AX401" s="43">
        <f>IF($A401="","",IF(TRIM(IF($A401="","Missing certificate ref. ","") &amp; IF($C401="","Missing effective date. ","") &amp; IF($D401="","Missing binding status. ","") &amp; IF($E401="","Missing movement type. ","") &amp; IF($I401="","Missing make. ","") &amp; IF($L401="","Missing vehicle class. ","") &amp; IF($M401="","Missing agreed value. ","") &amp; IF($N401="","Missing policy type. ","") &amp; IF($Q401="","Missing garaging state. ","") &amp; IF($R401="","Missing garaging ZIP. ","") &amp; IF($S401="","Missing cat zone. ","") &amp; IF($V401="","Missing valuation basis. ","") &amp; IF($W401="","Missing PD deductible. ","") &amp; IF($X401="","Missing liability limit. ","") &amp; IF($AB401="","Missing technical premium. ","") &amp; IF($AF401="","Missing surplus lines tax %. ",""))="","PASS","FAIL: "&amp;TRIM(IF($A401="","Missing certificate ref. ","") &amp; IF($C401="","Missing effective date. ","") &amp; IF($D401="","Missing binding status. ","") &amp; IF($E401="","Missing movement type. ","") &amp; IF($I401="","Missing make. ","") &amp; IF($L401="","Missing vehicle class. ","") &amp; IF($M401="","Missing agreed value. ","") &amp; IF($N401="","Missing policy type. ","") &amp; IF($Q401="","Missing garaging state. ","") &amp; IF($R401="","Missing garaging ZIP. ","") &amp; IF($S401="","Missing cat zone. ","") &amp; IF($V401="","Missing valuation basis. ","") &amp; IF($W401="","Missing PD deductible. ","") &amp; IF($X401="","Missing liability limit. ","") &amp; IF($AB401="","Missing technical premium. ","") &amp; IF($AF401="","Missing surplus lines tax %. ",""))))</f>
      </c>
      <c r="AY401" s="44">
        <f>IF($M401="","",IF(ISNUMBER($M401),IF($M401&gt;=Header!$C$18,"YES — refer","No"),""))</f>
      </c>
      <c r="AZ401" s="44">
        <f>IF($AD401="","",IF(ISNUMBER($AD401),IF($AD401&lt;Header!$C$20,"BELOW MIN PREMIUM","OK"),""))</f>
      </c>
      <c r="BA401" s="32" t="inlineStr">
        <is>
          <t xml:space="preserve">Yes</t>
        </is>
      </c>
      <c r="BB401" s="32" t="inlineStr">
        <is>
          <t xml:space="preserve">Yes</t>
        </is>
      </c>
      <c r="BC401" s="30" t="inlineStr">
        <is>
          <t xml:space="preserve">Synthetic demo data</t>
        </is>
      </c>
      <c r="BE401" s="45">
        <f>IF(OR($A401="",$L401="",$H401=""),"",IF(AND(LEFT($L401,2)="06",$H401&gt;1945),"FAIL - pre-war class, year "&amp;$H401,IF(AND(LEFT($L401,2)="07",OR($H401&lt;1946,$H401&gt;1972)),"FAIL - 1946-72 class, year "&amp;$H401,IF(AND(LEFT($L401,2)="08",OR($H401&lt;1973,$H401&gt;1999)),"FAIL - 1973-99 class, year "&amp;$H401,IF(AND(LEFT($L401,2)="09",OR($H401&lt;2000,$H401&gt;2010)),"FAIL - 2000-10 class, year "&amp;$H401,"OK")))))</f>
      </c>
      <c r="BF401" s="45">
        <f>IF($AD401="","",IF(ROUND($AO401+$AP401+$AQ401-$AD401,2)=0,"OK","FAIL - out by "&amp;TEXT($AO401+$AP401+$AQ401-$AD401,"$0.00")))</f>
      </c>
    </row>
    <row r="402" spans="1:58" ht="18.75" customHeight="1" x14ac:dyDescent="0.25">
      <c r="A402" s="46" t="inlineStr">
        <is>
          <t xml:space="preserve">CANON-202508-000553</t>
        </is>
      </c>
      <c r="B402" s="46" t="inlineStr">
        <is>
          <t xml:space="preserve">Ramona Vandermeer</t>
        </is>
      </c>
      <c r="C402" s="47">
        <v>45891</v>
      </c>
      <c r="D402" s="48" t="inlineStr">
        <is>
          <t xml:space="preserve">Bound - within authority</t>
        </is>
      </c>
      <c r="E402" s="48" t="inlineStr">
        <is>
          <t xml:space="preserve">New business</t>
        </is>
      </c>
      <c r="F402" s="46" t="inlineStr">
        <is>
          <t xml:space="preserve">B1234EXOTIC26</t>
        </is>
      </c>
      <c r="G402" s="33">
        <f>IF($A402="","",IF($C402="","",YEAR($C402)))</f>
      </c>
      <c r="H402" s="49">
        <v>2022</v>
      </c>
      <c r="I402" s="46" t="inlineStr">
        <is>
          <t xml:space="preserve">Ferrari</t>
        </is>
      </c>
      <c r="J402" s="46" t="inlineStr">
        <is>
          <t xml:space="preserve">SF90 Stradale</t>
        </is>
      </c>
      <c r="K402" s="46" t="inlineStr">
        <is>
          <t xml:space="preserve">CEMFFK4JXJMU3609H</t>
        </is>
      </c>
      <c r="L402" s="48" t="inlineStr">
        <is>
          <t xml:space="preserve">03 - Supercar</t>
        </is>
      </c>
      <c r="M402" s="50">
        <v>1060000</v>
      </c>
      <c r="N402" s="48" t="inlineStr">
        <is>
          <t xml:space="preserve">Personal</t>
        </is>
      </c>
      <c r="O402" s="46" t="inlineStr">
        <is>
          <t xml:space="preserve">Personal - regular use</t>
        </is>
      </c>
      <c r="P402" s="46" t="inlineStr">
        <is>
          <t xml:space="preserve">2,500 - 5,000</t>
        </is>
      </c>
      <c r="Q402" s="46" t="inlineStr">
        <is>
          <t xml:space="preserve">South Dakota</t>
        </is>
      </c>
      <c r="R402" s="46" t="inlineStr">
        <is>
          <t xml:space="preserve">57501</t>
        </is>
      </c>
      <c r="S402" s="48" t="inlineStr">
        <is>
          <t xml:space="preserve">Severe convective - hail alley (high)</t>
        </is>
      </c>
      <c r="T402" s="36">
        <f>IF($A402="","",IF($S402="","",IFERROR(INDEX('[1]natural catastrophe'!$D$6:$D$17,MATCH($S402,'[1]natural catastrophe'!$B$6:$B$17,0)),"?")))</f>
      </c>
      <c r="U402" s="46" t="inlineStr">
        <is>
          <t xml:space="preserve">$5,000</t>
        </is>
      </c>
      <c r="V402" s="48" t="inlineStr">
        <is>
          <t xml:space="preserve">Agreed Value</t>
        </is>
      </c>
      <c r="W402" s="46" t="inlineStr">
        <is>
          <t xml:space="preserve">$1,000</t>
        </is>
      </c>
      <c r="X402" s="48" t="inlineStr">
        <is>
          <t xml:space="preserve">$1,000,000 CSL</t>
        </is>
      </c>
      <c r="Y402" s="46"/>
      <c r="Z402" s="46"/>
      <c r="AA402" s="48" t="inlineStr">
        <is>
          <t xml:space="preserve">Surplus Lines</t>
        </is>
      </c>
      <c r="AB402" s="50">
        <v>17760</v>
      </c>
      <c r="AC402" s="51">
        <v>0</v>
      </c>
      <c r="AD402" s="38">
        <f>IF(ISNUMBER($AB402),$AB402*(1+N($AC402)),"")</f>
      </c>
      <c r="AE402" s="50">
        <v>350</v>
      </c>
      <c r="AF402" s="50">
        <v>250</v>
      </c>
      <c r="AG402" s="51"/>
      <c r="AH402" s="39">
        <f>IF(ISNUMBER($AD402),($AD402+$AE402+$AF402)*$AG402,"")</f>
      </c>
      <c r="AI402" s="50"/>
      <c r="AJ402" s="38">
        <f>IF(ISNUMBER($AD402),SUM($AD402:$AH402),"")</f>
      </c>
      <c r="AK402" s="40">
        <f>IF(AND(ISNUMBER($AB402),ISNUMBER($AD402)),IF($AB402&gt;0,$AD402/$AB402,""),"")</f>
      </c>
      <c r="AL402" s="48" t="inlineStr">
        <is>
          <t xml:space="preserve">At technical</t>
        </is>
      </c>
      <c r="AM402" s="41">
        <f>IF(ISNUMBER($AD402),Header!$I$3,"")</f>
      </c>
      <c r="AN402" s="39">
        <f>IF(ISNUMBER($AD402),$AO402+$AP402,"")</f>
      </c>
      <c r="AO402" s="39">
        <f>IF(ISNUMBER($AD402),ROUND($AD402*Header!$K$3,2),"")</f>
      </c>
      <c r="AP402" s="39">
        <f>IF(ISNUMBER($AD402),ROUND($AD402*Header!$M$3,2),"")</f>
      </c>
      <c r="AQ402" s="38">
        <f>IF(ISNUMBER($AD402),ROUND($AD402,2)-$AO402-$AP402,"")</f>
      </c>
      <c r="AR402" s="39">
        <f>IF(ISNUMBER($AD402),IF(Header!$D$34="","?",$AD402*Header!$D$34),"")</f>
      </c>
      <c r="AS402" s="39">
        <f>IF(ISNUMBER($AB402),IF(Header!$D$34="","?",$AB402*Header!$D$34),"")</f>
      </c>
      <c r="AT402" s="42">
        <f>IF(AND(ISNUMBER($AB402),$M402&gt;0),$AB402/$M402*100,"")</f>
      </c>
      <c r="AU402" s="42">
        <f>IF(AND(ISNUMBER($AD402),$M402&gt;0),$AD402/$M402*100,"")</f>
      </c>
      <c r="AV402" s="40">
        <f>IF(AND(ISNUMBER($AB402),ISNUMBER($AD402),ABS($AB402)&gt;0),$AD402/$AB402,"")</f>
      </c>
      <c r="AW402" s="39">
        <f>IF(ISNUMBER($AD402),MAX(0,(1-0.55-Header!$O$3)*Header!$Q$3*$AQ402),"")</f>
      </c>
      <c r="AX402" s="43">
        <f>IF($A402="","",IF(TRIM(IF($A402="","Missing certificate ref. ","") &amp; IF($C402="","Missing effective date. ","") &amp; IF($D402="","Missing binding status. ","") &amp; IF($E402="","Missing movement type. ","") &amp; IF($I402="","Missing make. ","") &amp; IF($L402="","Missing vehicle class. ","") &amp; IF($M402="","Missing agreed value. ","") &amp; IF($N402="","Missing policy type. ","") &amp; IF($Q402="","Missing garaging state. ","") &amp; IF($R402="","Missing garaging ZIP. ","") &amp; IF($S402="","Missing cat zone. ","") &amp; IF($V402="","Missing valuation basis. ","") &amp; IF($W402="","Missing PD deductible. ","") &amp; IF($X402="","Missing liability limit. ","") &amp; IF($AB402="","Missing technical premium. ","") &amp; IF($AF402="","Missing surplus lines tax %. ",""))="","PASS","FAIL: "&amp;TRIM(IF($A402="","Missing certificate ref. ","") &amp; IF($C402="","Missing effective date. ","") &amp; IF($D402="","Missing binding status. ","") &amp; IF($E402="","Missing movement type. ","") &amp; IF($I402="","Missing make. ","") &amp; IF($L402="","Missing vehicle class. ","") &amp; IF($M402="","Missing agreed value. ","") &amp; IF($N402="","Missing policy type. ","") &amp; IF($Q402="","Missing garaging state. ","") &amp; IF($R402="","Missing garaging ZIP. ","") &amp; IF($S402="","Missing cat zone. ","") &amp; IF($V402="","Missing valuation basis. ","") &amp; IF($W402="","Missing PD deductible. ","") &amp; IF($X402="","Missing liability limit. ","") &amp; IF($AB402="","Missing technical premium. ","") &amp; IF($AF402="","Missing surplus lines tax %. ",""))))</f>
      </c>
      <c r="AY402" s="44">
        <f>IF($M402="","",IF(ISNUMBER($M402),IF($M402&gt;=Header!$C$18,"YES — refer","No"),""))</f>
      </c>
      <c r="AZ402" s="44">
        <f>IF($AD402="","",IF(ISNUMBER($AD402),IF($AD402&lt;Header!$C$20,"BELOW MIN PREMIUM","OK"),""))</f>
      </c>
      <c r="BA402" s="48" t="inlineStr">
        <is>
          <t xml:space="preserve">Yes</t>
        </is>
      </c>
      <c r="BB402" s="48" t="inlineStr">
        <is>
          <t xml:space="preserve">Yes</t>
        </is>
      </c>
      <c r="BC402" s="46" t="inlineStr">
        <is>
          <t xml:space="preserve">Synthetic demo data</t>
        </is>
      </c>
      <c r="BE402" s="45">
        <f>IF(OR($A402="",$L402="",$H402=""),"",IF(AND(LEFT($L402,2)="06",$H402&gt;1945),"FAIL - pre-war class, year "&amp;$H402,IF(AND(LEFT($L402,2)="07",OR($H402&lt;1946,$H402&gt;1972)),"FAIL - 1946-72 class, year "&amp;$H402,IF(AND(LEFT($L402,2)="08",OR($H402&lt;1973,$H402&gt;1999)),"FAIL - 1973-99 class, year "&amp;$H402,IF(AND(LEFT($L402,2)="09",OR($H402&lt;2000,$H402&gt;2010)),"FAIL - 2000-10 class, year "&amp;$H402,"OK")))))</f>
      </c>
      <c r="BF402" s="45">
        <f>IF($AD402="","",IF(ROUND($AO402+$AP402+$AQ402-$AD402,2)=0,"OK","FAIL - out by "&amp;TEXT($AO402+$AP402+$AQ402-$AD402,"$0.00")))</f>
      </c>
    </row>
    <row r="403" spans="1:58" ht="18.75" customHeight="1" x14ac:dyDescent="0.25">
      <c r="A403" s="30" t="inlineStr">
        <is>
          <t xml:space="preserve">CANON-202508-000554</t>
        </is>
      </c>
      <c r="B403" s="30" t="inlineStr">
        <is>
          <t xml:space="preserve">Fitzgerald Fairweather</t>
        </is>
      </c>
      <c r="C403" s="31">
        <v>45892</v>
      </c>
      <c r="D403" s="32" t="inlineStr">
        <is>
          <t xml:space="preserve">Bound - within authority</t>
        </is>
      </c>
      <c r="E403" s="32" t="inlineStr">
        <is>
          <t xml:space="preserve">New business</t>
        </is>
      </c>
      <c r="F403" s="30" t="inlineStr">
        <is>
          <t xml:space="preserve">B1234EXOTIC26</t>
        </is>
      </c>
      <c r="G403" s="33">
        <f>IF($A403="","",IF($C403="","",YEAR($C403)))</f>
      </c>
      <c r="H403" s="34">
        <v>1965</v>
      </c>
      <c r="I403" s="30" t="inlineStr">
        <is>
          <t xml:space="preserve">Lamborghini</t>
        </is>
      </c>
      <c r="J403" s="30" t="inlineStr">
        <is>
          <t xml:space="preserve">Huracan EVO</t>
        </is>
      </c>
      <c r="K403" s="30" t="inlineStr">
        <is>
          <t xml:space="preserve">JPHCAFDMRGS5L8S4X</t>
        </is>
      </c>
      <c r="L403" s="32" t="inlineStr">
        <is>
          <t xml:space="preserve">03 - Supercar</t>
        </is>
      </c>
      <c r="M403" s="35">
        <v>1155000</v>
      </c>
      <c r="N403" s="32" t="inlineStr">
        <is>
          <t xml:space="preserve">Personal</t>
        </is>
      </c>
      <c r="O403" s="30" t="inlineStr">
        <is>
          <t xml:space="preserve">Personal - regular use</t>
        </is>
      </c>
      <c r="P403" s="30" t="inlineStr">
        <is>
          <t xml:space="preserve">2,500 - 5,000</t>
        </is>
      </c>
      <c r="Q403" s="30" t="inlineStr">
        <is>
          <t xml:space="preserve">Idaho</t>
        </is>
      </c>
      <c r="R403" s="30" t="inlineStr">
        <is>
          <t xml:space="preserve">83702</t>
        </is>
      </c>
      <c r="S403" s="32" t="inlineStr">
        <is>
          <t xml:space="preserve">Wildfire - WUI high hazard</t>
        </is>
      </c>
      <c r="T403" s="36">
        <f>IF($A403="","",IF($S403="","",IFERROR(INDEX('[1]natural catastrophe'!$D$6:$D$17,MATCH($S403,'[1]natural catastrophe'!$B$6:$B$17,0)),"?")))</f>
      </c>
      <c r="U403" s="30" t="inlineStr">
        <is>
          <t xml:space="preserve">$5,000</t>
        </is>
      </c>
      <c r="V403" s="32" t="inlineStr">
        <is>
          <t xml:space="preserve">Agreed Value</t>
        </is>
      </c>
      <c r="W403" s="30" t="inlineStr">
        <is>
          <t xml:space="preserve">$1,000</t>
        </is>
      </c>
      <c r="X403" s="32" t="inlineStr">
        <is>
          <t xml:space="preserve">$1,000,000 CSL</t>
        </is>
      </c>
      <c r="Y403" s="30"/>
      <c r="Z403" s="30"/>
      <c r="AA403" s="32" t="inlineStr">
        <is>
          <t xml:space="preserve">Surplus Lines</t>
        </is>
      </c>
      <c r="AB403" s="35">
        <v>17259.62</v>
      </c>
      <c r="AC403" s="37">
        <v>0</v>
      </c>
      <c r="AD403" s="38">
        <f>IF(ISNUMBER($AB403),$AB403*(1+N($AC403)),"")</f>
      </c>
      <c r="AE403" s="35">
        <v>350</v>
      </c>
      <c r="AF403" s="35">
        <v>250</v>
      </c>
      <c r="AG403" s="37"/>
      <c r="AH403" s="39">
        <f>IF(ISNUMBER($AD403),($AD403+$AE403+$AF403)*$AG403,"")</f>
      </c>
      <c r="AI403" s="35"/>
      <c r="AJ403" s="38">
        <f>IF(ISNUMBER($AD403),SUM($AD403:$AH403),"")</f>
      </c>
      <c r="AK403" s="40">
        <f>IF(AND(ISNUMBER($AB403),ISNUMBER($AD403)),IF($AB403&gt;0,$AD403/$AB403,""),"")</f>
      </c>
      <c r="AL403" s="32" t="inlineStr">
        <is>
          <t xml:space="preserve">At technical</t>
        </is>
      </c>
      <c r="AM403" s="41">
        <f>IF(ISNUMBER($AD403),Header!$I$3,"")</f>
      </c>
      <c r="AN403" s="39">
        <f>IF(ISNUMBER($AD403),$AO403+$AP403,"")</f>
      </c>
      <c r="AO403" s="39">
        <f>IF(ISNUMBER($AD403),ROUND($AD403*Header!$K$3,2),"")</f>
      </c>
      <c r="AP403" s="39">
        <f>IF(ISNUMBER($AD403),ROUND($AD403*Header!$M$3,2),"")</f>
      </c>
      <c r="AQ403" s="38">
        <f>IF(ISNUMBER($AD403),ROUND($AD403,2)-$AO403-$AP403,"")</f>
      </c>
      <c r="AR403" s="39">
        <f>IF(ISNUMBER($AD403),IF(Header!$D$34="","?",$AD403*Header!$D$34),"")</f>
      </c>
      <c r="AS403" s="39">
        <f>IF(ISNUMBER($AB403),IF(Header!$D$34="","?",$AB403*Header!$D$34),"")</f>
      </c>
      <c r="AT403" s="42">
        <f>IF(AND(ISNUMBER($AB403),$M403&gt;0),$AB403/$M403*100,"")</f>
      </c>
      <c r="AU403" s="42">
        <f>IF(AND(ISNUMBER($AD403),$M403&gt;0),$AD403/$M403*100,"")</f>
      </c>
      <c r="AV403" s="40">
        <f>IF(AND(ISNUMBER($AB403),ISNUMBER($AD403),ABS($AB403)&gt;0),$AD403/$AB403,"")</f>
      </c>
      <c r="AW403" s="39">
        <f>IF(ISNUMBER($AD403),MAX(0,(1-0.55-Header!$O$3)*Header!$Q$3*$AQ403),"")</f>
      </c>
      <c r="AX403" s="43">
        <f>IF($A403="","",IF(TRIM(IF($A403="","Missing certificate ref. ","") &amp; IF($C403="","Missing effective date. ","") &amp; IF($D403="","Missing binding status. ","") &amp; IF($E403="","Missing movement type. ","") &amp; IF($I403="","Missing make. ","") &amp; IF($L403="","Missing vehicle class. ","") &amp; IF($M403="","Missing agreed value. ","") &amp; IF($N403="","Missing policy type. ","") &amp; IF($Q403="","Missing garaging state. ","") &amp; IF($R403="","Missing garaging ZIP. ","") &amp; IF($S403="","Missing cat zone. ","") &amp; IF($V403="","Missing valuation basis. ","") &amp; IF($W403="","Missing PD deductible. ","") &amp; IF($X403="","Missing liability limit. ","") &amp; IF($AB403="","Missing technical premium. ","") &amp; IF($AF403="","Missing surplus lines tax %. ",""))="","PASS","FAIL: "&amp;TRIM(IF($A403="","Missing certificate ref. ","") &amp; IF($C403="","Missing effective date. ","") &amp; IF($D403="","Missing binding status. ","") &amp; IF($E403="","Missing movement type. ","") &amp; IF($I403="","Missing make. ","") &amp; IF($L403="","Missing vehicle class. ","") &amp; IF($M403="","Missing agreed value. ","") &amp; IF($N403="","Missing policy type. ","") &amp; IF($Q403="","Missing garaging state. ","") &amp; IF($R403="","Missing garaging ZIP. ","") &amp; IF($S403="","Missing cat zone. ","") &amp; IF($V403="","Missing valuation basis. ","") &amp; IF($W403="","Missing PD deductible. ","") &amp; IF($X403="","Missing liability limit. ","") &amp; IF($AB403="","Missing technical premium. ","") &amp; IF($AF403="","Missing surplus lines tax %. ",""))))</f>
      </c>
      <c r="AY403" s="44">
        <f>IF($M403="","",IF(ISNUMBER($M403),IF($M403&gt;=Header!$C$18,"YES — refer","No"),""))</f>
      </c>
      <c r="AZ403" s="44">
        <f>IF($AD403="","",IF(ISNUMBER($AD403),IF($AD403&lt;Header!$C$20,"BELOW MIN PREMIUM","OK"),""))</f>
      </c>
      <c r="BA403" s="32" t="inlineStr">
        <is>
          <t xml:space="preserve">Yes</t>
        </is>
      </c>
      <c r="BB403" s="32" t="inlineStr">
        <is>
          <t xml:space="preserve">Yes</t>
        </is>
      </c>
      <c r="BC403" s="30" t="inlineStr">
        <is>
          <t xml:space="preserve">Synthetic demo data</t>
        </is>
      </c>
      <c r="BE403" s="45">
        <f>IF(OR($A403="",$L403="",$H403=""),"",IF(AND(LEFT($L403,2)="06",$H403&gt;1945),"FAIL - pre-war class, year "&amp;$H403,IF(AND(LEFT($L403,2)="07",OR($H403&lt;1946,$H403&gt;1972)),"FAIL - 1946-72 class, year "&amp;$H403,IF(AND(LEFT($L403,2)="08",OR($H403&lt;1973,$H403&gt;1999)),"FAIL - 1973-99 class, year "&amp;$H403,IF(AND(LEFT($L403,2)="09",OR($H403&lt;2000,$H403&gt;2010)),"FAIL - 2000-10 class, year "&amp;$H403,"OK")))))</f>
      </c>
      <c r="BF403" s="45">
        <f>IF($AD403="","",IF(ROUND($AO403+$AP403+$AQ403-$AD403,2)=0,"OK","FAIL - out by "&amp;TEXT($AO403+$AP403+$AQ403-$AD403,"$0.00")))</f>
      </c>
    </row>
    <row r="404" spans="1:58" ht="18.75" customHeight="1" x14ac:dyDescent="0.25">
      <c r="A404" s="46" t="inlineStr">
        <is>
          <t xml:space="preserve">CANON-202508-000556</t>
        </is>
      </c>
      <c r="B404" s="46" t="inlineStr">
        <is>
          <t xml:space="preserve">Cassius Chattopadhyay</t>
        </is>
      </c>
      <c r="C404" s="47">
        <v>45882</v>
      </c>
      <c r="D404" s="48" t="inlineStr">
        <is>
          <t xml:space="preserve">Bound - within authority</t>
        </is>
      </c>
      <c r="E404" s="48" t="inlineStr">
        <is>
          <t xml:space="preserve">New business</t>
        </is>
      </c>
      <c r="F404" s="46" t="inlineStr">
        <is>
          <t xml:space="preserve">B1234EXOTIC26</t>
        </is>
      </c>
      <c r="G404" s="33">
        <f>IF($A404="","",IF($C404="","",YEAR($C404)))</f>
      </c>
      <c r="H404" s="49">
        <v>1965</v>
      </c>
      <c r="I404" s="46" t="inlineStr">
        <is>
          <t xml:space="preserve">Aston Martin</t>
        </is>
      </c>
      <c r="J404" s="46" t="inlineStr">
        <is>
          <t xml:space="preserve">DB12</t>
        </is>
      </c>
      <c r="K404" s="46" t="inlineStr">
        <is>
          <t xml:space="preserve">T8X8RKK277TZUR6A2</t>
        </is>
      </c>
      <c r="L404" s="48" t="inlineStr">
        <is>
          <t xml:space="preserve">02 - Sports / GT</t>
        </is>
      </c>
      <c r="M404" s="50">
        <v>770000</v>
      </c>
      <c r="N404" s="48" t="inlineStr">
        <is>
          <t xml:space="preserve">Personal</t>
        </is>
      </c>
      <c r="O404" s="46" t="inlineStr">
        <is>
          <t xml:space="preserve">Personal - regular use</t>
        </is>
      </c>
      <c r="P404" s="46" t="inlineStr">
        <is>
          <t xml:space="preserve">2,500 - 5,000</t>
        </is>
      </c>
      <c r="Q404" s="46" t="inlineStr">
        <is>
          <t xml:space="preserve">Connecticut</t>
        </is>
      </c>
      <c r="R404" s="46" t="inlineStr">
        <is>
          <t xml:space="preserve">06103</t>
        </is>
      </c>
      <c r="S404" s="48" t="inlineStr">
        <is>
          <t xml:space="preserve">Tier 3 - Coastal wind (25-100 miles)</t>
        </is>
      </c>
      <c r="T404" s="36">
        <f>IF($A404="","",IF($S404="","",IFERROR(INDEX('[1]natural catastrophe'!$D$6:$D$17,MATCH($S404,'[1]natural catastrophe'!$B$6:$B$17,0)),"?")))</f>
      </c>
      <c r="U404" s="46" t="inlineStr">
        <is>
          <t xml:space="preserve">2% of agreed value, minimum $10,000</t>
        </is>
      </c>
      <c r="V404" s="48" t="inlineStr">
        <is>
          <t xml:space="preserve">Agreed Value</t>
        </is>
      </c>
      <c r="W404" s="46" t="inlineStr">
        <is>
          <t xml:space="preserve">$1,000</t>
        </is>
      </c>
      <c r="X404" s="48" t="inlineStr">
        <is>
          <t xml:space="preserve">$1,000,000 CSL</t>
        </is>
      </c>
      <c r="Y404" s="46"/>
      <c r="Z404" s="46"/>
      <c r="AA404" s="48" t="inlineStr">
        <is>
          <t xml:space="preserve">Surplus Lines</t>
        </is>
      </c>
      <c r="AB404" s="50">
        <v>10576.6</v>
      </c>
      <c r="AC404" s="51">
        <v>0</v>
      </c>
      <c r="AD404" s="38">
        <f>IF(ISNUMBER($AB404),$AB404*(1+N($AC404)),"")</f>
      </c>
      <c r="AE404" s="50">
        <v>350</v>
      </c>
      <c r="AF404" s="50">
        <v>0</v>
      </c>
      <c r="AG404" s="51"/>
      <c r="AH404" s="39">
        <f>IF(ISNUMBER($AD404),($AD404+$AE404+$AF404)*$AG404,"")</f>
      </c>
      <c r="AI404" s="50"/>
      <c r="AJ404" s="38">
        <f>IF(ISNUMBER($AD404),SUM($AD404:$AH404),"")</f>
      </c>
      <c r="AK404" s="40">
        <f>IF(AND(ISNUMBER($AB404),ISNUMBER($AD404)),IF($AB404&gt;0,$AD404/$AB404,""),"")</f>
      </c>
      <c r="AL404" s="48" t="inlineStr">
        <is>
          <t xml:space="preserve">At technical</t>
        </is>
      </c>
      <c r="AM404" s="41">
        <f>IF(ISNUMBER($AD404),Header!$I$3,"")</f>
      </c>
      <c r="AN404" s="39">
        <f>IF(ISNUMBER($AD404),$AO404+$AP404,"")</f>
      </c>
      <c r="AO404" s="39">
        <f>IF(ISNUMBER($AD404),ROUND($AD404*Header!$K$3,2),"")</f>
      </c>
      <c r="AP404" s="39">
        <f>IF(ISNUMBER($AD404),ROUND($AD404*Header!$M$3,2),"")</f>
      </c>
      <c r="AQ404" s="38">
        <f>IF(ISNUMBER($AD404),ROUND($AD404,2)-$AO404-$AP404,"")</f>
      </c>
      <c r="AR404" s="39">
        <f>IF(ISNUMBER($AD404),IF(Header!$D$34="","?",$AD404*Header!$D$34),"")</f>
      </c>
      <c r="AS404" s="39">
        <f>IF(ISNUMBER($AB404),IF(Header!$D$34="","?",$AB404*Header!$D$34),"")</f>
      </c>
      <c r="AT404" s="42">
        <f>IF(AND(ISNUMBER($AB404),$M404&gt;0),$AB404/$M404*100,"")</f>
      </c>
      <c r="AU404" s="42">
        <f>IF(AND(ISNUMBER($AD404),$M404&gt;0),$AD404/$M404*100,"")</f>
      </c>
      <c r="AV404" s="40">
        <f>IF(AND(ISNUMBER($AB404),ISNUMBER($AD404),ABS($AB404)&gt;0),$AD404/$AB404,"")</f>
      </c>
      <c r="AW404" s="39">
        <f>IF(ISNUMBER($AD404),MAX(0,(1-0.55-Header!$O$3)*Header!$Q$3*$AQ404),"")</f>
      </c>
      <c r="AX404" s="43">
        <f>IF($A404="","",IF(TRIM(IF($A404="","Missing certificate ref. ","") &amp; IF($C404="","Missing effective date. ","") &amp; IF($D404="","Missing binding status. ","") &amp; IF($E404="","Missing movement type. ","") &amp; IF($I404="","Missing make. ","") &amp; IF($L404="","Missing vehicle class. ","") &amp; IF($M404="","Missing agreed value. ","") &amp; IF($N404="","Missing policy type. ","") &amp; IF($Q404="","Missing garaging state. ","") &amp; IF($R404="","Missing garaging ZIP. ","") &amp; IF($S404="","Missing cat zone. ","") &amp; IF($V404="","Missing valuation basis. ","") &amp; IF($W404="","Missing PD deductible. ","") &amp; IF($X404="","Missing liability limit. ","") &amp; IF($AB404="","Missing technical premium. ","") &amp; IF($AF404="","Missing surplus lines tax %. ",""))="","PASS","FAIL: "&amp;TRIM(IF($A404="","Missing certificate ref. ","") &amp; IF($C404="","Missing effective date. ","") &amp; IF($D404="","Missing binding status. ","") &amp; IF($E404="","Missing movement type. ","") &amp; IF($I404="","Missing make. ","") &amp; IF($L404="","Missing vehicle class. ","") &amp; IF($M404="","Missing agreed value. ","") &amp; IF($N404="","Missing policy type. ","") &amp; IF($Q404="","Missing garaging state. ","") &amp; IF($R404="","Missing garaging ZIP. ","") &amp; IF($S404="","Missing cat zone. ","") &amp; IF($V404="","Missing valuation basis. ","") &amp; IF($W404="","Missing PD deductible. ","") &amp; IF($X404="","Missing liability limit. ","") &amp; IF($AB404="","Missing technical premium. ","") &amp; IF($AF404="","Missing surplus lines tax %. ",""))))</f>
      </c>
      <c r="AY404" s="44">
        <f>IF($M404="","",IF(ISNUMBER($M404),IF($M404&gt;=Header!$C$18,"YES — refer","No"),""))</f>
      </c>
      <c r="AZ404" s="44">
        <f>IF($AD404="","",IF(ISNUMBER($AD404),IF($AD404&lt;Header!$C$20,"BELOW MIN PREMIUM","OK"),""))</f>
      </c>
      <c r="BA404" s="48" t="inlineStr">
        <is>
          <t xml:space="preserve">Yes</t>
        </is>
      </c>
      <c r="BB404" s="48" t="inlineStr">
        <is>
          <t xml:space="preserve">Yes</t>
        </is>
      </c>
      <c r="BC404" s="46" t="inlineStr">
        <is>
          <t xml:space="preserve">Synthetic demo data</t>
        </is>
      </c>
      <c r="BE404" s="45">
        <f>IF(OR($A404="",$L404="",$H404=""),"",IF(AND(LEFT($L404,2)="06",$H404&gt;1945),"FAIL - pre-war class, year "&amp;$H404,IF(AND(LEFT($L404,2)="07",OR($H404&lt;1946,$H404&gt;1972)),"FAIL - 1946-72 class, year "&amp;$H404,IF(AND(LEFT($L404,2)="08",OR($H404&lt;1973,$H404&gt;1999)),"FAIL - 1973-99 class, year "&amp;$H404,IF(AND(LEFT($L404,2)="09",OR($H404&lt;2000,$H404&gt;2010)),"FAIL - 2000-10 class, year "&amp;$H404,"OK")))))</f>
      </c>
      <c r="BF404" s="45">
        <f>IF($AD404="","",IF(ROUND($AO404+$AP404+$AQ404-$AD404,2)=0,"OK","FAIL - out by "&amp;TEXT($AO404+$AP404+$AQ404-$AD404,"$0.00")))</f>
      </c>
    </row>
    <row r="405" spans="1:58" ht="18.75" customHeight="1" x14ac:dyDescent="0.25">
      <c r="A405" s="30" t="inlineStr">
        <is>
          <t xml:space="preserve">CANON-202508-000557</t>
        </is>
      </c>
      <c r="B405" s="30" t="inlineStr">
        <is>
          <t xml:space="preserve">Ingrid Underwood</t>
        </is>
      </c>
      <c r="C405" s="31">
        <v>45871</v>
      </c>
      <c r="D405" s="32" t="inlineStr">
        <is>
          <t xml:space="preserve">Bound - within authority</t>
        </is>
      </c>
      <c r="E405" s="32" t="inlineStr">
        <is>
          <t xml:space="preserve">New business</t>
        </is>
      </c>
      <c r="F405" s="30" t="inlineStr">
        <is>
          <t xml:space="preserve">B1234EXOTIC26</t>
        </is>
      </c>
      <c r="G405" s="33">
        <f>IF($A405="","",IF($C405="","",YEAR($C405)))</f>
      </c>
      <c r="H405" s="34">
        <v>1995</v>
      </c>
      <c r="I405" s="30" t="inlineStr">
        <is>
          <t xml:space="preserve">Aston Martin</t>
        </is>
      </c>
      <c r="J405" s="30" t="inlineStr">
        <is>
          <t xml:space="preserve">DB12</t>
        </is>
      </c>
      <c r="K405" s="30" t="inlineStr">
        <is>
          <t xml:space="preserve">BH88HSGH90G9MYUCK</t>
        </is>
      </c>
      <c r="L405" s="32" t="inlineStr">
        <is>
          <t xml:space="preserve">02 - Sports / GT</t>
        </is>
      </c>
      <c r="M405" s="35">
        <v>1250000</v>
      </c>
      <c r="N405" s="32" t="inlineStr">
        <is>
          <t xml:space="preserve">Personal</t>
        </is>
      </c>
      <c r="O405" s="30" t="inlineStr">
        <is>
          <t xml:space="preserve">Personal - regular use</t>
        </is>
      </c>
      <c r="P405" s="30" t="inlineStr">
        <is>
          <t xml:space="preserve">1,000 - 2,500</t>
        </is>
      </c>
      <c r="Q405" s="30" t="inlineStr">
        <is>
          <t xml:space="preserve">California</t>
        </is>
      </c>
      <c r="R405" s="30" t="inlineStr">
        <is>
          <t xml:space="preserve">90012</t>
        </is>
      </c>
      <c r="S405" s="32" t="inlineStr">
        <is>
          <t xml:space="preserve">Earthquake - high (CA, Cascadia, New Madrid)</t>
        </is>
      </c>
      <c r="T405" s="36">
        <f>IF($A405="","",IF($S405="","",IFERROR(INDEX('[1]natural catastrophe'!$D$6:$D$17,MATCH($S405,'[1]natural catastrophe'!$B$6:$B$17,0)),"?")))</f>
      </c>
      <c r="U405" s="30" t="inlineStr">
        <is>
          <t xml:space="preserve">$5,000</t>
        </is>
      </c>
      <c r="V405" s="32" t="inlineStr">
        <is>
          <t xml:space="preserve">Agreed Value</t>
        </is>
      </c>
      <c r="W405" s="30" t="inlineStr">
        <is>
          <t xml:space="preserve">$1,000</t>
        </is>
      </c>
      <c r="X405" s="32" t="inlineStr">
        <is>
          <t xml:space="preserve">$1,000,000 CSL</t>
        </is>
      </c>
      <c r="Y405" s="30"/>
      <c r="Z405" s="30"/>
      <c r="AA405" s="32" t="inlineStr">
        <is>
          <t xml:space="preserve">Surplus Lines</t>
        </is>
      </c>
      <c r="AB405" s="35">
        <v>17511.79</v>
      </c>
      <c r="AC405" s="37">
        <v>0</v>
      </c>
      <c r="AD405" s="38">
        <f>IF(ISNUMBER($AB405),$AB405*(1+N($AC405)),"")</f>
      </c>
      <c r="AE405" s="35">
        <v>350</v>
      </c>
      <c r="AF405" s="35">
        <v>250</v>
      </c>
      <c r="AG405" s="37"/>
      <c r="AH405" s="39">
        <f>IF(ISNUMBER($AD405),($AD405+$AE405+$AF405)*$AG405,"")</f>
      </c>
      <c r="AI405" s="35"/>
      <c r="AJ405" s="38">
        <f>IF(ISNUMBER($AD405),SUM($AD405:$AH405),"")</f>
      </c>
      <c r="AK405" s="40">
        <f>IF(AND(ISNUMBER($AB405),ISNUMBER($AD405)),IF($AB405&gt;0,$AD405/$AB405,""),"")</f>
      </c>
      <c r="AL405" s="32" t="inlineStr">
        <is>
          <t xml:space="preserve">At technical</t>
        </is>
      </c>
      <c r="AM405" s="41">
        <f>IF(ISNUMBER($AD405),Header!$I$3,"")</f>
      </c>
      <c r="AN405" s="39">
        <f>IF(ISNUMBER($AD405),$AO405+$AP405,"")</f>
      </c>
      <c r="AO405" s="39">
        <f>IF(ISNUMBER($AD405),ROUND($AD405*Header!$K$3,2),"")</f>
      </c>
      <c r="AP405" s="39">
        <f>IF(ISNUMBER($AD405),ROUND($AD405*Header!$M$3,2),"")</f>
      </c>
      <c r="AQ405" s="38">
        <f>IF(ISNUMBER($AD405),ROUND($AD405,2)-$AO405-$AP405,"")</f>
      </c>
      <c r="AR405" s="39">
        <f>IF(ISNUMBER($AD405),IF(Header!$D$34="","?",$AD405*Header!$D$34),"")</f>
      </c>
      <c r="AS405" s="39">
        <f>IF(ISNUMBER($AB405),IF(Header!$D$34="","?",$AB405*Header!$D$34),"")</f>
      </c>
      <c r="AT405" s="42">
        <f>IF(AND(ISNUMBER($AB405),$M405&gt;0),$AB405/$M405*100,"")</f>
      </c>
      <c r="AU405" s="42">
        <f>IF(AND(ISNUMBER($AD405),$M405&gt;0),$AD405/$M405*100,"")</f>
      </c>
      <c r="AV405" s="40">
        <f>IF(AND(ISNUMBER($AB405),ISNUMBER($AD405),ABS($AB405)&gt;0),$AD405/$AB405,"")</f>
      </c>
      <c r="AW405" s="39">
        <f>IF(ISNUMBER($AD405),MAX(0,(1-0.55-Header!$O$3)*Header!$Q$3*$AQ405),"")</f>
      </c>
      <c r="AX405" s="43">
        <f>IF($A405="","",IF(TRIM(IF($A405="","Missing certificate ref. ","") &amp; IF($C405="","Missing effective date. ","") &amp; IF($D405="","Missing binding status. ","") &amp; IF($E405="","Missing movement type. ","") &amp; IF($I405="","Missing make. ","") &amp; IF($L405="","Missing vehicle class. ","") &amp; IF($M405="","Missing agreed value. ","") &amp; IF($N405="","Missing policy type. ","") &amp; IF($Q405="","Missing garaging state. ","") &amp; IF($R405="","Missing garaging ZIP. ","") &amp; IF($S405="","Missing cat zone. ","") &amp; IF($V405="","Missing valuation basis. ","") &amp; IF($W405="","Missing PD deductible. ","") &amp; IF($X405="","Missing liability limit. ","") &amp; IF($AB405="","Missing technical premium. ","") &amp; IF($AF405="","Missing surplus lines tax %. ",""))="","PASS","FAIL: "&amp;TRIM(IF($A405="","Missing certificate ref. ","") &amp; IF($C405="","Missing effective date. ","") &amp; IF($D405="","Missing binding status. ","") &amp; IF($E405="","Missing movement type. ","") &amp; IF($I405="","Missing make. ","") &amp; IF($L405="","Missing vehicle class. ","") &amp; IF($M405="","Missing agreed value. ","") &amp; IF($N405="","Missing policy type. ","") &amp; IF($Q405="","Missing garaging state. ","") &amp; IF($R405="","Missing garaging ZIP. ","") &amp; IF($S405="","Missing cat zone. ","") &amp; IF($V405="","Missing valuation basis. ","") &amp; IF($W405="","Missing PD deductible. ","") &amp; IF($X405="","Missing liability limit. ","") &amp; IF($AB405="","Missing technical premium. ","") &amp; IF($AF405="","Missing surplus lines tax %. ",""))))</f>
      </c>
      <c r="AY405" s="44">
        <f>IF($M405="","",IF(ISNUMBER($M405),IF($M405&gt;=Header!$C$18,"YES — refer","No"),""))</f>
      </c>
      <c r="AZ405" s="44">
        <f>IF($AD405="","",IF(ISNUMBER($AD405),IF($AD405&lt;Header!$C$20,"BELOW MIN PREMIUM","OK"),""))</f>
      </c>
      <c r="BA405" s="32" t="inlineStr">
        <is>
          <t xml:space="preserve">Yes</t>
        </is>
      </c>
      <c r="BB405" s="32" t="inlineStr">
        <is>
          <t xml:space="preserve">Yes</t>
        </is>
      </c>
      <c r="BC405" s="30" t="inlineStr">
        <is>
          <t xml:space="preserve">Synthetic demo data</t>
        </is>
      </c>
      <c r="BE405" s="45">
        <f>IF(OR($A405="",$L405="",$H405=""),"",IF(AND(LEFT($L405,2)="06",$H405&gt;1945),"FAIL - pre-war class, year "&amp;$H405,IF(AND(LEFT($L405,2)="07",OR($H405&lt;1946,$H405&gt;1972)),"FAIL - 1946-72 class, year "&amp;$H405,IF(AND(LEFT($L405,2)="08",OR($H405&lt;1973,$H405&gt;1999)),"FAIL - 1973-99 class, year "&amp;$H405,IF(AND(LEFT($L405,2)="09",OR($H405&lt;2000,$H405&gt;2010)),"FAIL - 2000-10 class, year "&amp;$H405,"OK")))))</f>
      </c>
      <c r="BF405" s="45">
        <f>IF($AD405="","",IF(ROUND($AO405+$AP405+$AQ405-$AD405,2)=0,"OK","FAIL - out by "&amp;TEXT($AO405+$AP405+$AQ405-$AD405,"$0.00")))</f>
      </c>
    </row>
    <row r="406" spans="1:58" ht="18.75" customHeight="1" x14ac:dyDescent="0.25">
      <c r="A406" s="46" t="inlineStr">
        <is>
          <t xml:space="preserve">CANON-202508-000558</t>
        </is>
      </c>
      <c r="B406" s="46" t="inlineStr">
        <is>
          <t xml:space="preserve">Saoirse Thistlewood</t>
        </is>
      </c>
      <c r="C406" s="47">
        <v>45882</v>
      </c>
      <c r="D406" s="48" t="inlineStr">
        <is>
          <t xml:space="preserve">Bound - within authority</t>
        </is>
      </c>
      <c r="E406" s="48" t="inlineStr">
        <is>
          <t xml:space="preserve">New business</t>
        </is>
      </c>
      <c r="F406" s="46" t="inlineStr">
        <is>
          <t xml:space="preserve">B1234EXOTIC26</t>
        </is>
      </c>
      <c r="G406" s="33">
        <f>IF($A406="","",IF($C406="","",YEAR($C406)))</f>
      </c>
      <c r="H406" s="49">
        <v>2021</v>
      </c>
      <c r="I406" s="46" t="inlineStr">
        <is>
          <t xml:space="preserve">Lamborghini</t>
        </is>
      </c>
      <c r="J406" s="46" t="inlineStr">
        <is>
          <t xml:space="preserve">Huracan EVO</t>
        </is>
      </c>
      <c r="K406" s="46" t="inlineStr">
        <is>
          <t xml:space="preserve">SK0E730DCSLDRJTP2</t>
        </is>
      </c>
      <c r="L406" s="48" t="inlineStr">
        <is>
          <t xml:space="preserve">03 - Supercar</t>
        </is>
      </c>
      <c r="M406" s="50">
        <v>1520000</v>
      </c>
      <c r="N406" s="48" t="inlineStr">
        <is>
          <t xml:space="preserve">Personal</t>
        </is>
      </c>
      <c r="O406" s="46" t="inlineStr">
        <is>
          <t xml:space="preserve">Personal - regular use</t>
        </is>
      </c>
      <c r="P406" s="46" t="inlineStr">
        <is>
          <t xml:space="preserve">1,000 - 2,500</t>
        </is>
      </c>
      <c r="Q406" s="46" t="inlineStr">
        <is>
          <t xml:space="preserve">Wyoming</t>
        </is>
      </c>
      <c r="R406" s="46" t="inlineStr">
        <is>
          <t xml:space="preserve">82001</t>
        </is>
      </c>
      <c r="S406" s="48" t="inlineStr">
        <is>
          <t xml:space="preserve">Severe convective - hail alley (high)</t>
        </is>
      </c>
      <c r="T406" s="36">
        <f>IF($A406="","",IF($S406="","",IFERROR(INDEX('[1]natural catastrophe'!$D$6:$D$17,MATCH($S406,'[1]natural catastrophe'!$B$6:$B$17,0)),"?")))</f>
      </c>
      <c r="U406" s="46" t="inlineStr">
        <is>
          <t xml:space="preserve">$5,000</t>
        </is>
      </c>
      <c r="V406" s="48" t="inlineStr">
        <is>
          <t xml:space="preserve">Agreed Value</t>
        </is>
      </c>
      <c r="W406" s="46" t="inlineStr">
        <is>
          <t xml:space="preserve">$1,000</t>
        </is>
      </c>
      <c r="X406" s="48" t="inlineStr">
        <is>
          <t xml:space="preserve">$1,000,000 CSL</t>
        </is>
      </c>
      <c r="Y406" s="46"/>
      <c r="Z406" s="46"/>
      <c r="AA406" s="48" t="inlineStr">
        <is>
          <t xml:space="preserve">Surplus Lines</t>
        </is>
      </c>
      <c r="AB406" s="50">
        <v>24549.43</v>
      </c>
      <c r="AC406" s="51">
        <v>0</v>
      </c>
      <c r="AD406" s="38">
        <f>IF(ISNUMBER($AB406),$AB406*(1+N($AC406)),"")</f>
      </c>
      <c r="AE406" s="50">
        <v>350</v>
      </c>
      <c r="AF406" s="50">
        <v>250</v>
      </c>
      <c r="AG406" s="51"/>
      <c r="AH406" s="39">
        <f>IF(ISNUMBER($AD406),($AD406+$AE406+$AF406)*$AG406,"")</f>
      </c>
      <c r="AI406" s="50"/>
      <c r="AJ406" s="38">
        <f>IF(ISNUMBER($AD406),SUM($AD406:$AH406),"")</f>
      </c>
      <c r="AK406" s="40">
        <f>IF(AND(ISNUMBER($AB406),ISNUMBER($AD406)),IF($AB406&gt;0,$AD406/$AB406,""),"")</f>
      </c>
      <c r="AL406" s="48" t="inlineStr">
        <is>
          <t xml:space="preserve">At technical</t>
        </is>
      </c>
      <c r="AM406" s="41">
        <f>IF(ISNUMBER($AD406),Header!$I$3,"")</f>
      </c>
      <c r="AN406" s="39">
        <f>IF(ISNUMBER($AD406),$AO406+$AP406,"")</f>
      </c>
      <c r="AO406" s="39">
        <f>IF(ISNUMBER($AD406),ROUND($AD406*Header!$K$3,2),"")</f>
      </c>
      <c r="AP406" s="39">
        <f>IF(ISNUMBER($AD406),ROUND($AD406*Header!$M$3,2),"")</f>
      </c>
      <c r="AQ406" s="38">
        <f>IF(ISNUMBER($AD406),ROUND($AD406,2)-$AO406-$AP406,"")</f>
      </c>
      <c r="AR406" s="39">
        <f>IF(ISNUMBER($AD406),IF(Header!$D$34="","?",$AD406*Header!$D$34),"")</f>
      </c>
      <c r="AS406" s="39">
        <f>IF(ISNUMBER($AB406),IF(Header!$D$34="","?",$AB406*Header!$D$34),"")</f>
      </c>
      <c r="AT406" s="42">
        <f>IF(AND(ISNUMBER($AB406),$M406&gt;0),$AB406/$M406*100,"")</f>
      </c>
      <c r="AU406" s="42">
        <f>IF(AND(ISNUMBER($AD406),$M406&gt;0),$AD406/$M406*100,"")</f>
      </c>
      <c r="AV406" s="40">
        <f>IF(AND(ISNUMBER($AB406),ISNUMBER($AD406),ABS($AB406)&gt;0),$AD406/$AB406,"")</f>
      </c>
      <c r="AW406" s="39">
        <f>IF(ISNUMBER($AD406),MAX(0,(1-0.55-Header!$O$3)*Header!$Q$3*$AQ406),"")</f>
      </c>
      <c r="AX406" s="43">
        <f>IF($A406="","",IF(TRIM(IF($A406="","Missing certificate ref. ","") &amp; IF($C406="","Missing effective date. ","") &amp; IF($D406="","Missing binding status. ","") &amp; IF($E406="","Missing movement type. ","") &amp; IF($I406="","Missing make. ","") &amp; IF($L406="","Missing vehicle class. ","") &amp; IF($M406="","Missing agreed value. ","") &amp; IF($N406="","Missing policy type. ","") &amp; IF($Q406="","Missing garaging state. ","") &amp; IF($R406="","Missing garaging ZIP. ","") &amp; IF($S406="","Missing cat zone. ","") &amp; IF($V406="","Missing valuation basis. ","") &amp; IF($W406="","Missing PD deductible. ","") &amp; IF($X406="","Missing liability limit. ","") &amp; IF($AB406="","Missing technical premium. ","") &amp; IF($AF406="","Missing surplus lines tax %. ",""))="","PASS","FAIL: "&amp;TRIM(IF($A406="","Missing certificate ref. ","") &amp; IF($C406="","Missing effective date. ","") &amp; IF($D406="","Missing binding status. ","") &amp; IF($E406="","Missing movement type. ","") &amp; IF($I406="","Missing make. ","") &amp; IF($L406="","Missing vehicle class. ","") &amp; IF($M406="","Missing agreed value. ","") &amp; IF($N406="","Missing policy type. ","") &amp; IF($Q406="","Missing garaging state. ","") &amp; IF($R406="","Missing garaging ZIP. ","") &amp; IF($S406="","Missing cat zone. ","") &amp; IF($V406="","Missing valuation basis. ","") &amp; IF($W406="","Missing PD deductible. ","") &amp; IF($X406="","Missing liability limit. ","") &amp; IF($AB406="","Missing technical premium. ","") &amp; IF($AF406="","Missing surplus lines tax %. ",""))))</f>
      </c>
      <c r="AY406" s="44">
        <f>IF($M406="","",IF(ISNUMBER($M406),IF($M406&gt;=Header!$C$18,"YES — refer","No"),""))</f>
      </c>
      <c r="AZ406" s="44">
        <f>IF($AD406="","",IF(ISNUMBER($AD406),IF($AD406&lt;Header!$C$20,"BELOW MIN PREMIUM","OK"),""))</f>
      </c>
      <c r="BA406" s="48" t="inlineStr">
        <is>
          <t xml:space="preserve">Yes</t>
        </is>
      </c>
      <c r="BB406" s="48" t="inlineStr">
        <is>
          <t xml:space="preserve">Yes</t>
        </is>
      </c>
      <c r="BC406" s="46" t="inlineStr">
        <is>
          <t xml:space="preserve">Synthetic demo data</t>
        </is>
      </c>
      <c r="BE406" s="45">
        <f>IF(OR($A406="",$L406="",$H406=""),"",IF(AND(LEFT($L406,2)="06",$H406&gt;1945),"FAIL - pre-war class, year "&amp;$H406,IF(AND(LEFT($L406,2)="07",OR($H406&lt;1946,$H406&gt;1972)),"FAIL - 1946-72 class, year "&amp;$H406,IF(AND(LEFT($L406,2)="08",OR($H406&lt;1973,$H406&gt;1999)),"FAIL - 1973-99 class, year "&amp;$H406,IF(AND(LEFT($L406,2)="09",OR($H406&lt;2000,$H406&gt;2010)),"FAIL - 2000-10 class, year "&amp;$H406,"OK")))))</f>
      </c>
      <c r="BF406" s="45">
        <f>IF($AD406="","",IF(ROUND($AO406+$AP406+$AQ406-$AD406,2)=0,"OK","FAIL - out by "&amp;TEXT($AO406+$AP406+$AQ406-$AD406,"$0.00")))</f>
      </c>
    </row>
    <row r="407" spans="1:58" ht="18.75" customHeight="1" x14ac:dyDescent="0.25">
      <c r="A407" s="30" t="inlineStr">
        <is>
          <t xml:space="preserve">CANON-202508-000559</t>
        </is>
      </c>
      <c r="B407" s="30" t="inlineStr">
        <is>
          <t xml:space="preserve">Lorenzo Whitlock</t>
        </is>
      </c>
      <c r="C407" s="31">
        <v>45876</v>
      </c>
      <c r="D407" s="32" t="inlineStr">
        <is>
          <t xml:space="preserve">Bound - within authority</t>
        </is>
      </c>
      <c r="E407" s="32" t="inlineStr">
        <is>
          <t xml:space="preserve">New business</t>
        </is>
      </c>
      <c r="F407" s="30" t="inlineStr">
        <is>
          <t xml:space="preserve">B1234EXOTIC26</t>
        </is>
      </c>
      <c r="G407" s="33">
        <f>IF($A407="","",IF($C407="","",YEAR($C407)))</f>
      </c>
      <c r="H407" s="34">
        <v>1967</v>
      </c>
      <c r="I407" s="30" t="inlineStr">
        <is>
          <t xml:space="preserve">Mercedes-Benz</t>
        </is>
      </c>
      <c r="J407" s="30" t="inlineStr">
        <is>
          <t xml:space="preserve">280SL Pagoda</t>
        </is>
      </c>
      <c r="K407" s="30" t="inlineStr">
        <is>
          <t xml:space="preserve">HV9TEJMUJRDCTC38R</t>
        </is>
      </c>
      <c r="L407" s="32" t="inlineStr">
        <is>
          <t xml:space="preserve">07 - Post-War Classic (1946-1972)</t>
        </is>
      </c>
      <c r="M407" s="35">
        <v>855000</v>
      </c>
      <c r="N407" s="32" t="inlineStr">
        <is>
          <t xml:space="preserve">Personal</t>
        </is>
      </c>
      <c r="O407" s="30" t="inlineStr">
        <is>
          <t xml:space="preserve">Personal - regular use</t>
        </is>
      </c>
      <c r="P407" s="30" t="inlineStr">
        <is>
          <t xml:space="preserve">2,500 - 5,000</t>
        </is>
      </c>
      <c r="Q407" s="30" t="inlineStr">
        <is>
          <t xml:space="preserve">West Virginia</t>
        </is>
      </c>
      <c r="R407" s="30" t="inlineStr">
        <is>
          <t xml:space="preserve">25301</t>
        </is>
      </c>
      <c r="S407" s="32" t="inlineStr">
        <is>
          <t xml:space="preserve">Low hazard - inland benign</t>
        </is>
      </c>
      <c r="T407" s="36">
        <f>IF($A407="","",IF($S407="","",IFERROR(INDEX('[1]natural catastrophe'!$D$6:$D$17,MATCH($S407,'[1]natural catastrophe'!$B$6:$B$17,0)),"?")))</f>
      </c>
      <c r="U407" s="30" t="inlineStr">
        <is>
          <t xml:space="preserve">$5,000</t>
        </is>
      </c>
      <c r="V407" s="32" t="inlineStr">
        <is>
          <t xml:space="preserve">Agreed Value</t>
        </is>
      </c>
      <c r="W407" s="30" t="inlineStr">
        <is>
          <t xml:space="preserve">$1,000</t>
        </is>
      </c>
      <c r="X407" s="32" t="inlineStr">
        <is>
          <t xml:space="preserve">$1,000,000 CSL</t>
        </is>
      </c>
      <c r="Y407" s="30"/>
      <c r="Z407" s="30"/>
      <c r="AA407" s="32" t="inlineStr">
        <is>
          <t xml:space="preserve">Surplus Lines</t>
        </is>
      </c>
      <c r="AB407" s="35">
        <v>9225.93</v>
      </c>
      <c r="AC407" s="37">
        <v>0</v>
      </c>
      <c r="AD407" s="38">
        <f>IF(ISNUMBER($AB407),$AB407*(1+N($AC407)),"")</f>
      </c>
      <c r="AE407" s="35">
        <v>350</v>
      </c>
      <c r="AF407" s="35">
        <v>0</v>
      </c>
      <c r="AG407" s="37"/>
      <c r="AH407" s="39">
        <f>IF(ISNUMBER($AD407),($AD407+$AE407+$AF407)*$AG407,"")</f>
      </c>
      <c r="AI407" s="35"/>
      <c r="AJ407" s="38">
        <f>IF(ISNUMBER($AD407),SUM($AD407:$AH407),"")</f>
      </c>
      <c r="AK407" s="40">
        <f>IF(AND(ISNUMBER($AB407),ISNUMBER($AD407)),IF($AB407&gt;0,$AD407/$AB407,""),"")</f>
      </c>
      <c r="AL407" s="32" t="inlineStr">
        <is>
          <t xml:space="preserve">At technical</t>
        </is>
      </c>
      <c r="AM407" s="41">
        <f>IF(ISNUMBER($AD407),Header!$I$3,"")</f>
      </c>
      <c r="AN407" s="39">
        <f>IF(ISNUMBER($AD407),$AO407+$AP407,"")</f>
      </c>
      <c r="AO407" s="39">
        <f>IF(ISNUMBER($AD407),ROUND($AD407*Header!$K$3,2),"")</f>
      </c>
      <c r="AP407" s="39">
        <f>IF(ISNUMBER($AD407),ROUND($AD407*Header!$M$3,2),"")</f>
      </c>
      <c r="AQ407" s="38">
        <f>IF(ISNUMBER($AD407),ROUND($AD407,2)-$AO407-$AP407,"")</f>
      </c>
      <c r="AR407" s="39">
        <f>IF(ISNUMBER($AD407),IF(Header!$D$34="","?",$AD407*Header!$D$34),"")</f>
      </c>
      <c r="AS407" s="39">
        <f>IF(ISNUMBER($AB407),IF(Header!$D$34="","?",$AB407*Header!$D$34),"")</f>
      </c>
      <c r="AT407" s="42">
        <f>IF(AND(ISNUMBER($AB407),$M407&gt;0),$AB407/$M407*100,"")</f>
      </c>
      <c r="AU407" s="42">
        <f>IF(AND(ISNUMBER($AD407),$M407&gt;0),$AD407/$M407*100,"")</f>
      </c>
      <c r="AV407" s="40">
        <f>IF(AND(ISNUMBER($AB407),ISNUMBER($AD407),ABS($AB407)&gt;0),$AD407/$AB407,"")</f>
      </c>
      <c r="AW407" s="39">
        <f>IF(ISNUMBER($AD407),MAX(0,(1-0.55-Header!$O$3)*Header!$Q$3*$AQ407),"")</f>
      </c>
      <c r="AX407" s="43">
        <f>IF($A407="","",IF(TRIM(IF($A407="","Missing certificate ref. ","") &amp; IF($C407="","Missing effective date. ","") &amp; IF($D407="","Missing binding status. ","") &amp; IF($E407="","Missing movement type. ","") &amp; IF($I407="","Missing make. ","") &amp; IF($L407="","Missing vehicle class. ","") &amp; IF($M407="","Missing agreed value. ","") &amp; IF($N407="","Missing policy type. ","") &amp; IF($Q407="","Missing garaging state. ","") &amp; IF($R407="","Missing garaging ZIP. ","") &amp; IF($S407="","Missing cat zone. ","") &amp; IF($V407="","Missing valuation basis. ","") &amp; IF($W407="","Missing PD deductible. ","") &amp; IF($X407="","Missing liability limit. ","") &amp; IF($AB407="","Missing technical premium. ","") &amp; IF($AF407="","Missing surplus lines tax %. ",""))="","PASS","FAIL: "&amp;TRIM(IF($A407="","Missing certificate ref. ","") &amp; IF($C407="","Missing effective date. ","") &amp; IF($D407="","Missing binding status. ","") &amp; IF($E407="","Missing movement type. ","") &amp; IF($I407="","Missing make. ","") &amp; IF($L407="","Missing vehicle class. ","") &amp; IF($M407="","Missing agreed value. ","") &amp; IF($N407="","Missing policy type. ","") &amp; IF($Q407="","Missing garaging state. ","") &amp; IF($R407="","Missing garaging ZIP. ","") &amp; IF($S407="","Missing cat zone. ","") &amp; IF($V407="","Missing valuation basis. ","") &amp; IF($W407="","Missing PD deductible. ","") &amp; IF($X407="","Missing liability limit. ","") &amp; IF($AB407="","Missing technical premium. ","") &amp; IF($AF407="","Missing surplus lines tax %. ",""))))</f>
      </c>
      <c r="AY407" s="44">
        <f>IF($M407="","",IF(ISNUMBER($M407),IF($M407&gt;=Header!$C$18,"YES — refer","No"),""))</f>
      </c>
      <c r="AZ407" s="44">
        <f>IF($AD407="","",IF(ISNUMBER($AD407),IF($AD407&lt;Header!$C$20,"BELOW MIN PREMIUM","OK"),""))</f>
      </c>
      <c r="BA407" s="32" t="inlineStr">
        <is>
          <t xml:space="preserve">Yes</t>
        </is>
      </c>
      <c r="BB407" s="32" t="inlineStr">
        <is>
          <t xml:space="preserve">Yes</t>
        </is>
      </c>
      <c r="BC407" s="30" t="inlineStr">
        <is>
          <t xml:space="preserve">Synthetic demo data</t>
        </is>
      </c>
      <c r="BE407" s="45">
        <f>IF(OR($A407="",$L407="",$H407=""),"",IF(AND(LEFT($L407,2)="06",$H407&gt;1945),"FAIL - pre-war class, year "&amp;$H407,IF(AND(LEFT($L407,2)="07",OR($H407&lt;1946,$H407&gt;1972)),"FAIL - 1946-72 class, year "&amp;$H407,IF(AND(LEFT($L407,2)="08",OR($H407&lt;1973,$H407&gt;1999)),"FAIL - 1973-99 class, year "&amp;$H407,IF(AND(LEFT($L407,2)="09",OR($H407&lt;2000,$H407&gt;2010)),"FAIL - 2000-10 class, year "&amp;$H407,"OK")))))</f>
      </c>
      <c r="BF407" s="45">
        <f>IF($AD407="","",IF(ROUND($AO407+$AP407+$AQ407-$AD407,2)=0,"OK","FAIL - out by "&amp;TEXT($AO407+$AP407+$AQ407-$AD407,"$0.00")))</f>
      </c>
    </row>
    <row r="408" spans="1:58" ht="18.75" customHeight="1" x14ac:dyDescent="0.25">
      <c r="A408" s="46" t="inlineStr">
        <is>
          <t xml:space="preserve">CANON-202508-000560</t>
        </is>
      </c>
      <c r="B408" s="46" t="inlineStr">
        <is>
          <t xml:space="preserve">Noor Larsson</t>
        </is>
      </c>
      <c r="C408" s="47">
        <v>45884</v>
      </c>
      <c r="D408" s="48" t="inlineStr">
        <is>
          <t xml:space="preserve">Bound - within authority</t>
        </is>
      </c>
      <c r="E408" s="48" t="inlineStr">
        <is>
          <t xml:space="preserve">New business</t>
        </is>
      </c>
      <c r="F408" s="46" t="inlineStr">
        <is>
          <t xml:space="preserve">B1234EXOTIC26</t>
        </is>
      </c>
      <c r="G408" s="33">
        <f>IF($A408="","",IF($C408="","",YEAR($C408)))</f>
      </c>
      <c r="H408" s="49">
        <v>1971</v>
      </c>
      <c r="I408" s="46" t="inlineStr">
        <is>
          <t xml:space="preserve">Ferrari</t>
        </is>
      </c>
      <c r="J408" s="46" t="inlineStr">
        <is>
          <t xml:space="preserve">SF90 Stradale</t>
        </is>
      </c>
      <c r="K408" s="46" t="inlineStr">
        <is>
          <t xml:space="preserve">WUZ0ETBXK77L421ZA</t>
        </is>
      </c>
      <c r="L408" s="48" t="inlineStr">
        <is>
          <t xml:space="preserve">03 - Supercar</t>
        </is>
      </c>
      <c r="M408" s="50">
        <v>440000</v>
      </c>
      <c r="N408" s="48" t="inlineStr">
        <is>
          <t xml:space="preserve">Personal</t>
        </is>
      </c>
      <c r="O408" s="46" t="inlineStr">
        <is>
          <t xml:space="preserve">Personal - regular use</t>
        </is>
      </c>
      <c r="P408" s="46" t="inlineStr">
        <is>
          <t xml:space="preserve">Under 1,000</t>
        </is>
      </c>
      <c r="Q408" s="46" t="inlineStr">
        <is>
          <t xml:space="preserve">Mississippi</t>
        </is>
      </c>
      <c r="R408" s="46" t="inlineStr">
        <is>
          <t xml:space="preserve">39201</t>
        </is>
      </c>
      <c r="S408" s="48" t="inlineStr">
        <is>
          <t xml:space="preserve">Tier 2 - Coastal wind (1-25 miles)</t>
        </is>
      </c>
      <c r="T408" s="36">
        <f>IF($A408="","",IF($S408="","",IFERROR(INDEX('[1]natural catastrophe'!$D$6:$D$17,MATCH($S408,'[1]natural catastrophe'!$B$6:$B$17,0)),"?")))</f>
      </c>
      <c r="U408" s="46" t="inlineStr">
        <is>
          <t xml:space="preserve">2% of agreed value, minimum $10,000</t>
        </is>
      </c>
      <c r="V408" s="48" t="inlineStr">
        <is>
          <t xml:space="preserve">Agreed Value</t>
        </is>
      </c>
      <c r="W408" s="46" t="inlineStr">
        <is>
          <t xml:space="preserve">$1,000</t>
        </is>
      </c>
      <c r="X408" s="48" t="inlineStr">
        <is>
          <t xml:space="preserve">$1,000,000 CSL</t>
        </is>
      </c>
      <c r="Y408" s="46"/>
      <c r="Z408" s="46"/>
      <c r="AA408" s="48" t="inlineStr">
        <is>
          <t xml:space="preserve">Surplus Lines</t>
        </is>
      </c>
      <c r="AB408" s="50">
        <v>11361.13</v>
      </c>
      <c r="AC408" s="51">
        <v>0</v>
      </c>
      <c r="AD408" s="38">
        <f>IF(ISNUMBER($AB408),$AB408*(1+N($AC408)),"")</f>
      </c>
      <c r="AE408" s="50">
        <v>350</v>
      </c>
      <c r="AF408" s="50">
        <v>0</v>
      </c>
      <c r="AG408" s="51"/>
      <c r="AH408" s="39">
        <f>IF(ISNUMBER($AD408),($AD408+$AE408+$AF408)*$AG408,"")</f>
      </c>
      <c r="AI408" s="50"/>
      <c r="AJ408" s="38">
        <f>IF(ISNUMBER($AD408),SUM($AD408:$AH408),"")</f>
      </c>
      <c r="AK408" s="40">
        <f>IF(AND(ISNUMBER($AB408),ISNUMBER($AD408)),IF($AB408&gt;0,$AD408/$AB408,""),"")</f>
      </c>
      <c r="AL408" s="48" t="inlineStr">
        <is>
          <t xml:space="preserve">At technical</t>
        </is>
      </c>
      <c r="AM408" s="41">
        <f>IF(ISNUMBER($AD408),Header!$I$3,"")</f>
      </c>
      <c r="AN408" s="39">
        <f>IF(ISNUMBER($AD408),$AO408+$AP408,"")</f>
      </c>
      <c r="AO408" s="39">
        <f>IF(ISNUMBER($AD408),ROUND($AD408*Header!$K$3,2),"")</f>
      </c>
      <c r="AP408" s="39">
        <f>IF(ISNUMBER($AD408),ROUND($AD408*Header!$M$3,2),"")</f>
      </c>
      <c r="AQ408" s="38">
        <f>IF(ISNUMBER($AD408),ROUND($AD408,2)-$AO408-$AP408,"")</f>
      </c>
      <c r="AR408" s="39">
        <f>IF(ISNUMBER($AD408),IF(Header!$D$34="","?",$AD408*Header!$D$34),"")</f>
      </c>
      <c r="AS408" s="39">
        <f>IF(ISNUMBER($AB408),IF(Header!$D$34="","?",$AB408*Header!$D$34),"")</f>
      </c>
      <c r="AT408" s="42">
        <f>IF(AND(ISNUMBER($AB408),$M408&gt;0),$AB408/$M408*100,"")</f>
      </c>
      <c r="AU408" s="42">
        <f>IF(AND(ISNUMBER($AD408),$M408&gt;0),$AD408/$M408*100,"")</f>
      </c>
      <c r="AV408" s="40">
        <f>IF(AND(ISNUMBER($AB408),ISNUMBER($AD408),ABS($AB408)&gt;0),$AD408/$AB408,"")</f>
      </c>
      <c r="AW408" s="39">
        <f>IF(ISNUMBER($AD408),MAX(0,(1-0.55-Header!$O$3)*Header!$Q$3*$AQ408),"")</f>
      </c>
      <c r="AX408" s="43">
        <f>IF($A408="","",IF(TRIM(IF($A408="","Missing certificate ref. ","") &amp; IF($C408="","Missing effective date. ","") &amp; IF($D408="","Missing binding status. ","") &amp; IF($E408="","Missing movement type. ","") &amp; IF($I408="","Missing make. ","") &amp; IF($L408="","Missing vehicle class. ","") &amp; IF($M408="","Missing agreed value. ","") &amp; IF($N408="","Missing policy type. ","") &amp; IF($Q408="","Missing garaging state. ","") &amp; IF($R408="","Missing garaging ZIP. ","") &amp; IF($S408="","Missing cat zone. ","") &amp; IF($V408="","Missing valuation basis. ","") &amp; IF($W408="","Missing PD deductible. ","") &amp; IF($X408="","Missing liability limit. ","") &amp; IF($AB408="","Missing technical premium. ","") &amp; IF($AF408="","Missing surplus lines tax %. ",""))="","PASS","FAIL: "&amp;TRIM(IF($A408="","Missing certificate ref. ","") &amp; IF($C408="","Missing effective date. ","") &amp; IF($D408="","Missing binding status. ","") &amp; IF($E408="","Missing movement type. ","") &amp; IF($I408="","Missing make. ","") &amp; IF($L408="","Missing vehicle class. ","") &amp; IF($M408="","Missing agreed value. ","") &amp; IF($N408="","Missing policy type. ","") &amp; IF($Q408="","Missing garaging state. ","") &amp; IF($R408="","Missing garaging ZIP. ","") &amp; IF($S408="","Missing cat zone. ","") &amp; IF($V408="","Missing valuation basis. ","") &amp; IF($W408="","Missing PD deductible. ","") &amp; IF($X408="","Missing liability limit. ","") &amp; IF($AB408="","Missing technical premium. ","") &amp; IF($AF408="","Missing surplus lines tax %. ",""))))</f>
      </c>
      <c r="AY408" s="44">
        <f>IF($M408="","",IF(ISNUMBER($M408),IF($M408&gt;=Header!$C$18,"YES — refer","No"),""))</f>
      </c>
      <c r="AZ408" s="44">
        <f>IF($AD408="","",IF(ISNUMBER($AD408),IF($AD408&lt;Header!$C$20,"BELOW MIN PREMIUM","OK"),""))</f>
      </c>
      <c r="BA408" s="48" t="inlineStr">
        <is>
          <t xml:space="preserve">Yes</t>
        </is>
      </c>
      <c r="BB408" s="48" t="inlineStr">
        <is>
          <t xml:space="preserve">Yes</t>
        </is>
      </c>
      <c r="BC408" s="46" t="inlineStr">
        <is>
          <t xml:space="preserve">Synthetic demo data</t>
        </is>
      </c>
      <c r="BE408" s="45">
        <f>IF(OR($A408="",$L408="",$H408=""),"",IF(AND(LEFT($L408,2)="06",$H408&gt;1945),"FAIL - pre-war class, year "&amp;$H408,IF(AND(LEFT($L408,2)="07",OR($H408&lt;1946,$H408&gt;1972)),"FAIL - 1946-72 class, year "&amp;$H408,IF(AND(LEFT($L408,2)="08",OR($H408&lt;1973,$H408&gt;1999)),"FAIL - 1973-99 class, year "&amp;$H408,IF(AND(LEFT($L408,2)="09",OR($H408&lt;2000,$H408&gt;2010)),"FAIL - 2000-10 class, year "&amp;$H408,"OK")))))</f>
      </c>
      <c r="BF408" s="45">
        <f>IF($AD408="","",IF(ROUND($AO408+$AP408+$AQ408-$AD408,2)=0,"OK","FAIL - out by "&amp;TEXT($AO408+$AP408+$AQ408-$AD408,"$0.00")))</f>
      </c>
    </row>
    <row r="409" spans="1:58" ht="18.75" customHeight="1" x14ac:dyDescent="0.25">
      <c r="A409" s="30" t="inlineStr">
        <is>
          <t xml:space="preserve">CANON-202508-000561</t>
        </is>
      </c>
      <c r="B409" s="30" t="inlineStr">
        <is>
          <t xml:space="preserve">Leopold Underwood</t>
        </is>
      </c>
      <c r="C409" s="31">
        <v>45873</v>
      </c>
      <c r="D409" s="32" t="inlineStr">
        <is>
          <t xml:space="preserve">Bound - within authority</t>
        </is>
      </c>
      <c r="E409" s="32" t="inlineStr">
        <is>
          <t xml:space="preserve">New business</t>
        </is>
      </c>
      <c r="F409" s="30" t="inlineStr">
        <is>
          <t xml:space="preserve">B1234EXOTIC26</t>
        </is>
      </c>
      <c r="G409" s="33">
        <f>IF($A409="","",IF($C409="","",YEAR($C409)))</f>
      </c>
      <c r="H409" s="34">
        <v>2008</v>
      </c>
      <c r="I409" s="30" t="inlineStr">
        <is>
          <t xml:space="preserve">Bentley</t>
        </is>
      </c>
      <c r="J409" s="30" t="inlineStr">
        <is>
          <t xml:space="preserve">Continental GT</t>
        </is>
      </c>
      <c r="K409" s="30" t="inlineStr">
        <is>
          <t xml:space="preserve">T57XMF3GPUL5FW0YB</t>
        </is>
      </c>
      <c r="L409" s="32" t="inlineStr">
        <is>
          <t xml:space="preserve">02 - Sports / GT</t>
        </is>
      </c>
      <c r="M409" s="35">
        <v>450000</v>
      </c>
      <c r="N409" s="32" t="inlineStr">
        <is>
          <t xml:space="preserve">Personal</t>
        </is>
      </c>
      <c r="O409" s="30" t="inlineStr">
        <is>
          <t xml:space="preserve">Personal - regular use</t>
        </is>
      </c>
      <c r="P409" s="30" t="inlineStr">
        <is>
          <t xml:space="preserve">Under 1,000</t>
        </is>
      </c>
      <c r="Q409" s="30" t="inlineStr">
        <is>
          <t xml:space="preserve">Illinois</t>
        </is>
      </c>
      <c r="R409" s="30" t="inlineStr">
        <is>
          <t xml:space="preserve">60601</t>
        </is>
      </c>
      <c r="S409" s="32" t="inlineStr">
        <is>
          <t xml:space="preserve">Severe convective - hail / tornado (moderate)</t>
        </is>
      </c>
      <c r="T409" s="36">
        <f>IF($A409="","",IF($S409="","",IFERROR(INDEX('[1]natural catastrophe'!$D$6:$D$17,MATCH($S409,'[1]natural catastrophe'!$B$6:$B$17,0)),"?")))</f>
      </c>
      <c r="U409" s="30" t="inlineStr">
        <is>
          <t xml:space="preserve">$5,000</t>
        </is>
      </c>
      <c r="V409" s="32" t="inlineStr">
        <is>
          <t xml:space="preserve">Agreed Value</t>
        </is>
      </c>
      <c r="W409" s="30" t="inlineStr">
        <is>
          <t xml:space="preserve">$1,000</t>
        </is>
      </c>
      <c r="X409" s="32" t="inlineStr">
        <is>
          <t xml:space="preserve">$1,000,000 CSL</t>
        </is>
      </c>
      <c r="Y409" s="30"/>
      <c r="Z409" s="30"/>
      <c r="AA409" s="32" t="inlineStr">
        <is>
          <t xml:space="preserve">Surplus Lines</t>
        </is>
      </c>
      <c r="AB409" s="35">
        <v>8660.38</v>
      </c>
      <c r="AC409" s="37">
        <v>0</v>
      </c>
      <c r="AD409" s="38">
        <f>IF(ISNUMBER($AB409),$AB409*(1+N($AC409)),"")</f>
      </c>
      <c r="AE409" s="35">
        <v>350</v>
      </c>
      <c r="AF409" s="35">
        <v>0</v>
      </c>
      <c r="AG409" s="37"/>
      <c r="AH409" s="39">
        <f>IF(ISNUMBER($AD409),($AD409+$AE409+$AF409)*$AG409,"")</f>
      </c>
      <c r="AI409" s="35"/>
      <c r="AJ409" s="38">
        <f>IF(ISNUMBER($AD409),SUM($AD409:$AH409),"")</f>
      </c>
      <c r="AK409" s="40">
        <f>IF(AND(ISNUMBER($AB409),ISNUMBER($AD409)),IF($AB409&gt;0,$AD409/$AB409,""),"")</f>
      </c>
      <c r="AL409" s="32" t="inlineStr">
        <is>
          <t xml:space="preserve">At technical</t>
        </is>
      </c>
      <c r="AM409" s="41">
        <f>IF(ISNUMBER($AD409),Header!$I$3,"")</f>
      </c>
      <c r="AN409" s="39">
        <f>IF(ISNUMBER($AD409),$AO409+$AP409,"")</f>
      </c>
      <c r="AO409" s="39">
        <f>IF(ISNUMBER($AD409),ROUND($AD409*Header!$K$3,2),"")</f>
      </c>
      <c r="AP409" s="39">
        <f>IF(ISNUMBER($AD409),ROUND($AD409*Header!$M$3,2),"")</f>
      </c>
      <c r="AQ409" s="38">
        <f>IF(ISNUMBER($AD409),ROUND($AD409,2)-$AO409-$AP409,"")</f>
      </c>
      <c r="AR409" s="39">
        <f>IF(ISNUMBER($AD409),IF(Header!$D$34="","?",$AD409*Header!$D$34),"")</f>
      </c>
      <c r="AS409" s="39">
        <f>IF(ISNUMBER($AB409),IF(Header!$D$34="","?",$AB409*Header!$D$34),"")</f>
      </c>
      <c r="AT409" s="42">
        <f>IF(AND(ISNUMBER($AB409),$M409&gt;0),$AB409/$M409*100,"")</f>
      </c>
      <c r="AU409" s="42">
        <f>IF(AND(ISNUMBER($AD409),$M409&gt;0),$AD409/$M409*100,"")</f>
      </c>
      <c r="AV409" s="40">
        <f>IF(AND(ISNUMBER($AB409),ISNUMBER($AD409),ABS($AB409)&gt;0),$AD409/$AB409,"")</f>
      </c>
      <c r="AW409" s="39">
        <f>IF(ISNUMBER($AD409),MAX(0,(1-0.55-Header!$O$3)*Header!$Q$3*$AQ409),"")</f>
      </c>
      <c r="AX409" s="43">
        <f>IF($A409="","",IF(TRIM(IF($A409="","Missing certificate ref. ","") &amp; IF($C409="","Missing effective date. ","") &amp; IF($D409="","Missing binding status. ","") &amp; IF($E409="","Missing movement type. ","") &amp; IF($I409="","Missing make. ","") &amp; IF($L409="","Missing vehicle class. ","") &amp; IF($M409="","Missing agreed value. ","") &amp; IF($N409="","Missing policy type. ","") &amp; IF($Q409="","Missing garaging state. ","") &amp; IF($R409="","Missing garaging ZIP. ","") &amp; IF($S409="","Missing cat zone. ","") &amp; IF($V409="","Missing valuation basis. ","") &amp; IF($W409="","Missing PD deductible. ","") &amp; IF($X409="","Missing liability limit. ","") &amp; IF($AB409="","Missing technical premium. ","") &amp; IF($AF409="","Missing surplus lines tax %. ",""))="","PASS","FAIL: "&amp;TRIM(IF($A409="","Missing certificate ref. ","") &amp; IF($C409="","Missing effective date. ","") &amp; IF($D409="","Missing binding status. ","") &amp; IF($E409="","Missing movement type. ","") &amp; IF($I409="","Missing make. ","") &amp; IF($L409="","Missing vehicle class. ","") &amp; IF($M409="","Missing agreed value. ","") &amp; IF($N409="","Missing policy type. ","") &amp; IF($Q409="","Missing garaging state. ","") &amp; IF($R409="","Missing garaging ZIP. ","") &amp; IF($S409="","Missing cat zone. ","") &amp; IF($V409="","Missing valuation basis. ","") &amp; IF($W409="","Missing PD deductible. ","") &amp; IF($X409="","Missing liability limit. ","") &amp; IF($AB409="","Missing technical premium. ","") &amp; IF($AF409="","Missing surplus lines tax %. ",""))))</f>
      </c>
      <c r="AY409" s="44">
        <f>IF($M409="","",IF(ISNUMBER($M409),IF($M409&gt;=Header!$C$18,"YES — refer","No"),""))</f>
      </c>
      <c r="AZ409" s="44">
        <f>IF($AD409="","",IF(ISNUMBER($AD409),IF($AD409&lt;Header!$C$20,"BELOW MIN PREMIUM","OK"),""))</f>
      </c>
      <c r="BA409" s="32" t="inlineStr">
        <is>
          <t xml:space="preserve">Yes</t>
        </is>
      </c>
      <c r="BB409" s="32" t="inlineStr">
        <is>
          <t xml:space="preserve">Yes</t>
        </is>
      </c>
      <c r="BC409" s="30" t="inlineStr">
        <is>
          <t xml:space="preserve">Synthetic demo data</t>
        </is>
      </c>
      <c r="BE409" s="45">
        <f>IF(OR($A409="",$L409="",$H409=""),"",IF(AND(LEFT($L409,2)="06",$H409&gt;1945),"FAIL - pre-war class, year "&amp;$H409,IF(AND(LEFT($L409,2)="07",OR($H409&lt;1946,$H409&gt;1972)),"FAIL - 1946-72 class, year "&amp;$H409,IF(AND(LEFT($L409,2)="08",OR($H409&lt;1973,$H409&gt;1999)),"FAIL - 1973-99 class, year "&amp;$H409,IF(AND(LEFT($L409,2)="09",OR($H409&lt;2000,$H409&gt;2010)),"FAIL - 2000-10 class, year "&amp;$H409,"OK")))))</f>
      </c>
      <c r="BF409" s="45">
        <f>IF($AD409="","",IF(ROUND($AO409+$AP409+$AQ409-$AD409,2)=0,"OK","FAIL - out by "&amp;TEXT($AO409+$AP409+$AQ409-$AD409,"$0.00")))</f>
      </c>
    </row>
    <row r="410" spans="1:58" ht="18.75" customHeight="1" x14ac:dyDescent="0.25">
      <c r="A410" s="46" t="inlineStr">
        <is>
          <t xml:space="preserve">CANON-202508-000563</t>
        </is>
      </c>
      <c r="B410" s="46" t="inlineStr">
        <is>
          <t xml:space="preserve">Desmond Harrington</t>
        </is>
      </c>
      <c r="C410" s="47">
        <v>45889</v>
      </c>
      <c r="D410" s="48" t="inlineStr">
        <is>
          <t xml:space="preserve">Bound - within authority</t>
        </is>
      </c>
      <c r="E410" s="48" t="inlineStr">
        <is>
          <t xml:space="preserve">New business</t>
        </is>
      </c>
      <c r="F410" s="46" t="inlineStr">
        <is>
          <t xml:space="preserve">B1234EXOTIC26</t>
        </is>
      </c>
      <c r="G410" s="33">
        <f>IF($A410="","",IF($C410="","",YEAR($C410)))</f>
      </c>
      <c r="H410" s="49">
        <v>1956</v>
      </c>
      <c r="I410" s="46" t="inlineStr">
        <is>
          <t xml:space="preserve">Porsche</t>
        </is>
      </c>
      <c r="J410" s="46" t="inlineStr">
        <is>
          <t xml:space="preserve">911 Turbo S</t>
        </is>
      </c>
      <c r="K410" s="46" t="inlineStr">
        <is>
          <t xml:space="preserve">6DZCH1UAZ46RN7PK6</t>
        </is>
      </c>
      <c r="L410" s="48" t="inlineStr">
        <is>
          <t xml:space="preserve">02 - Sports / GT</t>
        </is>
      </c>
      <c r="M410" s="50">
        <v>735000</v>
      </c>
      <c r="N410" s="48" t="inlineStr">
        <is>
          <t xml:space="preserve">Personal</t>
        </is>
      </c>
      <c r="O410" s="46" t="inlineStr">
        <is>
          <t xml:space="preserve">Personal - regular use</t>
        </is>
      </c>
      <c r="P410" s="46" t="inlineStr">
        <is>
          <t xml:space="preserve">1,000 - 2,500</t>
        </is>
      </c>
      <c r="Q410" s="46" t="inlineStr">
        <is>
          <t xml:space="preserve">Massachusetts</t>
        </is>
      </c>
      <c r="R410" s="46" t="inlineStr">
        <is>
          <t xml:space="preserve">02108</t>
        </is>
      </c>
      <c r="S410" s="48" t="inlineStr">
        <is>
          <t xml:space="preserve">Tier 3 - Coastal wind (25-100 miles)</t>
        </is>
      </c>
      <c r="T410" s="36">
        <f>IF($A410="","",IF($S410="","",IFERROR(INDEX('[1]natural catastrophe'!$D$6:$D$17,MATCH($S410,'[1]natural catastrophe'!$B$6:$B$17,0)),"?")))</f>
      </c>
      <c r="U410" s="46" t="inlineStr">
        <is>
          <t xml:space="preserve">2% of agreed value, minimum $10,000</t>
        </is>
      </c>
      <c r="V410" s="48" t="inlineStr">
        <is>
          <t xml:space="preserve">Agreed Value</t>
        </is>
      </c>
      <c r="W410" s="46" t="inlineStr">
        <is>
          <t xml:space="preserve">$1,000</t>
        </is>
      </c>
      <c r="X410" s="48" t="inlineStr">
        <is>
          <t xml:space="preserve">$1,000,000 CSL</t>
        </is>
      </c>
      <c r="Y410" s="46"/>
      <c r="Z410" s="46"/>
      <c r="AA410" s="48" t="inlineStr">
        <is>
          <t xml:space="preserve">Surplus Lines</t>
        </is>
      </c>
      <c r="AB410" s="50">
        <v>11267.69</v>
      </c>
      <c r="AC410" s="51">
        <v>0</v>
      </c>
      <c r="AD410" s="38">
        <f>IF(ISNUMBER($AB410),$AB410*(1+N($AC410)),"")</f>
      </c>
      <c r="AE410" s="50">
        <v>350</v>
      </c>
      <c r="AF410" s="50">
        <v>0</v>
      </c>
      <c r="AG410" s="51"/>
      <c r="AH410" s="39">
        <f>IF(ISNUMBER($AD410),($AD410+$AE410+$AF410)*$AG410,"")</f>
      </c>
      <c r="AI410" s="50"/>
      <c r="AJ410" s="38">
        <f>IF(ISNUMBER($AD410),SUM($AD410:$AH410),"")</f>
      </c>
      <c r="AK410" s="40">
        <f>IF(AND(ISNUMBER($AB410),ISNUMBER($AD410)),IF($AB410&gt;0,$AD410/$AB410,""),"")</f>
      </c>
      <c r="AL410" s="48" t="inlineStr">
        <is>
          <t xml:space="preserve">At technical</t>
        </is>
      </c>
      <c r="AM410" s="41">
        <f>IF(ISNUMBER($AD410),Header!$I$3,"")</f>
      </c>
      <c r="AN410" s="39">
        <f>IF(ISNUMBER($AD410),$AO410+$AP410,"")</f>
      </c>
      <c r="AO410" s="39">
        <f>IF(ISNUMBER($AD410),ROUND($AD410*Header!$K$3,2),"")</f>
      </c>
      <c r="AP410" s="39">
        <f>IF(ISNUMBER($AD410),ROUND($AD410*Header!$M$3,2),"")</f>
      </c>
      <c r="AQ410" s="38">
        <f>IF(ISNUMBER($AD410),ROUND($AD410,2)-$AO410-$AP410,"")</f>
      </c>
      <c r="AR410" s="39">
        <f>IF(ISNUMBER($AD410),IF(Header!$D$34="","?",$AD410*Header!$D$34),"")</f>
      </c>
      <c r="AS410" s="39">
        <f>IF(ISNUMBER($AB410),IF(Header!$D$34="","?",$AB410*Header!$D$34),"")</f>
      </c>
      <c r="AT410" s="42">
        <f>IF(AND(ISNUMBER($AB410),$M410&gt;0),$AB410/$M410*100,"")</f>
      </c>
      <c r="AU410" s="42">
        <f>IF(AND(ISNUMBER($AD410),$M410&gt;0),$AD410/$M410*100,"")</f>
      </c>
      <c r="AV410" s="40">
        <f>IF(AND(ISNUMBER($AB410),ISNUMBER($AD410),ABS($AB410)&gt;0),$AD410/$AB410,"")</f>
      </c>
      <c r="AW410" s="39">
        <f>IF(ISNUMBER($AD410),MAX(0,(1-0.55-Header!$O$3)*Header!$Q$3*$AQ410),"")</f>
      </c>
      <c r="AX410" s="43">
        <f>IF($A410="","",IF(TRIM(IF($A410="","Missing certificate ref. ","") &amp; IF($C410="","Missing effective date. ","") &amp; IF($D410="","Missing binding status. ","") &amp; IF($E410="","Missing movement type. ","") &amp; IF($I410="","Missing make. ","") &amp; IF($L410="","Missing vehicle class. ","") &amp; IF($M410="","Missing agreed value. ","") &amp; IF($N410="","Missing policy type. ","") &amp; IF($Q410="","Missing garaging state. ","") &amp; IF($R410="","Missing garaging ZIP. ","") &amp; IF($S410="","Missing cat zone. ","") &amp; IF($V410="","Missing valuation basis. ","") &amp; IF($W410="","Missing PD deductible. ","") &amp; IF($X410="","Missing liability limit. ","") &amp; IF($AB410="","Missing technical premium. ","") &amp; IF($AF410="","Missing surplus lines tax %. ",""))="","PASS","FAIL: "&amp;TRIM(IF($A410="","Missing certificate ref. ","") &amp; IF($C410="","Missing effective date. ","") &amp; IF($D410="","Missing binding status. ","") &amp; IF($E410="","Missing movement type. ","") &amp; IF($I410="","Missing make. ","") &amp; IF($L410="","Missing vehicle class. ","") &amp; IF($M410="","Missing agreed value. ","") &amp; IF($N410="","Missing policy type. ","") &amp; IF($Q410="","Missing garaging state. ","") &amp; IF($R410="","Missing garaging ZIP. ","") &amp; IF($S410="","Missing cat zone. ","") &amp; IF($V410="","Missing valuation basis. ","") &amp; IF($W410="","Missing PD deductible. ","") &amp; IF($X410="","Missing liability limit. ","") &amp; IF($AB410="","Missing technical premium. ","") &amp; IF($AF410="","Missing surplus lines tax %. ",""))))</f>
      </c>
      <c r="AY410" s="44">
        <f>IF($M410="","",IF(ISNUMBER($M410),IF($M410&gt;=Header!$C$18,"YES — refer","No"),""))</f>
      </c>
      <c r="AZ410" s="44">
        <f>IF($AD410="","",IF(ISNUMBER($AD410),IF($AD410&lt;Header!$C$20,"BELOW MIN PREMIUM","OK"),""))</f>
      </c>
      <c r="BA410" s="48" t="inlineStr">
        <is>
          <t xml:space="preserve">Yes</t>
        </is>
      </c>
      <c r="BB410" s="48" t="inlineStr">
        <is>
          <t xml:space="preserve">Yes</t>
        </is>
      </c>
      <c r="BC410" s="46" t="inlineStr">
        <is>
          <t xml:space="preserve">Synthetic demo data</t>
        </is>
      </c>
      <c r="BE410" s="45">
        <f>IF(OR($A410="",$L410="",$H410=""),"",IF(AND(LEFT($L410,2)="06",$H410&gt;1945),"FAIL - pre-war class, year "&amp;$H410,IF(AND(LEFT($L410,2)="07",OR($H410&lt;1946,$H410&gt;1972)),"FAIL - 1946-72 class, year "&amp;$H410,IF(AND(LEFT($L410,2)="08",OR($H410&lt;1973,$H410&gt;1999)),"FAIL - 1973-99 class, year "&amp;$H410,IF(AND(LEFT($L410,2)="09",OR($H410&lt;2000,$H410&gt;2010)),"FAIL - 2000-10 class, year "&amp;$H410,"OK")))))</f>
      </c>
      <c r="BF410" s="45">
        <f>IF($AD410="","",IF(ROUND($AO410+$AP410+$AQ410-$AD410,2)=0,"OK","FAIL - out by "&amp;TEXT($AO410+$AP410+$AQ410-$AD410,"$0.00")))</f>
      </c>
    </row>
    <row r="411" spans="1:58" ht="18.75" customHeight="1" x14ac:dyDescent="0.25">
      <c r="A411" s="30" t="inlineStr">
        <is>
          <t xml:space="preserve">CANON-202508-000564</t>
        </is>
      </c>
      <c r="B411" s="30" t="inlineStr">
        <is>
          <t xml:space="preserve">Horace Larsson</t>
        </is>
      </c>
      <c r="C411" s="31">
        <v>45886</v>
      </c>
      <c r="D411" s="32" t="inlineStr">
        <is>
          <t xml:space="preserve">Bound - within authority</t>
        </is>
      </c>
      <c r="E411" s="32" t="inlineStr">
        <is>
          <t xml:space="preserve">New business</t>
        </is>
      </c>
      <c r="F411" s="30" t="inlineStr">
        <is>
          <t xml:space="preserve">B1234EXOTIC26</t>
        </is>
      </c>
      <c r="G411" s="33">
        <f>IF($A411="","",IF($C411="","",YEAR($C411)))</f>
      </c>
      <c r="H411" s="34">
        <v>2003</v>
      </c>
      <c r="I411" s="30" t="inlineStr">
        <is>
          <t xml:space="preserve">Aston Martin</t>
        </is>
      </c>
      <c r="J411" s="30" t="inlineStr">
        <is>
          <t xml:space="preserve">DB12</t>
        </is>
      </c>
      <c r="K411" s="30" t="inlineStr">
        <is>
          <t xml:space="preserve">BLKYZX0C592Y7BKZ8</t>
        </is>
      </c>
      <c r="L411" s="32" t="inlineStr">
        <is>
          <t xml:space="preserve">02 - Sports / GT</t>
        </is>
      </c>
      <c r="M411" s="35">
        <v>585000</v>
      </c>
      <c r="N411" s="32" t="inlineStr">
        <is>
          <t xml:space="preserve">Personal</t>
        </is>
      </c>
      <c r="O411" s="30" t="inlineStr">
        <is>
          <t xml:space="preserve">Personal - regular use</t>
        </is>
      </c>
      <c r="P411" s="30" t="inlineStr">
        <is>
          <t xml:space="preserve">2,500 - 5,000</t>
        </is>
      </c>
      <c r="Q411" s="30" t="inlineStr">
        <is>
          <t xml:space="preserve">Massachusetts</t>
        </is>
      </c>
      <c r="R411" s="30" t="inlineStr">
        <is>
          <t xml:space="preserve">02108</t>
        </is>
      </c>
      <c r="S411" s="32" t="inlineStr">
        <is>
          <t xml:space="preserve">Tier 3 - Coastal wind (25-100 miles)</t>
        </is>
      </c>
      <c r="T411" s="36">
        <f>IF($A411="","",IF($S411="","",IFERROR(INDEX('[1]natural catastrophe'!$D$6:$D$17,MATCH($S411,'[1]natural catastrophe'!$B$6:$B$17,0)),"?")))</f>
      </c>
      <c r="U411" s="30" t="inlineStr">
        <is>
          <t xml:space="preserve">2% of agreed value, minimum $10,000</t>
        </is>
      </c>
      <c r="V411" s="32" t="inlineStr">
        <is>
          <t xml:space="preserve">Agreed Value</t>
        </is>
      </c>
      <c r="W411" s="30" t="inlineStr">
        <is>
          <t xml:space="preserve">$1,000</t>
        </is>
      </c>
      <c r="X411" s="32" t="inlineStr">
        <is>
          <t xml:space="preserve">$1,000,000 CSL</t>
        </is>
      </c>
      <c r="Y411" s="30"/>
      <c r="Z411" s="30"/>
      <c r="AA411" s="32" t="inlineStr">
        <is>
          <t xml:space="preserve">Surplus Lines</t>
        </is>
      </c>
      <c r="AB411" s="35">
        <v>8968.16</v>
      </c>
      <c r="AC411" s="37">
        <v>0</v>
      </c>
      <c r="AD411" s="38">
        <f>IF(ISNUMBER($AB411),$AB411*(1+N($AC411)),"")</f>
      </c>
      <c r="AE411" s="35">
        <v>350</v>
      </c>
      <c r="AF411" s="35">
        <v>0</v>
      </c>
      <c r="AG411" s="37"/>
      <c r="AH411" s="39">
        <f>IF(ISNUMBER($AD411),($AD411+$AE411+$AF411)*$AG411,"")</f>
      </c>
      <c r="AI411" s="35"/>
      <c r="AJ411" s="38">
        <f>IF(ISNUMBER($AD411),SUM($AD411:$AH411),"")</f>
      </c>
      <c r="AK411" s="40">
        <f>IF(AND(ISNUMBER($AB411),ISNUMBER($AD411)),IF($AB411&gt;0,$AD411/$AB411,""),"")</f>
      </c>
      <c r="AL411" s="32" t="inlineStr">
        <is>
          <t xml:space="preserve">At technical</t>
        </is>
      </c>
      <c r="AM411" s="41">
        <f>IF(ISNUMBER($AD411),Header!$I$3,"")</f>
      </c>
      <c r="AN411" s="39">
        <f>IF(ISNUMBER($AD411),$AO411+$AP411,"")</f>
      </c>
      <c r="AO411" s="39">
        <f>IF(ISNUMBER($AD411),ROUND($AD411*Header!$K$3,2),"")</f>
      </c>
      <c r="AP411" s="39">
        <f>IF(ISNUMBER($AD411),ROUND($AD411*Header!$M$3,2),"")</f>
      </c>
      <c r="AQ411" s="38">
        <f>IF(ISNUMBER($AD411),ROUND($AD411,2)-$AO411-$AP411,"")</f>
      </c>
      <c r="AR411" s="39">
        <f>IF(ISNUMBER($AD411),IF(Header!$D$34="","?",$AD411*Header!$D$34),"")</f>
      </c>
      <c r="AS411" s="39">
        <f>IF(ISNUMBER($AB411),IF(Header!$D$34="","?",$AB411*Header!$D$34),"")</f>
      </c>
      <c r="AT411" s="42">
        <f>IF(AND(ISNUMBER($AB411),$M411&gt;0),$AB411/$M411*100,"")</f>
      </c>
      <c r="AU411" s="42">
        <f>IF(AND(ISNUMBER($AD411),$M411&gt;0),$AD411/$M411*100,"")</f>
      </c>
      <c r="AV411" s="40">
        <f>IF(AND(ISNUMBER($AB411),ISNUMBER($AD411),ABS($AB411)&gt;0),$AD411/$AB411,"")</f>
      </c>
      <c r="AW411" s="39">
        <f>IF(ISNUMBER($AD411),MAX(0,(1-0.55-Header!$O$3)*Header!$Q$3*$AQ411),"")</f>
      </c>
      <c r="AX411" s="43">
        <f>IF($A411="","",IF(TRIM(IF($A411="","Missing certificate ref. ","") &amp; IF($C411="","Missing effective date. ","") &amp; IF($D411="","Missing binding status. ","") &amp; IF($E411="","Missing movement type. ","") &amp; IF($I411="","Missing make. ","") &amp; IF($L411="","Missing vehicle class. ","") &amp; IF($M411="","Missing agreed value. ","") &amp; IF($N411="","Missing policy type. ","") &amp; IF($Q411="","Missing garaging state. ","") &amp; IF($R411="","Missing garaging ZIP. ","") &amp; IF($S411="","Missing cat zone. ","") &amp; IF($V411="","Missing valuation basis. ","") &amp; IF($W411="","Missing PD deductible. ","") &amp; IF($X411="","Missing liability limit. ","") &amp; IF($AB411="","Missing technical premium. ","") &amp; IF($AF411="","Missing surplus lines tax %. ",""))="","PASS","FAIL: "&amp;TRIM(IF($A411="","Missing certificate ref. ","") &amp; IF($C411="","Missing effective date. ","") &amp; IF($D411="","Missing binding status. ","") &amp; IF($E411="","Missing movement type. ","") &amp; IF($I411="","Missing make. ","") &amp; IF($L411="","Missing vehicle class. ","") &amp; IF($M411="","Missing agreed value. ","") &amp; IF($N411="","Missing policy type. ","") &amp; IF($Q411="","Missing garaging state. ","") &amp; IF($R411="","Missing garaging ZIP. ","") &amp; IF($S411="","Missing cat zone. ","") &amp; IF($V411="","Missing valuation basis. ","") &amp; IF($W411="","Missing PD deductible. ","") &amp; IF($X411="","Missing liability limit. ","") &amp; IF($AB411="","Missing technical premium. ","") &amp; IF($AF411="","Missing surplus lines tax %. ",""))))</f>
      </c>
      <c r="AY411" s="44">
        <f>IF($M411="","",IF(ISNUMBER($M411),IF($M411&gt;=Header!$C$18,"YES — refer","No"),""))</f>
      </c>
      <c r="AZ411" s="44">
        <f>IF($AD411="","",IF(ISNUMBER($AD411),IF($AD411&lt;Header!$C$20,"BELOW MIN PREMIUM","OK"),""))</f>
      </c>
      <c r="BA411" s="32" t="inlineStr">
        <is>
          <t xml:space="preserve">Yes</t>
        </is>
      </c>
      <c r="BB411" s="32" t="inlineStr">
        <is>
          <t xml:space="preserve">Yes</t>
        </is>
      </c>
      <c r="BC411" s="30" t="inlineStr">
        <is>
          <t xml:space="preserve">Synthetic demo data</t>
        </is>
      </c>
      <c r="BE411" s="45">
        <f>IF(OR($A411="",$L411="",$H411=""),"",IF(AND(LEFT($L411,2)="06",$H411&gt;1945),"FAIL - pre-war class, year "&amp;$H411,IF(AND(LEFT($L411,2)="07",OR($H411&lt;1946,$H411&gt;1972)),"FAIL - 1946-72 class, year "&amp;$H411,IF(AND(LEFT($L411,2)="08",OR($H411&lt;1973,$H411&gt;1999)),"FAIL - 1973-99 class, year "&amp;$H411,IF(AND(LEFT($L411,2)="09",OR($H411&lt;2000,$H411&gt;2010)),"FAIL - 2000-10 class, year "&amp;$H411,"OK")))))</f>
      </c>
      <c r="BF411" s="45">
        <f>IF($AD411="","",IF(ROUND($AO411+$AP411+$AQ411-$AD411,2)=0,"OK","FAIL - out by "&amp;TEXT($AO411+$AP411+$AQ411-$AD411,"$0.00")))</f>
      </c>
    </row>
  </sheetData>
  <mergeCells count="10">
    <mergeCell ref="AT3:AY3"/>
    <mergeCell ref="AZ3:BD3"/>
    <mergeCell ref="A1:AS1"/>
    <mergeCell ref="A2:AS2"/>
    <mergeCell ref="A3:G3"/>
    <mergeCell ref="H3:Q3"/>
    <mergeCell ref="R3:V3"/>
    <mergeCell ref="W3:AB3"/>
    <mergeCell ref="AC3:AN3"/>
    <mergeCell ref="AO3:AS3"/>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0">
        <x14:dataValidation type="list" allowBlank="1" xr:uid="{00000000-0002-0000-0200-000000000000}">
          <x14:formula1>
            <xm:f>Lists!$B$5:$B$11</xm:f>
          </x14:formula1>
          <x14:formula2>
            <xm:f>0</xm:f>
          </x14:formula2>
          <xm:sqref>D5:D411</xm:sqref>
        </x14:dataValidation>
        <x14:dataValidation type="list" allowBlank="1" xr:uid="{00000000-0002-0000-0200-000001000000}">
          <x14:formula1>
            <xm:f>Lists!$A$5:$A$11</xm:f>
          </x14:formula1>
          <x14:formula2>
            <xm:f>0</xm:f>
          </x14:formula2>
          <xm:sqref>E5:E411</xm:sqref>
        </x14:dataValidation>
        <x14:dataValidation type="list" allowBlank="1" xr:uid="{00000000-0002-0000-0200-000002000000}">
          <x14:formula1>
            <xm:f>Lists!$D$5:$D$16</xm:f>
          </x14:formula1>
          <x14:formula2>
            <xm:f>0</xm:f>
          </x14:formula2>
          <xm:sqref>L5:L411</xm:sqref>
        </x14:dataValidation>
        <x14:dataValidation type="list" allowBlank="1" xr:uid="{00000000-0002-0000-0200-000003000000}">
          <x14:formula1>
            <xm:f>Lists!$C$5:$C$6</xm:f>
          </x14:formula1>
          <x14:formula2>
            <xm:f>0</xm:f>
          </x14:formula2>
          <xm:sqref>N5:N411</xm:sqref>
        </x14:dataValidation>
        <x14:dataValidation type="list" allowBlank="1" xr:uid="{00000000-0002-0000-0200-000004000000}">
          <x14:formula1>
            <xm:f>Lists!$G$5:$G$16</xm:f>
          </x14:formula1>
          <x14:formula2>
            <xm:f>0</xm:f>
          </x14:formula2>
          <xm:sqref>S5:S411</xm:sqref>
        </x14:dataValidation>
        <x14:dataValidation type="list" allowBlank="1" xr:uid="{00000000-0002-0000-0200-000005000000}">
          <x14:formula1>
            <xm:f>Lists!$E$5:$E$8</xm:f>
          </x14:formula1>
          <x14:formula2>
            <xm:f>0</xm:f>
          </x14:formula2>
          <xm:sqref>V5:V411</xm:sqref>
        </x14:dataValidation>
        <x14:dataValidation type="list" allowBlank="1" xr:uid="{00000000-0002-0000-0200-000006000000}">
          <x14:formula1>
            <xm:f>Lists!$F$5:$F$10</xm:f>
          </x14:formula1>
          <x14:formula2>
            <xm:f>0</xm:f>
          </x14:formula2>
          <xm:sqref>X5:X411</xm:sqref>
        </x14:dataValidation>
        <x14:dataValidation type="list" allowBlank="1" xr:uid="{00000000-0002-0000-0200-000007000000}">
          <x14:formula1>
            <xm:f>Lists!$K$5:$K$7</xm:f>
          </x14:formula1>
          <x14:formula2>
            <xm:f>0</xm:f>
          </x14:formula2>
          <xm:sqref>AA5:AA411</xm:sqref>
        </x14:dataValidation>
        <x14:dataValidation type="list" allowBlank="1" xr:uid="{00000000-0002-0000-0200-000008000000}">
          <x14:formula1>
            <xm:f>Lists!$H$5:$H$8</xm:f>
          </x14:formula1>
          <x14:formula2>
            <xm:f>0</xm:f>
          </x14:formula2>
          <xm:sqref>AL5:AL411</xm:sqref>
        </x14:dataValidation>
        <x14:dataValidation type="list" allowBlank="1" xr:uid="{00000000-0002-0000-0200-000009000000}">
          <x14:formula1>
            <xm:f>Lists!$J$5:$J$6</xm:f>
          </x14:formula1>
          <x14:formula2>
            <xm:f>0</xm:f>
          </x14:formula2>
          <xm:sqref>BA5:BB411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3"/>
  <sheetViews>
    <sheetView showGridLines="0" zoomScaleNormal="100" workbookViewId="0"/>
  </sheetViews>
  <sheetFormatPr defaultColWidth="8.5703125" defaultRowHeight="15" x14ac:dyDescent="0.25"/>
  <cols>
    <col min="1" max="1" width="2" customWidth="1"/>
    <col min="2" max="2" width="46" customWidth="1"/>
    <col min="3" max="4" width="18" customWidth="1"/>
    <col min="5" max="6" width="16" customWidth="1"/>
    <col min="7" max="7" width="62" customWidth="1"/>
  </cols>
  <sheetData>
    <row r="1" spans="1:7" ht="25.5" customHeight="1" x14ac:dyDescent="0.25">
      <c r="A1" s="69" t="s">
        <v>260</v>
      </c>
      <c r="B1" s="69"/>
      <c r="C1" s="69"/>
      <c r="D1" s="69"/>
      <c r="E1" s="69"/>
      <c r="F1" s="69"/>
      <c r="G1" s="69"/>
    </row>
    <row r="2" spans="1:7" ht="15" customHeight="1" x14ac:dyDescent="0.25">
      <c r="A2" s="70" t="s">
        <v>261</v>
      </c>
      <c r="B2" s="70"/>
      <c r="C2" s="70"/>
      <c r="D2" s="70"/>
      <c r="E2" s="70"/>
      <c r="F2" s="70"/>
      <c r="G2" s="70"/>
    </row>
    <row r="4" spans="1:7" ht="18" customHeight="1" x14ac:dyDescent="0.25">
      <c r="B4" s="68" t="s">
        <v>262</v>
      </c>
      <c r="C4" s="68"/>
      <c r="D4" s="68"/>
      <c r="E4" s="68"/>
      <c r="F4" s="68"/>
      <c r="G4" s="68"/>
    </row>
    <row r="5" spans="1:7" ht="15" customHeight="1" x14ac:dyDescent="0.25">
      <c r="B5" s="25" t="s">
        <v>263</v>
      </c>
      <c r="C5" s="22">
        <f>SUMIF('UW Bordereaux'!$D$5:$D$411,"Bound*",'UW Bordereaux'!$AD$5:$AD$411)</f>
      </c>
    </row>
    <row r="6" spans="1:7" ht="15" customHeight="1" x14ac:dyDescent="0.25">
      <c r="B6" s="23" t="s">
        <v>264</v>
      </c>
      <c r="C6" s="52">
        <f>-SUMIF('UW Bordereaux'!$D$5:$D$411,"Bound*",'UW Bordereaux'!$AN$5:$AN$411)</f>
      </c>
    </row>
    <row r="7" spans="1:7" ht="15" customHeight="1" x14ac:dyDescent="0.25">
      <c r="B7" s="25" t="s">
        <v>265</v>
      </c>
      <c r="C7" s="22">
        <f>SUMIF('UW Bordereaux'!$D$5:$D$411,"Bound*",'UW Bordereaux'!$AQ$5:$AQ$411)</f>
      </c>
    </row>
    <row r="8" spans="1:7" ht="15" customHeight="1" x14ac:dyDescent="0.25">
      <c r="B8" s="23" t="s">
        <v>266</v>
      </c>
      <c r="C8" s="52">
        <f>C5+C6-C7</f>
      </c>
    </row>
    <row r="9" spans="1:7" ht="15" customHeight="1" x14ac:dyDescent="0.25">
      <c r="B9" s="23" t="s">
        <v>267</v>
      </c>
      <c r="C9" s="52">
        <f>C8</f>
      </c>
      <c r="D9" s="53" t="str">
        <f>IF(ABS(C9)&lt;1,"AGREES","INVESTIGATE — variance exceeds $1")</f>
      </c>
    </row>
    <row r="10" spans="1:7" ht="15" customHeight="1" x14ac:dyDescent="0.25">
      <c r="B10" s="23" t="s">
        <v>104</v>
      </c>
      <c r="C10" s="52">
        <f>SUMIF('UW Bordereaux'!$D$5:$D$411,"Bound*",'UW Bordereaux'!$AE$5:$AE$411)</f>
      </c>
    </row>
    <row r="11" spans="1:7" ht="15" customHeight="1" x14ac:dyDescent="0.25">
      <c r="B11" s="23" t="s">
        <v>105</v>
      </c>
      <c r="C11" s="52">
        <f>SUMIF('UW Bordereaux'!$D$5:$D$411,"Bound*",'UW Bordereaux'!$AH$5:$AH$411)</f>
      </c>
    </row>
    <row r="12" spans="1:7" ht="15" customHeight="1" x14ac:dyDescent="0.25">
      <c r="B12" s="25" t="s">
        <v>268</v>
      </c>
      <c r="C12" s="22">
        <f>SUMIF('UW Bordereaux'!$D$5:$D$411,"Bound*",'UW Bordereaux'!$AI$5:$AI$411)</f>
      </c>
    </row>
    <row r="13" spans="1:7" ht="15" customHeight="1" x14ac:dyDescent="0.25">
      <c r="B13" s="23" t="s">
        <v>269</v>
      </c>
      <c r="C13" s="52">
        <f>C5+C10+C11</f>
      </c>
    </row>
    <row r="14" spans="1:7" ht="15" customHeight="1" x14ac:dyDescent="0.25">
      <c r="B14" s="23" t="s">
        <v>267</v>
      </c>
      <c r="C14" s="54">
        <f>C12-C13</f>
      </c>
      <c r="D14" s="53" t="str">
        <f>IF(ABS(C14)&lt;1,"AGREES","INVESTIGATE — variance exceeds $1")</f>
      </c>
    </row>
    <row r="15" spans="1:7" ht="15" customHeight="1" x14ac:dyDescent="0.25">
      <c r="B15" s="23" t="s">
        <v>270</v>
      </c>
      <c r="C15" s="52">
        <f>SUMIF('UW Bordereaux'!$D$5:$D$411,"Bound*",'UW Bordereaux'!$AD$5:$AD$411)*Header!$D$24</f>
      </c>
    </row>
    <row r="16" spans="1:7" ht="15" customHeight="1" x14ac:dyDescent="0.25">
      <c r="B16" s="23" t="s">
        <v>271</v>
      </c>
      <c r="C16" s="52">
        <f>SUMIF('UW Bordereaux'!$D$5:$D$411,"Bound*",'UW Bordereaux'!$AD$5:$AD$411)*Header!$D$34</f>
      </c>
    </row>
    <row r="18" spans="2:7" ht="18" customHeight="1" x14ac:dyDescent="0.25">
      <c r="B18" s="68" t="s">
        <v>272</v>
      </c>
      <c r="C18" s="68"/>
      <c r="D18" s="68"/>
      <c r="E18" s="68"/>
      <c r="F18" s="68"/>
      <c r="G18" s="68"/>
    </row>
    <row r="19" spans="2:7" ht="27.75" customHeight="1" x14ac:dyDescent="0.25">
      <c r="B19" s="12" t="s">
        <v>273</v>
      </c>
      <c r="C19" s="12" t="s">
        <v>274</v>
      </c>
      <c r="D19" s="12" t="s">
        <v>174</v>
      </c>
    </row>
    <row r="20" spans="2:7" ht="25.5" customHeight="1" x14ac:dyDescent="0.25">
      <c r="B20" s="55" t="s">
        <v>275</v>
      </c>
      <c r="C20" s="76" t="str">
        <f>IF(COUNTIFS('UW Bordereaux'!$D$5:$D$411,"Bound*",'UW Bordereaux'!$A$5:$A$411,"")=0,"PASS","FAIL — "&amp;COUNTIFS('UW Bordereaux'!$D$5:$D$411,"Bound*",'UW Bordereaux'!$A$5:$A$411,"")&amp;" bound risks missing certificate")</f>
      </c>
      <c r="D20" s="76"/>
      <c r="E20" s="76"/>
      <c r="F20" s="78"/>
      <c r="G20" s="78"/>
    </row>
    <row r="21" spans="2:7" ht="25.5" customHeight="1" x14ac:dyDescent="0.25">
      <c r="B21" s="56" t="s">
        <v>276</v>
      </c>
      <c r="C21" s="75" t="str">
        <f>IF(SUMPRODUCT((LEN('UW Bordereaux'!$A$5:$A$411)&gt;0)*(LEN('UW Bordereaux'!$D$5:$D$411)=0))=0,"PASS","FAIL — "&amp;SUMPRODUCT((LEN('UW Bordereaux'!$A$5:$A$411)&gt;0)*(LEN('UW Bordereaux'!$D$5:$D$411)=0))&amp;" rows missing status")</f>
      </c>
      <c r="D21" s="75"/>
      <c r="E21" s="75"/>
      <c r="F21" s="79"/>
      <c r="G21" s="79"/>
    </row>
    <row r="22" spans="2:7" ht="25.5" customHeight="1" x14ac:dyDescent="0.25">
      <c r="B22" s="55" t="s">
        <v>277</v>
      </c>
      <c r="C22" s="76" t="str">
        <f>IF(COUNTIFS('UW Bordereaux'!$D$5:$D$411,"Bound*",'UW Bordereaux'!$C$5:$C$411,"")=0,"PASS","FAIL — "&amp;COUNTIFS('UW Bordereaux'!$D$5:$D$411,"Bound*",'UW Bordereaux'!$C$5:$C$411,"")&amp;" bound risks missing effective date")</f>
      </c>
      <c r="D22" s="76"/>
      <c r="E22" s="76"/>
      <c r="F22" s="78"/>
      <c r="G22" s="78"/>
    </row>
    <row r="23" spans="2:7" ht="25.5" customHeight="1" x14ac:dyDescent="0.25">
      <c r="B23" s="56" t="s">
        <v>278</v>
      </c>
      <c r="C23" s="75" t="str">
        <f>IF(COUNTIFS('UW Bordereaux'!$D$5:$D$411,"Bound*",'UW Bordereaux'!$AB$5:$AB$411,"")=0,"PASS","FAIL — "&amp;COUNTIFS('UW Bordereaux'!$D$5:$D$411,"Bound*",'UW Bordereaux'!$AB$5:$AB$411,"")&amp;" bound risks missing technical premium")</f>
      </c>
      <c r="D23" s="75"/>
      <c r="E23" s="75"/>
      <c r="F23" s="79"/>
      <c r="G23" s="79"/>
    </row>
    <row r="24" spans="2:7" ht="25.5" customHeight="1" x14ac:dyDescent="0.25">
      <c r="B24" s="55" t="s">
        <v>279</v>
      </c>
      <c r="C24" s="76" t="str">
        <f>IF(COUNTIFS('UW Bordereaux'!$D$5:$D$411,"Bound*",'UW Bordereaux'!$AF$5:$AF$411,"")=0,"PASS","FAIL — "&amp;COUNTIFS('UW Bordereaux'!$D$5:$D$411,"Bound*",'UW Bordereaux'!$AF$5:$AF$411,"")&amp;" bound risks missing SL tax rate")</f>
      </c>
      <c r="D24" s="76"/>
      <c r="E24" s="76"/>
      <c r="F24" s="78" t="s">
        <v>280</v>
      </c>
      <c r="G24" s="78"/>
    </row>
    <row r="25" spans="2:7" ht="25.5" customHeight="1" x14ac:dyDescent="0.25">
      <c r="B25" s="56" t="s">
        <v>281</v>
      </c>
      <c r="C25" s="75" t="str">
        <f>IF(SUMPRODUCT(('UW Bordereaux'!$M$5:$M$411&lt;0)*('UW Bordereaux'!$A$5:$A$411&lt;&gt;""))=0,"PASS","FAIL — negative agreed value detected")</f>
      </c>
      <c r="D25" s="75"/>
      <c r="E25" s="75"/>
      <c r="F25" s="79"/>
      <c r="G25" s="79"/>
    </row>
    <row r="26" spans="2:7" ht="25.5" customHeight="1" x14ac:dyDescent="0.25">
      <c r="B26" s="55" t="s">
        <v>282</v>
      </c>
      <c r="C26" s="76" t="str">
        <f>IF(SUMPRODUCT(('UW Bordereaux'!$M$5:$M$411&lt;100000)*('UW Bordereaux'!$M$5:$M$411&gt;0)*('UW Bordereaux'!$A$5:$A$411&lt;&gt;""))=0,"PASS","FAIL — "&amp;SUMPRODUCT(('UW Bordereaux'!$M$5:$M$411&lt;100000)*('UW Bordereaux'!$M$5:$M$411&gt;0)*('UW Bordereaux'!$A$5:$A$411&lt;&gt;""))&amp;" risks below $100,000 minimum")</f>
      </c>
      <c r="D26" s="76"/>
      <c r="E26" s="76"/>
      <c r="F26" s="78"/>
      <c r="G26" s="78"/>
    </row>
    <row r="27" spans="2:7" ht="25.5" customHeight="1" x14ac:dyDescent="0.25">
      <c r="B27" s="56" t="s">
        <v>283</v>
      </c>
      <c r="C27" s="75" t="str">
        <f>IF(ROUND(Header!$D$34,4)=1,"PASS","FAIL — panel signs "&amp;TEXT(Header!$D$34,"0.00%")&amp;", must equal 100%")</f>
      </c>
      <c r="D27" s="75"/>
      <c r="E27" s="75"/>
      <c r="F27" s="79"/>
      <c r="G27" s="79"/>
    </row>
    <row r="28" spans="2:7" ht="25.5" customHeight="1" x14ac:dyDescent="0.25">
      <c r="B28" s="55" t="s">
        <v>284</v>
      </c>
      <c r="C28" s="76" t="str">
        <f>IF(COUNTIFS('UW Bordereaux'!$AJ$5:$AJ$411,"&lt;0.85",'UW Bordereaux'!$D$5:$D$411,"Bound*")=0,"PASS","WARN — "&amp;COUNTIFS('UW Bordereaux'!$AJ$5:$AJ$411,"&lt;0.85",'UW Bordereaux'!$D$5:$D$411,"Bound*")&amp;" risks below 85% rate adequacy")</f>
      </c>
      <c r="D28" s="76"/>
      <c r="E28" s="76"/>
      <c r="F28" s="78" t="s">
        <v>285</v>
      </c>
      <c r="G28" s="78"/>
    </row>
    <row r="29" spans="2:7" ht="25.5" customHeight="1" x14ac:dyDescent="0.25">
      <c r="B29" s="56" t="s">
        <v>286</v>
      </c>
      <c r="C29" s="75" t="str">
        <f>COUNTIFS('UW Bordereaux'!$M$5:$M$411,"&gt;="&amp;Header!$C$18,'UW Bordereaux'!$D$5:$D$411,"Bound*")&amp;" risk(s) at or above $2m AV — confirm individual referral is on file"</f>
      </c>
      <c r="D29" s="75"/>
      <c r="E29" s="75"/>
      <c r="F29" s="79"/>
      <c r="G29" s="79"/>
    </row>
    <row r="30" spans="2:7" ht="25.5" customHeight="1" x14ac:dyDescent="0.25">
      <c r="B30" s="55" t="s">
        <v>287</v>
      </c>
      <c r="C30" s="76" t="str">
        <f>COUNTIF('UW Bordereaux'!$AK$5:$AK$411,"BEYOND AUTHORITY")&amp;" risk(s) — confirm approval is on file in the Referral Log"</f>
      </c>
      <c r="D30" s="76"/>
      <c r="E30" s="76"/>
      <c r="F30" s="78"/>
      <c r="G30" s="78"/>
    </row>
    <row r="31" spans="2:7" ht="25.5" customHeight="1" x14ac:dyDescent="0.25">
      <c r="B31" s="56" t="s">
        <v>288</v>
      </c>
      <c r="C31" s="75" t="str">
        <f>IF(COUNTIF('UW Bordereaux'!$AW$5:$AW$411,"FAIL*")=0,"PASS — all mandatory fields complete","FAIL — "&amp;COUNTIF('UW Bordereaux'!$AW$5:$AW$411,"FAIL*")&amp;" rows with missing mandatory fields")</f>
      </c>
      <c r="D31" s="75"/>
      <c r="E31" s="75"/>
      <c r="F31" s="79" t="s">
        <v>289</v>
      </c>
      <c r="G31" s="79"/>
    </row>
    <row r="33" spans="2:7" ht="25.5" customHeight="1" x14ac:dyDescent="0.25">
      <c r="B33" s="57" t="s">
        <v>290</v>
      </c>
      <c r="C33" s="76" t="str">
        <f>IF(COUNTIF('UW Bordereaux'!$BE$5:$BE$411,"FAIL*")=0,"PASS","FAIL - "&amp;COUNTIF('UW Bordereaux'!$BE$5:$BE$411,"FAIL*")&amp;" rows where vehicle year falls outside its class era")</f>
      </c>
      <c r="D33" s="76"/>
      <c r="E33" s="76"/>
    </row>
    <row r="34" spans="2:7" ht="25.5" customHeight="1" x14ac:dyDescent="0.25">
      <c r="B34" s="56" t="s">
        <v>291</v>
      </c>
      <c r="C34" s="75" t="str">
        <f>IF(COUNTIF('UW Bordereaux'!$BF$5:$BF$411,"FAIL*")=0,"PASS - all rows foot to the cent","FAIL - "&amp;COUNTIF('UW Bordereaux'!$BF$5:$BF$411,"FAIL*")&amp;" rows do not foot")</f>
      </c>
      <c r="D34" s="75"/>
      <c r="E34" s="75"/>
    </row>
    <row r="35" spans="2:7" ht="25.5" customHeight="1" x14ac:dyDescent="0.25">
      <c r="B35" s="55" t="s">
        <v>292</v>
      </c>
      <c r="C35" s="76" t="str">
        <f>IF(ROUND(Header!$K$3+Header!$M$3-Header!$I$3,6)=0,"PASS","FAIL - broker + Torque &lt;&gt; total ceding")</f>
      </c>
      <c r="D35" s="76"/>
      <c r="E35" s="76"/>
    </row>
    <row r="36" spans="2:7" ht="25.5" customHeight="1" x14ac:dyDescent="0.25">
      <c r="B36" s="56" t="s">
        <v>293</v>
      </c>
      <c r="C36" s="75" t="str">
        <f>IF(AND(ROUND(Header!$D$34,6)=1,COUNTIF(Header!$D$24:$D$33,0.1)=10),"PASS - 10 markets at 10% each","CHECK - lines are not 10 x 10%")</f>
      </c>
      <c r="D36" s="75"/>
      <c r="E36" s="75"/>
    </row>
    <row r="39" spans="2:7" x14ac:dyDescent="0.25">
      <c r="B39" s="68" t="s">
        <v>294</v>
      </c>
      <c r="C39" s="68"/>
      <c r="D39" s="68"/>
      <c r="E39" s="68"/>
      <c r="F39" s="68"/>
      <c r="G39" s="68"/>
    </row>
    <row r="40" spans="2:7" x14ac:dyDescent="0.25">
      <c r="B40" s="25" t="s">
        <v>295</v>
      </c>
      <c r="C40" s="58">
        <f>SUMIF('UW Bordereaux'!$D$5:$D$411,"Bound*",'UW Bordereaux'!$AD$5:$AD$411)</f>
      </c>
    </row>
    <row r="41" spans="2:7" x14ac:dyDescent="0.25">
      <c r="B41" s="55" t="s">
        <v>296</v>
      </c>
      <c r="C41" s="59">
        <f>SUMIF('UW Bordereaux'!$D$5:$D$411,"Bound*",'UW Bordereaux'!$AO$5:$AO$411)</f>
      </c>
    </row>
    <row r="42" spans="2:7" x14ac:dyDescent="0.25">
      <c r="B42" s="55" t="s">
        <v>297</v>
      </c>
      <c r="C42" s="59">
        <f>SUMIF('UW Bordereaux'!$D$5:$D$411,"Bound*",'UW Bordereaux'!$AP$5:$AP$411)</f>
      </c>
    </row>
    <row r="43" spans="2:7" x14ac:dyDescent="0.25">
      <c r="B43" s="55" t="s">
        <v>298</v>
      </c>
      <c r="C43" s="59">
        <f>SUMIF('UW Bordereaux'!$D$5:$D$411,"Bound*",'UW Bordereaux'!$AQ$5:$AQ$411)</f>
      </c>
    </row>
    <row r="44" spans="2:7" x14ac:dyDescent="0.25">
      <c r="B44" s="55" t="s">
        <v>299</v>
      </c>
      <c r="C44" s="59">
        <f>C41+C42+C43</f>
      </c>
    </row>
    <row r="45" spans="2:7" x14ac:dyDescent="0.25">
      <c r="B45" s="25" t="s">
        <v>300</v>
      </c>
      <c r="C45" s="58">
        <f>C44-C40</f>
      </c>
      <c r="D45" s="53" t="str">
        <f>IF(ABS(C45)&lt;0.005,"AGREES to the cent","INVESTIGATE - components do not foot")</f>
      </c>
    </row>
    <row r="46" spans="2:7" x14ac:dyDescent="0.25">
      <c r="B46" s="55" t="s">
        <v>301</v>
      </c>
      <c r="C46" s="60">
        <f>IFERROR(C41/C40,0)</f>
      </c>
    </row>
    <row r="47" spans="2:7" x14ac:dyDescent="0.25">
      <c r="B47" s="55" t="s">
        <v>302</v>
      </c>
      <c r="C47" s="60">
        <f>IFERROR(C42/C40,0)</f>
      </c>
    </row>
    <row r="48" spans="2:7" x14ac:dyDescent="0.25">
      <c r="B48" s="55" t="s">
        <v>303</v>
      </c>
      <c r="C48" s="60">
        <f>IFERROR(C43/C40,0)</f>
      </c>
    </row>
    <row r="49" spans="2:7" x14ac:dyDescent="0.25">
      <c r="B49" s="55" t="s">
        <v>304</v>
      </c>
      <c r="C49" s="60">
        <f>IFERROR(C43/C40*0.1,0)</f>
      </c>
    </row>
    <row r="51" spans="2:7" ht="15" customHeight="1" x14ac:dyDescent="0.25">
      <c r="B51" s="77" t="s">
        <v>305</v>
      </c>
      <c r="C51" s="77"/>
      <c r="D51" s="77"/>
      <c r="E51" s="77"/>
      <c r="F51" s="77"/>
      <c r="G51" s="77"/>
    </row>
    <row r="52" spans="2:7" x14ac:dyDescent="0.25">
      <c r="B52" s="77"/>
      <c r="C52" s="77"/>
      <c r="D52" s="77"/>
      <c r="E52" s="77"/>
      <c r="F52" s="77"/>
      <c r="G52" s="77"/>
    </row>
    <row r="53" spans="2:7" x14ac:dyDescent="0.25">
      <c r="B53" s="77"/>
      <c r="C53" s="77"/>
      <c r="D53" s="77"/>
      <c r="E53" s="77"/>
      <c r="F53" s="77"/>
      <c r="G53" s="77"/>
    </row>
  </sheetData>
  <mergeCells count="34">
    <mergeCell ref="A1:G1"/>
    <mergeCell ref="A2:G2"/>
    <mergeCell ref="B4:G4"/>
    <mergeCell ref="B18:G18"/>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3:E33"/>
    <mergeCell ref="C34:E34"/>
    <mergeCell ref="C35:E35"/>
    <mergeCell ref="C36:E36"/>
    <mergeCell ref="B39:G39"/>
    <mergeCell ref="B51:G5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9"/>
  <sheetViews>
    <sheetView showGridLines="0" zoomScaleNormal="100" workbookViewId="0"/>
  </sheetViews>
  <sheetFormatPr defaultColWidth="8.5703125" defaultRowHeight="15" x14ac:dyDescent="0.25"/>
  <cols>
    <col min="1" max="1" width="2" customWidth="1"/>
    <col min="2" max="2" width="6" customWidth="1"/>
    <col min="3" max="3" width="32" customWidth="1"/>
    <col min="4" max="5" width="20" customWidth="1"/>
    <col min="6" max="6" width="88" customWidth="1"/>
  </cols>
  <sheetData>
    <row r="1" spans="1:6" ht="25.5" customHeight="1" x14ac:dyDescent="0.25">
      <c r="A1" s="69" t="s">
        <v>306</v>
      </c>
      <c r="B1" s="69"/>
      <c r="C1" s="69"/>
      <c r="D1" s="69"/>
      <c r="E1" s="69"/>
      <c r="F1" s="69"/>
    </row>
    <row r="2" spans="1:6" ht="15" customHeight="1" x14ac:dyDescent="0.25">
      <c r="A2" s="70" t="s">
        <v>307</v>
      </c>
      <c r="B2" s="70"/>
      <c r="C2" s="70"/>
      <c r="D2" s="70"/>
      <c r="E2" s="70"/>
      <c r="F2" s="70"/>
    </row>
    <row r="4" spans="1:6" ht="27.75" customHeight="1" x14ac:dyDescent="0.25">
      <c r="B4" s="12" t="s">
        <v>308</v>
      </c>
      <c r="C4" s="12" t="s">
        <v>309</v>
      </c>
      <c r="D4" s="12" t="s">
        <v>310</v>
      </c>
      <c r="E4" s="12" t="s">
        <v>311</v>
      </c>
    </row>
    <row r="5" spans="1:6" ht="25.5" customHeight="1" x14ac:dyDescent="0.25">
      <c r="B5" s="61" t="s">
        <v>312</v>
      </c>
      <c r="C5" s="62" t="s">
        <v>121</v>
      </c>
      <c r="D5" s="61" t="s">
        <v>313</v>
      </c>
      <c r="E5" s="81" t="s">
        <v>314</v>
      </c>
      <c r="F5" s="81"/>
    </row>
    <row r="6" spans="1:6" ht="25.5" customHeight="1" x14ac:dyDescent="0.25">
      <c r="B6" s="63" t="s">
        <v>315</v>
      </c>
      <c r="C6" s="64" t="s">
        <v>122</v>
      </c>
      <c r="D6" s="63" t="s">
        <v>313</v>
      </c>
      <c r="E6" s="80"/>
      <c r="F6" s="80"/>
    </row>
    <row r="7" spans="1:6" ht="25.5" customHeight="1" x14ac:dyDescent="0.25">
      <c r="B7" s="61" t="s">
        <v>316</v>
      </c>
      <c r="C7" s="62" t="s">
        <v>123</v>
      </c>
      <c r="D7" s="61" t="s">
        <v>317</v>
      </c>
      <c r="E7" s="81"/>
      <c r="F7" s="81"/>
    </row>
    <row r="8" spans="1:6" ht="25.5" customHeight="1" x14ac:dyDescent="0.25">
      <c r="B8" s="63" t="s">
        <v>318</v>
      </c>
      <c r="C8" s="64" t="s">
        <v>124</v>
      </c>
      <c r="D8" s="63" t="s">
        <v>319</v>
      </c>
      <c r="E8" s="80"/>
      <c r="F8" s="80"/>
    </row>
    <row r="9" spans="1:6" ht="25.5" customHeight="1" x14ac:dyDescent="0.25">
      <c r="B9" s="61" t="s">
        <v>320</v>
      </c>
      <c r="C9" s="62" t="s">
        <v>125</v>
      </c>
      <c r="D9" s="61" t="s">
        <v>319</v>
      </c>
      <c r="E9" s="81"/>
      <c r="F9" s="81"/>
    </row>
    <row r="10" spans="1:6" ht="25.5" customHeight="1" x14ac:dyDescent="0.25">
      <c r="B10" s="63" t="s">
        <v>321</v>
      </c>
      <c r="C10" s="64" t="s">
        <v>126</v>
      </c>
      <c r="D10" s="63" t="s">
        <v>313</v>
      </c>
      <c r="E10" s="80"/>
      <c r="F10" s="80"/>
    </row>
    <row r="11" spans="1:6" ht="25.5" customHeight="1" x14ac:dyDescent="0.25">
      <c r="B11" s="61" t="s">
        <v>322</v>
      </c>
      <c r="C11" s="62" t="s">
        <v>48</v>
      </c>
      <c r="D11" s="65" t="s">
        <v>323</v>
      </c>
      <c r="E11" s="81" t="s">
        <v>324</v>
      </c>
      <c r="F11" s="81"/>
    </row>
    <row r="12" spans="1:6" ht="25.5" customHeight="1" x14ac:dyDescent="0.25">
      <c r="B12" s="63" t="s">
        <v>325</v>
      </c>
      <c r="C12" s="64" t="s">
        <v>127</v>
      </c>
      <c r="D12" s="63" t="s">
        <v>326</v>
      </c>
      <c r="E12" s="80"/>
      <c r="F12" s="80"/>
    </row>
    <row r="13" spans="1:6" ht="25.5" customHeight="1" x14ac:dyDescent="0.25">
      <c r="B13" s="61" t="s">
        <v>327</v>
      </c>
      <c r="C13" s="62" t="s">
        <v>128</v>
      </c>
      <c r="D13" s="61" t="s">
        <v>313</v>
      </c>
      <c r="E13" s="81"/>
      <c r="F13" s="81"/>
    </row>
    <row r="14" spans="1:6" ht="25.5" customHeight="1" x14ac:dyDescent="0.25">
      <c r="B14" s="63" t="s">
        <v>328</v>
      </c>
      <c r="C14" s="64" t="s">
        <v>129</v>
      </c>
      <c r="D14" s="63" t="s">
        <v>313</v>
      </c>
      <c r="E14" s="80"/>
      <c r="F14" s="80"/>
    </row>
    <row r="15" spans="1:6" ht="25.5" customHeight="1" x14ac:dyDescent="0.25">
      <c r="B15" s="61" t="s">
        <v>329</v>
      </c>
      <c r="C15" s="62" t="s">
        <v>130</v>
      </c>
      <c r="D15" s="61" t="s">
        <v>313</v>
      </c>
      <c r="E15" s="81"/>
      <c r="F15" s="81"/>
    </row>
    <row r="16" spans="1:6" ht="25.5" customHeight="1" x14ac:dyDescent="0.25">
      <c r="B16" s="63" t="s">
        <v>330</v>
      </c>
      <c r="C16" s="64" t="s">
        <v>131</v>
      </c>
      <c r="D16" s="63" t="s">
        <v>319</v>
      </c>
      <c r="E16" s="80"/>
      <c r="F16" s="80"/>
    </row>
    <row r="17" spans="2:6" ht="25.5" customHeight="1" x14ac:dyDescent="0.25">
      <c r="B17" s="61" t="s">
        <v>331</v>
      </c>
      <c r="C17" s="62" t="s">
        <v>132</v>
      </c>
      <c r="D17" s="61" t="s">
        <v>332</v>
      </c>
      <c r="E17" s="81"/>
      <c r="F17" s="81"/>
    </row>
    <row r="18" spans="2:6" ht="25.5" customHeight="1" x14ac:dyDescent="0.25">
      <c r="B18" s="63" t="s">
        <v>333</v>
      </c>
      <c r="C18" s="64" t="s">
        <v>133</v>
      </c>
      <c r="D18" s="63" t="s">
        <v>319</v>
      </c>
      <c r="E18" s="80"/>
      <c r="F18" s="80"/>
    </row>
    <row r="19" spans="2:6" ht="25.5" customHeight="1" x14ac:dyDescent="0.25">
      <c r="B19" s="61" t="s">
        <v>334</v>
      </c>
      <c r="C19" s="62" t="s">
        <v>134</v>
      </c>
      <c r="D19" s="61" t="s">
        <v>313</v>
      </c>
      <c r="E19" s="81"/>
      <c r="F19" s="81"/>
    </row>
    <row r="20" spans="2:6" ht="25.5" customHeight="1" x14ac:dyDescent="0.25">
      <c r="B20" s="63" t="s">
        <v>335</v>
      </c>
      <c r="C20" s="64" t="s">
        <v>135</v>
      </c>
      <c r="D20" s="63" t="s">
        <v>313</v>
      </c>
      <c r="E20" s="80"/>
      <c r="F20" s="80"/>
    </row>
    <row r="21" spans="2:6" ht="25.5" customHeight="1" x14ac:dyDescent="0.25">
      <c r="B21" s="61" t="s">
        <v>336</v>
      </c>
      <c r="C21" s="62" t="s">
        <v>136</v>
      </c>
      <c r="D21" s="61" t="s">
        <v>313</v>
      </c>
      <c r="E21" s="81"/>
      <c r="F21" s="81"/>
    </row>
    <row r="22" spans="2:6" ht="25.5" customHeight="1" x14ac:dyDescent="0.25">
      <c r="B22" s="63" t="s">
        <v>337</v>
      </c>
      <c r="C22" s="64" t="s">
        <v>137</v>
      </c>
      <c r="D22" s="63" t="s">
        <v>313</v>
      </c>
      <c r="E22" s="80"/>
      <c r="F22" s="80"/>
    </row>
    <row r="23" spans="2:6" ht="25.5" customHeight="1" x14ac:dyDescent="0.25">
      <c r="B23" s="61" t="s">
        <v>338</v>
      </c>
      <c r="C23" s="62" t="s">
        <v>138</v>
      </c>
      <c r="D23" s="61" t="s">
        <v>319</v>
      </c>
      <c r="E23" s="81"/>
      <c r="F23" s="81"/>
    </row>
    <row r="24" spans="2:6" ht="25.5" customHeight="1" x14ac:dyDescent="0.25">
      <c r="B24" s="63" t="s">
        <v>339</v>
      </c>
      <c r="C24" s="64" t="s">
        <v>139</v>
      </c>
      <c r="D24" s="66" t="s">
        <v>323</v>
      </c>
      <c r="E24" s="80" t="s">
        <v>340</v>
      </c>
      <c r="F24" s="80"/>
    </row>
    <row r="25" spans="2:6" ht="25.5" customHeight="1" x14ac:dyDescent="0.25">
      <c r="B25" s="61" t="s">
        <v>341</v>
      </c>
      <c r="C25" s="62" t="s">
        <v>140</v>
      </c>
      <c r="D25" s="61" t="s">
        <v>313</v>
      </c>
      <c r="E25" s="81"/>
      <c r="F25" s="81"/>
    </row>
    <row r="26" spans="2:6" ht="25.5" customHeight="1" x14ac:dyDescent="0.25">
      <c r="B26" s="63" t="s">
        <v>342</v>
      </c>
      <c r="C26" s="64" t="s">
        <v>141</v>
      </c>
      <c r="D26" s="63" t="s">
        <v>319</v>
      </c>
      <c r="E26" s="80"/>
      <c r="F26" s="80"/>
    </row>
    <row r="27" spans="2:6" ht="25.5" customHeight="1" x14ac:dyDescent="0.25">
      <c r="B27" s="61" t="s">
        <v>343</v>
      </c>
      <c r="C27" s="62" t="s">
        <v>142</v>
      </c>
      <c r="D27" s="61" t="s">
        <v>313</v>
      </c>
      <c r="E27" s="81"/>
      <c r="F27" s="81"/>
    </row>
    <row r="28" spans="2:6" ht="25.5" customHeight="1" x14ac:dyDescent="0.25">
      <c r="B28" s="63" t="s">
        <v>344</v>
      </c>
      <c r="C28" s="64" t="s">
        <v>143</v>
      </c>
      <c r="D28" s="63" t="s">
        <v>319</v>
      </c>
      <c r="E28" s="80"/>
      <c r="F28" s="80"/>
    </row>
    <row r="29" spans="2:6" ht="25.5" customHeight="1" x14ac:dyDescent="0.25">
      <c r="B29" s="61" t="s">
        <v>345</v>
      </c>
      <c r="C29" s="62" t="s">
        <v>144</v>
      </c>
      <c r="D29" s="61" t="s">
        <v>313</v>
      </c>
      <c r="E29" s="81"/>
      <c r="F29" s="81"/>
    </row>
    <row r="30" spans="2:6" ht="25.5" customHeight="1" x14ac:dyDescent="0.25">
      <c r="B30" s="63" t="s">
        <v>346</v>
      </c>
      <c r="C30" s="64" t="s">
        <v>145</v>
      </c>
      <c r="D30" s="63" t="s">
        <v>313</v>
      </c>
      <c r="E30" s="80"/>
      <c r="F30" s="80"/>
    </row>
    <row r="31" spans="2:6" ht="25.5" customHeight="1" x14ac:dyDescent="0.25">
      <c r="B31" s="61" t="s">
        <v>347</v>
      </c>
      <c r="C31" s="62" t="s">
        <v>146</v>
      </c>
      <c r="D31" s="61" t="s">
        <v>319</v>
      </c>
      <c r="E31" s="81"/>
      <c r="F31" s="81"/>
    </row>
    <row r="32" spans="2:6" ht="25.5" customHeight="1" x14ac:dyDescent="0.25">
      <c r="B32" s="63" t="s">
        <v>348</v>
      </c>
      <c r="C32" s="64" t="s">
        <v>147</v>
      </c>
      <c r="D32" s="63" t="s">
        <v>332</v>
      </c>
      <c r="E32" s="80" t="s">
        <v>349</v>
      </c>
      <c r="F32" s="80"/>
    </row>
    <row r="33" spans="2:6" ht="25.5" customHeight="1" x14ac:dyDescent="0.25">
      <c r="B33" s="61" t="s">
        <v>350</v>
      </c>
      <c r="C33" s="62" t="s">
        <v>148</v>
      </c>
      <c r="D33" s="61" t="s">
        <v>351</v>
      </c>
      <c r="E33" s="81" t="s">
        <v>352</v>
      </c>
      <c r="F33" s="81"/>
    </row>
    <row r="34" spans="2:6" ht="25.5" customHeight="1" x14ac:dyDescent="0.25">
      <c r="B34" s="63" t="s">
        <v>353</v>
      </c>
      <c r="C34" s="64" t="s">
        <v>149</v>
      </c>
      <c r="D34" s="66" t="s">
        <v>323</v>
      </c>
      <c r="E34" s="80" t="s">
        <v>354</v>
      </c>
      <c r="F34" s="80"/>
    </row>
    <row r="35" spans="2:6" ht="25.5" customHeight="1" x14ac:dyDescent="0.25">
      <c r="B35" s="61" t="s">
        <v>355</v>
      </c>
      <c r="C35" s="62" t="s">
        <v>150</v>
      </c>
      <c r="D35" s="61" t="s">
        <v>332</v>
      </c>
      <c r="E35" s="81"/>
      <c r="F35" s="81"/>
    </row>
    <row r="36" spans="2:6" ht="25.5" customHeight="1" x14ac:dyDescent="0.25">
      <c r="B36" s="63" t="s">
        <v>356</v>
      </c>
      <c r="C36" s="64" t="s">
        <v>151</v>
      </c>
      <c r="D36" s="63" t="s">
        <v>332</v>
      </c>
      <c r="E36" s="80"/>
      <c r="F36" s="80"/>
    </row>
    <row r="37" spans="2:6" ht="25.5" customHeight="1" x14ac:dyDescent="0.25">
      <c r="B37" s="61" t="s">
        <v>357</v>
      </c>
      <c r="C37" s="62" t="s">
        <v>152</v>
      </c>
      <c r="D37" s="61" t="s">
        <v>351</v>
      </c>
      <c r="E37" s="81"/>
      <c r="F37" s="81"/>
    </row>
    <row r="38" spans="2:6" ht="25.5" customHeight="1" x14ac:dyDescent="0.25">
      <c r="B38" s="63" t="s">
        <v>358</v>
      </c>
      <c r="C38" s="64" t="s">
        <v>153</v>
      </c>
      <c r="D38" s="66" t="s">
        <v>323</v>
      </c>
      <c r="E38" s="80" t="s">
        <v>359</v>
      </c>
      <c r="F38" s="80"/>
    </row>
    <row r="39" spans="2:6" ht="25.5" customHeight="1" x14ac:dyDescent="0.25">
      <c r="B39" s="61" t="s">
        <v>360</v>
      </c>
      <c r="C39" s="62" t="s">
        <v>154</v>
      </c>
      <c r="D39" s="61" t="s">
        <v>332</v>
      </c>
      <c r="E39" s="81"/>
      <c r="F39" s="81"/>
    </row>
    <row r="40" spans="2:6" ht="25.5" customHeight="1" x14ac:dyDescent="0.25">
      <c r="B40" s="63" t="s">
        <v>361</v>
      </c>
      <c r="C40" s="64" t="s">
        <v>155</v>
      </c>
      <c r="D40" s="66" t="s">
        <v>323</v>
      </c>
      <c r="E40" s="80" t="s">
        <v>362</v>
      </c>
      <c r="F40" s="80"/>
    </row>
    <row r="41" spans="2:6" ht="25.5" customHeight="1" x14ac:dyDescent="0.25">
      <c r="B41" s="61" t="s">
        <v>363</v>
      </c>
      <c r="C41" s="62" t="s">
        <v>156</v>
      </c>
      <c r="D41" s="65" t="s">
        <v>323</v>
      </c>
      <c r="E41" s="81" t="s">
        <v>364</v>
      </c>
      <c r="F41" s="81"/>
    </row>
    <row r="42" spans="2:6" ht="25.5" customHeight="1" x14ac:dyDescent="0.25">
      <c r="B42" s="63" t="s">
        <v>365</v>
      </c>
      <c r="C42" s="64" t="s">
        <v>157</v>
      </c>
      <c r="D42" s="63" t="s">
        <v>319</v>
      </c>
      <c r="E42" s="80" t="s">
        <v>366</v>
      </c>
      <c r="F42" s="80"/>
    </row>
    <row r="43" spans="2:6" ht="25.5" customHeight="1" x14ac:dyDescent="0.25">
      <c r="B43" s="61" t="s">
        <v>367</v>
      </c>
      <c r="C43" s="62" t="s">
        <v>158</v>
      </c>
      <c r="D43" s="65" t="s">
        <v>323</v>
      </c>
      <c r="E43" s="81" t="s">
        <v>368</v>
      </c>
      <c r="F43" s="81"/>
    </row>
    <row r="44" spans="2:6" ht="25.5" customHeight="1" x14ac:dyDescent="0.25">
      <c r="B44" s="63" t="s">
        <v>369</v>
      </c>
      <c r="C44" s="64" t="s">
        <v>159</v>
      </c>
      <c r="D44" s="66" t="s">
        <v>323</v>
      </c>
      <c r="E44" s="80" t="s">
        <v>370</v>
      </c>
      <c r="F44" s="80"/>
    </row>
    <row r="45" spans="2:6" ht="25.5" customHeight="1" x14ac:dyDescent="0.25">
      <c r="B45" s="61" t="s">
        <v>371</v>
      </c>
      <c r="C45" s="62" t="s">
        <v>372</v>
      </c>
      <c r="D45" s="65" t="s">
        <v>323</v>
      </c>
      <c r="E45" s="81" t="s">
        <v>370</v>
      </c>
      <c r="F45" s="81"/>
    </row>
    <row r="46" spans="2:6" ht="25.5" customHeight="1" x14ac:dyDescent="0.25">
      <c r="B46" s="63" t="s">
        <v>373</v>
      </c>
      <c r="C46" s="64" t="s">
        <v>374</v>
      </c>
      <c r="D46" s="66" t="s">
        <v>323</v>
      </c>
      <c r="E46" s="80" t="s">
        <v>370</v>
      </c>
      <c r="F46" s="80"/>
    </row>
    <row r="47" spans="2:6" ht="25.5" customHeight="1" x14ac:dyDescent="0.25">
      <c r="B47" s="61" t="s">
        <v>375</v>
      </c>
      <c r="C47" s="62" t="s">
        <v>265</v>
      </c>
      <c r="D47" s="65" t="s">
        <v>323</v>
      </c>
      <c r="E47" s="81" t="s">
        <v>376</v>
      </c>
      <c r="F47" s="81"/>
    </row>
    <row r="48" spans="2:6" ht="25.5" customHeight="1" x14ac:dyDescent="0.25">
      <c r="B48" s="63" t="s">
        <v>377</v>
      </c>
      <c r="C48" s="64" t="s">
        <v>163</v>
      </c>
      <c r="D48" s="66" t="s">
        <v>323</v>
      </c>
      <c r="E48" s="80" t="s">
        <v>378</v>
      </c>
      <c r="F48" s="80"/>
    </row>
    <row r="49" spans="2:6" ht="25.5" customHeight="1" x14ac:dyDescent="0.25">
      <c r="B49" s="61" t="s">
        <v>379</v>
      </c>
      <c r="C49" s="62" t="s">
        <v>164</v>
      </c>
      <c r="D49" s="65" t="s">
        <v>323</v>
      </c>
      <c r="E49" s="81"/>
      <c r="F49" s="81"/>
    </row>
    <row r="50" spans="2:6" ht="25.5" customHeight="1" x14ac:dyDescent="0.25">
      <c r="B50" s="63" t="s">
        <v>380</v>
      </c>
      <c r="C50" s="64" t="s">
        <v>165</v>
      </c>
      <c r="D50" s="66" t="s">
        <v>323</v>
      </c>
      <c r="E50" s="80"/>
      <c r="F50" s="80"/>
    </row>
    <row r="51" spans="2:6" ht="25.5" customHeight="1" x14ac:dyDescent="0.25">
      <c r="B51" s="61" t="s">
        <v>381</v>
      </c>
      <c r="C51" s="62" t="s">
        <v>166</v>
      </c>
      <c r="D51" s="65" t="s">
        <v>323</v>
      </c>
      <c r="E51" s="81"/>
      <c r="F51" s="81"/>
    </row>
    <row r="52" spans="2:6" ht="25.5" customHeight="1" x14ac:dyDescent="0.25">
      <c r="B52" s="63" t="s">
        <v>382</v>
      </c>
      <c r="C52" s="64" t="s">
        <v>167</v>
      </c>
      <c r="D52" s="66" t="s">
        <v>323</v>
      </c>
      <c r="E52" s="80"/>
      <c r="F52" s="80"/>
    </row>
    <row r="53" spans="2:6" ht="25.5" customHeight="1" x14ac:dyDescent="0.25">
      <c r="B53" s="61" t="s">
        <v>383</v>
      </c>
      <c r="C53" s="62" t="s">
        <v>168</v>
      </c>
      <c r="D53" s="65" t="s">
        <v>323</v>
      </c>
      <c r="E53" s="81"/>
      <c r="F53" s="81"/>
    </row>
    <row r="54" spans="2:6" ht="25.5" customHeight="1" x14ac:dyDescent="0.25">
      <c r="B54" s="63" t="s">
        <v>384</v>
      </c>
      <c r="C54" s="64" t="s">
        <v>169</v>
      </c>
      <c r="D54" s="66" t="s">
        <v>323</v>
      </c>
      <c r="E54" s="80" t="s">
        <v>385</v>
      </c>
      <c r="F54" s="80"/>
    </row>
    <row r="55" spans="2:6" ht="25.5" customHeight="1" x14ac:dyDescent="0.25">
      <c r="B55" s="61" t="s">
        <v>386</v>
      </c>
      <c r="C55" s="62" t="s">
        <v>170</v>
      </c>
      <c r="D55" s="65" t="s">
        <v>323</v>
      </c>
      <c r="E55" s="81" t="s">
        <v>387</v>
      </c>
      <c r="F55" s="81"/>
    </row>
    <row r="56" spans="2:6" ht="25.5" customHeight="1" x14ac:dyDescent="0.25">
      <c r="B56" s="63" t="s">
        <v>388</v>
      </c>
      <c r="C56" s="64" t="s">
        <v>171</v>
      </c>
      <c r="D56" s="66" t="s">
        <v>323</v>
      </c>
      <c r="E56" s="80" t="s">
        <v>389</v>
      </c>
      <c r="F56" s="80"/>
    </row>
    <row r="57" spans="2:6" ht="25.5" customHeight="1" x14ac:dyDescent="0.25">
      <c r="B57" s="61" t="s">
        <v>390</v>
      </c>
      <c r="C57" s="62" t="s">
        <v>172</v>
      </c>
      <c r="D57" s="61" t="s">
        <v>319</v>
      </c>
      <c r="E57" s="81"/>
      <c r="F57" s="81"/>
    </row>
    <row r="58" spans="2:6" ht="25.5" customHeight="1" x14ac:dyDescent="0.25">
      <c r="B58" s="63" t="s">
        <v>391</v>
      </c>
      <c r="C58" s="64" t="s">
        <v>173</v>
      </c>
      <c r="D58" s="63" t="s">
        <v>319</v>
      </c>
      <c r="E58" s="80"/>
      <c r="F58" s="80"/>
    </row>
    <row r="59" spans="2:6" ht="25.5" customHeight="1" x14ac:dyDescent="0.25">
      <c r="B59" s="61" t="s">
        <v>392</v>
      </c>
      <c r="C59" s="62" t="s">
        <v>174</v>
      </c>
      <c r="D59" s="61" t="s">
        <v>313</v>
      </c>
      <c r="E59" s="81"/>
      <c r="F59" s="81"/>
    </row>
  </sheetData>
  <mergeCells count="57">
    <mergeCell ref="A1:F1"/>
    <mergeCell ref="A2:F2"/>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8:F58"/>
    <mergeCell ref="E59:F59"/>
    <mergeCell ref="E53:F53"/>
    <mergeCell ref="E54:F54"/>
    <mergeCell ref="E55:F55"/>
    <mergeCell ref="E56:F56"/>
    <mergeCell ref="E57:F5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
  <sheetViews>
    <sheetView showGridLines="0" zoomScaleNormal="100" workbookViewId="0">
      <pane ySplit="4" topLeftCell="A5" activePane="bottomLeft" state="frozen"/>
      <selection pane="bottomLeft"/>
    </sheetView>
  </sheetViews>
  <sheetFormatPr defaultColWidth="8.5703125" defaultRowHeight="15" x14ac:dyDescent="0.25"/>
  <cols>
    <col min="1" max="1" width="26" customWidth="1"/>
    <col min="2" max="2" width="27" customWidth="1"/>
    <col min="3" max="3" width="18" customWidth="1"/>
    <col min="4" max="4" width="42" customWidth="1"/>
    <col min="5" max="5" width="36" customWidth="1"/>
    <col min="6" max="6" width="18" customWidth="1"/>
    <col min="7" max="7" width="42" customWidth="1"/>
    <col min="8" max="11" width="18" customWidth="1"/>
  </cols>
  <sheetData>
    <row r="1" spans="1:14" ht="25.5" customHeight="1" x14ac:dyDescent="0.25">
      <c r="A1" s="69" t="s">
        <v>393</v>
      </c>
      <c r="B1" s="69"/>
      <c r="C1" s="69"/>
      <c r="D1" s="69"/>
      <c r="E1" s="69"/>
      <c r="F1" s="69"/>
      <c r="G1" s="69"/>
      <c r="H1" s="69"/>
      <c r="I1" s="69"/>
      <c r="J1" s="69"/>
      <c r="K1" s="69"/>
      <c r="L1" s="69"/>
      <c r="M1" s="69"/>
      <c r="N1" s="69"/>
    </row>
    <row r="2" spans="1:14" ht="15" customHeight="1" x14ac:dyDescent="0.25">
      <c r="A2" s="70" t="s">
        <v>394</v>
      </c>
      <c r="B2" s="70"/>
      <c r="C2" s="70"/>
      <c r="D2" s="70"/>
      <c r="E2" s="70"/>
      <c r="F2" s="70"/>
      <c r="G2" s="70"/>
      <c r="H2" s="70"/>
      <c r="I2" s="70"/>
      <c r="J2" s="70"/>
      <c r="K2" s="70"/>
      <c r="L2" s="70"/>
      <c r="M2" s="70"/>
      <c r="N2" s="70"/>
    </row>
    <row r="4" spans="1:14" ht="30" customHeight="1" x14ac:dyDescent="0.25">
      <c r="A4" s="12" t="s">
        <v>395</v>
      </c>
      <c r="B4" s="12" t="s">
        <v>396</v>
      </c>
      <c r="C4" s="12" t="s">
        <v>397</v>
      </c>
      <c r="D4" s="12" t="s">
        <v>398</v>
      </c>
      <c r="E4" s="12" t="s">
        <v>399</v>
      </c>
      <c r="F4" s="12" t="s">
        <v>400</v>
      </c>
      <c r="G4" s="12" t="s">
        <v>401</v>
      </c>
      <c r="H4" s="12" t="s">
        <v>402</v>
      </c>
      <c r="I4" s="12" t="s">
        <v>332</v>
      </c>
      <c r="J4" s="12" t="s">
        <v>403</v>
      </c>
      <c r="K4" s="12" t="s">
        <v>404</v>
      </c>
    </row>
    <row r="5" spans="1:14" ht="15" customHeight="1" x14ac:dyDescent="0.25">
      <c r="A5" s="55" t="s">
        <v>180</v>
      </c>
      <c r="B5" s="55" t="s">
        <v>179</v>
      </c>
      <c r="C5" s="55" t="s">
        <v>185</v>
      </c>
      <c r="D5" s="55" t="s">
        <v>405</v>
      </c>
      <c r="E5" s="55" t="s">
        <v>192</v>
      </c>
      <c r="F5" s="55" t="s">
        <v>406</v>
      </c>
      <c r="G5" s="55" t="s">
        <v>190</v>
      </c>
      <c r="H5" s="55" t="s">
        <v>407</v>
      </c>
      <c r="I5" s="55" t="s">
        <v>58</v>
      </c>
      <c r="J5" s="55" t="s">
        <v>408</v>
      </c>
      <c r="K5" s="55" t="s">
        <v>196</v>
      </c>
    </row>
    <row r="6" spans="1:14" ht="15" customHeight="1" x14ac:dyDescent="0.25">
      <c r="A6" s="55" t="s">
        <v>409</v>
      </c>
      <c r="B6" s="55" t="s">
        <v>199</v>
      </c>
      <c r="C6" s="55" t="s">
        <v>229</v>
      </c>
      <c r="D6" s="55" t="s">
        <v>244</v>
      </c>
      <c r="E6" s="55" t="s">
        <v>209</v>
      </c>
      <c r="F6" s="55" t="s">
        <v>410</v>
      </c>
      <c r="G6" s="55" t="s">
        <v>247</v>
      </c>
      <c r="H6" s="55" t="s">
        <v>411</v>
      </c>
      <c r="I6" s="55" t="s">
        <v>412</v>
      </c>
      <c r="J6" s="55" t="s">
        <v>413</v>
      </c>
      <c r="K6" s="55" t="s">
        <v>414</v>
      </c>
    </row>
    <row r="7" spans="1:14" ht="15" customHeight="1" x14ac:dyDescent="0.25">
      <c r="A7" s="55" t="s">
        <v>415</v>
      </c>
      <c r="B7" s="55" t="s">
        <v>416</v>
      </c>
      <c r="D7" s="55" t="s">
        <v>184</v>
      </c>
      <c r="E7" s="55" t="s">
        <v>236</v>
      </c>
      <c r="F7" s="55" t="s">
        <v>194</v>
      </c>
      <c r="G7" s="55" t="s">
        <v>417</v>
      </c>
      <c r="H7" s="55" t="s">
        <v>418</v>
      </c>
      <c r="I7" s="55" t="s">
        <v>419</v>
      </c>
      <c r="K7" s="55" t="s">
        <v>420</v>
      </c>
    </row>
    <row r="8" spans="1:14" ht="15" customHeight="1" x14ac:dyDescent="0.25">
      <c r="A8" s="55" t="s">
        <v>421</v>
      </c>
      <c r="B8" s="55" t="s">
        <v>422</v>
      </c>
      <c r="D8" s="55" t="s">
        <v>203</v>
      </c>
      <c r="E8" s="55" t="s">
        <v>423</v>
      </c>
      <c r="F8" s="55" t="s">
        <v>222</v>
      </c>
      <c r="G8" s="55" t="s">
        <v>424</v>
      </c>
      <c r="H8" s="55" t="s">
        <v>425</v>
      </c>
      <c r="I8" s="55" t="s">
        <v>426</v>
      </c>
    </row>
    <row r="9" spans="1:14" ht="15" customHeight="1" x14ac:dyDescent="0.25">
      <c r="A9" s="55" t="s">
        <v>427</v>
      </c>
      <c r="B9" s="55" t="s">
        <v>428</v>
      </c>
      <c r="D9" s="55" t="s">
        <v>429</v>
      </c>
      <c r="F9" s="55" t="s">
        <v>211</v>
      </c>
      <c r="G9" s="55" t="s">
        <v>430</v>
      </c>
    </row>
    <row r="10" spans="1:14" ht="15" customHeight="1" x14ac:dyDescent="0.25">
      <c r="A10" s="55" t="s">
        <v>431</v>
      </c>
      <c r="B10" s="55" t="s">
        <v>432</v>
      </c>
      <c r="D10" s="55" t="s">
        <v>433</v>
      </c>
      <c r="F10" s="55" t="s">
        <v>434</v>
      </c>
      <c r="G10" s="55" t="s">
        <v>208</v>
      </c>
    </row>
    <row r="11" spans="1:14" ht="15" customHeight="1" x14ac:dyDescent="0.25">
      <c r="A11" s="55" t="s">
        <v>435</v>
      </c>
      <c r="B11" s="55" t="s">
        <v>436</v>
      </c>
      <c r="D11" s="55" t="s">
        <v>217</v>
      </c>
      <c r="G11" s="55" t="s">
        <v>257</v>
      </c>
    </row>
    <row r="12" spans="1:14" ht="15" customHeight="1" x14ac:dyDescent="0.25">
      <c r="D12" s="55" t="s">
        <v>437</v>
      </c>
      <c r="G12" s="55" t="s">
        <v>438</v>
      </c>
    </row>
    <row r="13" spans="1:14" ht="15" customHeight="1" x14ac:dyDescent="0.25">
      <c r="D13" s="55" t="s">
        <v>439</v>
      </c>
      <c r="G13" s="55" t="s">
        <v>440</v>
      </c>
    </row>
    <row r="14" spans="1:14" ht="15" customHeight="1" x14ac:dyDescent="0.25">
      <c r="D14" s="55" t="s">
        <v>441</v>
      </c>
      <c r="G14" s="55" t="s">
        <v>442</v>
      </c>
    </row>
    <row r="15" spans="1:14" ht="15" customHeight="1" x14ac:dyDescent="0.25">
      <c r="D15" s="55" t="s">
        <v>254</v>
      </c>
      <c r="G15" s="55" t="s">
        <v>443</v>
      </c>
    </row>
    <row r="16" spans="1:14" ht="15" customHeight="1" x14ac:dyDescent="0.25">
      <c r="D16" s="55" t="s">
        <v>444</v>
      </c>
      <c r="G16" s="55" t="s">
        <v>234</v>
      </c>
    </row>
  </sheetData>
  <mergeCells count="2">
    <mergeCell ref="A1:N1"/>
    <mergeCell ref="A2:N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Header</vt:lpstr>
      <vt:lpstr>UW Bordereaux</vt:lpstr>
      <vt:lpstr>Reconciliation</vt:lpstr>
      <vt:lpstr>Field Definitions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0</cp:revision>
  <dcterms:created xsi:type="dcterms:W3CDTF">2026-08-28T19:27:55Z</dcterms:created>
  <dcterms:modified xsi:type="dcterms:W3CDTF">2026-08-28T20:32:23Z</dcterms:modified>
  <dc:language>en-US</dc:language>
</cp:coreProperties>
</file>