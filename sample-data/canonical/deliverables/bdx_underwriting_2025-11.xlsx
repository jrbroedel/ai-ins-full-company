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Bordereau!$A$4:$AB$459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<sst xmlns="http://schemas.openxmlformats.org/spreadsheetml/2006/main" count="4166" uniqueCount="1443">
  <si>
    <t xml:space="preserve">Underwriting BDX — 2025-11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</si>
  <si>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</si>
  <si>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</si>
  <si>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(455 policies incepting 2025-11).</t>
  </si>
  <si>
    <t xml:space="preserve">Gross written premium</t>
  </si>
  <si>
    <t xml:space="preserve">$4,514,138.21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</si>
  <si>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</si>
  <si>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</si>
  <si>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</si>
  <si>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rater_sample_2025-11.xlsx (its GWP == that policy's Bordereau row).</t>
  </si>
  <si>
    <t xml:space="preserve">Underwriting Bordereau — 2025-11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</si>
  <si>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</si>
  <si>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</si>
  <si>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</si>
  <si>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</si>
  <si>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</si>
  <si>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</si>
  <si>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</si>
  <si>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</si>
  <si>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</si>
  <si>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</si>
  <si>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</si>
  <si>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</si>
  <si>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</si>
  <si>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</si>
  <si>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</si>
  <si>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</si>
  <si>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</si>
  <si>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</si>
  <si>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</si>
  <si>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</si>
  <si>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</si>
  <si>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</si>
  <si>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</si>
  <si>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</si>
  <si>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</si>
  <si>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</si>
  <si>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</si>
  <si>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</si>
  <si>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</si>
  <si>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CANON-202511-001734</t>
  </si>
  <si>
    <t xml:space="preserve">Leopold Ashcombe</t>
  </si>
  <si>
    <t xml:space="preserve">2025-11-12</t>
  </si>
  <si>
    <t xml:space="preserve">2026-11-12</t>
  </si>
  <si>
    <t xml:space="preserve">Porsche</t>
  </si>
  <si>
    <t xml:space="preserve">911 Turbo S</t>
  </si>
  <si>
    <t xml:space="preserve">93DDA1AUES7RW7782</t>
  </si>
  <si>
    <t xml:space="preserve">02 - Sports / GT</t>
  </si>
  <si>
    <t xml:space="preserve">Nebraska</t>
  </si>
  <si>
    <t xml:space="preserve">CANON-202511-001736</t>
  </si>
  <si>
    <t xml:space="preserve">Beatrix Delacroix</t>
  </si>
  <si>
    <t xml:space="preserve">2025-11-08</t>
  </si>
  <si>
    <t xml:space="preserve">2026-11-08</t>
  </si>
  <si>
    <t xml:space="preserve">Mercedes-Benz</t>
  </si>
  <si>
    <t xml:space="preserve">AMG GT</t>
  </si>
  <si>
    <t xml:space="preserve">T4BF3U881JAB74N20</t>
  </si>
  <si>
    <t xml:space="preserve">CANON-202511-001738</t>
  </si>
  <si>
    <t xml:space="preserve">Thaddeus Whitlock</t>
  </si>
  <si>
    <t xml:space="preserve">2025-11-20</t>
  </si>
  <si>
    <t xml:space="preserve">2026-11-20</t>
  </si>
  <si>
    <t xml:space="preserve">Bentley</t>
  </si>
  <si>
    <t xml:space="preserve">Continental GT</t>
  </si>
  <si>
    <t xml:space="preserve">XVPXWZCBBB38TWMDH</t>
  </si>
  <si>
    <t xml:space="preserve">Michigan</t>
  </si>
  <si>
    <t xml:space="preserve">CANON-202511-001739</t>
  </si>
  <si>
    <t xml:space="preserve">Fitzgerald Thistlewood</t>
  </si>
  <si>
    <t xml:space="preserve">2025-11-23</t>
  </si>
  <si>
    <t xml:space="preserve">2026-11-23</t>
  </si>
  <si>
    <t xml:space="preserve">BMW</t>
  </si>
  <si>
    <t xml:space="preserve">M8 Competition</t>
  </si>
  <si>
    <t xml:space="preserve">UTSE6BH62SV7AFA6G</t>
  </si>
  <si>
    <t xml:space="preserve">New York</t>
  </si>
  <si>
    <t xml:space="preserve">CANON-202511-001740</t>
  </si>
  <si>
    <t xml:space="preserve">Callum Thistlewood</t>
  </si>
  <si>
    <t xml:space="preserve">LHJF1UJLENHD2JUPE</t>
  </si>
  <si>
    <t xml:space="preserve">Rhode Island</t>
  </si>
  <si>
    <t xml:space="preserve">CANON-202511-001741</t>
  </si>
  <si>
    <t xml:space="preserve">Ottilie Montoya</t>
  </si>
  <si>
    <t xml:space="preserve">2025-11-11</t>
  </si>
  <si>
    <t xml:space="preserve">2026-11-11</t>
  </si>
  <si>
    <t xml:space="preserve">P6ARY3888K4SLJLVS</t>
  </si>
  <si>
    <t xml:space="preserve">Alabama</t>
  </si>
  <si>
    <t xml:space="preserve">CANON-202511-001742</t>
  </si>
  <si>
    <t xml:space="preserve">Saoirse Larsson</t>
  </si>
  <si>
    <t xml:space="preserve">2025-11-30</t>
  </si>
  <si>
    <t xml:space="preserve">2026-11-30</t>
  </si>
  <si>
    <t xml:space="preserve">Ferrari</t>
  </si>
  <si>
    <t xml:space="preserve">296 GTB</t>
  </si>
  <si>
    <t xml:space="preserve">1C0N1RZLVKTFM2X3E</t>
  </si>
  <si>
    <t xml:space="preserve">03 - Supercar</t>
  </si>
  <si>
    <t xml:space="preserve">North Carolina</t>
  </si>
  <si>
    <t xml:space="preserve">CANON-202511-001744</t>
  </si>
  <si>
    <t xml:space="preserve">Wilhelmina Delacroix</t>
  </si>
  <si>
    <t xml:space="preserve">Jaguar</t>
  </si>
  <si>
    <t xml:space="preserve">E-Type Series 1</t>
  </si>
  <si>
    <t xml:space="preserve">JDKPUH1F0RDEG8D0X</t>
  </si>
  <si>
    <t xml:space="preserve">07 - Post-War Classic (1946-1972)</t>
  </si>
  <si>
    <t xml:space="preserve">Illinois</t>
  </si>
  <si>
    <t xml:space="preserve">CANON-202511-001745</t>
  </si>
  <si>
    <t xml:space="preserve">Noor Pennington</t>
  </si>
  <si>
    <t xml:space="preserve">Icon</t>
  </si>
  <si>
    <t xml:space="preserve">Derelict</t>
  </si>
  <si>
    <t xml:space="preserve">U9UU4R4JB8B0KMSRN</t>
  </si>
  <si>
    <t xml:space="preserve">11 - Restomod / Coachbuilt / Bespoke</t>
  </si>
  <si>
    <t xml:space="preserve">CANON-202511-001746</t>
  </si>
  <si>
    <t xml:space="preserve">Marisol Chattopadhyay</t>
  </si>
  <si>
    <t xml:space="preserve">2025-11-24</t>
  </si>
  <si>
    <t xml:space="preserve">2026-11-24</t>
  </si>
  <si>
    <t xml:space="preserve">LPNBK3A7GX1NU5Y78</t>
  </si>
  <si>
    <t xml:space="preserve">Pennsylvania</t>
  </si>
  <si>
    <t xml:space="preserve">CANON-202511-001747</t>
  </si>
  <si>
    <t xml:space="preserve">Anouk Bellandi</t>
  </si>
  <si>
    <t xml:space="preserve">2025-11-15</t>
  </si>
  <si>
    <t xml:space="preserve">2026-11-15</t>
  </si>
  <si>
    <t xml:space="preserve">Maserati</t>
  </si>
  <si>
    <t xml:space="preserve">GranTurismo</t>
  </si>
  <si>
    <t xml:space="preserve">2HNX63TB0JHZ0F74B</t>
  </si>
  <si>
    <t xml:space="preserve">Texas</t>
  </si>
  <si>
    <t xml:space="preserve">CANON-202511-001748</t>
  </si>
  <si>
    <t xml:space="preserve">Lorenzo Castellanos</t>
  </si>
  <si>
    <t xml:space="preserve">2025-11-17</t>
  </si>
  <si>
    <t xml:space="preserve">2026-11-17</t>
  </si>
  <si>
    <t xml:space="preserve">Aston Martin</t>
  </si>
  <si>
    <t xml:space="preserve">DB12</t>
  </si>
  <si>
    <t xml:space="preserve">KNLBDVBCFC26Y9XM0</t>
  </si>
  <si>
    <t xml:space="preserve">Florida</t>
  </si>
  <si>
    <t xml:space="preserve">CANON-202511-001749</t>
  </si>
  <si>
    <t xml:space="preserve">Cassius Rourke</t>
  </si>
  <si>
    <t xml:space="preserve">2025-11-14</t>
  </si>
  <si>
    <t xml:space="preserve">2026-11-14</t>
  </si>
  <si>
    <t xml:space="preserve">DB5</t>
  </si>
  <si>
    <t xml:space="preserve">2CBLC5MBYAAUY333X</t>
  </si>
  <si>
    <t xml:space="preserve">CANON-202511-001750</t>
  </si>
  <si>
    <t xml:space="preserve">Mireille Vandermeer</t>
  </si>
  <si>
    <t xml:space="preserve">2025-11-09</t>
  </si>
  <si>
    <t xml:space="preserve">2026-11-09</t>
  </si>
  <si>
    <t xml:space="preserve">SF90 Stradale</t>
  </si>
  <si>
    <t xml:space="preserve">SCR0L3VTYD4X7JW1X</t>
  </si>
  <si>
    <t xml:space="preserve">Ohio</t>
  </si>
  <si>
    <t xml:space="preserve">CANON-202511-001751</t>
  </si>
  <si>
    <t xml:space="preserve">Leopold Delacroix</t>
  </si>
  <si>
    <t xml:space="preserve">2025-11-28</t>
  </si>
  <si>
    <t xml:space="preserve">2026-11-28</t>
  </si>
  <si>
    <t xml:space="preserve">4.5 Litre</t>
  </si>
  <si>
    <t xml:space="preserve">TRXF5P1A6YX8638X4</t>
  </si>
  <si>
    <t xml:space="preserve">06 - Vintage Pre-War (pre-1946)</t>
  </si>
  <si>
    <t xml:space="preserve">CANON-202511-001753</t>
  </si>
  <si>
    <t xml:space="preserve">Mireille Farkas</t>
  </si>
  <si>
    <t xml:space="preserve">2025-11-13</t>
  </si>
  <si>
    <t xml:space="preserve">2026-11-13</t>
  </si>
  <si>
    <t xml:space="preserve">48EAE57S3P5MS5JUZ</t>
  </si>
  <si>
    <t xml:space="preserve">CANON-202511-001754</t>
  </si>
  <si>
    <t xml:space="preserve">2025-11-01</t>
  </si>
  <si>
    <t xml:space="preserve">2026-11-01</t>
  </si>
  <si>
    <t xml:space="preserve">B62TSMJFPR8KRBMJD</t>
  </si>
  <si>
    <t xml:space="preserve">CANON-202511-001755</t>
  </si>
  <si>
    <t xml:space="preserve">2025-11-22</t>
  </si>
  <si>
    <t xml:space="preserve">2026-11-22</t>
  </si>
  <si>
    <t xml:space="preserve">Ringbrothers</t>
  </si>
  <si>
    <t xml:space="preserve">Mustang</t>
  </si>
  <si>
    <t xml:space="preserve">TF404RNA148AE4BA2</t>
  </si>
  <si>
    <t xml:space="preserve">CANON-202511-001756</t>
  </si>
  <si>
    <t xml:space="preserve">Fenwick Farkas</t>
  </si>
  <si>
    <t xml:space="preserve">2025-11-06</t>
  </si>
  <si>
    <t xml:space="preserve">2026-11-06</t>
  </si>
  <si>
    <t xml:space="preserve">XWPVZ1KHVH1KSAWRM</t>
  </si>
  <si>
    <t xml:space="preserve">CANON-202511-001757</t>
  </si>
  <si>
    <t xml:space="preserve">Fenwick Fairweather</t>
  </si>
  <si>
    <t xml:space="preserve">2025-11-10</t>
  </si>
  <si>
    <t xml:space="preserve">2026-11-10</t>
  </si>
  <si>
    <t xml:space="preserve">03JHR3ZTW0C655NLX</t>
  </si>
  <si>
    <t xml:space="preserve">California</t>
  </si>
  <si>
    <t xml:space="preserve">CANON-202511-001758</t>
  </si>
  <si>
    <t xml:space="preserve">Fitzgerald Nakashima</t>
  </si>
  <si>
    <t xml:space="preserve">280SL Pagoda</t>
  </si>
  <si>
    <t xml:space="preserve">WEKXHLNU8ULVLT8FL</t>
  </si>
  <si>
    <t xml:space="preserve">Oklahoma</t>
  </si>
  <si>
    <t xml:space="preserve">CANON-202511-001759</t>
  </si>
  <si>
    <t xml:space="preserve">Lorenzo Merriweather</t>
  </si>
  <si>
    <t xml:space="preserve">2025-11-27</t>
  </si>
  <si>
    <t xml:space="preserve">2026-11-27</t>
  </si>
  <si>
    <t xml:space="preserve">275 GTB/4</t>
  </si>
  <si>
    <t xml:space="preserve">1XPDFY5ANY7U42MVL</t>
  </si>
  <si>
    <t xml:space="preserve">South Carolina</t>
  </si>
  <si>
    <t xml:space="preserve">CANON-202511-001760</t>
  </si>
  <si>
    <t xml:space="preserve">Everett Fairweather</t>
  </si>
  <si>
    <t xml:space="preserve">2025-11-29</t>
  </si>
  <si>
    <t xml:space="preserve">2026-11-29</t>
  </si>
  <si>
    <t xml:space="preserve">YUCJT0CF0SZTKTZY4</t>
  </si>
  <si>
    <t xml:space="preserve">Louisiana</t>
  </si>
  <si>
    <t xml:space="preserve">CANON-202511-001761</t>
  </si>
  <si>
    <t xml:space="preserve">Sunniva Bellandi</t>
  </si>
  <si>
    <t xml:space="preserve">HNAGF590U4YG0DV2X</t>
  </si>
  <si>
    <t xml:space="preserve">Arkansas</t>
  </si>
  <si>
    <t xml:space="preserve">CANON-202511-001762</t>
  </si>
  <si>
    <t xml:space="preserve">Mireille Pennington</t>
  </si>
  <si>
    <t xml:space="preserve">46E4BP356C18EMM6T</t>
  </si>
  <si>
    <t xml:space="preserve">CANON-202511-001763</t>
  </si>
  <si>
    <t xml:space="preserve">Sunniva Larsson</t>
  </si>
  <si>
    <t xml:space="preserve">GWX22AZ242FP4PLYL</t>
  </si>
  <si>
    <t xml:space="preserve">Indiana</t>
  </si>
  <si>
    <t xml:space="preserve">CANON-202511-001764</t>
  </si>
  <si>
    <t xml:space="preserve">Callum Castellanos</t>
  </si>
  <si>
    <t xml:space="preserve">T9BKPZHED2M4GT7F6</t>
  </si>
  <si>
    <t xml:space="preserve">CANON-202511-001765</t>
  </si>
  <si>
    <t xml:space="preserve">Cassius Chattopadhyay</t>
  </si>
  <si>
    <t xml:space="preserve">2025-11-03</t>
  </si>
  <si>
    <t xml:space="preserve">2026-11-03</t>
  </si>
  <si>
    <t xml:space="preserve">19BABD5VZEZ1P6UFR</t>
  </si>
  <si>
    <t xml:space="preserve">CANON-202511-001766</t>
  </si>
  <si>
    <t xml:space="preserve">Anouk Nakashima</t>
  </si>
  <si>
    <t xml:space="preserve">8GSADN2RHNZ79YPWB</t>
  </si>
  <si>
    <t xml:space="preserve">Hawaii</t>
  </si>
  <si>
    <t xml:space="preserve">CANON-202511-001767</t>
  </si>
  <si>
    <t xml:space="preserve">Lorenzo Delacroix</t>
  </si>
  <si>
    <t xml:space="preserve">UVCXGAL3YSGTEGNGF</t>
  </si>
  <si>
    <t xml:space="preserve">Washington</t>
  </si>
  <si>
    <t xml:space="preserve">CANON-202511-001768</t>
  </si>
  <si>
    <t xml:space="preserve">Ingrid Rourke</t>
  </si>
  <si>
    <t xml:space="preserve">5E8V80W263WSHLX34</t>
  </si>
  <si>
    <t xml:space="preserve">CANON-202511-001769</t>
  </si>
  <si>
    <t xml:space="preserve">KPARP3L53XCT9JAEK</t>
  </si>
  <si>
    <t xml:space="preserve">Maryland</t>
  </si>
  <si>
    <t xml:space="preserve">CANON-202511-001772</t>
  </si>
  <si>
    <t xml:space="preserve">Beatrix Underwood</t>
  </si>
  <si>
    <t xml:space="preserve">ER5NWXRTVNGLHAGS3</t>
  </si>
  <si>
    <t xml:space="preserve">Maine</t>
  </si>
  <si>
    <t xml:space="preserve">CANON-202511-001773</t>
  </si>
  <si>
    <t xml:space="preserve">Noor Bellandi</t>
  </si>
  <si>
    <t xml:space="preserve">2025-11-26</t>
  </si>
  <si>
    <t xml:space="preserve">2026-11-26</t>
  </si>
  <si>
    <t xml:space="preserve">Lamborghini</t>
  </si>
  <si>
    <t xml:space="preserve">Huracan EVO</t>
  </si>
  <si>
    <t xml:space="preserve">JWYL85PDJTM3FJBJ9</t>
  </si>
  <si>
    <t xml:space="preserve">New Jersey</t>
  </si>
  <si>
    <t xml:space="preserve">CANON-202511-001774</t>
  </si>
  <si>
    <t xml:space="preserve">Horace Chattopadhyay</t>
  </si>
  <si>
    <t xml:space="preserve">A62N0RAFMZZSEA3C3</t>
  </si>
  <si>
    <t xml:space="preserve">CANON-202511-001775</t>
  </si>
  <si>
    <t xml:space="preserve">Fenwick Okonkwo</t>
  </si>
  <si>
    <t xml:space="preserve">MER6V4NAX3ZRDEUA5</t>
  </si>
  <si>
    <t xml:space="preserve">CANON-202511-001776</t>
  </si>
  <si>
    <t xml:space="preserve">5YHJA70Z7R2SPSTTN</t>
  </si>
  <si>
    <t xml:space="preserve">New Mexico</t>
  </si>
  <si>
    <t xml:space="preserve">CANON-202511-001779</t>
  </si>
  <si>
    <t xml:space="preserve">Emiliano Delacroix</t>
  </si>
  <si>
    <t xml:space="preserve">YPTYZRXDU8BW8RZ4E</t>
  </si>
  <si>
    <t xml:space="preserve">CANON-202511-001780</t>
  </si>
  <si>
    <t xml:space="preserve">Desmond Montoya</t>
  </si>
  <si>
    <t xml:space="preserve">06GYC2ZGCE9WE9XCC</t>
  </si>
  <si>
    <t xml:space="preserve">West Virginia</t>
  </si>
  <si>
    <t xml:space="preserve">CANON-202511-001781</t>
  </si>
  <si>
    <t xml:space="preserve">Desmond Rourke</t>
  </si>
  <si>
    <t xml:space="preserve">GVRU5Y71H1D2WX6RC</t>
  </si>
  <si>
    <t xml:space="preserve">Minnesota</t>
  </si>
  <si>
    <t xml:space="preserve">CANON-202511-001786</t>
  </si>
  <si>
    <t xml:space="preserve">Fitzgerald Larsson</t>
  </si>
  <si>
    <t xml:space="preserve">F2MU28TF7TKNJULBS</t>
  </si>
  <si>
    <t xml:space="preserve">Kansas</t>
  </si>
  <si>
    <t xml:space="preserve">CANON-202511-001787</t>
  </si>
  <si>
    <t xml:space="preserve">Aurelio Pennington</t>
  </si>
  <si>
    <t xml:space="preserve">2025-11-04</t>
  </si>
  <si>
    <t xml:space="preserve">2026-11-04</t>
  </si>
  <si>
    <t xml:space="preserve">RHUDXV9BH4CDSEGCN</t>
  </si>
  <si>
    <t xml:space="preserve">CANON-202511-001788</t>
  </si>
  <si>
    <t xml:space="preserve">Lorenzo Montoya</t>
  </si>
  <si>
    <t xml:space="preserve">NBF8TKY8NW99HLJPM</t>
  </si>
  <si>
    <t xml:space="preserve">CANON-202511-001789</t>
  </si>
  <si>
    <t xml:space="preserve">JAGY5V17PMT1AF21F</t>
  </si>
  <si>
    <t xml:space="preserve">CANON-202511-001790</t>
  </si>
  <si>
    <t xml:space="preserve">Fitzgerald Castellanos</t>
  </si>
  <si>
    <t xml:space="preserve">37KUNUMKD2MB6TBR5</t>
  </si>
  <si>
    <t xml:space="preserve">CANON-202511-001791</t>
  </si>
  <si>
    <t xml:space="preserve">Lorenzo Vasquez</t>
  </si>
  <si>
    <t xml:space="preserve">2025-11-05</t>
  </si>
  <si>
    <t xml:space="preserve">2026-11-05</t>
  </si>
  <si>
    <t xml:space="preserve">JL87H5RZEFJTD1ZWY</t>
  </si>
  <si>
    <t xml:space="preserve">Oregon</t>
  </si>
  <si>
    <t xml:space="preserve">CANON-202511-001792</t>
  </si>
  <si>
    <t xml:space="preserve">Horace Whitlock</t>
  </si>
  <si>
    <t xml:space="preserve">2KC1S06GFW2C16Y4P</t>
  </si>
  <si>
    <t xml:space="preserve">CANON-202511-001796</t>
  </si>
  <si>
    <t xml:space="preserve">Callum Farkas</t>
  </si>
  <si>
    <t xml:space="preserve">2025-11-16</t>
  </si>
  <si>
    <t xml:space="preserve">2026-11-16</t>
  </si>
  <si>
    <t xml:space="preserve">C9J1UGPRXP3962LJ7</t>
  </si>
  <si>
    <t xml:space="preserve">CANON-202511-001797</t>
  </si>
  <si>
    <t xml:space="preserve">Noor Montoya</t>
  </si>
  <si>
    <t xml:space="preserve">2025-11-25</t>
  </si>
  <si>
    <t xml:space="preserve">2026-11-25</t>
  </si>
  <si>
    <t xml:space="preserve">YUF0G545NPR5WGHPC</t>
  </si>
  <si>
    <t xml:space="preserve">CANON-202511-001801</t>
  </si>
  <si>
    <t xml:space="preserve">Lorenzo Nakashima</t>
  </si>
  <si>
    <t xml:space="preserve">4NW49VEYVKT866EUT</t>
  </si>
  <si>
    <t xml:space="preserve">Idaho</t>
  </si>
  <si>
    <t xml:space="preserve">CANON-202511-001803</t>
  </si>
  <si>
    <t xml:space="preserve">Sunniva Harrington</t>
  </si>
  <si>
    <t xml:space="preserve">ZUN437AFP82F2L3J4</t>
  </si>
  <si>
    <t xml:space="preserve">CANON-202511-001804</t>
  </si>
  <si>
    <t xml:space="preserve">NGPABXBWRC87VWVA2</t>
  </si>
  <si>
    <t xml:space="preserve">CANON-202511-001806</t>
  </si>
  <si>
    <t xml:space="preserve">Lorenzo Thistlewood</t>
  </si>
  <si>
    <t xml:space="preserve">LZ2WX2XZ058H5M7VX</t>
  </si>
  <si>
    <t xml:space="preserve">Kentucky</t>
  </si>
  <si>
    <t xml:space="preserve">CANON-202511-001807</t>
  </si>
  <si>
    <t xml:space="preserve">Ingrid Harrington</t>
  </si>
  <si>
    <t xml:space="preserve">K1LUCMDC3DJXVWHW4</t>
  </si>
  <si>
    <t xml:space="preserve">CANON-202511-001808</t>
  </si>
  <si>
    <t xml:space="preserve">Horace Delacroix</t>
  </si>
  <si>
    <t xml:space="preserve">WWD92S05NFFCDG8XZ</t>
  </si>
  <si>
    <t xml:space="preserve">CANON-202511-001811</t>
  </si>
  <si>
    <t xml:space="preserve">Noor Thistlewood</t>
  </si>
  <si>
    <t xml:space="preserve">EYR7WD4VA1XD9E227</t>
  </si>
  <si>
    <t xml:space="preserve">CANON-202511-001812</t>
  </si>
  <si>
    <t xml:space="preserve">Mireille Castellanos</t>
  </si>
  <si>
    <t xml:space="preserve">2025-11-07</t>
  </si>
  <si>
    <t xml:space="preserve">2026-11-07</t>
  </si>
  <si>
    <t xml:space="preserve">VCZCL40B9AB9A8CW3</t>
  </si>
  <si>
    <t xml:space="preserve">CANON-202511-001813</t>
  </si>
  <si>
    <t xml:space="preserve">Delphine Vandermeer</t>
  </si>
  <si>
    <t xml:space="preserve">VGC8AD7M0VED25SZB</t>
  </si>
  <si>
    <t xml:space="preserve">Arizona</t>
  </si>
  <si>
    <t xml:space="preserve">CANON-202511-001815</t>
  </si>
  <si>
    <t xml:space="preserve">Fenwick Montoya</t>
  </si>
  <si>
    <t xml:space="preserve">8B07RZSJYR4W770NE</t>
  </si>
  <si>
    <t xml:space="preserve">Vermont</t>
  </si>
  <si>
    <t xml:space="preserve">CANON-202511-001816</t>
  </si>
  <si>
    <t xml:space="preserve">Desmond Kingsford</t>
  </si>
  <si>
    <t xml:space="preserve">8U86D4293T8FX2Y2R</t>
  </si>
  <si>
    <t xml:space="preserve">CANON-202511-001817</t>
  </si>
  <si>
    <t xml:space="preserve">7BHJ2VSTZHEG3VB19</t>
  </si>
  <si>
    <t xml:space="preserve">CANON-202511-001818</t>
  </si>
  <si>
    <t xml:space="preserve">Callum Vasquez</t>
  </si>
  <si>
    <t xml:space="preserve">W6R3JYJHNMFSLDGG5</t>
  </si>
  <si>
    <t xml:space="preserve">New Hampshire</t>
  </si>
  <si>
    <t xml:space="preserve">CANON-202511-001819</t>
  </si>
  <si>
    <t xml:space="preserve">Emiliano Harrington</t>
  </si>
  <si>
    <t xml:space="preserve">2025-11-19</t>
  </si>
  <si>
    <t xml:space="preserve">2026-11-19</t>
  </si>
  <si>
    <t xml:space="preserve">NE3MRLJ3WFZYNFUWZ</t>
  </si>
  <si>
    <t xml:space="preserve">CANON-202511-001820</t>
  </si>
  <si>
    <t xml:space="preserve">Lorenzo Whitlock</t>
  </si>
  <si>
    <t xml:space="preserve">NRUB9L6WTXHT6DYFH</t>
  </si>
  <si>
    <t xml:space="preserve">CANON-202511-001821</t>
  </si>
  <si>
    <t xml:space="preserve">Desmond Merriweather</t>
  </si>
  <si>
    <t xml:space="preserve">STC7TNK0TX1SHJP9W</t>
  </si>
  <si>
    <t xml:space="preserve">CANON-202511-001822</t>
  </si>
  <si>
    <t xml:space="preserve">EP440AZLUDT90EY1B</t>
  </si>
  <si>
    <t xml:space="preserve">CANON-202511-001823</t>
  </si>
  <si>
    <t xml:space="preserve">Horace Underwood</t>
  </si>
  <si>
    <t xml:space="preserve">DJMZFMD10J7VWDHV8</t>
  </si>
  <si>
    <t xml:space="preserve">Delaware</t>
  </si>
  <si>
    <t xml:space="preserve">CANON-202511-001825</t>
  </si>
  <si>
    <t xml:space="preserve">Anouk Larsson</t>
  </si>
  <si>
    <t xml:space="preserve">2025-11-21</t>
  </si>
  <si>
    <t xml:space="preserve">2026-11-21</t>
  </si>
  <si>
    <t xml:space="preserve">SSP3PVBR6FZ5MUYMG</t>
  </si>
  <si>
    <t xml:space="preserve">Montana</t>
  </si>
  <si>
    <t xml:space="preserve">CANON-202511-001826</t>
  </si>
  <si>
    <t xml:space="preserve">Emiliano Thistlewood</t>
  </si>
  <si>
    <t xml:space="preserve">KF457L0E3NUXNT5KN</t>
  </si>
  <si>
    <t xml:space="preserve">CANON-202511-001830</t>
  </si>
  <si>
    <t xml:space="preserve">Saoirse Ashcombe</t>
  </si>
  <si>
    <t xml:space="preserve">ZZYCW76APGGLAF1U4</t>
  </si>
  <si>
    <t xml:space="preserve">CANON-202511-001831</t>
  </si>
  <si>
    <t xml:space="preserve">Priya Underwood</t>
  </si>
  <si>
    <t xml:space="preserve">YH9RERHHN0JKW8UDJ</t>
  </si>
  <si>
    <t xml:space="preserve">CANON-202511-001833</t>
  </si>
  <si>
    <t xml:space="preserve">Callum Ashcombe</t>
  </si>
  <si>
    <t xml:space="preserve">48GUTHWD62S46DGCF</t>
  </si>
  <si>
    <t xml:space="preserve">Colorado</t>
  </si>
  <si>
    <t xml:space="preserve">CANON-202511-001835</t>
  </si>
  <si>
    <t xml:space="preserve">CD6A8VC6BBHFD6962</t>
  </si>
  <si>
    <t xml:space="preserve">Wisconsin</t>
  </si>
  <si>
    <t xml:space="preserve">CANON-202511-001837</t>
  </si>
  <si>
    <t xml:space="preserve">Delphine Blackwood</t>
  </si>
  <si>
    <t xml:space="preserve">F5TKXGW71C88FDAW5</t>
  </si>
  <si>
    <t xml:space="preserve">CANON-202511-001839</t>
  </si>
  <si>
    <t xml:space="preserve">Emiliano Kingsford</t>
  </si>
  <si>
    <t xml:space="preserve">6HTJLYKDDJXW3S0WE</t>
  </si>
  <si>
    <t xml:space="preserve">Connecticut</t>
  </si>
  <si>
    <t xml:space="preserve">CANON-202511-001840</t>
  </si>
  <si>
    <t xml:space="preserve">Callum Merriweather</t>
  </si>
  <si>
    <t xml:space="preserve">LHCGUCCFNKUD65U95</t>
  </si>
  <si>
    <t xml:space="preserve">CANON-202511-001841</t>
  </si>
  <si>
    <t xml:space="preserve">Anouk Vandermeer</t>
  </si>
  <si>
    <t xml:space="preserve">ZTH5UCWZ5WH0601MG</t>
  </si>
  <si>
    <t xml:space="preserve">CANON-202511-001843</t>
  </si>
  <si>
    <t xml:space="preserve">Priya Fairweather</t>
  </si>
  <si>
    <t xml:space="preserve">N4V1SNKZFBJXP5MBY</t>
  </si>
  <si>
    <t xml:space="preserve">CANON-202511-001844</t>
  </si>
  <si>
    <t xml:space="preserve">Cassius Vandermeer</t>
  </si>
  <si>
    <t xml:space="preserve">T58MU70G2C15YX974</t>
  </si>
  <si>
    <t xml:space="preserve">CANON-202511-001845</t>
  </si>
  <si>
    <t xml:space="preserve">Mireille Montoya</t>
  </si>
  <si>
    <t xml:space="preserve">ET8D1FSC9KFC045CL</t>
  </si>
  <si>
    <t xml:space="preserve">CANON-202511-001847</t>
  </si>
  <si>
    <t xml:space="preserve">Wilhelmina Castellanos</t>
  </si>
  <si>
    <t xml:space="preserve">NB2EG0P1187X8650B</t>
  </si>
  <si>
    <t xml:space="preserve">CANON-202511-001848</t>
  </si>
  <si>
    <t xml:space="preserve">Sunniva Farkas</t>
  </si>
  <si>
    <t xml:space="preserve">S41AKHGTSJL5BRU00</t>
  </si>
  <si>
    <t xml:space="preserve">CANON-202511-001849</t>
  </si>
  <si>
    <t xml:space="preserve">Desmond Okonkwo</t>
  </si>
  <si>
    <t xml:space="preserve">SFC72BVM57N5BCZW9</t>
  </si>
  <si>
    <t xml:space="preserve">Iowa</t>
  </si>
  <si>
    <t xml:space="preserve">CANON-202511-001850</t>
  </si>
  <si>
    <t xml:space="preserve">Beatrix Fairweather</t>
  </si>
  <si>
    <t xml:space="preserve">K3GC7XTNTDN2251KG</t>
  </si>
  <si>
    <t xml:space="preserve">CANON-202511-001851</t>
  </si>
  <si>
    <t xml:space="preserve">Mireille Nakashima</t>
  </si>
  <si>
    <t xml:space="preserve">HLSW9RWGVBUVLZD9K</t>
  </si>
  <si>
    <t xml:space="preserve">CANON-202511-001852</t>
  </si>
  <si>
    <t xml:space="preserve">Ottilie Chattopadhyay</t>
  </si>
  <si>
    <t xml:space="preserve">P8A8K10ZD7Y2WMX0S</t>
  </si>
  <si>
    <t xml:space="preserve">CANON-202511-001853</t>
  </si>
  <si>
    <t xml:space="preserve">Thaddeus Nakashima</t>
  </si>
  <si>
    <t xml:space="preserve">X7CFP1PNYB79SMR01</t>
  </si>
  <si>
    <t xml:space="preserve">CANON-202511-001854</t>
  </si>
  <si>
    <t xml:space="preserve">D7FNVGFSU61LJVMX7</t>
  </si>
  <si>
    <t xml:space="preserve">Massachusetts</t>
  </si>
  <si>
    <t xml:space="preserve">CANON-202511-001855</t>
  </si>
  <si>
    <t xml:space="preserve">Leopold Harrington</t>
  </si>
  <si>
    <t xml:space="preserve">RGZEG3WR1DA7C7NPJ</t>
  </si>
  <si>
    <t xml:space="preserve">CANON-202511-001857</t>
  </si>
  <si>
    <t xml:space="preserve">Ottilie Rourke</t>
  </si>
  <si>
    <t xml:space="preserve">LX09DMSXMTHCJ7ZMK</t>
  </si>
  <si>
    <t xml:space="preserve">CANON-202511-001858</t>
  </si>
  <si>
    <t xml:space="preserve">Callum Bellandi</t>
  </si>
  <si>
    <t xml:space="preserve">FH6916LTG1XE4NKMF</t>
  </si>
  <si>
    <t xml:space="preserve">CANON-202511-001859</t>
  </si>
  <si>
    <t xml:space="preserve">Thaddeus Merriweather</t>
  </si>
  <si>
    <t xml:space="preserve">2025-11-02</t>
  </si>
  <si>
    <t xml:space="preserve">2026-11-02</t>
  </si>
  <si>
    <t xml:space="preserve">JRPD8ZJJXH2EVPAZE</t>
  </si>
  <si>
    <t xml:space="preserve">CANON-202511-001860</t>
  </si>
  <si>
    <t xml:space="preserve">Ottilie Nakashima</t>
  </si>
  <si>
    <t xml:space="preserve">McLaren</t>
  </si>
  <si>
    <t xml:space="preserve">750S</t>
  </si>
  <si>
    <t xml:space="preserve">HS3L868MEGHDNJXUR</t>
  </si>
  <si>
    <t xml:space="preserve">CANON-202511-001861</t>
  </si>
  <si>
    <t xml:space="preserve">Wilhelmina Ashcombe</t>
  </si>
  <si>
    <t xml:space="preserve">VABDH0CLF0360KWHG</t>
  </si>
  <si>
    <t xml:space="preserve">Virginia</t>
  </si>
  <si>
    <t xml:space="preserve">CANON-202511-001862</t>
  </si>
  <si>
    <t xml:space="preserve">Noor Harrington</t>
  </si>
  <si>
    <t xml:space="preserve">33EA96HRFA0CDPDFX</t>
  </si>
  <si>
    <t xml:space="preserve">CANON-202511-001864</t>
  </si>
  <si>
    <t xml:space="preserve">Callum Harrington</t>
  </si>
  <si>
    <t xml:space="preserve">7P3UL027DYMA0UDPZ</t>
  </si>
  <si>
    <t xml:space="preserve">CANON-202511-001865</t>
  </si>
  <si>
    <t xml:space="preserve">Desmond Bellandi</t>
  </si>
  <si>
    <t xml:space="preserve">7SUH5EY3J6M77KKVU</t>
  </si>
  <si>
    <t xml:space="preserve">North Dakota</t>
  </si>
  <si>
    <t xml:space="preserve">CANON-202511-001866</t>
  </si>
  <si>
    <t xml:space="preserve">Beatrix Harrington</t>
  </si>
  <si>
    <t xml:space="preserve">CPCU2DY28P510BS5H</t>
  </si>
  <si>
    <t xml:space="preserve">CANON-202511-001867</t>
  </si>
  <si>
    <t xml:space="preserve">Wilhelmina Harrington</t>
  </si>
  <si>
    <t xml:space="preserve">RB67VV7PNTF0C1X7J</t>
  </si>
  <si>
    <t xml:space="preserve">Utah</t>
  </si>
  <si>
    <t xml:space="preserve">CANON-202511-001868</t>
  </si>
  <si>
    <t xml:space="preserve">Emiliano Rourke</t>
  </si>
  <si>
    <t xml:space="preserve">RTA7WPP677RSJRR4X</t>
  </si>
  <si>
    <t xml:space="preserve">CANON-202511-001869</t>
  </si>
  <si>
    <t xml:space="preserve">2025-11-18</t>
  </si>
  <si>
    <t xml:space="preserve">2026-11-18</t>
  </si>
  <si>
    <t xml:space="preserve">BEGC0AH1XUP7D64PH</t>
  </si>
  <si>
    <t xml:space="preserve">CANON-202511-001871</t>
  </si>
  <si>
    <t xml:space="preserve">4BZ9ETSLK1RGHSS6S</t>
  </si>
  <si>
    <t xml:space="preserve">CANON-202511-001872</t>
  </si>
  <si>
    <t xml:space="preserve">Marisol Thistlewood</t>
  </si>
  <si>
    <t xml:space="preserve">W53AFY85XDMSDAF7M</t>
  </si>
  <si>
    <t xml:space="preserve">CANON-202511-001875</t>
  </si>
  <si>
    <t xml:space="preserve">Fenwick Larsson</t>
  </si>
  <si>
    <t xml:space="preserve">KNWZRAF9AD8ECPENY</t>
  </si>
  <si>
    <t xml:space="preserve">CANON-202511-001878</t>
  </si>
  <si>
    <t xml:space="preserve">Thaddeus Underwood</t>
  </si>
  <si>
    <t xml:space="preserve">Singer</t>
  </si>
  <si>
    <t xml:space="preserve">911 Reimagined</t>
  </si>
  <si>
    <t xml:space="preserve">X1A6NGL6W9D2A576M</t>
  </si>
  <si>
    <t xml:space="preserve">CANON-202511-001879</t>
  </si>
  <si>
    <t xml:space="preserve">Cassius Farkas</t>
  </si>
  <si>
    <t xml:space="preserve">YAD3AZ1C4M2XPEEBR</t>
  </si>
  <si>
    <t xml:space="preserve">CANON-202511-001880</t>
  </si>
  <si>
    <t xml:space="preserve">Ramona Farkas</t>
  </si>
  <si>
    <t xml:space="preserve">M84ENADHHTLPVHP0B</t>
  </si>
  <si>
    <t xml:space="preserve">Mississippi</t>
  </si>
  <si>
    <t xml:space="preserve">CANON-202511-001881</t>
  </si>
  <si>
    <t xml:space="preserve">Ingrid Fairweather</t>
  </si>
  <si>
    <t xml:space="preserve">DNVFG9075U2ED04AW</t>
  </si>
  <si>
    <t xml:space="preserve">CANON-202511-001883</t>
  </si>
  <si>
    <t xml:space="preserve">Ingrid Vandermeer</t>
  </si>
  <si>
    <t xml:space="preserve">WV4PE12F8UVM83MXW</t>
  </si>
  <si>
    <t xml:space="preserve">CANON-202511-001885</t>
  </si>
  <si>
    <t xml:space="preserve">Delphine Whitlock</t>
  </si>
  <si>
    <t xml:space="preserve">Alfa Romeo</t>
  </si>
  <si>
    <t xml:space="preserve">8C 2900</t>
  </si>
  <si>
    <t xml:space="preserve">GKGXW7L9AZNPYUAP1</t>
  </si>
  <si>
    <t xml:space="preserve">CANON-202511-001886</t>
  </si>
  <si>
    <t xml:space="preserve">Noor Blackwood</t>
  </si>
  <si>
    <t xml:space="preserve">6CYKWFXN7RR0XJW3A</t>
  </si>
  <si>
    <t xml:space="preserve">CANON-202511-001887</t>
  </si>
  <si>
    <t xml:space="preserve">Mireille Thistlewood</t>
  </si>
  <si>
    <t xml:space="preserve">S1TSE2GCAMEET0BEM</t>
  </si>
  <si>
    <t xml:space="preserve">CANON-202511-001889</t>
  </si>
  <si>
    <t xml:space="preserve">Leopold Vasquez</t>
  </si>
  <si>
    <t xml:space="preserve">1D1V3UTCJ0T66Z94S</t>
  </si>
  <si>
    <t xml:space="preserve">CANON-202511-001891</t>
  </si>
  <si>
    <t xml:space="preserve">BWTJ34MBALKMAWTD1</t>
  </si>
  <si>
    <t xml:space="preserve">Missouri</t>
  </si>
  <si>
    <t xml:space="preserve">CANON-202511-001892</t>
  </si>
  <si>
    <t xml:space="preserve">Ottilie Castellanos</t>
  </si>
  <si>
    <t xml:space="preserve">WPMFBUXALJ8V1MW1R</t>
  </si>
  <si>
    <t xml:space="preserve">CANON-202511-001893</t>
  </si>
  <si>
    <t xml:space="preserve">Cassius Castellanos</t>
  </si>
  <si>
    <t xml:space="preserve">86SUPALJJFJGSE24U</t>
  </si>
  <si>
    <t xml:space="preserve">CANON-202511-001894</t>
  </si>
  <si>
    <t xml:space="preserve">5HT8965V6KSR2BE17</t>
  </si>
  <si>
    <t xml:space="preserve">CANON-202511-001895</t>
  </si>
  <si>
    <t xml:space="preserve">Ramona Castellanos</t>
  </si>
  <si>
    <t xml:space="preserve">4048KR23HF3RWMDY5</t>
  </si>
  <si>
    <t xml:space="preserve">CANON-202511-001896</t>
  </si>
  <si>
    <t xml:space="preserve">Fitzgerald Vandermeer</t>
  </si>
  <si>
    <t xml:space="preserve">A50DP3Y4R0L30V1BW</t>
  </si>
  <si>
    <t xml:space="preserve">CANON-202511-001897</t>
  </si>
  <si>
    <t xml:space="preserve">Fenwick Blackwood</t>
  </si>
  <si>
    <t xml:space="preserve">3J9UHZN3D9ZSRYEJ9</t>
  </si>
  <si>
    <t xml:space="preserve">CANON-202511-001899</t>
  </si>
  <si>
    <t xml:space="preserve">Lorenzo Blackwood</t>
  </si>
  <si>
    <t xml:space="preserve">WHMPE67ND9MUVCVGK</t>
  </si>
  <si>
    <t xml:space="preserve">CANON-202511-001901</t>
  </si>
  <si>
    <t xml:space="preserve">Thaddeus Fairweather</t>
  </si>
  <si>
    <t xml:space="preserve">56YKYGGBURAZTW91H</t>
  </si>
  <si>
    <t xml:space="preserve">CANON-202511-001903</t>
  </si>
  <si>
    <t xml:space="preserve">Thaddeus Thistlewood</t>
  </si>
  <si>
    <t xml:space="preserve">H7FB21G6TYTNC22VM</t>
  </si>
  <si>
    <t xml:space="preserve">CANON-202511-001904</t>
  </si>
  <si>
    <t xml:space="preserve">Aurelio Underwood</t>
  </si>
  <si>
    <t xml:space="preserve">KB324YHLJ066KSMFA</t>
  </si>
  <si>
    <t xml:space="preserve">CANON-202511-001906</t>
  </si>
  <si>
    <t xml:space="preserve">GGYV2RYJBJ4K0KV7R</t>
  </si>
  <si>
    <t xml:space="preserve">CANON-202511-001907</t>
  </si>
  <si>
    <t xml:space="preserve">Ramona Fairweather</t>
  </si>
  <si>
    <t xml:space="preserve">4N39CFJL7LXMP9PJR</t>
  </si>
  <si>
    <t xml:space="preserve">CANON-202511-001909</t>
  </si>
  <si>
    <t xml:space="preserve">Mireille Rourke</t>
  </si>
  <si>
    <t xml:space="preserve">D9Y5HZCSZUJGW57MS</t>
  </si>
  <si>
    <t xml:space="preserve">CANON-202511-001910</t>
  </si>
  <si>
    <t xml:space="preserve">Noor Merriweather</t>
  </si>
  <si>
    <t xml:space="preserve">R7HC7R2S9PZA4A5NX</t>
  </si>
  <si>
    <t xml:space="preserve">CANON-202511-001913</t>
  </si>
  <si>
    <t xml:space="preserve">Priya Okonkwo</t>
  </si>
  <si>
    <t xml:space="preserve">C2ZZDUPYL87PLP5RH</t>
  </si>
  <si>
    <t xml:space="preserve">CANON-202511-001915</t>
  </si>
  <si>
    <t xml:space="preserve">6L6TLW93506JK0J75</t>
  </si>
  <si>
    <t xml:space="preserve">CANON-202511-001916</t>
  </si>
  <si>
    <t xml:space="preserve">Anouk Okonkwo</t>
  </si>
  <si>
    <t xml:space="preserve">S79XT3YJ11VE4SXN7</t>
  </si>
  <si>
    <t xml:space="preserve">CANON-202511-001918</t>
  </si>
  <si>
    <t xml:space="preserve">Thaddeus Montoya</t>
  </si>
  <si>
    <t xml:space="preserve">SVJD8EEG7YDWMVKF8</t>
  </si>
  <si>
    <t xml:space="preserve">CANON-202511-001921</t>
  </si>
  <si>
    <t xml:space="preserve">Saoirse Farkas</t>
  </si>
  <si>
    <t xml:space="preserve">F4122TWU3CTW2S730</t>
  </si>
  <si>
    <t xml:space="preserve">CANON-202511-001923</t>
  </si>
  <si>
    <t xml:space="preserve">Mireille Blackwood</t>
  </si>
  <si>
    <t xml:space="preserve">02EY54FX29C0AF2XZ</t>
  </si>
  <si>
    <t xml:space="preserve">CANON-202511-001925</t>
  </si>
  <si>
    <t xml:space="preserve">Cassius Thistlewood</t>
  </si>
  <si>
    <t xml:space="preserve">S127GNBFFZR3VS7KU</t>
  </si>
  <si>
    <t xml:space="preserve">CANON-202511-001926</t>
  </si>
  <si>
    <t xml:space="preserve">Thaddeus Castellanos</t>
  </si>
  <si>
    <t xml:space="preserve">BDYXZ4Z1WF4TR9KJ3</t>
  </si>
  <si>
    <t xml:space="preserve">CANON-202511-001927</t>
  </si>
  <si>
    <t xml:space="preserve">BDCRPY85TPT5HCYUX</t>
  </si>
  <si>
    <t xml:space="preserve">CANON-202511-001928</t>
  </si>
  <si>
    <t xml:space="preserve">Saoirse Fairweather</t>
  </si>
  <si>
    <t xml:space="preserve">8WDVPVTAEVPB6BUCJ</t>
  </si>
  <si>
    <t xml:space="preserve">CANON-202511-001934</t>
  </si>
  <si>
    <t xml:space="preserve">Everett Ashcombe</t>
  </si>
  <si>
    <t xml:space="preserve">MB7W2ZM20UT9ENGZ3</t>
  </si>
  <si>
    <t xml:space="preserve">CANON-202511-001935</t>
  </si>
  <si>
    <t xml:space="preserve">Cassius Kingsford</t>
  </si>
  <si>
    <t xml:space="preserve">KDRZTX1LFTR9TH79N</t>
  </si>
  <si>
    <t xml:space="preserve">CANON-202511-001936</t>
  </si>
  <si>
    <t xml:space="preserve">Beatrix Pennington</t>
  </si>
  <si>
    <t xml:space="preserve">5P22B25JW10G8L6R3</t>
  </si>
  <si>
    <t xml:space="preserve">CANON-202511-001937</t>
  </si>
  <si>
    <t xml:space="preserve">Ramona Blackwood</t>
  </si>
  <si>
    <t xml:space="preserve">S19UM2CV96VZBGK5Z</t>
  </si>
  <si>
    <t xml:space="preserve">CANON-202511-001939</t>
  </si>
  <si>
    <t xml:space="preserve">Delphine Vasquez</t>
  </si>
  <si>
    <t xml:space="preserve">9F12ZDKH8AMMHNMCE</t>
  </si>
  <si>
    <t xml:space="preserve">CANON-202511-001940</t>
  </si>
  <si>
    <t xml:space="preserve">G6XVLASPW7M74VJYM</t>
  </si>
  <si>
    <t xml:space="preserve">CANON-202511-001941</t>
  </si>
  <si>
    <t xml:space="preserve">Desmond Vasquez</t>
  </si>
  <si>
    <t xml:space="preserve">D8CTBU8K5DV1P8P9D</t>
  </si>
  <si>
    <t xml:space="preserve">CANON-202511-001943</t>
  </si>
  <si>
    <t xml:space="preserve">Ottilie Farkas</t>
  </si>
  <si>
    <t xml:space="preserve">F5KY2U0L8TB592MJD</t>
  </si>
  <si>
    <t xml:space="preserve">CANON-202511-001944</t>
  </si>
  <si>
    <t xml:space="preserve">K4CSCJ48CZV9YSZBJ</t>
  </si>
  <si>
    <t xml:space="preserve">CANON-202511-001946</t>
  </si>
  <si>
    <t xml:space="preserve">Thaddeus Blackwood</t>
  </si>
  <si>
    <t xml:space="preserve">C5HTEA2VZM1EW91M0</t>
  </si>
  <si>
    <t xml:space="preserve">CANON-202511-001947</t>
  </si>
  <si>
    <t xml:space="preserve">09CE651TUFHXR9H73</t>
  </si>
  <si>
    <t xml:space="preserve">CANON-202511-001948</t>
  </si>
  <si>
    <t xml:space="preserve">Beatrix Bellandi</t>
  </si>
  <si>
    <t xml:space="preserve">YH4C5PXJ0VWSP3PDT</t>
  </si>
  <si>
    <t xml:space="preserve">CANON-202511-001949</t>
  </si>
  <si>
    <t xml:space="preserve">7EWA6ZS1U4P4LV2XP</t>
  </si>
  <si>
    <t xml:space="preserve">CANON-202511-001950</t>
  </si>
  <si>
    <t xml:space="preserve">Fitzgerald Ashcombe</t>
  </si>
  <si>
    <t xml:space="preserve">VYFT0ZNVE5BB4AG88</t>
  </si>
  <si>
    <t xml:space="preserve">CANON-202511-001951</t>
  </si>
  <si>
    <t xml:space="preserve">Aurelio Farkas</t>
  </si>
  <si>
    <t xml:space="preserve">NBZ908S2URWVLDDBA</t>
  </si>
  <si>
    <t xml:space="preserve">CANON-202511-001952</t>
  </si>
  <si>
    <t xml:space="preserve">Sunniva Vasquez</t>
  </si>
  <si>
    <t xml:space="preserve">D79SMC79H0YYPCV85</t>
  </si>
  <si>
    <t xml:space="preserve">CANON-202511-001953</t>
  </si>
  <si>
    <t xml:space="preserve">Lorenzo Rourke</t>
  </si>
  <si>
    <t xml:space="preserve">BA136N9ZFNHN96H4Y</t>
  </si>
  <si>
    <t xml:space="preserve">CANON-202511-001954</t>
  </si>
  <si>
    <t xml:space="preserve">Leopold Pennington</t>
  </si>
  <si>
    <t xml:space="preserve">KL4AB458CXS8G90AT</t>
  </si>
  <si>
    <t xml:space="preserve">CANON-202511-001955</t>
  </si>
  <si>
    <t xml:space="preserve">Fenwick Underwood</t>
  </si>
  <si>
    <t xml:space="preserve">7C25YWWXZLAKWMHB8</t>
  </si>
  <si>
    <t xml:space="preserve">CANON-202511-001956</t>
  </si>
  <si>
    <t xml:space="preserve">Wilhelmina Chattopadhyay</t>
  </si>
  <si>
    <t xml:space="preserve">UBXPGP0VAUWPNSCNN</t>
  </si>
  <si>
    <t xml:space="preserve">CANON-202511-001957</t>
  </si>
  <si>
    <t xml:space="preserve">Fenwick Bellandi</t>
  </si>
  <si>
    <t xml:space="preserve">87223GKE692WHMAVY</t>
  </si>
  <si>
    <t xml:space="preserve">CANON-202511-001958</t>
  </si>
  <si>
    <t xml:space="preserve">Horace Montoya</t>
  </si>
  <si>
    <t xml:space="preserve">56ZCCSB0HZAAPVM56</t>
  </si>
  <si>
    <t xml:space="preserve">CANON-202511-001960</t>
  </si>
  <si>
    <t xml:space="preserve">XTUSMSVD60UE2W017</t>
  </si>
  <si>
    <t xml:space="preserve">CANON-202511-001961</t>
  </si>
  <si>
    <t xml:space="preserve">WTR19ZTBXP7RXXTNB</t>
  </si>
  <si>
    <t xml:space="preserve">CANON-202511-001963</t>
  </si>
  <si>
    <t xml:space="preserve">Emiliano Blackwood</t>
  </si>
  <si>
    <t xml:space="preserve">SZ9FMFBADW39YJ6M2</t>
  </si>
  <si>
    <t xml:space="preserve">Tennessee</t>
  </si>
  <si>
    <t xml:space="preserve">CANON-202511-001964</t>
  </si>
  <si>
    <t xml:space="preserve">Everett Larsson</t>
  </si>
  <si>
    <t xml:space="preserve">0R6SURU3X8M2RW89J</t>
  </si>
  <si>
    <t xml:space="preserve">CANON-202511-001966</t>
  </si>
  <si>
    <t xml:space="preserve">Noor Fairweather</t>
  </si>
  <si>
    <t xml:space="preserve">DCL4PCMMM9D2K1HJA</t>
  </si>
  <si>
    <t xml:space="preserve">CANON-202511-001968</t>
  </si>
  <si>
    <t xml:space="preserve">5YSSCAB24GJYM9J8A</t>
  </si>
  <si>
    <t xml:space="preserve">CANON-202511-001969</t>
  </si>
  <si>
    <t xml:space="preserve">F9MY723NCFY12JNUH</t>
  </si>
  <si>
    <t xml:space="preserve">CANON-202511-001970</t>
  </si>
  <si>
    <t xml:space="preserve">1KKNMJGDFL0WZ5JPN</t>
  </si>
  <si>
    <t xml:space="preserve">CANON-202511-001971</t>
  </si>
  <si>
    <t xml:space="preserve">Callum Underwood</t>
  </si>
  <si>
    <t xml:space="preserve">24U3XAR5V8343L2YK</t>
  </si>
  <si>
    <t xml:space="preserve">CANON-202511-001972</t>
  </si>
  <si>
    <t xml:space="preserve">Ramona Underwood</t>
  </si>
  <si>
    <t xml:space="preserve">83ACPC2EW7AMV6RN4</t>
  </si>
  <si>
    <t xml:space="preserve">CANON-202511-001973</t>
  </si>
  <si>
    <t xml:space="preserve">Anouk Farkas</t>
  </si>
  <si>
    <t xml:space="preserve">5ET916952T9JLVBEX</t>
  </si>
  <si>
    <t xml:space="preserve">CANON-202511-001976</t>
  </si>
  <si>
    <t xml:space="preserve">Desmond Blackwood</t>
  </si>
  <si>
    <t xml:space="preserve">N5HTXAR9BL580JADB</t>
  </si>
  <si>
    <t xml:space="preserve">CANON-202511-001977</t>
  </si>
  <si>
    <t xml:space="preserve">Ingrid Ashcombe</t>
  </si>
  <si>
    <t xml:space="preserve">M2XZ19CXLDLGUJTC3</t>
  </si>
  <si>
    <t xml:space="preserve">CANON-202511-001978</t>
  </si>
  <si>
    <t xml:space="preserve">ZJXM8P9W2J49KCWCW</t>
  </si>
  <si>
    <t xml:space="preserve">CANON-202511-001980</t>
  </si>
  <si>
    <t xml:space="preserve">Beatrix Vasquez</t>
  </si>
  <si>
    <t xml:space="preserve">1YDYWAXZ3P148F6BR</t>
  </si>
  <si>
    <t xml:space="preserve">CANON-202511-001981</t>
  </si>
  <si>
    <t xml:space="preserve">60HXXEE2B73HJG79A</t>
  </si>
  <si>
    <t xml:space="preserve">CANON-202511-001982</t>
  </si>
  <si>
    <t xml:space="preserve">G5K03A8T4PCP98ASS</t>
  </si>
  <si>
    <t xml:space="preserve">CANON-202511-001983</t>
  </si>
  <si>
    <t xml:space="preserve">Delphine Okonkwo</t>
  </si>
  <si>
    <t xml:space="preserve">47927XBT14RALXEN1</t>
  </si>
  <si>
    <t xml:space="preserve">Alaska</t>
  </si>
  <si>
    <t xml:space="preserve">CANON-202511-001985</t>
  </si>
  <si>
    <t xml:space="preserve">Everett Chattopadhyay</t>
  </si>
  <si>
    <t xml:space="preserve">VJDTGUH7JR5KM5NG9</t>
  </si>
  <si>
    <t xml:space="preserve">CANON-202511-001986</t>
  </si>
  <si>
    <t xml:space="preserve">Fitzgerald Delacroix</t>
  </si>
  <si>
    <t xml:space="preserve">U7RUTXSF1L330R1K1</t>
  </si>
  <si>
    <t xml:space="preserve">CANON-202511-001988</t>
  </si>
  <si>
    <t xml:space="preserve">AX65MFKV46BE0WEVT</t>
  </si>
  <si>
    <t xml:space="preserve">CANON-202511-001989</t>
  </si>
  <si>
    <t xml:space="preserve">Ramona Bellandi</t>
  </si>
  <si>
    <t xml:space="preserve">AVSEZH17F7UWE695Z</t>
  </si>
  <si>
    <t xml:space="preserve">CANON-202511-001990</t>
  </si>
  <si>
    <t xml:space="preserve">Priya Whitlock</t>
  </si>
  <si>
    <t xml:space="preserve">BGM1H0H4P7V7TUDRB</t>
  </si>
  <si>
    <t xml:space="preserve">CANON-202511-001992</t>
  </si>
  <si>
    <t xml:space="preserve">FE51MF5T0J2PZJ92V</t>
  </si>
  <si>
    <t xml:space="preserve">CANON-202511-001993</t>
  </si>
  <si>
    <t xml:space="preserve">Saoirse Vasquez</t>
  </si>
  <si>
    <t xml:space="preserve">ZUXU413ZBS3LT3N8U</t>
  </si>
  <si>
    <t xml:space="preserve">CANON-202511-001994</t>
  </si>
  <si>
    <t xml:space="preserve">Saoirse Merriweather</t>
  </si>
  <si>
    <t xml:space="preserve">7A6KPEVW4PXVZYDFX</t>
  </si>
  <si>
    <t xml:space="preserve">CANON-202511-001995</t>
  </si>
  <si>
    <t xml:space="preserve">Anouk Vasquez</t>
  </si>
  <si>
    <t xml:space="preserve">JF75CX680599J75X4</t>
  </si>
  <si>
    <t xml:space="preserve">CANON-202511-001997</t>
  </si>
  <si>
    <t xml:space="preserve">UUAZSNJSJ89P7DJZW</t>
  </si>
  <si>
    <t xml:space="preserve">CANON-202511-001998</t>
  </si>
  <si>
    <t xml:space="preserve">Ingrid Nakashima</t>
  </si>
  <si>
    <t xml:space="preserve">5D4ZJ20E6GDV9300E</t>
  </si>
  <si>
    <t xml:space="preserve">CANON-202511-001999</t>
  </si>
  <si>
    <t xml:space="preserve">Lorenzo Fairweather</t>
  </si>
  <si>
    <t xml:space="preserve">4Z09MJ1SXMRZLPD9X</t>
  </si>
  <si>
    <t xml:space="preserve">CANON-202511-002000</t>
  </si>
  <si>
    <t xml:space="preserve">Ottilie Thistlewood</t>
  </si>
  <si>
    <t xml:space="preserve">C16KSHR7JVY7XDPJV</t>
  </si>
  <si>
    <t xml:space="preserve">Nevada</t>
  </si>
  <si>
    <t xml:space="preserve">CANON-202511-002001</t>
  </si>
  <si>
    <t xml:space="preserve">Marisol Merriweather</t>
  </si>
  <si>
    <t xml:space="preserve">UGXDXUZTWGURLEEF8</t>
  </si>
  <si>
    <t xml:space="preserve">CANON-202511-002002</t>
  </si>
  <si>
    <t xml:space="preserve">68J50J9XFSKSL0DUG</t>
  </si>
  <si>
    <t xml:space="preserve">CANON-202511-002004</t>
  </si>
  <si>
    <t xml:space="preserve">Wilhelmina Farkas</t>
  </si>
  <si>
    <t xml:space="preserve">L90KEFXGNGMB7KPRW</t>
  </si>
  <si>
    <t xml:space="preserve">CANON-202511-002005</t>
  </si>
  <si>
    <t xml:space="preserve">2YPZ0ENKSXRYHN327</t>
  </si>
  <si>
    <t xml:space="preserve">CANON-202511-002008</t>
  </si>
  <si>
    <t xml:space="preserve">Ottilie Bellandi</t>
  </si>
  <si>
    <t xml:space="preserve">CW0BXVBFV6YHN1FTZ</t>
  </si>
  <si>
    <t xml:space="preserve">CANON-202511-002009</t>
  </si>
  <si>
    <t xml:space="preserve">Mireille Harrington</t>
  </si>
  <si>
    <t xml:space="preserve">55V086AFUVVFU6J14</t>
  </si>
  <si>
    <t xml:space="preserve">CANON-202511-002010</t>
  </si>
  <si>
    <t xml:space="preserve">Leopold Kingsford</t>
  </si>
  <si>
    <t xml:space="preserve">BBJ9D706MM499KKTT</t>
  </si>
  <si>
    <t xml:space="preserve">CANON-202511-002011</t>
  </si>
  <si>
    <t xml:space="preserve">Saoirse Underwood</t>
  </si>
  <si>
    <t xml:space="preserve">S6EJCZ8MXDEG8LGTK</t>
  </si>
  <si>
    <t xml:space="preserve">CANON-202511-002013</t>
  </si>
  <si>
    <t xml:space="preserve">Beatrix Rourke</t>
  </si>
  <si>
    <t xml:space="preserve">AX2M23GTYWN68M7C8</t>
  </si>
  <si>
    <t xml:space="preserve">CANON-202511-002014</t>
  </si>
  <si>
    <t xml:space="preserve">646EJZA0CLHEUPSA6</t>
  </si>
  <si>
    <t xml:space="preserve">CANON-202511-002015</t>
  </si>
  <si>
    <t xml:space="preserve">M2YU4FG1G1236E87A</t>
  </si>
  <si>
    <t xml:space="preserve">CANON-202511-002016</t>
  </si>
  <si>
    <t xml:space="preserve">Delphine Montoya</t>
  </si>
  <si>
    <t xml:space="preserve">XY454NLWBFVFDMRN0</t>
  </si>
  <si>
    <t xml:space="preserve">CANON-202511-002017</t>
  </si>
  <si>
    <t xml:space="preserve">B9S1RLTRVCP4MWZV3</t>
  </si>
  <si>
    <t xml:space="preserve">CANON-202511-002018</t>
  </si>
  <si>
    <t xml:space="preserve">Lorenzo Kingsford</t>
  </si>
  <si>
    <t xml:space="preserve">99PC4K7VHDT37AR88</t>
  </si>
  <si>
    <t xml:space="preserve">CANON-202511-002019</t>
  </si>
  <si>
    <t xml:space="preserve">56CX43K6TM9WMF19F</t>
  </si>
  <si>
    <t xml:space="preserve">CANON-202511-002020</t>
  </si>
  <si>
    <t xml:space="preserve">Everett Castellanos</t>
  </si>
  <si>
    <t xml:space="preserve">TLPDRPF4Z5L9CD6ZY</t>
  </si>
  <si>
    <t xml:space="preserve">CANON-202511-002024</t>
  </si>
  <si>
    <t xml:space="preserve">Priya Blackwood</t>
  </si>
  <si>
    <t xml:space="preserve">KBGFB8NXTGZS7CL08</t>
  </si>
  <si>
    <t xml:space="preserve">CANON-202511-002025</t>
  </si>
  <si>
    <t xml:space="preserve">RFEUNU7X8X5YT5UMX</t>
  </si>
  <si>
    <t xml:space="preserve">CANON-202511-002028</t>
  </si>
  <si>
    <t xml:space="preserve">Fenwick Ashcombe</t>
  </si>
  <si>
    <t xml:space="preserve">EVSKM17M981Y1GY41</t>
  </si>
  <si>
    <t xml:space="preserve">CANON-202511-002030</t>
  </si>
  <si>
    <t xml:space="preserve">7DACR948TM3GUFN94</t>
  </si>
  <si>
    <t xml:space="preserve">CANON-202511-002031</t>
  </si>
  <si>
    <t xml:space="preserve">Fenwick Merriweather</t>
  </si>
  <si>
    <t xml:space="preserve">SY9A9WHYAM6KCHTVR</t>
  </si>
  <si>
    <t xml:space="preserve">CANON-202511-002032</t>
  </si>
  <si>
    <t xml:space="preserve">LNPGU2AAK4GG6L0YJ</t>
  </si>
  <si>
    <t xml:space="preserve">CANON-202511-002033</t>
  </si>
  <si>
    <t xml:space="preserve">Emiliano Merriweather</t>
  </si>
  <si>
    <t xml:space="preserve">5ZV1275XUDAGFFG80</t>
  </si>
  <si>
    <t xml:space="preserve">CANON-202511-002034</t>
  </si>
  <si>
    <t xml:space="preserve">ZMSC304GS35MKURMA</t>
  </si>
  <si>
    <t xml:space="preserve">CANON-202511-002035</t>
  </si>
  <si>
    <t xml:space="preserve">Delphine Pennington</t>
  </si>
  <si>
    <t xml:space="preserve">YKG6467M00794BVAZ</t>
  </si>
  <si>
    <t xml:space="preserve">CANON-202511-002036</t>
  </si>
  <si>
    <t xml:space="preserve">Ramona Kingsford</t>
  </si>
  <si>
    <t xml:space="preserve">6YR0SH1WMH96E9NHT</t>
  </si>
  <si>
    <t xml:space="preserve">Wyoming</t>
  </si>
  <si>
    <t xml:space="preserve">CANON-202511-002037</t>
  </si>
  <si>
    <t xml:space="preserve">CEAYKV0S6MUAKME5D</t>
  </si>
  <si>
    <t xml:space="preserve">CANON-202511-002038</t>
  </si>
  <si>
    <t xml:space="preserve">Desmond Castellanos</t>
  </si>
  <si>
    <t xml:space="preserve">CSAJUTWGS6CY9YZ8A</t>
  </si>
  <si>
    <t xml:space="preserve">CANON-202511-002039</t>
  </si>
  <si>
    <t xml:space="preserve">Ingrid Larsson</t>
  </si>
  <si>
    <t xml:space="preserve">AE7U172600ANS3JJ1</t>
  </si>
  <si>
    <t xml:space="preserve">CANON-202511-002043</t>
  </si>
  <si>
    <t xml:space="preserve">A6JGZX1CUGA3PNKEM</t>
  </si>
  <si>
    <t xml:space="preserve">CANON-202511-002044</t>
  </si>
  <si>
    <t xml:space="preserve">Desmond Whitlock</t>
  </si>
  <si>
    <t xml:space="preserve">1X3BARVEW3YPFNKVB</t>
  </si>
  <si>
    <t xml:space="preserve">CANON-202511-002045</t>
  </si>
  <si>
    <t xml:space="preserve">XZ9N0AGMTGH63XFKN</t>
  </si>
  <si>
    <t xml:space="preserve">CANON-202511-002046</t>
  </si>
  <si>
    <t xml:space="preserve">22NCE6T4PX7C6ME3C</t>
  </si>
  <si>
    <t xml:space="preserve">CANON-202511-002048</t>
  </si>
  <si>
    <t xml:space="preserve">Emiliano Okonkwo</t>
  </si>
  <si>
    <t xml:space="preserve">2DYJ0GLVLF85WPH1F</t>
  </si>
  <si>
    <t xml:space="preserve">CANON-202511-002049</t>
  </si>
  <si>
    <t xml:space="preserve">Marisol Vandermeer</t>
  </si>
  <si>
    <t xml:space="preserve">PWDF56HTJWXBSGTRA</t>
  </si>
  <si>
    <t xml:space="preserve">CANON-202511-002051</t>
  </si>
  <si>
    <t xml:space="preserve">Aurelio Bellandi</t>
  </si>
  <si>
    <t xml:space="preserve">K6DKKNCYD1R6LY1Z3</t>
  </si>
  <si>
    <t xml:space="preserve">CANON-202511-002052</t>
  </si>
  <si>
    <t xml:space="preserve">Fitzgerald Farkas</t>
  </si>
  <si>
    <t xml:space="preserve">045HCPDF4Y5L3NTK1</t>
  </si>
  <si>
    <t xml:space="preserve">CANON-202511-002054</t>
  </si>
  <si>
    <t xml:space="preserve">Marisol Montoya</t>
  </si>
  <si>
    <t xml:space="preserve">XYDD4RKL1ZGJPCVBY</t>
  </si>
  <si>
    <t xml:space="preserve">CANON-202511-002055</t>
  </si>
  <si>
    <t xml:space="preserve">Delphine Kingsford</t>
  </si>
  <si>
    <t xml:space="preserve">4DRR5STZB1YJ38HP0</t>
  </si>
  <si>
    <t xml:space="preserve">CANON-202511-002057</t>
  </si>
  <si>
    <t xml:space="preserve">Noor Chattopadhyay</t>
  </si>
  <si>
    <t xml:space="preserve">6D5CNBJ1TKY9GHVNE</t>
  </si>
  <si>
    <t xml:space="preserve">CANON-202511-002058</t>
  </si>
  <si>
    <t xml:space="preserve">Desmond Harrington</t>
  </si>
  <si>
    <t xml:space="preserve">H5XWZUJT00HYXUNR6</t>
  </si>
  <si>
    <t xml:space="preserve">CANON-202511-002059</t>
  </si>
  <si>
    <t xml:space="preserve">Sunniva Fairweather</t>
  </si>
  <si>
    <t xml:space="preserve">4ENRTX14PP3DEN71L</t>
  </si>
  <si>
    <t xml:space="preserve">CANON-202511-002060</t>
  </si>
  <si>
    <t xml:space="preserve">Horace Castellanos</t>
  </si>
  <si>
    <t xml:space="preserve">NEZD1BARXW20D77AH</t>
  </si>
  <si>
    <t xml:space="preserve">CANON-202511-002061</t>
  </si>
  <si>
    <t xml:space="preserve">Everett Whitlock</t>
  </si>
  <si>
    <t xml:space="preserve">89WFN3WWYFG859GBY</t>
  </si>
  <si>
    <t xml:space="preserve">CANON-202511-002062</t>
  </si>
  <si>
    <t xml:space="preserve">Noor Whitlock</t>
  </si>
  <si>
    <t xml:space="preserve">FR4KYNBT7M7NBT56M</t>
  </si>
  <si>
    <t xml:space="preserve">CANON-202511-002063</t>
  </si>
  <si>
    <t xml:space="preserve">Fenwick Castellanos</t>
  </si>
  <si>
    <t xml:space="preserve">TS7K302WYTL1WVS7S</t>
  </si>
  <si>
    <t xml:space="preserve">CANON-202511-002065</t>
  </si>
  <si>
    <t xml:space="preserve">Sunniva Underwood</t>
  </si>
  <si>
    <t xml:space="preserve">6CVSKBFWWVV2KWX85</t>
  </si>
  <si>
    <t xml:space="preserve">CANON-202511-002066</t>
  </si>
  <si>
    <t xml:space="preserve">Callum Blackwood</t>
  </si>
  <si>
    <t xml:space="preserve">P3302DTRYNWGF77KY</t>
  </si>
  <si>
    <t xml:space="preserve">CANON-202511-002067</t>
  </si>
  <si>
    <t xml:space="preserve">Ingrid Chattopadhyay</t>
  </si>
  <si>
    <t xml:space="preserve">U9DSHZM4W8XBPP19H</t>
  </si>
  <si>
    <t xml:space="preserve">South Dakota</t>
  </si>
  <si>
    <t xml:space="preserve">CANON-202511-002068</t>
  </si>
  <si>
    <t xml:space="preserve">UBJNN6KRLEVDKRAFK</t>
  </si>
  <si>
    <t xml:space="preserve">CANON-202511-002069</t>
  </si>
  <si>
    <t xml:space="preserve">Fenwick Kingsford</t>
  </si>
  <si>
    <t xml:space="preserve">TV34NGGBC47V5A4LJ</t>
  </si>
  <si>
    <t xml:space="preserve">CANON-202511-002071</t>
  </si>
  <si>
    <t xml:space="preserve">Thaddeus Pennington</t>
  </si>
  <si>
    <t xml:space="preserve">UV11W0HMBUR3JSKGJ</t>
  </si>
  <si>
    <t xml:space="preserve">CANON-202511-002072</t>
  </si>
  <si>
    <t xml:space="preserve">Fitzgerald Underwood</t>
  </si>
  <si>
    <t xml:space="preserve">DNDNRCB1D5AHPW5TL</t>
  </si>
  <si>
    <t xml:space="preserve">CANON-202511-002075</t>
  </si>
  <si>
    <t xml:space="preserve">Horace Nakashima</t>
  </si>
  <si>
    <t xml:space="preserve">W9DF8BNGLX61B46SA</t>
  </si>
  <si>
    <t xml:space="preserve">CANON-202511-002077</t>
  </si>
  <si>
    <t xml:space="preserve">8UJZVRP17FUYNGP24</t>
  </si>
  <si>
    <t xml:space="preserve">CANON-202511-002078</t>
  </si>
  <si>
    <t xml:space="preserve">XC44EM4ZKZ6NE1SJU</t>
  </si>
  <si>
    <t xml:space="preserve">CANON-202511-002079</t>
  </si>
  <si>
    <t xml:space="preserve">Ingrid Castellanos</t>
  </si>
  <si>
    <t xml:space="preserve">VNLBXJAY1LMM44C6C</t>
  </si>
  <si>
    <t xml:space="preserve">CANON-202511-002080</t>
  </si>
  <si>
    <t xml:space="preserve">Aurelio Ashcombe</t>
  </si>
  <si>
    <t xml:space="preserve">XS4DGXXNULPM2AWCA</t>
  </si>
  <si>
    <t xml:space="preserve">CANON-202511-002081</t>
  </si>
  <si>
    <t xml:space="preserve">Marisol Vasquez</t>
  </si>
  <si>
    <t xml:space="preserve">47M3TZBW1JC1B7FGB</t>
  </si>
  <si>
    <t xml:space="preserve">CANON-202511-002082</t>
  </si>
  <si>
    <t xml:space="preserve">Ingrid Pennington</t>
  </si>
  <si>
    <t xml:space="preserve">5R11R6U0W0K2ZDKMH</t>
  </si>
  <si>
    <t xml:space="preserve">CANON-202511-002084</t>
  </si>
  <si>
    <t xml:space="preserve">WY31PJH2EZX61DXKK</t>
  </si>
  <si>
    <t xml:space="preserve">CANON-202511-002086</t>
  </si>
  <si>
    <t xml:space="preserve">Anouk Harrington</t>
  </si>
  <si>
    <t xml:space="preserve">49FHLDBKCMA42PT55</t>
  </si>
  <si>
    <t xml:space="preserve">CANON-202511-002087</t>
  </si>
  <si>
    <t xml:space="preserve">Cassius Fairweather</t>
  </si>
  <si>
    <t xml:space="preserve">0VFHYXU79763GJJ19</t>
  </si>
  <si>
    <t xml:space="preserve">CANON-202511-002088</t>
  </si>
  <si>
    <t xml:space="preserve">KMCA0KNBK6UNZHP2B</t>
  </si>
  <si>
    <t xml:space="preserve">CANON-202511-002089</t>
  </si>
  <si>
    <t xml:space="preserve">Marisol Ashcombe</t>
  </si>
  <si>
    <t xml:space="preserve">8RGPJ19ZS54A80ZEN</t>
  </si>
  <si>
    <t xml:space="preserve">CANON-202511-002092</t>
  </si>
  <si>
    <t xml:space="preserve">Z6DGDGHBHC8TD2V7L</t>
  </si>
  <si>
    <t xml:space="preserve">CANON-202511-002098</t>
  </si>
  <si>
    <t xml:space="preserve">XYH86A3V1B3VKED9V</t>
  </si>
  <si>
    <t xml:space="preserve">CANON-202511-002099</t>
  </si>
  <si>
    <t xml:space="preserve">6MXNXF8PLD3W9U7K7</t>
  </si>
  <si>
    <t xml:space="preserve">CANON-202511-002100</t>
  </si>
  <si>
    <t xml:space="preserve">Ramona Larsson</t>
  </si>
  <si>
    <t xml:space="preserve">GF2XUJ6DU8ZXH3Z7P</t>
  </si>
  <si>
    <t xml:space="preserve">CANON-202511-002102</t>
  </si>
  <si>
    <t xml:space="preserve">Fenwick Harrington</t>
  </si>
  <si>
    <t xml:space="preserve">EFLZ4EGC5X7LHM9EP</t>
  </si>
  <si>
    <t xml:space="preserve">CANON-202511-002104</t>
  </si>
  <si>
    <t xml:space="preserve">Beatrix Montoya</t>
  </si>
  <si>
    <t xml:space="preserve">WC1RKA41E06RA14W2</t>
  </si>
  <si>
    <t xml:space="preserve">CANON-202511-002105</t>
  </si>
  <si>
    <t xml:space="preserve">Marisol Bellandi</t>
  </si>
  <si>
    <t xml:space="preserve">PNCMLKWA1WCAPBK3N</t>
  </si>
  <si>
    <t xml:space="preserve">CANON-202511-002108</t>
  </si>
  <si>
    <t xml:space="preserve">ZPWP402ZMYLBJFMBW</t>
  </si>
  <si>
    <t xml:space="preserve">CANON-202511-002109</t>
  </si>
  <si>
    <t xml:space="preserve">Z7RNRA617PWAT2C9P</t>
  </si>
  <si>
    <t xml:space="preserve">CANON-202511-002110</t>
  </si>
  <si>
    <t xml:space="preserve">Lorenzo Chattopadhyay</t>
  </si>
  <si>
    <t xml:space="preserve">J3GHS78JC86KN2DUP</t>
  </si>
  <si>
    <t xml:space="preserve">CANON-202511-002112</t>
  </si>
  <si>
    <t xml:space="preserve">Callum Nakashima</t>
  </si>
  <si>
    <t xml:space="preserve">WJNPANNLN5A4U95AY</t>
  </si>
  <si>
    <t xml:space="preserve">CANON-202511-002113</t>
  </si>
  <si>
    <t xml:space="preserve">Aurelio Merriweather</t>
  </si>
  <si>
    <t xml:space="preserve">5NDW8TABNMNE1EGVF</t>
  </si>
  <si>
    <t xml:space="preserve">CANON-202511-002114</t>
  </si>
  <si>
    <t xml:space="preserve">Ottilie Merriweather</t>
  </si>
  <si>
    <t xml:space="preserve">P9S2RGW9WM37ZNYHG</t>
  </si>
  <si>
    <t xml:space="preserve">CANON-202511-002115</t>
  </si>
  <si>
    <t xml:space="preserve">GH59LFC4K41BHWMP9</t>
  </si>
  <si>
    <t xml:space="preserve">CANON-202511-002116</t>
  </si>
  <si>
    <t xml:space="preserve">FD7H3BXPT805DRB19</t>
  </si>
  <si>
    <t xml:space="preserve">CANON-202511-002117</t>
  </si>
  <si>
    <t xml:space="preserve">Delphine Merriweather</t>
  </si>
  <si>
    <t xml:space="preserve">Bugatti</t>
  </si>
  <si>
    <t xml:space="preserve">Type 57</t>
  </si>
  <si>
    <t xml:space="preserve">F236J7T79G98WE8GB</t>
  </si>
  <si>
    <t xml:space="preserve">CANON-202511-002118</t>
  </si>
  <si>
    <t xml:space="preserve">Desmond Larsson</t>
  </si>
  <si>
    <t xml:space="preserve">Y5TCR86EM4BJM94T4</t>
  </si>
  <si>
    <t xml:space="preserve">CANON-202511-002119</t>
  </si>
  <si>
    <t xml:space="preserve">Noor Okonkwo</t>
  </si>
  <si>
    <t xml:space="preserve">2N7FEZGK1W0BS3B4Z</t>
  </si>
  <si>
    <t xml:space="preserve">CANON-202511-002120</t>
  </si>
  <si>
    <t xml:space="preserve">Mireille Merriweather</t>
  </si>
  <si>
    <t xml:space="preserve">A83BY46MD58RLTBDG</t>
  </si>
  <si>
    <t xml:space="preserve">CANON-202511-002121</t>
  </si>
  <si>
    <t xml:space="preserve">Ramona Vandermeer</t>
  </si>
  <si>
    <t xml:space="preserve">CDJSAT5175GJPGV6Y</t>
  </si>
  <si>
    <t xml:space="preserve">CANON-202511-002122</t>
  </si>
  <si>
    <t xml:space="preserve">Delphine Ashcombe</t>
  </si>
  <si>
    <t xml:space="preserve">MNZ54YDR7VN7YPRZT</t>
  </si>
  <si>
    <t xml:space="preserve">CANON-202511-002123</t>
  </si>
  <si>
    <t xml:space="preserve">Saoirse Montoya</t>
  </si>
  <si>
    <t xml:space="preserve">3UBSXTX1UTHVCV42H</t>
  </si>
  <si>
    <t xml:space="preserve">CANON-202511-002125</t>
  </si>
  <si>
    <t xml:space="preserve">Emiliano Nakashima</t>
  </si>
  <si>
    <t xml:space="preserve">BB3MPML2BT0LSC5YX</t>
  </si>
  <si>
    <t xml:space="preserve">CANON-202511-002127</t>
  </si>
  <si>
    <t xml:space="preserve">Ramona Pennington</t>
  </si>
  <si>
    <t xml:space="preserve">FKBSP1BACT56UYZ7S</t>
  </si>
  <si>
    <t xml:space="preserve">CANON-202511-002128</t>
  </si>
  <si>
    <t xml:space="preserve">Anouk Whitlock</t>
  </si>
  <si>
    <t xml:space="preserve">6AE3KZN19UG2BLLJJ</t>
  </si>
  <si>
    <t xml:space="preserve">CANON-202511-002129</t>
  </si>
  <si>
    <t xml:space="preserve">65NVG89F9NVJGMM2U</t>
  </si>
  <si>
    <t xml:space="preserve">CANON-202511-002130</t>
  </si>
  <si>
    <t xml:space="preserve">6XUZMX0LTWC6LU1SF</t>
  </si>
  <si>
    <t xml:space="preserve">CANON-202511-002131</t>
  </si>
  <si>
    <t xml:space="preserve">Ramona Harrington</t>
  </si>
  <si>
    <t xml:space="preserve">0199SC9X6LSCHF8TV</t>
  </si>
  <si>
    <t xml:space="preserve">CANON-202511-002135</t>
  </si>
  <si>
    <t xml:space="preserve">TURGHSLE4SL4WEKFT</t>
  </si>
  <si>
    <t xml:space="preserve">CANON-202511-002136</t>
  </si>
  <si>
    <t xml:space="preserve">A6UEA7F14TNXJGT2B</t>
  </si>
  <si>
    <t xml:space="preserve">CANON-202511-002137</t>
  </si>
  <si>
    <t xml:space="preserve">Leopold Farkas</t>
  </si>
  <si>
    <t xml:space="preserve">4B95P2EA1BUNBKNPF</t>
  </si>
  <si>
    <t xml:space="preserve">CANON-202511-002138</t>
  </si>
  <si>
    <t xml:space="preserve">Aurelio Delacroix</t>
  </si>
  <si>
    <t xml:space="preserve">PL21UWD8L15YSZZKE</t>
  </si>
  <si>
    <t xml:space="preserve">CANON-202511-002141</t>
  </si>
  <si>
    <t xml:space="preserve">Thaddeus Okonkwo</t>
  </si>
  <si>
    <t xml:space="preserve">ZGSGND2WUNTR8JYZ8</t>
  </si>
  <si>
    <t xml:space="preserve">CANON-202511-002142</t>
  </si>
  <si>
    <t xml:space="preserve">Everett Delacroix</t>
  </si>
  <si>
    <t xml:space="preserve">DSGY5JJGK3X2NYJ8R</t>
  </si>
  <si>
    <t xml:space="preserve">CANON-202511-002144</t>
  </si>
  <si>
    <t xml:space="preserve">Callum Chattopadhyay</t>
  </si>
  <si>
    <t xml:space="preserve">N8JAEW41XADF5149U</t>
  </si>
  <si>
    <t xml:space="preserve">CANON-202511-002145</t>
  </si>
  <si>
    <t xml:space="preserve">5JL76A5EVTFJV89R7</t>
  </si>
  <si>
    <t xml:space="preserve">CANON-202511-002147</t>
  </si>
  <si>
    <t xml:space="preserve">Ramona Rourke</t>
  </si>
  <si>
    <t xml:space="preserve">ZSM369ZWHEPH956U3</t>
  </si>
  <si>
    <t xml:space="preserve">CANON-202511-002148</t>
  </si>
  <si>
    <t xml:space="preserve">DWF9AZB4N95ELFG7M</t>
  </si>
  <si>
    <t xml:space="preserve">CANON-202511-002150</t>
  </si>
  <si>
    <t xml:space="preserve">ZM1MW67VC27XSDM9N</t>
  </si>
  <si>
    <t xml:space="preserve">CANON-202511-002151</t>
  </si>
  <si>
    <t xml:space="preserve">Delphine Thistlewood</t>
  </si>
  <si>
    <t xml:space="preserve">2553AD7P010FEG2Z7</t>
  </si>
  <si>
    <t xml:space="preserve">CANON-202511-002152</t>
  </si>
  <si>
    <t xml:space="preserve">VJ48G4BVNT3U0PPE9</t>
  </si>
  <si>
    <t xml:space="preserve">CANON-202511-002153</t>
  </si>
  <si>
    <t xml:space="preserve">Desmond Ashcombe</t>
  </si>
  <si>
    <t xml:space="preserve">LFM09WFAU50SL1ZCA</t>
  </si>
  <si>
    <t xml:space="preserve">CANON-202511-002154</t>
  </si>
  <si>
    <t xml:space="preserve">Saoirse Vandermeer</t>
  </si>
  <si>
    <t xml:space="preserve">BFH5G2KG3JYX19U7Y</t>
  </si>
  <si>
    <t xml:space="preserve">CANON-202511-002155</t>
  </si>
  <si>
    <t xml:space="preserve">Sunniva Whitlock</t>
  </si>
  <si>
    <t xml:space="preserve">RP9CXPXM20GW50KTP</t>
  </si>
  <si>
    <t xml:space="preserve">CANON-202511-002156</t>
  </si>
  <si>
    <t xml:space="preserve">P6C4MDJWARPTZ1LPU</t>
  </si>
  <si>
    <t xml:space="preserve">CANON-202511-002157</t>
  </si>
  <si>
    <t xml:space="preserve">TK8EY8F7GEKRUCZ6K</t>
  </si>
  <si>
    <t xml:space="preserve">CANON-202511-002158</t>
  </si>
  <si>
    <t xml:space="preserve">ES6H82U34130RT8S9</t>
  </si>
  <si>
    <t xml:space="preserve">CANON-202511-002159</t>
  </si>
  <si>
    <t xml:space="preserve">PBWJT1ZTBK3W7GCP7</t>
  </si>
  <si>
    <t xml:space="preserve">CANON-202511-002162</t>
  </si>
  <si>
    <t xml:space="preserve">Ottilie Ashcombe</t>
  </si>
  <si>
    <t xml:space="preserve">H8PLZC9K6423FTSJV</t>
  </si>
  <si>
    <t xml:space="preserve">CANON-202511-002164</t>
  </si>
  <si>
    <t xml:space="preserve">NDVLYVED756ZZ7WGW</t>
  </si>
  <si>
    <t xml:space="preserve">CANON-202511-002165</t>
  </si>
  <si>
    <t xml:space="preserve">HWDPC1U9TJT0EJUGY</t>
  </si>
  <si>
    <t xml:space="preserve">CANON-202511-002167</t>
  </si>
  <si>
    <t xml:space="preserve">YK816H56L9M3M4DN5</t>
  </si>
  <si>
    <t xml:space="preserve">CANON-202511-002169</t>
  </si>
  <si>
    <t xml:space="preserve">LFS8NTB00JUKH0HNU</t>
  </si>
  <si>
    <t xml:space="preserve">CANON-202511-002172</t>
  </si>
  <si>
    <t xml:space="preserve">ARB439WEDNKPUAA7D</t>
  </si>
  <si>
    <t xml:space="preserve">CANON-202511-002173</t>
  </si>
  <si>
    <t xml:space="preserve">U0A8DAYD7FBJGMH2J</t>
  </si>
  <si>
    <t xml:space="preserve">CANON-202511-002174</t>
  </si>
  <si>
    <t xml:space="preserve">Marisol Larsson</t>
  </si>
  <si>
    <t xml:space="preserve">FL5KUK3PW72UFFS7L</t>
  </si>
  <si>
    <t xml:space="preserve">CANON-202511-002176</t>
  </si>
  <si>
    <t xml:space="preserve">RU2T2X0GMSKNS19AK</t>
  </si>
  <si>
    <t xml:space="preserve">CANON-202511-002178</t>
  </si>
  <si>
    <t xml:space="preserve">Horace Blackwood</t>
  </si>
  <si>
    <t xml:space="preserve">55G1MV799GB2X4BXG</t>
  </si>
  <si>
    <t xml:space="preserve">CANON-202511-002179</t>
  </si>
  <si>
    <t xml:space="preserve">Fenwick Thistlewood</t>
  </si>
  <si>
    <t xml:space="preserve">S4RHNS145VXUXGFV1</t>
  </si>
  <si>
    <t xml:space="preserve">CANON-202511-002180</t>
  </si>
  <si>
    <t xml:space="preserve">UYAVP9E7E5M7G23M6</t>
  </si>
  <si>
    <t xml:space="preserve">CANON-202511-002181</t>
  </si>
  <si>
    <t xml:space="preserve">Fenwick Rourke</t>
  </si>
  <si>
    <t xml:space="preserve">ZU9AMHFJ36JLEJKE9</t>
  </si>
  <si>
    <t xml:space="preserve">CANON-202511-002183</t>
  </si>
  <si>
    <t xml:space="preserve">Aurelio Vasquez</t>
  </si>
  <si>
    <t xml:space="preserve">35M0GWBMDHNZXAF4X</t>
  </si>
  <si>
    <t xml:space="preserve">Georgia</t>
  </si>
  <si>
    <t xml:space="preserve">CANON-202511-002184</t>
  </si>
  <si>
    <t xml:space="preserve">Noor Farkas</t>
  </si>
  <si>
    <t xml:space="preserve">WK7UVBW4DARZ36SZ2</t>
  </si>
  <si>
    <t xml:space="preserve">CANON-202511-002185</t>
  </si>
  <si>
    <t xml:space="preserve">Emiliano Castellanos</t>
  </si>
  <si>
    <t xml:space="preserve">H1XG384P5ZMUDXCP1</t>
  </si>
  <si>
    <t xml:space="preserve">CANON-202511-002186</t>
  </si>
  <si>
    <t xml:space="preserve">NZEBNEP1692T1DK1V</t>
  </si>
  <si>
    <t xml:space="preserve">CANON-202511-002187</t>
  </si>
  <si>
    <t xml:space="preserve">Leopold Merriweather</t>
  </si>
  <si>
    <t xml:space="preserve">RJM3Y691PZ4N5LL5B</t>
  </si>
  <si>
    <t xml:space="preserve">CANON-202511-002188</t>
  </si>
  <si>
    <t xml:space="preserve">3W8AWH1UTXBZV8W4G</t>
  </si>
  <si>
    <t xml:space="preserve">CANON-202511-002189</t>
  </si>
  <si>
    <t xml:space="preserve">Leopold Fairweather</t>
  </si>
  <si>
    <t xml:space="preserve">BAAZZCEDXPVJNEYX5</t>
  </si>
  <si>
    <t xml:space="preserve">CANON-202511-002190</t>
  </si>
  <si>
    <t xml:space="preserve">Aurelio Larsson</t>
  </si>
  <si>
    <t xml:space="preserve">VWWW47XR2AFZHZA6E</t>
  </si>
  <si>
    <t xml:space="preserve">CANON-202511-002191</t>
  </si>
  <si>
    <t xml:space="preserve">Emiliano Vasquez</t>
  </si>
  <si>
    <t xml:space="preserve">H10C014HEZPW78W9D</t>
  </si>
  <si>
    <t xml:space="preserve">CANON-202511-002192</t>
  </si>
  <si>
    <t xml:space="preserve">LWHKBMN8ZZNADAEKB</t>
  </si>
  <si>
    <t xml:space="preserve">CANON-202511-002193</t>
  </si>
  <si>
    <t xml:space="preserve">D0AG4ZVM3FLJ39B0Y</t>
  </si>
  <si>
    <t xml:space="preserve">CANON-202511-002194</t>
  </si>
  <si>
    <t xml:space="preserve">Callum Vandermeer</t>
  </si>
  <si>
    <t xml:space="preserve">5LZ5NFTRNPE031JR7</t>
  </si>
  <si>
    <t xml:space="preserve">CANON-202511-002195</t>
  </si>
  <si>
    <t xml:space="preserve">Fitzgerald Chattopadhyay</t>
  </si>
  <si>
    <t xml:space="preserve">JA0GKHYY2TGAGVK9U</t>
  </si>
  <si>
    <t xml:space="preserve">CANON-202511-002199</t>
  </si>
  <si>
    <t xml:space="preserve">N64XHD9SYFPU7DEYV</t>
  </si>
  <si>
    <t xml:space="preserve">CANON-202511-002200</t>
  </si>
  <si>
    <t xml:space="preserve">Marisol Underwood</t>
  </si>
  <si>
    <t xml:space="preserve">YWTU9044M7EJPYX0J</t>
  </si>
  <si>
    <t xml:space="preserve">CANON-202511-002201</t>
  </si>
  <si>
    <t xml:space="preserve">LN8MGM47BD2WMT4X9</t>
  </si>
  <si>
    <t xml:space="preserve">CANON-202511-002202</t>
  </si>
  <si>
    <t xml:space="preserve">BE0YPPHNDYDBLDZFA</t>
  </si>
  <si>
    <t xml:space="preserve">CANON-202511-002203</t>
  </si>
  <si>
    <t xml:space="preserve">Anouk Ashcombe</t>
  </si>
  <si>
    <t xml:space="preserve">PSBNK80D0PC23Z48T</t>
  </si>
  <si>
    <t xml:space="preserve">CANON-202511-002204</t>
  </si>
  <si>
    <t xml:space="preserve">Mireille Fairweather</t>
  </si>
  <si>
    <t xml:space="preserve">VUVULD49UHX8PK1A5</t>
  </si>
  <si>
    <t xml:space="preserve">CANON-202511-002205</t>
  </si>
  <si>
    <t xml:space="preserve">DMMF9TLSG429TA9SD</t>
  </si>
  <si>
    <t xml:space="preserve">CANON-202511-002206</t>
  </si>
  <si>
    <t xml:space="preserve">Aurelio Fairweather</t>
  </si>
  <si>
    <t xml:space="preserve">29KV8U39MZJ50NEBD</t>
  </si>
  <si>
    <t xml:space="preserve">CANON-202511-002207</t>
  </si>
  <si>
    <t xml:space="preserve">Ottilie Vasquez</t>
  </si>
  <si>
    <t xml:space="preserve">XJYY4F9CVWKFG8GCP</t>
  </si>
  <si>
    <t xml:space="preserve">CANON-202511-002209</t>
  </si>
  <si>
    <t xml:space="preserve">E24H9N9R0DH8CAVW1</t>
  </si>
  <si>
    <t xml:space="preserve">CANON-202511-002210</t>
  </si>
  <si>
    <t xml:space="preserve">Marisol Delacroix</t>
  </si>
  <si>
    <t xml:space="preserve">G05LFAMH6H5KUMKWW</t>
  </si>
  <si>
    <t xml:space="preserve">CANON-202511-002211</t>
  </si>
  <si>
    <t xml:space="preserve">Emiliano Fairweather</t>
  </si>
  <si>
    <t xml:space="preserve">VZW6K9XKG5LWH69EV</t>
  </si>
  <si>
    <t xml:space="preserve">CANON-202511-002212</t>
  </si>
  <si>
    <t xml:space="preserve">V6G7BX689USAH72EG</t>
  </si>
  <si>
    <t xml:space="preserve">CANON-202511-002213</t>
  </si>
  <si>
    <t xml:space="preserve">Beatrix Ashcombe</t>
  </si>
  <si>
    <t xml:space="preserve">ZTDZX1MVZM201T13X</t>
  </si>
  <si>
    <t xml:space="preserve">CANON-202511-002214</t>
  </si>
  <si>
    <t xml:space="preserve">Noor Castellanos</t>
  </si>
  <si>
    <t xml:space="preserve">5CVD9R6C01FU5UL0X</t>
  </si>
  <si>
    <t xml:space="preserve">CANON-202511-002215</t>
  </si>
  <si>
    <t xml:space="preserve">HK4NBAPJ1XJVKATFU</t>
  </si>
  <si>
    <t xml:space="preserve">CANON-202511-002216</t>
  </si>
  <si>
    <t xml:space="preserve">0AAN2VKCGM64REBRP</t>
  </si>
  <si>
    <t xml:space="preserve">CANON-202511-002217</t>
  </si>
  <si>
    <t xml:space="preserve">Fenwick Delacroix</t>
  </si>
  <si>
    <t xml:space="preserve">RMLJ6SE9J1AL9NRLP</t>
  </si>
  <si>
    <t xml:space="preserve">CANON-202511-002218</t>
  </si>
  <si>
    <t xml:space="preserve">TGWUAXEP2Y7MWUSFM</t>
  </si>
  <si>
    <t xml:space="preserve">CANON-202511-002219</t>
  </si>
  <si>
    <t xml:space="preserve">M2K6G00FZ8KCET1A4</t>
  </si>
  <si>
    <t xml:space="preserve">CANON-202511-002220</t>
  </si>
  <si>
    <t xml:space="preserve">Ramona Montoya</t>
  </si>
  <si>
    <t xml:space="preserve">ELAVHVYWX2B54SZTZ</t>
  </si>
  <si>
    <t xml:space="preserve">CANON-202511-002221</t>
  </si>
  <si>
    <t xml:space="preserve">Wilhelmina Whitlock</t>
  </si>
  <si>
    <t xml:space="preserve">C46HNVM82P8L4AW8J</t>
  </si>
  <si>
    <t xml:space="preserve">CANON-202511-002223</t>
  </si>
  <si>
    <t xml:space="preserve">Saoirse Blackwood</t>
  </si>
  <si>
    <t xml:space="preserve">NX3BR6Y8AZGXSP3JL</t>
  </si>
  <si>
    <t xml:space="preserve">CANON-202511-002225</t>
  </si>
  <si>
    <t xml:space="preserve">TAEAVH41J4GEEY3Z9</t>
  </si>
  <si>
    <t xml:space="preserve">CANON-202511-002226</t>
  </si>
  <si>
    <t xml:space="preserve">XJJ3TXMVKLC4506XB</t>
  </si>
  <si>
    <t xml:space="preserve">CANON-202511-002227</t>
  </si>
  <si>
    <t xml:space="preserve">Wilhelmina Vasquez</t>
  </si>
  <si>
    <t xml:space="preserve">8KRG78LTYSY4S62VC</t>
  </si>
  <si>
    <t xml:space="preserve">CANON-202511-002228</t>
  </si>
  <si>
    <t xml:space="preserve">MBJXYX9NNSDM32CSK</t>
  </si>
  <si>
    <t xml:space="preserve">CANON-202511-002230</t>
  </si>
  <si>
    <t xml:space="preserve">Thaddeus Kingsford</t>
  </si>
  <si>
    <t xml:space="preserve">7X9ZV7A2MHXT4Z09P</t>
  </si>
  <si>
    <t xml:space="preserve">CANON-202511-002233</t>
  </si>
  <si>
    <t xml:space="preserve">Ottilie Delacroix</t>
  </si>
  <si>
    <t xml:space="preserve">1JVC842BZ4HHBY5CY</t>
  </si>
  <si>
    <t xml:space="preserve">CANON-202511-002234</t>
  </si>
  <si>
    <t xml:space="preserve">5D5TM9WV34V62T3UP</t>
  </si>
  <si>
    <t xml:space="preserve">CANON-202511-002235</t>
  </si>
  <si>
    <t xml:space="preserve">NYZLXZ3EUPPBW4F2N</t>
  </si>
  <si>
    <t xml:space="preserve">CANON-202511-002236</t>
  </si>
  <si>
    <t xml:space="preserve">SDJPZ95B9DL48XF0V</t>
  </si>
  <si>
    <t xml:space="preserve">CANON-202511-002237</t>
  </si>
  <si>
    <t xml:space="preserve">Priya Chattopadhyay</t>
  </si>
  <si>
    <t xml:space="preserve">053S5J0V9GR0G2XTH</t>
  </si>
  <si>
    <t xml:space="preserve">CANON-202511-002240</t>
  </si>
  <si>
    <t xml:space="preserve">Thaddeus Harrington</t>
  </si>
  <si>
    <t xml:space="preserve">6D4U8XTYXB2GUJP6S</t>
  </si>
  <si>
    <t xml:space="preserve">CANON-202511-002241</t>
  </si>
  <si>
    <t xml:space="preserve">Wilhelmina Thistlewood</t>
  </si>
  <si>
    <t xml:space="preserve">GZUA7KSWYJZHARMNX</t>
  </si>
  <si>
    <t xml:space="preserve">CANON-202511-002242</t>
  </si>
  <si>
    <t xml:space="preserve">Priya Kingsford</t>
  </si>
  <si>
    <t xml:space="preserve">XFKUT5EF91LPS5PW6</t>
  </si>
  <si>
    <t xml:space="preserve">CANON-202511-002244</t>
  </si>
  <si>
    <t xml:space="preserve">Cassius Ashcombe</t>
  </si>
  <si>
    <t xml:space="preserve">R4JMDXFDCUER9XNLD</t>
  </si>
  <si>
    <t xml:space="preserve">CANON-202511-002245</t>
  </si>
  <si>
    <t xml:space="preserve">Sunniva Thistlewood</t>
  </si>
  <si>
    <t xml:space="preserve">7DVHXSN53BYGCBVYG</t>
  </si>
  <si>
    <t xml:space="preserve">CANON-202511-002247</t>
  </si>
  <si>
    <t xml:space="preserve">Aurelio Chattopadhyay</t>
  </si>
  <si>
    <t xml:space="preserve">8W9TYVNHCP4WJWYEF</t>
  </si>
  <si>
    <t xml:space="preserve">CANON-202511-002248</t>
  </si>
  <si>
    <t xml:space="preserve">Fenwick Vandermeer</t>
  </si>
  <si>
    <t xml:space="preserve">RXR6B4C86X223X22J</t>
  </si>
  <si>
    <t xml:space="preserve">CANON-202511-002249</t>
  </si>
  <si>
    <t xml:space="preserve">8DX9TJ2DE9Y7J1TCG</t>
  </si>
  <si>
    <t xml:space="preserve">CANON-202511-002250</t>
  </si>
  <si>
    <t xml:space="preserve">07XCBGH126VBF5GGE</t>
  </si>
  <si>
    <t xml:space="preserve">CANON-202511-002251</t>
  </si>
  <si>
    <t xml:space="preserve">Ramona Whitlock</t>
  </si>
  <si>
    <t xml:space="preserve">359F78KFME0JBZ5K3</t>
  </si>
  <si>
    <t xml:space="preserve">CANON-202511-002254</t>
  </si>
  <si>
    <t xml:space="preserve">Desmond Vandermeer</t>
  </si>
  <si>
    <t xml:space="preserve">PVLFRPNWHLFZ4BUDC</t>
  </si>
  <si>
    <t xml:space="preserve">CANON-202511-002255</t>
  </si>
  <si>
    <t xml:space="preserve">ZXVG0RVPF68TE741F</t>
  </si>
  <si>
    <t xml:space="preserve">CANON-202511-002258</t>
  </si>
  <si>
    <t xml:space="preserve">75L6V920EUU2NMBLN</t>
  </si>
  <si>
    <t xml:space="preserve">CANON-202511-002259</t>
  </si>
  <si>
    <t xml:space="preserve">Priya Merriweather</t>
  </si>
  <si>
    <t xml:space="preserve">2BSJGTU173B3WXUSJ</t>
  </si>
  <si>
    <t xml:space="preserve">CANON-202511-002260</t>
  </si>
  <si>
    <t xml:space="preserve">Thaddeus Farkas</t>
  </si>
  <si>
    <t xml:space="preserve">4Y4K1T4VCR2G7PZAU</t>
  </si>
  <si>
    <t xml:space="preserve">CANON-202511-002261</t>
  </si>
  <si>
    <t xml:space="preserve">Emiliano Farkas</t>
  </si>
  <si>
    <t xml:space="preserve">YP4CASZPM50EV6300</t>
  </si>
  <si>
    <t xml:space="preserve">CANON-202511-002262</t>
  </si>
  <si>
    <t xml:space="preserve">Marisol Farkas</t>
  </si>
  <si>
    <t xml:space="preserve">J5TYM2RGSKZBBN382</t>
  </si>
  <si>
    <t xml:space="preserve">CANON-202511-002263</t>
  </si>
  <si>
    <t xml:space="preserve">AUF0GDM5ZN98U3WPS</t>
  </si>
  <si>
    <t xml:space="preserve">CANON-202511-002264</t>
  </si>
  <si>
    <t xml:space="preserve">TPVZ5CEHTKGNTS1EB</t>
  </si>
  <si>
    <t xml:space="preserve">CANON-202511-002265</t>
  </si>
  <si>
    <t xml:space="preserve">5LH5DSDPBG0FF3GF9</t>
  </si>
  <si>
    <t xml:space="preserve">CANON-202511-002266</t>
  </si>
  <si>
    <t xml:space="preserve">VACJM87KZFRVRK9T3</t>
  </si>
  <si>
    <t xml:space="preserve">CANON-202511-002268</t>
  </si>
  <si>
    <t xml:space="preserve">JEMBW904ZEV5JH5SM</t>
  </si>
  <si>
    <t xml:space="preserve">CANON-202511-002269</t>
  </si>
  <si>
    <t xml:space="preserve">3F5946U1U4UXKU6NV</t>
  </si>
  <si>
    <t xml:space="preserve">CANON-202511-002270</t>
  </si>
  <si>
    <t xml:space="preserve">XMGA98SPMPY0R066U</t>
  </si>
  <si>
    <t xml:space="preserve">CANON-202511-002272</t>
  </si>
  <si>
    <t xml:space="preserve">Desmond Delacroix</t>
  </si>
  <si>
    <t xml:space="preserve">YE9U04YMXMPZDKF42</t>
  </si>
  <si>
    <t xml:space="preserve">CANON-202511-002273</t>
  </si>
  <si>
    <t xml:space="preserve">E49N384KFTLN5ALNY</t>
  </si>
  <si>
    <t xml:space="preserve">CANON-202511-002275</t>
  </si>
  <si>
    <t xml:space="preserve">T7KXMM9GPXNE8LTB0</t>
  </si>
  <si>
    <t xml:space="preserve">CANON-202511-002276</t>
  </si>
  <si>
    <t xml:space="preserve">Ottilie Fairweather</t>
  </si>
  <si>
    <t xml:space="preserve">1L3TWU6NJ8Y13HD52</t>
  </si>
  <si>
    <t xml:space="preserve">CANON-202511-002277</t>
  </si>
  <si>
    <t xml:space="preserve">A8SKBF8BB9TPVG01F</t>
  </si>
  <si>
    <t xml:space="preserve">CANON-202511-002278</t>
  </si>
  <si>
    <t xml:space="preserve">4DJN3CYBF09NFC74B</t>
  </si>
  <si>
    <t xml:space="preserve">CANON-202511-002279</t>
  </si>
  <si>
    <t xml:space="preserve">XMFHXH015VXEJ7HZR</t>
  </si>
  <si>
    <t xml:space="preserve">CANON-202511-002280</t>
  </si>
  <si>
    <t xml:space="preserve">Marisol Castellanos</t>
  </si>
  <si>
    <t xml:space="preserve">GXPNBBX7CWY9B7845</t>
  </si>
  <si>
    <t xml:space="preserve">CANON-202511-002281</t>
  </si>
  <si>
    <t xml:space="preserve">T6HLLKECFG1NKV3FD</t>
  </si>
  <si>
    <t xml:space="preserve">CANON-202511-002283</t>
  </si>
  <si>
    <t xml:space="preserve">Fitzgerald Harrington</t>
  </si>
  <si>
    <t xml:space="preserve">H7FWHPEFB5APEFCSH</t>
  </si>
  <si>
    <t xml:space="preserve">CANON-202511-002284</t>
  </si>
  <si>
    <t xml:space="preserve">Beatrix Nakashima</t>
  </si>
  <si>
    <t xml:space="preserve">TE1PU4WTM49TKMNE1</t>
  </si>
  <si>
    <t xml:space="preserve">CANON-202511-002285</t>
  </si>
  <si>
    <t xml:space="preserve">CPVKGTBPFTB2FTK5G</t>
  </si>
  <si>
    <t xml:space="preserve">CANON-202511-002286</t>
  </si>
  <si>
    <t xml:space="preserve">DNKTWADH408X8Y40N</t>
  </si>
  <si>
    <t xml:space="preserve">CANON-202511-002287</t>
  </si>
  <si>
    <t xml:space="preserve">Beatrix Larsson</t>
  </si>
  <si>
    <t xml:space="preserve">R42PES5S9Z1WN94FS</t>
  </si>
  <si>
    <t xml:space="preserve">CANON-202511-002288</t>
  </si>
  <si>
    <t xml:space="preserve">RW1KB1S5C3S02XWHP</t>
  </si>
  <si>
    <t xml:space="preserve">CANON-202511-002289</t>
  </si>
  <si>
    <t xml:space="preserve">CR6SEC5625XS07P38</t>
  </si>
  <si>
    <t xml:space="preserve">CANON-202511-002290</t>
  </si>
  <si>
    <t xml:space="preserve">Marisol Kingsford</t>
  </si>
  <si>
    <t xml:space="preserve">F5SBE24CNLZ0YAEU9</t>
  </si>
  <si>
    <t xml:space="preserve">CANON-202511-002291</t>
  </si>
  <si>
    <t xml:space="preserve">Leopold Blackwood</t>
  </si>
  <si>
    <t xml:space="preserve">HUZ3KSV0ZM9YJV1NR</t>
  </si>
  <si>
    <t xml:space="preserve">CANON-202511-002295</t>
  </si>
  <si>
    <t xml:space="preserve">Aurelio Castellanos</t>
  </si>
  <si>
    <t xml:space="preserve">6222ZFNKM6W7M9YBJ</t>
  </si>
  <si>
    <t xml:space="preserve">CANON-202511-002296</t>
  </si>
  <si>
    <t xml:space="preserve">Horace Fairweather</t>
  </si>
  <si>
    <t xml:space="preserve">KLCJ9VDJG6262T5CM</t>
  </si>
  <si>
    <t xml:space="preserve">CANON-202511-002298</t>
  </si>
  <si>
    <t xml:space="preserve">RSN6K7A3V53JW7ZZ4</t>
  </si>
  <si>
    <t xml:space="preserve">CANON-202511-002299</t>
  </si>
  <si>
    <t xml:space="preserve">THSW5BUTA3299SHCY</t>
  </si>
  <si>
    <t xml:space="preserve">CANON-202511-002301</t>
  </si>
  <si>
    <t xml:space="preserve">KATZ4N9UCA7B81PY5</t>
  </si>
  <si>
    <t xml:space="preserve">CANON-202511-002302</t>
  </si>
  <si>
    <t xml:space="preserve">Anouk Montoya</t>
  </si>
  <si>
    <t xml:space="preserve">GGEZ5520HTNAL2KJ0</t>
  </si>
  <si>
    <t xml:space="preserve">CANON-202511-002303</t>
  </si>
  <si>
    <t xml:space="preserve">Aurelio Vandermeer</t>
  </si>
  <si>
    <t xml:space="preserve">TLP6VYHXGV0A3HCZ0</t>
  </si>
  <si>
    <t xml:space="preserve">CANON-202511-002304</t>
  </si>
  <si>
    <t xml:space="preserve">Lorenzo Bellandi</t>
  </si>
  <si>
    <t xml:space="preserve">CNB4SUZV0V77L60F5</t>
  </si>
  <si>
    <t xml:space="preserve">CANON-202511-002305</t>
  </si>
  <si>
    <t xml:space="preserve">Everett Rourke</t>
  </si>
  <si>
    <t xml:space="preserve">VZV5Z9R1BXLSKRW5D</t>
  </si>
  <si>
    <t xml:space="preserve">CANON-202511-002306</t>
  </si>
  <si>
    <t xml:space="preserve">Priya Castellanos</t>
  </si>
  <si>
    <t xml:space="preserve">1AMADHB2Z8EPMYBZS</t>
  </si>
  <si>
    <t xml:space="preserve">CANON-202511-002307</t>
  </si>
  <si>
    <t xml:space="preserve">KER40R92AZ2HW8TSU</t>
  </si>
  <si>
    <t xml:space="preserve">CANON-202511-002309</t>
  </si>
  <si>
    <t xml:space="preserve">Cassius Okonkwo</t>
  </si>
  <si>
    <t xml:space="preserve">LGHSMAKH5YD4EF870</t>
  </si>
  <si>
    <t xml:space="preserve">CANON-202511-002310</t>
  </si>
  <si>
    <t xml:space="preserve">Wilhelmina Rourke</t>
  </si>
  <si>
    <t xml:space="preserve">22PZBVXPFY77EBK5X</t>
  </si>
  <si>
    <t xml:space="preserve">CANON-202511-002311</t>
  </si>
  <si>
    <t xml:space="preserve">Anouk Underwood</t>
  </si>
  <si>
    <t xml:space="preserve">9XT1CE6F7HBBDDDZS</t>
  </si>
  <si>
    <t xml:space="preserve">CANON-202511-002312</t>
  </si>
  <si>
    <t xml:space="preserve">Beatrix Farkas</t>
  </si>
  <si>
    <t xml:space="preserve">F8YTKPGXSUC35XWEB</t>
  </si>
  <si>
    <t xml:space="preserve">CANON-202511-002314</t>
  </si>
  <si>
    <t xml:space="preserve">Thaddeus Delacroix</t>
  </si>
  <si>
    <t xml:space="preserve">RKMS6L5NE4AT94371</t>
  </si>
  <si>
    <t xml:space="preserve">CANON-202511-002315</t>
  </si>
  <si>
    <t xml:space="preserve">Ingrid Blackwood</t>
  </si>
  <si>
    <t xml:space="preserve">G2615W8RMW4S715PX</t>
  </si>
  <si>
    <t xml:space="preserve">CANON-202511-002316</t>
  </si>
  <si>
    <t xml:space="preserve">YM98SSRHHDK20M939</t>
  </si>
  <si>
    <t xml:space="preserve">CANON-202511-002317</t>
  </si>
  <si>
    <t xml:space="preserve">Anouk Pennington</t>
  </si>
  <si>
    <t xml:space="preserve">9WXSR2SCWAXNVUUUT</t>
  </si>
  <si>
    <t xml:space="preserve">CANON-202511-002318</t>
  </si>
  <si>
    <t xml:space="preserve">Aurelio Kingsford</t>
  </si>
  <si>
    <t xml:space="preserve">RWELK8LZCHM1MGSK5</t>
  </si>
  <si>
    <t xml:space="preserve">CANON-202511-002319</t>
  </si>
  <si>
    <t xml:space="preserve">Emiliano Whitlock</t>
  </si>
  <si>
    <t xml:space="preserve">RFFDCXH3XAMRV6BE4</t>
  </si>
  <si>
    <t xml:space="preserve">CANON-202511-002321</t>
  </si>
  <si>
    <t xml:space="preserve">Desmond Pennington</t>
  </si>
  <si>
    <t xml:space="preserve">6PPG1V06M7JKBG8Z5</t>
  </si>
  <si>
    <t xml:space="preserve">CANON-202511-002322</t>
  </si>
  <si>
    <t xml:space="preserve">FYF9CVV8ZD9ZX1NME</t>
  </si>
  <si>
    <t xml:space="preserve">CANON-202511-002323</t>
  </si>
  <si>
    <t xml:space="preserve">Fitzgerald Whitlock</t>
  </si>
  <si>
    <t xml:space="preserve">GKKZ518EJCCA8D5C3</t>
  </si>
  <si>
    <t xml:space="preserve">CANON-202511-002324</t>
  </si>
  <si>
    <t xml:space="preserve">Leopold Rourke</t>
  </si>
  <si>
    <t xml:space="preserve">ENPZMUEFZH0YG8XAH</t>
  </si>
  <si>
    <t xml:space="preserve">CANON-202511-002326</t>
  </si>
  <si>
    <t xml:space="preserve">Delphine Nakashima</t>
  </si>
  <si>
    <t xml:space="preserve">5FWB02TWNN8FS0MHD</t>
  </si>
  <si>
    <t xml:space="preserve">CANON-202511-002327</t>
  </si>
  <si>
    <t xml:space="preserve">5CFJJH880MYYP9MHG</t>
  </si>
  <si>
    <t xml:space="preserve">CANON-202511-002331</t>
  </si>
  <si>
    <t xml:space="preserve">RDK4WWY93W6MP77L7</t>
  </si>
  <si>
    <t xml:space="preserve">CANON-202511-002333</t>
  </si>
  <si>
    <t xml:space="preserve">45P6FH2ZBHKMW8L58</t>
  </si>
  <si>
    <t xml:space="preserve">CANON-202511-002334</t>
  </si>
  <si>
    <t xml:space="preserve">Delphine Bellandi</t>
  </si>
  <si>
    <t xml:space="preserve">C8MCKXKW9WAMDE3XU</t>
  </si>
  <si>
    <t xml:space="preserve">CANON-202511-002337</t>
  </si>
  <si>
    <t xml:space="preserve">Sunniva Okonkwo</t>
  </si>
  <si>
    <t xml:space="preserve">3PK8GGRA10A02RPEF</t>
  </si>
  <si>
    <t xml:space="preserve">CANON-202511-002338</t>
  </si>
  <si>
    <t xml:space="preserve">Callum Pennington</t>
  </si>
  <si>
    <t xml:space="preserve">J6YA6R41X2A7TRZYS</t>
  </si>
  <si>
    <t xml:space="preserve">CANON-202511-002339</t>
  </si>
  <si>
    <t xml:space="preserve">Anouk Thistlewood</t>
  </si>
  <si>
    <t xml:space="preserve">MC0SHMWP6LNXFPTR4</t>
  </si>
  <si>
    <t xml:space="preserve">CANON-202511-002340</t>
  </si>
  <si>
    <t xml:space="preserve">PCYT4P86L6TYGRC19</t>
  </si>
  <si>
    <t xml:space="preserve">CANON-202511-002341</t>
  </si>
  <si>
    <t xml:space="preserve">H3CBMZVVSDYWA2LLH</t>
  </si>
  <si>
    <t xml:space="preserve">CANON-202511-002342</t>
  </si>
  <si>
    <t xml:space="preserve">DFLZ4FZUX7BH425WW</t>
  </si>
  <si>
    <t xml:space="preserve">CANON-202511-002343</t>
  </si>
  <si>
    <t xml:space="preserve">KC19YPA9C5K2TRANK</t>
  </si>
  <si>
    <t xml:space="preserve">CANON-202511-002344</t>
  </si>
  <si>
    <t xml:space="preserve">0354C6S24CAWA8HM9</t>
  </si>
  <si>
    <t xml:space="preserve">CANON-202511-002346</t>
  </si>
  <si>
    <t xml:space="preserve">F58J3BW0XZF685NSA</t>
  </si>
  <si>
    <t xml:space="preserve">CANON-202511-002347</t>
  </si>
  <si>
    <t xml:space="preserve">72ZY4PXDFETL10C73</t>
  </si>
  <si>
    <t xml:space="preserve">CANON-202511-002348</t>
  </si>
  <si>
    <t xml:space="preserve">1SARH3LM9EK7945DG</t>
  </si>
  <si>
    <t xml:space="preserve">CANON-202511-002351</t>
  </si>
  <si>
    <t xml:space="preserve">Leopold Thistlewood</t>
  </si>
  <si>
    <t xml:space="preserve">AT0HKTBY9Z2ASPPGS</t>
  </si>
  <si>
    <t xml:space="preserve">CANON-202511-002354</t>
  </si>
  <si>
    <t xml:space="preserve">Wilhelmina Montoya</t>
  </si>
  <si>
    <t xml:space="preserve">BCRF5RHV4X0EV81FH</t>
  </si>
  <si>
    <t xml:space="preserve">CANON-202511-002355</t>
  </si>
  <si>
    <t xml:space="preserve">Beatrix Okonkwo</t>
  </si>
  <si>
    <t xml:space="preserve">JPWBPY97H42LFUMS5</t>
  </si>
  <si>
    <t xml:space="preserve">CANON-202511-002358</t>
  </si>
  <si>
    <t xml:space="preserve">Lorenzo Ashcombe</t>
  </si>
  <si>
    <t xml:space="preserve">LK66U93U1Z2LL9FST</t>
  </si>
  <si>
    <t xml:space="preserve">CANON-202511-002359</t>
  </si>
  <si>
    <t xml:space="preserve">HML579URS7LDG7YGP</t>
  </si>
  <si>
    <t xml:space="preserve">CANON-202511-002360</t>
  </si>
  <si>
    <t xml:space="preserve">VTREMUUCBLH3T03YG</t>
  </si>
  <si>
    <t xml:space="preserve">CANON-202511-002361</t>
  </si>
  <si>
    <t xml:space="preserve">WMEMAJVHNSFWJEYL2</t>
  </si>
  <si>
    <t xml:space="preserve">CANON-202511-002362</t>
  </si>
  <si>
    <t xml:space="preserve">NKUAVG21XL9MELZU1</t>
  </si>
  <si>
    <t xml:space="preserve">CANON-202511-002365</t>
  </si>
  <si>
    <t xml:space="preserve">HS32R3RFFXREAK0WP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</si>
  <si>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</si>
  <si>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</si>
  <si>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</si>
  <si>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</si>
  <si>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2025-11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</si>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</sst>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1956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230000</v>
      </c>
      <c r="K5" s="3" t="s">
        <v>48</v>
      </c>
      <c r="L5" s="7" t="n">
        <v>4771.86</v>
      </c>
      <c r="M5" s="7" t="n">
        <v>596.48</v>
      </c>
      <c r="N5" s="7" t="n">
        <v>596.48</v>
      </c>
      <c r="O5" s="7" t="n">
        <v>3578.9</v>
      </c>
      <c r="P5" s="7" t="n">
        <v>357.89</v>
      </c>
      <c r="Q5" s="7" t="n">
        <v>357.89</v>
      </c>
      <c r="R5" s="7" t="n">
        <v>357.89</v>
      </c>
      <c r="S5" s="7" t="n">
        <v>357.89</v>
      </c>
      <c r="T5" s="7" t="n">
        <v>357.89</v>
      </c>
      <c r="U5" s="7" t="n">
        <v>357.89</v>
      </c>
      <c r="V5" s="7" t="n">
        <v>357.89</v>
      </c>
      <c r="W5" s="7" t="n">
        <v>357.89</v>
      </c>
      <c r="X5" s="7" t="n">
        <v>357.89</v>
      </c>
      <c r="Y5" s="7" t="n">
        <v>357.89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2006</v>
      </c>
      <c r="F6" s="8" t="s">
        <v>53</v>
      </c>
      <c r="G6" s="8" t="s">
        <v>54</v>
      </c>
      <c r="H6" s="8" t="s">
        <v>55</v>
      </c>
      <c r="I6" s="8" t="s">
        <v>47</v>
      </c>
      <c r="J6" s="9" t="n">
        <v>175000</v>
      </c>
      <c r="K6" s="8" t="s">
        <v>48</v>
      </c>
      <c r="L6" s="9" t="n">
        <v>3630.77</v>
      </c>
      <c r="M6" s="9" t="n">
        <v>453.85</v>
      </c>
      <c r="N6" s="9" t="n">
        <v>453.85</v>
      </c>
      <c r="O6" s="9" t="n">
        <v>2723.1</v>
      </c>
      <c r="P6" s="9" t="n">
        <v>272.31</v>
      </c>
      <c r="Q6" s="9" t="n">
        <v>272.31</v>
      </c>
      <c r="R6" s="9" t="n">
        <v>272.31</v>
      </c>
      <c r="S6" s="9" t="n">
        <v>272.31</v>
      </c>
      <c r="T6" s="9" t="n">
        <v>272.31</v>
      </c>
      <c r="U6" s="9" t="n">
        <v>272.31</v>
      </c>
      <c r="V6" s="9" t="n">
        <v>272.31</v>
      </c>
      <c r="W6" s="9" t="n">
        <v>272.31</v>
      </c>
      <c r="X6" s="9" t="n">
        <v>272.31</v>
      </c>
      <c r="Y6" s="9" t="n">
        <v>272.31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56</v>
      </c>
      <c r="B7" s="3" t="s">
        <v>57</v>
      </c>
      <c r="C7" s="3" t="s">
        <v>58</v>
      </c>
      <c r="D7" s="3" t="s">
        <v>59</v>
      </c>
      <c r="E7" s="3" t="n">
        <v>1999</v>
      </c>
      <c r="F7" s="3" t="s">
        <v>60</v>
      </c>
      <c r="G7" s="3" t="s">
        <v>61</v>
      </c>
      <c r="H7" s="3" t="s">
        <v>62</v>
      </c>
      <c r="I7" s="3" t="s">
        <v>47</v>
      </c>
      <c r="J7" s="7" t="n">
        <v>670000</v>
      </c>
      <c r="K7" s="3" t="s">
        <v>63</v>
      </c>
      <c r="L7" s="7" t="n">
        <v>11709.77</v>
      </c>
      <c r="M7" s="7" t="n">
        <v>1463.72</v>
      </c>
      <c r="N7" s="7" t="n">
        <v>1463.72</v>
      </c>
      <c r="O7" s="7" t="n">
        <v>8782.3</v>
      </c>
      <c r="P7" s="7" t="n">
        <v>878.23</v>
      </c>
      <c r="Q7" s="7" t="n">
        <v>878.23</v>
      </c>
      <c r="R7" s="7" t="n">
        <v>878.23</v>
      </c>
      <c r="S7" s="7" t="n">
        <v>878.23</v>
      </c>
      <c r="T7" s="7" t="n">
        <v>878.23</v>
      </c>
      <c r="U7" s="7" t="n">
        <v>878.23</v>
      </c>
      <c r="V7" s="7" t="n">
        <v>878.23</v>
      </c>
      <c r="W7" s="7" t="n">
        <v>878.23</v>
      </c>
      <c r="X7" s="7" t="n">
        <v>878.23</v>
      </c>
      <c r="Y7" s="7" t="n">
        <v>878.23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64</v>
      </c>
      <c r="B8" s="8" t="s">
        <v>65</v>
      </c>
      <c r="C8" s="8" t="s">
        <v>66</v>
      </c>
      <c r="D8" s="8" t="s">
        <v>67</v>
      </c>
      <c r="E8" s="8" t="n">
        <v>1971</v>
      </c>
      <c r="F8" s="8" t="s">
        <v>68</v>
      </c>
      <c r="G8" s="8" t="s">
        <v>69</v>
      </c>
      <c r="H8" s="8" t="s">
        <v>70</v>
      </c>
      <c r="I8" s="8" t="s">
        <v>47</v>
      </c>
      <c r="J8" s="9" t="n">
        <v>555000</v>
      </c>
      <c r="K8" s="8" t="s">
        <v>71</v>
      </c>
      <c r="L8" s="9" t="n">
        <v>8010.23</v>
      </c>
      <c r="M8" s="9" t="n">
        <v>1001.28</v>
      </c>
      <c r="N8" s="9" t="n">
        <v>1001.28</v>
      </c>
      <c r="O8" s="9" t="n">
        <v>6007.7</v>
      </c>
      <c r="P8" s="9" t="n">
        <v>600.77</v>
      </c>
      <c r="Q8" s="9" t="n">
        <v>600.77</v>
      </c>
      <c r="R8" s="9" t="n">
        <v>600.77</v>
      </c>
      <c r="S8" s="9" t="n">
        <v>600.77</v>
      </c>
      <c r="T8" s="9" t="n">
        <v>600.77</v>
      </c>
      <c r="U8" s="9" t="n">
        <v>600.77</v>
      </c>
      <c r="V8" s="9" t="n">
        <v>600.77</v>
      </c>
      <c r="W8" s="9" t="n">
        <v>600.77</v>
      </c>
      <c r="X8" s="9" t="n">
        <v>600.77</v>
      </c>
      <c r="Y8" s="9" t="n">
        <v>600.77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72</v>
      </c>
      <c r="B9" s="3" t="s">
        <v>73</v>
      </c>
      <c r="C9" s="3" t="s">
        <v>42</v>
      </c>
      <c r="D9" s="3" t="s">
        <v>43</v>
      </c>
      <c r="E9" s="3" t="n">
        <v>1994</v>
      </c>
      <c r="F9" s="3" t="s">
        <v>53</v>
      </c>
      <c r="G9" s="3" t="s">
        <v>54</v>
      </c>
      <c r="H9" s="3" t="s">
        <v>74</v>
      </c>
      <c r="I9" s="3" t="s">
        <v>47</v>
      </c>
      <c r="J9" s="7" t="n">
        <v>645000</v>
      </c>
      <c r="K9" s="3" t="s">
        <v>75</v>
      </c>
      <c r="L9" s="7" t="n">
        <v>9963.74</v>
      </c>
      <c r="M9" s="7" t="n">
        <v>1245.47</v>
      </c>
      <c r="N9" s="7" t="n">
        <v>1245.47</v>
      </c>
      <c r="O9" s="7" t="n">
        <v>7472.8</v>
      </c>
      <c r="P9" s="7" t="n">
        <v>747.28</v>
      </c>
      <c r="Q9" s="7" t="n">
        <v>747.28</v>
      </c>
      <c r="R9" s="7" t="n">
        <v>747.28</v>
      </c>
      <c r="S9" s="7" t="n">
        <v>747.28</v>
      </c>
      <c r="T9" s="7" t="n">
        <v>747.28</v>
      </c>
      <c r="U9" s="7" t="n">
        <v>747.28</v>
      </c>
      <c r="V9" s="7" t="n">
        <v>747.28</v>
      </c>
      <c r="W9" s="7" t="n">
        <v>747.28</v>
      </c>
      <c r="X9" s="7" t="n">
        <v>747.28</v>
      </c>
      <c r="Y9" s="7" t="n">
        <v>747.28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76</v>
      </c>
      <c r="B10" s="8" t="s">
        <v>77</v>
      </c>
      <c r="C10" s="8" t="s">
        <v>78</v>
      </c>
      <c r="D10" s="8" t="s">
        <v>79</v>
      </c>
      <c r="E10" s="8" t="n">
        <v>1996</v>
      </c>
      <c r="F10" s="8" t="s">
        <v>60</v>
      </c>
      <c r="G10" s="8" t="s">
        <v>61</v>
      </c>
      <c r="H10" s="8" t="s">
        <v>80</v>
      </c>
      <c r="I10" s="8" t="s">
        <v>47</v>
      </c>
      <c r="J10" s="9" t="n">
        <v>415000</v>
      </c>
      <c r="K10" s="8" t="s">
        <v>81</v>
      </c>
      <c r="L10" s="9" t="n">
        <v>6857.12</v>
      </c>
      <c r="M10" s="9" t="n">
        <v>857.14</v>
      </c>
      <c r="N10" s="9" t="n">
        <v>857.14</v>
      </c>
      <c r="O10" s="9" t="n">
        <v>5142.8</v>
      </c>
      <c r="P10" s="9" t="n">
        <v>514.28</v>
      </c>
      <c r="Q10" s="9" t="n">
        <v>514.28</v>
      </c>
      <c r="R10" s="9" t="n">
        <v>514.28</v>
      </c>
      <c r="S10" s="9" t="n">
        <v>514.28</v>
      </c>
      <c r="T10" s="9" t="n">
        <v>514.28</v>
      </c>
      <c r="U10" s="9" t="n">
        <v>514.28</v>
      </c>
      <c r="V10" s="9" t="n">
        <v>514.28</v>
      </c>
      <c r="W10" s="9" t="n">
        <v>514.28</v>
      </c>
      <c r="X10" s="9" t="n">
        <v>514.28</v>
      </c>
      <c r="Y10" s="9" t="n">
        <v>514.28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84</v>
      </c>
      <c r="D11" s="3" t="s">
        <v>85</v>
      </c>
      <c r="E11" s="3" t="n">
        <v>2009</v>
      </c>
      <c r="F11" s="3" t="s">
        <v>86</v>
      </c>
      <c r="G11" s="3" t="s">
        <v>87</v>
      </c>
      <c r="H11" s="3" t="s">
        <v>88</v>
      </c>
      <c r="I11" s="3" t="s">
        <v>89</v>
      </c>
      <c r="J11" s="7" t="n">
        <v>1050000</v>
      </c>
      <c r="K11" s="3" t="s">
        <v>90</v>
      </c>
      <c r="L11" s="7" t="n">
        <v>16757.37</v>
      </c>
      <c r="M11" s="7" t="n">
        <v>2094.67</v>
      </c>
      <c r="N11" s="7" t="n">
        <v>2094.67</v>
      </c>
      <c r="O11" s="7" t="n">
        <v>12568</v>
      </c>
      <c r="P11" s="7" t="n">
        <v>1256.8</v>
      </c>
      <c r="Q11" s="7" t="n">
        <v>1256.8</v>
      </c>
      <c r="R11" s="7" t="n">
        <v>1256.8</v>
      </c>
      <c r="S11" s="7" t="n">
        <v>1256.8</v>
      </c>
      <c r="T11" s="7" t="n">
        <v>1256.8</v>
      </c>
      <c r="U11" s="7" t="n">
        <v>1256.8</v>
      </c>
      <c r="V11" s="7" t="n">
        <v>1256.8</v>
      </c>
      <c r="W11" s="7" t="n">
        <v>1256.8</v>
      </c>
      <c r="X11" s="7" t="n">
        <v>1256.8</v>
      </c>
      <c r="Y11" s="7" t="n">
        <v>1256.8</v>
      </c>
      <c r="Z11" s="7" t="n">
        <v>350</v>
      </c>
      <c r="AA11" s="7" t="n">
        <v>250</v>
      </c>
      <c r="AB11" s="7" t="n">
        <v>600</v>
      </c>
    </row>
    <row r="12" customFormat="false" ht="15" hidden="false" customHeight="false" outlineLevel="0" collapsed="false">
      <c r="A12" s="8" t="s">
        <v>91</v>
      </c>
      <c r="B12" s="8" t="s">
        <v>92</v>
      </c>
      <c r="C12" s="8" t="s">
        <v>78</v>
      </c>
      <c r="D12" s="8" t="s">
        <v>79</v>
      </c>
      <c r="E12" s="8" t="n">
        <v>1971</v>
      </c>
      <c r="F12" s="8" t="s">
        <v>93</v>
      </c>
      <c r="G12" s="8" t="s">
        <v>94</v>
      </c>
      <c r="H12" s="8" t="s">
        <v>95</v>
      </c>
      <c r="I12" s="8" t="s">
        <v>96</v>
      </c>
      <c r="J12" s="9" t="n">
        <v>115000</v>
      </c>
      <c r="K12" s="8" t="s">
        <v>97</v>
      </c>
      <c r="L12" s="9" t="n">
        <v>1546.47</v>
      </c>
      <c r="M12" s="9" t="n">
        <v>193.31</v>
      </c>
      <c r="N12" s="9" t="n">
        <v>193.31</v>
      </c>
      <c r="O12" s="9" t="n">
        <v>1159.9</v>
      </c>
      <c r="P12" s="9" t="n">
        <v>115.99</v>
      </c>
      <c r="Q12" s="9" t="n">
        <v>115.99</v>
      </c>
      <c r="R12" s="9" t="n">
        <v>115.99</v>
      </c>
      <c r="S12" s="9" t="n">
        <v>115.99</v>
      </c>
      <c r="T12" s="9" t="n">
        <v>115.99</v>
      </c>
      <c r="U12" s="9" t="n">
        <v>115.99</v>
      </c>
      <c r="V12" s="9" t="n">
        <v>115.99</v>
      </c>
      <c r="W12" s="9" t="n">
        <v>115.99</v>
      </c>
      <c r="X12" s="9" t="n">
        <v>115.99</v>
      </c>
      <c r="Y12" s="9" t="n">
        <v>115.99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98</v>
      </c>
      <c r="B13" s="3" t="s">
        <v>99</v>
      </c>
      <c r="C13" s="3" t="s">
        <v>42</v>
      </c>
      <c r="D13" s="3" t="s">
        <v>43</v>
      </c>
      <c r="E13" s="3" t="n">
        <v>1963</v>
      </c>
      <c r="F13" s="3" t="s">
        <v>100</v>
      </c>
      <c r="G13" s="3" t="s">
        <v>101</v>
      </c>
      <c r="H13" s="3" t="s">
        <v>102</v>
      </c>
      <c r="I13" s="3" t="s">
        <v>103</v>
      </c>
      <c r="J13" s="7" t="n">
        <v>140000</v>
      </c>
      <c r="K13" s="3" t="s">
        <v>71</v>
      </c>
      <c r="L13" s="7" t="n">
        <v>3264.04</v>
      </c>
      <c r="M13" s="7" t="n">
        <v>408</v>
      </c>
      <c r="N13" s="7" t="n">
        <v>408</v>
      </c>
      <c r="O13" s="7" t="n">
        <v>2448</v>
      </c>
      <c r="P13" s="7" t="n">
        <v>244.8</v>
      </c>
      <c r="Q13" s="7" t="n">
        <v>244.8</v>
      </c>
      <c r="R13" s="7" t="n">
        <v>244.8</v>
      </c>
      <c r="S13" s="7" t="n">
        <v>244.8</v>
      </c>
      <c r="T13" s="7" t="n">
        <v>244.8</v>
      </c>
      <c r="U13" s="7" t="n">
        <v>244.8</v>
      </c>
      <c r="V13" s="7" t="n">
        <v>244.8</v>
      </c>
      <c r="W13" s="7" t="n">
        <v>244.8</v>
      </c>
      <c r="X13" s="7" t="n">
        <v>244.8</v>
      </c>
      <c r="Y13" s="7" t="n">
        <v>244.8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104</v>
      </c>
      <c r="B14" s="8" t="s">
        <v>105</v>
      </c>
      <c r="C14" s="8" t="s">
        <v>106</v>
      </c>
      <c r="D14" s="8" t="s">
        <v>107</v>
      </c>
      <c r="E14" s="8" t="n">
        <v>2015</v>
      </c>
      <c r="F14" s="8" t="s">
        <v>86</v>
      </c>
      <c r="G14" s="8" t="s">
        <v>87</v>
      </c>
      <c r="H14" s="8" t="s">
        <v>108</v>
      </c>
      <c r="I14" s="8" t="s">
        <v>89</v>
      </c>
      <c r="J14" s="9" t="n">
        <v>665000</v>
      </c>
      <c r="K14" s="8" t="s">
        <v>109</v>
      </c>
      <c r="L14" s="9" t="n">
        <v>10959.07</v>
      </c>
      <c r="M14" s="9" t="n">
        <v>1369.88</v>
      </c>
      <c r="N14" s="9" t="n">
        <v>1369.88</v>
      </c>
      <c r="O14" s="9" t="n">
        <v>8219.3</v>
      </c>
      <c r="P14" s="9" t="n">
        <v>821.93</v>
      </c>
      <c r="Q14" s="9" t="n">
        <v>821.93</v>
      </c>
      <c r="R14" s="9" t="n">
        <v>821.93</v>
      </c>
      <c r="S14" s="9" t="n">
        <v>821.93</v>
      </c>
      <c r="T14" s="9" t="n">
        <v>821.93</v>
      </c>
      <c r="U14" s="9" t="n">
        <v>821.93</v>
      </c>
      <c r="V14" s="9" t="n">
        <v>821.93</v>
      </c>
      <c r="W14" s="9" t="n">
        <v>821.93</v>
      </c>
      <c r="X14" s="9" t="n">
        <v>821.93</v>
      </c>
      <c r="Y14" s="9" t="n">
        <v>821.93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110</v>
      </c>
      <c r="B15" s="3" t="s">
        <v>111</v>
      </c>
      <c r="C15" s="3" t="s">
        <v>112</v>
      </c>
      <c r="D15" s="3" t="s">
        <v>113</v>
      </c>
      <c r="E15" s="3" t="n">
        <v>1976</v>
      </c>
      <c r="F15" s="3" t="s">
        <v>114</v>
      </c>
      <c r="G15" s="3" t="s">
        <v>115</v>
      </c>
      <c r="H15" s="3" t="s">
        <v>116</v>
      </c>
      <c r="I15" s="3" t="s">
        <v>47</v>
      </c>
      <c r="J15" s="7" t="n">
        <v>845000</v>
      </c>
      <c r="K15" s="3" t="s">
        <v>117</v>
      </c>
      <c r="L15" s="7" t="n">
        <v>10957.12</v>
      </c>
      <c r="M15" s="7" t="n">
        <v>1369.64</v>
      </c>
      <c r="N15" s="7" t="n">
        <v>1369.64</v>
      </c>
      <c r="O15" s="7" t="n">
        <v>8217.8</v>
      </c>
      <c r="P15" s="7" t="n">
        <v>821.78</v>
      </c>
      <c r="Q15" s="7" t="n">
        <v>821.78</v>
      </c>
      <c r="R15" s="7" t="n">
        <v>821.78</v>
      </c>
      <c r="S15" s="7" t="n">
        <v>821.78</v>
      </c>
      <c r="T15" s="7" t="n">
        <v>821.78</v>
      </c>
      <c r="U15" s="7" t="n">
        <v>821.78</v>
      </c>
      <c r="V15" s="7" t="n">
        <v>821.78</v>
      </c>
      <c r="W15" s="7" t="n">
        <v>821.78</v>
      </c>
      <c r="X15" s="7" t="n">
        <v>821.78</v>
      </c>
      <c r="Y15" s="7" t="n">
        <v>821.78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118</v>
      </c>
      <c r="B16" s="8" t="s">
        <v>119</v>
      </c>
      <c r="C16" s="8" t="s">
        <v>120</v>
      </c>
      <c r="D16" s="8" t="s">
        <v>121</v>
      </c>
      <c r="E16" s="8" t="n">
        <v>2021</v>
      </c>
      <c r="F16" s="8" t="s">
        <v>122</v>
      </c>
      <c r="G16" s="8" t="s">
        <v>123</v>
      </c>
      <c r="H16" s="8" t="s">
        <v>124</v>
      </c>
      <c r="I16" s="8" t="s">
        <v>47</v>
      </c>
      <c r="J16" s="9" t="n">
        <v>420000</v>
      </c>
      <c r="K16" s="8" t="s">
        <v>125</v>
      </c>
      <c r="L16" s="9" t="n">
        <v>7759.39</v>
      </c>
      <c r="M16" s="9" t="n">
        <v>969.92</v>
      </c>
      <c r="N16" s="9" t="n">
        <v>969.92</v>
      </c>
      <c r="O16" s="9" t="n">
        <v>5819.5</v>
      </c>
      <c r="P16" s="9" t="n">
        <v>581.95</v>
      </c>
      <c r="Q16" s="9" t="n">
        <v>581.95</v>
      </c>
      <c r="R16" s="9" t="n">
        <v>581.95</v>
      </c>
      <c r="S16" s="9" t="n">
        <v>581.95</v>
      </c>
      <c r="T16" s="9" t="n">
        <v>581.95</v>
      </c>
      <c r="U16" s="9" t="n">
        <v>581.95</v>
      </c>
      <c r="V16" s="9" t="n">
        <v>581.95</v>
      </c>
      <c r="W16" s="9" t="n">
        <v>581.95</v>
      </c>
      <c r="X16" s="9" t="n">
        <v>581.95</v>
      </c>
      <c r="Y16" s="9" t="n">
        <v>581.95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126</v>
      </c>
      <c r="B17" s="3" t="s">
        <v>127</v>
      </c>
      <c r="C17" s="3" t="s">
        <v>128</v>
      </c>
      <c r="D17" s="3" t="s">
        <v>129</v>
      </c>
      <c r="E17" s="3" t="n">
        <v>1989</v>
      </c>
      <c r="F17" s="3" t="s">
        <v>122</v>
      </c>
      <c r="G17" s="3" t="s">
        <v>130</v>
      </c>
      <c r="H17" s="3" t="s">
        <v>131</v>
      </c>
      <c r="I17" s="3" t="s">
        <v>96</v>
      </c>
      <c r="J17" s="7" t="n">
        <v>820000</v>
      </c>
      <c r="K17" s="3" t="s">
        <v>109</v>
      </c>
      <c r="L17" s="7" t="n">
        <v>6116.61</v>
      </c>
      <c r="M17" s="7" t="n">
        <v>764.58</v>
      </c>
      <c r="N17" s="7" t="n">
        <v>764.58</v>
      </c>
      <c r="O17" s="7" t="n">
        <v>4587.5</v>
      </c>
      <c r="P17" s="7" t="n">
        <v>458.75</v>
      </c>
      <c r="Q17" s="7" t="n">
        <v>458.75</v>
      </c>
      <c r="R17" s="7" t="n">
        <v>458.75</v>
      </c>
      <c r="S17" s="7" t="n">
        <v>458.75</v>
      </c>
      <c r="T17" s="7" t="n">
        <v>458.75</v>
      </c>
      <c r="U17" s="7" t="n">
        <v>458.75</v>
      </c>
      <c r="V17" s="7" t="n">
        <v>458.75</v>
      </c>
      <c r="W17" s="7" t="n">
        <v>458.75</v>
      </c>
      <c r="X17" s="7" t="n">
        <v>458.75</v>
      </c>
      <c r="Y17" s="7" t="n">
        <v>458.75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132</v>
      </c>
      <c r="B18" s="8" t="s">
        <v>133</v>
      </c>
      <c r="C18" s="8" t="s">
        <v>134</v>
      </c>
      <c r="D18" s="8" t="s">
        <v>135</v>
      </c>
      <c r="E18" s="8" t="n">
        <v>2021</v>
      </c>
      <c r="F18" s="8" t="s">
        <v>86</v>
      </c>
      <c r="G18" s="8" t="s">
        <v>136</v>
      </c>
      <c r="H18" s="8" t="s">
        <v>137</v>
      </c>
      <c r="I18" s="8" t="s">
        <v>89</v>
      </c>
      <c r="J18" s="9" t="n">
        <v>1345000</v>
      </c>
      <c r="K18" s="8" t="s">
        <v>138</v>
      </c>
      <c r="L18" s="9" t="n">
        <v>25945.12</v>
      </c>
      <c r="M18" s="9" t="n">
        <v>3243.14</v>
      </c>
      <c r="N18" s="9" t="n">
        <v>3243.14</v>
      </c>
      <c r="O18" s="9" t="n">
        <v>19458.8</v>
      </c>
      <c r="P18" s="9" t="n">
        <v>1945.88</v>
      </c>
      <c r="Q18" s="9" t="n">
        <v>1945.88</v>
      </c>
      <c r="R18" s="9" t="n">
        <v>1945.88</v>
      </c>
      <c r="S18" s="9" t="n">
        <v>1945.88</v>
      </c>
      <c r="T18" s="9" t="n">
        <v>1945.88</v>
      </c>
      <c r="U18" s="9" t="n">
        <v>1945.88</v>
      </c>
      <c r="V18" s="9" t="n">
        <v>1945.88</v>
      </c>
      <c r="W18" s="9" t="n">
        <v>1945.88</v>
      </c>
      <c r="X18" s="9" t="n">
        <v>1945.88</v>
      </c>
      <c r="Y18" s="9" t="n">
        <v>1945.88</v>
      </c>
      <c r="Z18" s="9" t="n">
        <v>350</v>
      </c>
      <c r="AA18" s="9" t="n">
        <v>250</v>
      </c>
      <c r="AB18" s="9" t="n">
        <v>600</v>
      </c>
    </row>
    <row r="19" customFormat="false" ht="15" hidden="false" customHeight="false" outlineLevel="0" collapsed="false">
      <c r="A19" s="3" t="s">
        <v>139</v>
      </c>
      <c r="B19" s="3" t="s">
        <v>140</v>
      </c>
      <c r="C19" s="3" t="s">
        <v>141</v>
      </c>
      <c r="D19" s="3" t="s">
        <v>142</v>
      </c>
      <c r="E19" s="3" t="n">
        <v>1955</v>
      </c>
      <c r="F19" s="3" t="s">
        <v>60</v>
      </c>
      <c r="G19" s="3" t="s">
        <v>143</v>
      </c>
      <c r="H19" s="3" t="s">
        <v>144</v>
      </c>
      <c r="I19" s="3" t="s">
        <v>145</v>
      </c>
      <c r="J19" s="7" t="n">
        <v>1950000</v>
      </c>
      <c r="K19" s="3" t="s">
        <v>125</v>
      </c>
      <c r="L19" s="7" t="n">
        <v>16331.67</v>
      </c>
      <c r="M19" s="7" t="n">
        <v>2041.46</v>
      </c>
      <c r="N19" s="7" t="n">
        <v>2041.46</v>
      </c>
      <c r="O19" s="7" t="n">
        <v>12248.8</v>
      </c>
      <c r="P19" s="7" t="n">
        <v>1224.88</v>
      </c>
      <c r="Q19" s="7" t="n">
        <v>1224.88</v>
      </c>
      <c r="R19" s="7" t="n">
        <v>1224.88</v>
      </c>
      <c r="S19" s="7" t="n">
        <v>1224.88</v>
      </c>
      <c r="T19" s="7" t="n">
        <v>1224.88</v>
      </c>
      <c r="U19" s="7" t="n">
        <v>1224.88</v>
      </c>
      <c r="V19" s="7" t="n">
        <v>1224.88</v>
      </c>
      <c r="W19" s="7" t="n">
        <v>1224.88</v>
      </c>
      <c r="X19" s="7" t="n">
        <v>1224.88</v>
      </c>
      <c r="Y19" s="7" t="n">
        <v>1224.88</v>
      </c>
      <c r="Z19" s="7" t="n">
        <v>350</v>
      </c>
      <c r="AA19" s="7" t="n">
        <v>250</v>
      </c>
      <c r="AB19" s="7" t="n">
        <v>600</v>
      </c>
    </row>
    <row r="20" customFormat="false" ht="15" hidden="false" customHeight="false" outlineLevel="0" collapsed="false">
      <c r="A20" s="8" t="s">
        <v>146</v>
      </c>
      <c r="B20" s="8" t="s">
        <v>147</v>
      </c>
      <c r="C20" s="8" t="s">
        <v>148</v>
      </c>
      <c r="D20" s="8" t="s">
        <v>149</v>
      </c>
      <c r="E20" s="8" t="n">
        <v>1983</v>
      </c>
      <c r="F20" s="8" t="s">
        <v>68</v>
      </c>
      <c r="G20" s="8" t="s">
        <v>69</v>
      </c>
      <c r="H20" s="8" t="s">
        <v>150</v>
      </c>
      <c r="I20" s="8" t="s">
        <v>47</v>
      </c>
      <c r="J20" s="9" t="n">
        <v>1675000</v>
      </c>
      <c r="K20" s="8" t="s">
        <v>125</v>
      </c>
      <c r="L20" s="9" t="n">
        <v>22693.14</v>
      </c>
      <c r="M20" s="9" t="n">
        <v>2836.64</v>
      </c>
      <c r="N20" s="9" t="n">
        <v>2836.64</v>
      </c>
      <c r="O20" s="9" t="n">
        <v>17019.9</v>
      </c>
      <c r="P20" s="9" t="n">
        <v>1701.99</v>
      </c>
      <c r="Q20" s="9" t="n">
        <v>1701.99</v>
      </c>
      <c r="R20" s="9" t="n">
        <v>1701.99</v>
      </c>
      <c r="S20" s="9" t="n">
        <v>1701.99</v>
      </c>
      <c r="T20" s="9" t="n">
        <v>1701.99</v>
      </c>
      <c r="U20" s="9" t="n">
        <v>1701.99</v>
      </c>
      <c r="V20" s="9" t="n">
        <v>1701.99</v>
      </c>
      <c r="W20" s="9" t="n">
        <v>1701.99</v>
      </c>
      <c r="X20" s="9" t="n">
        <v>1701.99</v>
      </c>
      <c r="Y20" s="9" t="n">
        <v>1701.99</v>
      </c>
      <c r="Z20" s="9" t="n">
        <v>350</v>
      </c>
      <c r="AA20" s="9" t="n">
        <v>250</v>
      </c>
      <c r="AB20" s="9" t="n">
        <v>600</v>
      </c>
    </row>
    <row r="21" customFormat="false" ht="15" hidden="false" customHeight="false" outlineLevel="0" collapsed="false">
      <c r="A21" s="3" t="s">
        <v>151</v>
      </c>
      <c r="B21" s="3" t="s">
        <v>111</v>
      </c>
      <c r="C21" s="3" t="s">
        <v>152</v>
      </c>
      <c r="D21" s="3" t="s">
        <v>153</v>
      </c>
      <c r="E21" s="3" t="n">
        <v>2001</v>
      </c>
      <c r="F21" s="3" t="s">
        <v>53</v>
      </c>
      <c r="G21" s="3" t="s">
        <v>54</v>
      </c>
      <c r="H21" s="3" t="s">
        <v>154</v>
      </c>
      <c r="I21" s="3" t="s">
        <v>47</v>
      </c>
      <c r="J21" s="7" t="n">
        <v>400000</v>
      </c>
      <c r="K21" s="3" t="s">
        <v>81</v>
      </c>
      <c r="L21" s="7" t="n">
        <v>6609.27</v>
      </c>
      <c r="M21" s="7" t="n">
        <v>826.16</v>
      </c>
      <c r="N21" s="7" t="n">
        <v>826.16</v>
      </c>
      <c r="O21" s="7" t="n">
        <v>4957</v>
      </c>
      <c r="P21" s="7" t="n">
        <v>495.7</v>
      </c>
      <c r="Q21" s="7" t="n">
        <v>495.7</v>
      </c>
      <c r="R21" s="7" t="n">
        <v>495.7</v>
      </c>
      <c r="S21" s="7" t="n">
        <v>495.7</v>
      </c>
      <c r="T21" s="7" t="n">
        <v>495.7</v>
      </c>
      <c r="U21" s="7" t="n">
        <v>495.7</v>
      </c>
      <c r="V21" s="7" t="n">
        <v>495.7</v>
      </c>
      <c r="W21" s="7" t="n">
        <v>495.7</v>
      </c>
      <c r="X21" s="7" t="n">
        <v>495.7</v>
      </c>
      <c r="Y21" s="7" t="n">
        <v>495.7</v>
      </c>
      <c r="Z21" s="7" t="n">
        <v>350</v>
      </c>
      <c r="AA21" s="7" t="n">
        <v>0</v>
      </c>
      <c r="AB21" s="7" t="n">
        <v>350</v>
      </c>
    </row>
    <row r="22" customFormat="false" ht="15" hidden="false" customHeight="false" outlineLevel="0" collapsed="false">
      <c r="A22" s="8" t="s">
        <v>155</v>
      </c>
      <c r="B22" s="8" t="s">
        <v>77</v>
      </c>
      <c r="C22" s="8" t="s">
        <v>156</v>
      </c>
      <c r="D22" s="8" t="s">
        <v>157</v>
      </c>
      <c r="E22" s="8" t="n">
        <v>2018</v>
      </c>
      <c r="F22" s="8" t="s">
        <v>158</v>
      </c>
      <c r="G22" s="8" t="s">
        <v>159</v>
      </c>
      <c r="H22" s="8" t="s">
        <v>160</v>
      </c>
      <c r="I22" s="8" t="s">
        <v>103</v>
      </c>
      <c r="J22" s="9" t="n">
        <v>875000</v>
      </c>
      <c r="K22" s="8" t="s">
        <v>117</v>
      </c>
      <c r="L22" s="9" t="n">
        <v>13615.36</v>
      </c>
      <c r="M22" s="9" t="n">
        <v>1701.92</v>
      </c>
      <c r="N22" s="9" t="n">
        <v>1701.92</v>
      </c>
      <c r="O22" s="9" t="n">
        <v>10211.5</v>
      </c>
      <c r="P22" s="9" t="n">
        <v>1021.15</v>
      </c>
      <c r="Q22" s="9" t="n">
        <v>1021.15</v>
      </c>
      <c r="R22" s="9" t="n">
        <v>1021.15</v>
      </c>
      <c r="S22" s="9" t="n">
        <v>1021.15</v>
      </c>
      <c r="T22" s="9" t="n">
        <v>1021.15</v>
      </c>
      <c r="U22" s="9" t="n">
        <v>1021.15</v>
      </c>
      <c r="V22" s="9" t="n">
        <v>1021.15</v>
      </c>
      <c r="W22" s="9" t="n">
        <v>1021.15</v>
      </c>
      <c r="X22" s="9" t="n">
        <v>1021.15</v>
      </c>
      <c r="Y22" s="9" t="n">
        <v>1021.15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161</v>
      </c>
      <c r="B23" s="3" t="s">
        <v>162</v>
      </c>
      <c r="C23" s="3" t="s">
        <v>163</v>
      </c>
      <c r="D23" s="3" t="s">
        <v>164</v>
      </c>
      <c r="E23" s="3" t="n">
        <v>1959</v>
      </c>
      <c r="F23" s="3" t="s">
        <v>158</v>
      </c>
      <c r="G23" s="3" t="s">
        <v>159</v>
      </c>
      <c r="H23" s="3" t="s">
        <v>165</v>
      </c>
      <c r="I23" s="3" t="s">
        <v>103</v>
      </c>
      <c r="J23" s="7" t="n">
        <v>445000</v>
      </c>
      <c r="K23" s="3" t="s">
        <v>117</v>
      </c>
      <c r="L23" s="7" t="n">
        <v>7812.12</v>
      </c>
      <c r="M23" s="7" t="n">
        <v>976.51</v>
      </c>
      <c r="N23" s="7" t="n">
        <v>976.51</v>
      </c>
      <c r="O23" s="7" t="n">
        <v>5859.1</v>
      </c>
      <c r="P23" s="7" t="n">
        <v>585.91</v>
      </c>
      <c r="Q23" s="7" t="n">
        <v>585.91</v>
      </c>
      <c r="R23" s="7" t="n">
        <v>585.91</v>
      </c>
      <c r="S23" s="7" t="n">
        <v>585.91</v>
      </c>
      <c r="T23" s="7" t="n">
        <v>585.91</v>
      </c>
      <c r="U23" s="7" t="n">
        <v>585.91</v>
      </c>
      <c r="V23" s="7" t="n">
        <v>585.91</v>
      </c>
      <c r="W23" s="7" t="n">
        <v>585.91</v>
      </c>
      <c r="X23" s="7" t="n">
        <v>585.91</v>
      </c>
      <c r="Y23" s="7" t="n">
        <v>585.91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166</v>
      </c>
      <c r="B24" s="8" t="s">
        <v>167</v>
      </c>
      <c r="C24" s="8" t="s">
        <v>168</v>
      </c>
      <c r="D24" s="8" t="s">
        <v>169</v>
      </c>
      <c r="E24" s="8" t="n">
        <v>2002</v>
      </c>
      <c r="F24" s="8" t="s">
        <v>122</v>
      </c>
      <c r="G24" s="8" t="s">
        <v>123</v>
      </c>
      <c r="H24" s="8" t="s">
        <v>170</v>
      </c>
      <c r="I24" s="8" t="s">
        <v>47</v>
      </c>
      <c r="J24" s="9" t="n">
        <v>1050000</v>
      </c>
      <c r="K24" s="8" t="s">
        <v>171</v>
      </c>
      <c r="L24" s="9" t="n">
        <v>13524.29</v>
      </c>
      <c r="M24" s="9" t="n">
        <v>1690.54</v>
      </c>
      <c r="N24" s="9" t="n">
        <v>1690.54</v>
      </c>
      <c r="O24" s="9" t="n">
        <v>10143.2</v>
      </c>
      <c r="P24" s="9" t="n">
        <v>1014.32</v>
      </c>
      <c r="Q24" s="9" t="n">
        <v>1014.32</v>
      </c>
      <c r="R24" s="9" t="n">
        <v>1014.32</v>
      </c>
      <c r="S24" s="9" t="n">
        <v>1014.32</v>
      </c>
      <c r="T24" s="9" t="n">
        <v>1014.32</v>
      </c>
      <c r="U24" s="9" t="n">
        <v>1014.32</v>
      </c>
      <c r="V24" s="9" t="n">
        <v>1014.32</v>
      </c>
      <c r="W24" s="9" t="n">
        <v>1014.32</v>
      </c>
      <c r="X24" s="9" t="n">
        <v>1014.32</v>
      </c>
      <c r="Y24" s="9" t="n">
        <v>1014.32</v>
      </c>
      <c r="Z24" s="9" t="n">
        <v>350</v>
      </c>
      <c r="AA24" s="9" t="n">
        <v>250</v>
      </c>
      <c r="AB24" s="9" t="n">
        <v>600</v>
      </c>
    </row>
    <row r="25" customFormat="false" ht="15" hidden="false" customHeight="false" outlineLevel="0" collapsed="false">
      <c r="A25" s="3" t="s">
        <v>172</v>
      </c>
      <c r="B25" s="3" t="s">
        <v>173</v>
      </c>
      <c r="C25" s="3" t="s">
        <v>112</v>
      </c>
      <c r="D25" s="3" t="s">
        <v>113</v>
      </c>
      <c r="E25" s="3" t="n">
        <v>1971</v>
      </c>
      <c r="F25" s="3" t="s">
        <v>53</v>
      </c>
      <c r="G25" s="3" t="s">
        <v>174</v>
      </c>
      <c r="H25" s="3" t="s">
        <v>175</v>
      </c>
      <c r="I25" s="3" t="s">
        <v>96</v>
      </c>
      <c r="J25" s="7" t="n">
        <v>1350000</v>
      </c>
      <c r="K25" s="3" t="s">
        <v>176</v>
      </c>
      <c r="L25" s="7" t="n">
        <v>11212.86</v>
      </c>
      <c r="M25" s="7" t="n">
        <v>1401.61</v>
      </c>
      <c r="N25" s="7" t="n">
        <v>1401.61</v>
      </c>
      <c r="O25" s="7" t="n">
        <v>8409.6</v>
      </c>
      <c r="P25" s="7" t="n">
        <v>840.96</v>
      </c>
      <c r="Q25" s="7" t="n">
        <v>840.96</v>
      </c>
      <c r="R25" s="7" t="n">
        <v>840.96</v>
      </c>
      <c r="S25" s="7" t="n">
        <v>840.96</v>
      </c>
      <c r="T25" s="7" t="n">
        <v>840.96</v>
      </c>
      <c r="U25" s="7" t="n">
        <v>840.96</v>
      </c>
      <c r="V25" s="7" t="n">
        <v>840.96</v>
      </c>
      <c r="W25" s="7" t="n">
        <v>840.96</v>
      </c>
      <c r="X25" s="7" t="n">
        <v>840.96</v>
      </c>
      <c r="Y25" s="7" t="n">
        <v>840.96</v>
      </c>
      <c r="Z25" s="7" t="n">
        <v>350</v>
      </c>
      <c r="AA25" s="7" t="n">
        <v>250</v>
      </c>
      <c r="AB25" s="7" t="n">
        <v>600</v>
      </c>
    </row>
    <row r="26" customFormat="false" ht="15" hidden="false" customHeight="false" outlineLevel="0" collapsed="false">
      <c r="A26" s="8" t="s">
        <v>177</v>
      </c>
      <c r="B26" s="8" t="s">
        <v>178</v>
      </c>
      <c r="C26" s="8" t="s">
        <v>179</v>
      </c>
      <c r="D26" s="8" t="s">
        <v>180</v>
      </c>
      <c r="E26" s="8" t="n">
        <v>1992</v>
      </c>
      <c r="F26" s="8" t="s">
        <v>86</v>
      </c>
      <c r="G26" s="8" t="s">
        <v>181</v>
      </c>
      <c r="H26" s="8" t="s">
        <v>182</v>
      </c>
      <c r="I26" s="8" t="s">
        <v>96</v>
      </c>
      <c r="J26" s="9" t="n">
        <v>1275000</v>
      </c>
      <c r="K26" s="8" t="s">
        <v>183</v>
      </c>
      <c r="L26" s="9" t="n">
        <v>10421.83</v>
      </c>
      <c r="M26" s="9" t="n">
        <v>1302.73</v>
      </c>
      <c r="N26" s="9" t="n">
        <v>1302.73</v>
      </c>
      <c r="O26" s="9" t="n">
        <v>7816.4</v>
      </c>
      <c r="P26" s="9" t="n">
        <v>781.64</v>
      </c>
      <c r="Q26" s="9" t="n">
        <v>781.64</v>
      </c>
      <c r="R26" s="9" t="n">
        <v>781.64</v>
      </c>
      <c r="S26" s="9" t="n">
        <v>781.64</v>
      </c>
      <c r="T26" s="9" t="n">
        <v>781.64</v>
      </c>
      <c r="U26" s="9" t="n">
        <v>781.64</v>
      </c>
      <c r="V26" s="9" t="n">
        <v>781.64</v>
      </c>
      <c r="W26" s="9" t="n">
        <v>781.64</v>
      </c>
      <c r="X26" s="9" t="n">
        <v>781.64</v>
      </c>
      <c r="Y26" s="9" t="n">
        <v>781.64</v>
      </c>
      <c r="Z26" s="9" t="n">
        <v>350</v>
      </c>
      <c r="AA26" s="9" t="n">
        <v>250</v>
      </c>
      <c r="AB26" s="9" t="n">
        <v>600</v>
      </c>
    </row>
    <row r="27" customFormat="false" ht="15" hidden="false" customHeight="false" outlineLevel="0" collapsed="false">
      <c r="A27" s="3" t="s">
        <v>184</v>
      </c>
      <c r="B27" s="3" t="s">
        <v>185</v>
      </c>
      <c r="C27" s="3" t="s">
        <v>186</v>
      </c>
      <c r="D27" s="3" t="s">
        <v>187</v>
      </c>
      <c r="E27" s="3" t="n">
        <v>2017</v>
      </c>
      <c r="F27" s="3" t="s">
        <v>86</v>
      </c>
      <c r="G27" s="3" t="s">
        <v>87</v>
      </c>
      <c r="H27" s="3" t="s">
        <v>188</v>
      </c>
      <c r="I27" s="3" t="s">
        <v>89</v>
      </c>
      <c r="J27" s="7" t="n">
        <v>1675000</v>
      </c>
      <c r="K27" s="3" t="s">
        <v>189</v>
      </c>
      <c r="L27" s="7" t="n">
        <v>28126.7</v>
      </c>
      <c r="M27" s="7" t="n">
        <v>3515.84</v>
      </c>
      <c r="N27" s="7" t="n">
        <v>3515.84</v>
      </c>
      <c r="O27" s="7" t="n">
        <v>21095</v>
      </c>
      <c r="P27" s="7" t="n">
        <v>2109.5</v>
      </c>
      <c r="Q27" s="7" t="n">
        <v>2109.5</v>
      </c>
      <c r="R27" s="7" t="n">
        <v>2109.5</v>
      </c>
      <c r="S27" s="7" t="n">
        <v>2109.5</v>
      </c>
      <c r="T27" s="7" t="n">
        <v>2109.5</v>
      </c>
      <c r="U27" s="7" t="n">
        <v>2109.5</v>
      </c>
      <c r="V27" s="7" t="n">
        <v>2109.5</v>
      </c>
      <c r="W27" s="7" t="n">
        <v>2109.5</v>
      </c>
      <c r="X27" s="7" t="n">
        <v>2109.5</v>
      </c>
      <c r="Y27" s="7" t="n">
        <v>2109.5</v>
      </c>
      <c r="Z27" s="7" t="n">
        <v>350</v>
      </c>
      <c r="AA27" s="7" t="n">
        <v>250</v>
      </c>
      <c r="AB27" s="7" t="n">
        <v>600</v>
      </c>
    </row>
    <row r="28" customFormat="false" ht="15" hidden="false" customHeight="false" outlineLevel="0" collapsed="false">
      <c r="A28" s="8" t="s">
        <v>190</v>
      </c>
      <c r="B28" s="8" t="s">
        <v>191</v>
      </c>
      <c r="C28" s="8" t="s">
        <v>128</v>
      </c>
      <c r="D28" s="8" t="s">
        <v>129</v>
      </c>
      <c r="E28" s="8" t="n">
        <v>1989</v>
      </c>
      <c r="F28" s="8" t="s">
        <v>53</v>
      </c>
      <c r="G28" s="8" t="s">
        <v>54</v>
      </c>
      <c r="H28" s="8" t="s">
        <v>192</v>
      </c>
      <c r="I28" s="8" t="s">
        <v>47</v>
      </c>
      <c r="J28" s="9" t="n">
        <v>280000</v>
      </c>
      <c r="K28" s="8" t="s">
        <v>193</v>
      </c>
      <c r="L28" s="9" t="n">
        <v>5027.21</v>
      </c>
      <c r="M28" s="9" t="n">
        <v>628.4</v>
      </c>
      <c r="N28" s="9" t="n">
        <v>628.4</v>
      </c>
      <c r="O28" s="9" t="n">
        <v>3770.4</v>
      </c>
      <c r="P28" s="9" t="n">
        <v>377.04</v>
      </c>
      <c r="Q28" s="9" t="n">
        <v>377.04</v>
      </c>
      <c r="R28" s="9" t="n">
        <v>377.04</v>
      </c>
      <c r="S28" s="9" t="n">
        <v>377.04</v>
      </c>
      <c r="T28" s="9" t="n">
        <v>377.04</v>
      </c>
      <c r="U28" s="9" t="n">
        <v>377.04</v>
      </c>
      <c r="V28" s="9" t="n">
        <v>377.04</v>
      </c>
      <c r="W28" s="9" t="n">
        <v>377.04</v>
      </c>
      <c r="X28" s="9" t="n">
        <v>377.04</v>
      </c>
      <c r="Y28" s="9" t="n">
        <v>377.04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194</v>
      </c>
      <c r="B29" s="3" t="s">
        <v>195</v>
      </c>
      <c r="C29" s="3" t="s">
        <v>134</v>
      </c>
      <c r="D29" s="3" t="s">
        <v>135</v>
      </c>
      <c r="E29" s="3" t="n">
        <v>1963</v>
      </c>
      <c r="F29" s="3" t="s">
        <v>114</v>
      </c>
      <c r="G29" s="3" t="s">
        <v>115</v>
      </c>
      <c r="H29" s="3" t="s">
        <v>196</v>
      </c>
      <c r="I29" s="3" t="s">
        <v>47</v>
      </c>
      <c r="J29" s="7" t="n">
        <v>605000</v>
      </c>
      <c r="K29" s="3" t="s">
        <v>71</v>
      </c>
      <c r="L29" s="7" t="n">
        <v>8731.87</v>
      </c>
      <c r="M29" s="7" t="n">
        <v>1091.48</v>
      </c>
      <c r="N29" s="7" t="n">
        <v>1091.48</v>
      </c>
      <c r="O29" s="7" t="n">
        <v>6548.9</v>
      </c>
      <c r="P29" s="7" t="n">
        <v>654.89</v>
      </c>
      <c r="Q29" s="7" t="n">
        <v>654.89</v>
      </c>
      <c r="R29" s="7" t="n">
        <v>654.89</v>
      </c>
      <c r="S29" s="7" t="n">
        <v>654.89</v>
      </c>
      <c r="T29" s="7" t="n">
        <v>654.89</v>
      </c>
      <c r="U29" s="7" t="n">
        <v>654.89</v>
      </c>
      <c r="V29" s="7" t="n">
        <v>654.89</v>
      </c>
      <c r="W29" s="7" t="n">
        <v>654.89</v>
      </c>
      <c r="X29" s="7" t="n">
        <v>654.89</v>
      </c>
      <c r="Y29" s="7" t="n">
        <v>654.89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197</v>
      </c>
      <c r="B30" s="8" t="s">
        <v>198</v>
      </c>
      <c r="C30" s="8" t="s">
        <v>112</v>
      </c>
      <c r="D30" s="8" t="s">
        <v>113</v>
      </c>
      <c r="E30" s="8" t="n">
        <v>2017</v>
      </c>
      <c r="F30" s="8" t="s">
        <v>122</v>
      </c>
      <c r="G30" s="8" t="s">
        <v>130</v>
      </c>
      <c r="H30" s="8" t="s">
        <v>199</v>
      </c>
      <c r="I30" s="8" t="s">
        <v>96</v>
      </c>
      <c r="J30" s="9" t="n">
        <v>555000</v>
      </c>
      <c r="K30" s="8" t="s">
        <v>200</v>
      </c>
      <c r="L30" s="9" t="n">
        <v>5092.08</v>
      </c>
      <c r="M30" s="9" t="n">
        <v>636.51</v>
      </c>
      <c r="N30" s="9" t="n">
        <v>636.51</v>
      </c>
      <c r="O30" s="9" t="n">
        <v>3819.1</v>
      </c>
      <c r="P30" s="9" t="n">
        <v>381.91</v>
      </c>
      <c r="Q30" s="9" t="n">
        <v>381.91</v>
      </c>
      <c r="R30" s="9" t="n">
        <v>381.91</v>
      </c>
      <c r="S30" s="9" t="n">
        <v>381.91</v>
      </c>
      <c r="T30" s="9" t="n">
        <v>381.91</v>
      </c>
      <c r="U30" s="9" t="n">
        <v>381.91</v>
      </c>
      <c r="V30" s="9" t="n">
        <v>381.91</v>
      </c>
      <c r="W30" s="9" t="n">
        <v>381.91</v>
      </c>
      <c r="X30" s="9" t="n">
        <v>381.91</v>
      </c>
      <c r="Y30" s="9" t="n">
        <v>381.91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201</v>
      </c>
      <c r="B31" s="3" t="s">
        <v>202</v>
      </c>
      <c r="C31" s="3" t="s">
        <v>51</v>
      </c>
      <c r="D31" s="3" t="s">
        <v>52</v>
      </c>
      <c r="E31" s="3" t="n">
        <v>1962</v>
      </c>
      <c r="F31" s="3" t="s">
        <v>44</v>
      </c>
      <c r="G31" s="3" t="s">
        <v>45</v>
      </c>
      <c r="H31" s="3" t="s">
        <v>203</v>
      </c>
      <c r="I31" s="3" t="s">
        <v>47</v>
      </c>
      <c r="J31" s="7" t="n">
        <v>665000</v>
      </c>
      <c r="K31" s="3" t="s">
        <v>71</v>
      </c>
      <c r="L31" s="7" t="n">
        <v>9597.85</v>
      </c>
      <c r="M31" s="7" t="n">
        <v>1199.73</v>
      </c>
      <c r="N31" s="7" t="n">
        <v>1199.73</v>
      </c>
      <c r="O31" s="7" t="n">
        <v>7198.4</v>
      </c>
      <c r="P31" s="7" t="n">
        <v>719.84</v>
      </c>
      <c r="Q31" s="7" t="n">
        <v>719.84</v>
      </c>
      <c r="R31" s="7" t="n">
        <v>719.84</v>
      </c>
      <c r="S31" s="7" t="n">
        <v>719.84</v>
      </c>
      <c r="T31" s="7" t="n">
        <v>719.84</v>
      </c>
      <c r="U31" s="7" t="n">
        <v>719.84</v>
      </c>
      <c r="V31" s="7" t="n">
        <v>719.84</v>
      </c>
      <c r="W31" s="7" t="n">
        <v>719.84</v>
      </c>
      <c r="X31" s="7" t="n">
        <v>719.84</v>
      </c>
      <c r="Y31" s="7" t="n">
        <v>719.84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204</v>
      </c>
      <c r="B32" s="8" t="s">
        <v>205</v>
      </c>
      <c r="C32" s="8" t="s">
        <v>206</v>
      </c>
      <c r="D32" s="8" t="s">
        <v>207</v>
      </c>
      <c r="E32" s="8" t="n">
        <v>1980</v>
      </c>
      <c r="F32" s="8" t="s">
        <v>122</v>
      </c>
      <c r="G32" s="8" t="s">
        <v>123</v>
      </c>
      <c r="H32" s="8" t="s">
        <v>208</v>
      </c>
      <c r="I32" s="8" t="s">
        <v>47</v>
      </c>
      <c r="J32" s="9" t="n">
        <v>1185000</v>
      </c>
      <c r="K32" s="8" t="s">
        <v>63</v>
      </c>
      <c r="L32" s="9" t="n">
        <v>17524.32</v>
      </c>
      <c r="M32" s="9" t="n">
        <v>2190.54</v>
      </c>
      <c r="N32" s="9" t="n">
        <v>2190.54</v>
      </c>
      <c r="O32" s="9" t="n">
        <v>13143.2</v>
      </c>
      <c r="P32" s="9" t="n">
        <v>1314.32</v>
      </c>
      <c r="Q32" s="9" t="n">
        <v>1314.32</v>
      </c>
      <c r="R32" s="9" t="n">
        <v>1314.32</v>
      </c>
      <c r="S32" s="9" t="n">
        <v>1314.32</v>
      </c>
      <c r="T32" s="9" t="n">
        <v>1314.32</v>
      </c>
      <c r="U32" s="9" t="n">
        <v>1314.32</v>
      </c>
      <c r="V32" s="9" t="n">
        <v>1314.32</v>
      </c>
      <c r="W32" s="9" t="n">
        <v>1314.32</v>
      </c>
      <c r="X32" s="9" t="n">
        <v>1314.32</v>
      </c>
      <c r="Y32" s="9" t="n">
        <v>1314.32</v>
      </c>
      <c r="Z32" s="9" t="n">
        <v>350</v>
      </c>
      <c r="AA32" s="9" t="n">
        <v>250</v>
      </c>
      <c r="AB32" s="9" t="n">
        <v>600</v>
      </c>
    </row>
    <row r="33" customFormat="false" ht="15" hidden="false" customHeight="false" outlineLevel="0" collapsed="false">
      <c r="A33" s="3" t="s">
        <v>209</v>
      </c>
      <c r="B33" s="3" t="s">
        <v>210</v>
      </c>
      <c r="C33" s="3" t="s">
        <v>148</v>
      </c>
      <c r="D33" s="3" t="s">
        <v>149</v>
      </c>
      <c r="E33" s="3" t="n">
        <v>1980</v>
      </c>
      <c r="F33" s="3" t="s">
        <v>44</v>
      </c>
      <c r="G33" s="3" t="s">
        <v>45</v>
      </c>
      <c r="H33" s="3" t="s">
        <v>211</v>
      </c>
      <c r="I33" s="3" t="s">
        <v>47</v>
      </c>
      <c r="J33" s="7" t="n">
        <v>595000</v>
      </c>
      <c r="K33" s="3" t="s">
        <v>212</v>
      </c>
      <c r="L33" s="7" t="n">
        <v>8721.72</v>
      </c>
      <c r="M33" s="7" t="n">
        <v>1090.21</v>
      </c>
      <c r="N33" s="7" t="n">
        <v>1090.21</v>
      </c>
      <c r="O33" s="7" t="n">
        <v>6541.3</v>
      </c>
      <c r="P33" s="7" t="n">
        <v>654.13</v>
      </c>
      <c r="Q33" s="7" t="n">
        <v>654.13</v>
      </c>
      <c r="R33" s="7" t="n">
        <v>654.13</v>
      </c>
      <c r="S33" s="7" t="n">
        <v>654.13</v>
      </c>
      <c r="T33" s="7" t="n">
        <v>654.13</v>
      </c>
      <c r="U33" s="7" t="n">
        <v>654.13</v>
      </c>
      <c r="V33" s="7" t="n">
        <v>654.13</v>
      </c>
      <c r="W33" s="7" t="n">
        <v>654.13</v>
      </c>
      <c r="X33" s="7" t="n">
        <v>654.13</v>
      </c>
      <c r="Y33" s="7" t="n">
        <v>654.13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213</v>
      </c>
      <c r="B34" s="8" t="s">
        <v>214</v>
      </c>
      <c r="C34" s="8" t="s">
        <v>148</v>
      </c>
      <c r="D34" s="8" t="s">
        <v>149</v>
      </c>
      <c r="E34" s="8" t="n">
        <v>2021</v>
      </c>
      <c r="F34" s="8" t="s">
        <v>122</v>
      </c>
      <c r="G34" s="8" t="s">
        <v>130</v>
      </c>
      <c r="H34" s="8" t="s">
        <v>215</v>
      </c>
      <c r="I34" s="8" t="s">
        <v>96</v>
      </c>
      <c r="J34" s="9" t="n">
        <v>540000</v>
      </c>
      <c r="K34" s="8" t="s">
        <v>216</v>
      </c>
      <c r="L34" s="9" t="n">
        <v>3866.9</v>
      </c>
      <c r="M34" s="9" t="n">
        <v>483.36</v>
      </c>
      <c r="N34" s="9" t="n">
        <v>483.36</v>
      </c>
      <c r="O34" s="9" t="n">
        <v>2900.2</v>
      </c>
      <c r="P34" s="9" t="n">
        <v>290.02</v>
      </c>
      <c r="Q34" s="9" t="n">
        <v>290.02</v>
      </c>
      <c r="R34" s="9" t="n">
        <v>290.02</v>
      </c>
      <c r="S34" s="9" t="n">
        <v>290.02</v>
      </c>
      <c r="T34" s="9" t="n">
        <v>290.02</v>
      </c>
      <c r="U34" s="9" t="n">
        <v>290.02</v>
      </c>
      <c r="V34" s="9" t="n">
        <v>290.02</v>
      </c>
      <c r="W34" s="9" t="n">
        <v>290.02</v>
      </c>
      <c r="X34" s="9" t="n">
        <v>290.02</v>
      </c>
      <c r="Y34" s="9" t="n">
        <v>290.02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217</v>
      </c>
      <c r="B35" s="3" t="s">
        <v>218</v>
      </c>
      <c r="C35" s="3" t="s">
        <v>78</v>
      </c>
      <c r="D35" s="3" t="s">
        <v>79</v>
      </c>
      <c r="E35" s="3" t="n">
        <v>2015</v>
      </c>
      <c r="F35" s="3" t="s">
        <v>60</v>
      </c>
      <c r="G35" s="3" t="s">
        <v>61</v>
      </c>
      <c r="H35" s="3" t="s">
        <v>219</v>
      </c>
      <c r="I35" s="3" t="s">
        <v>47</v>
      </c>
      <c r="J35" s="7" t="n">
        <v>145000</v>
      </c>
      <c r="K35" s="3" t="s">
        <v>117</v>
      </c>
      <c r="L35" s="7" t="n">
        <v>2661.23</v>
      </c>
      <c r="M35" s="7" t="n">
        <v>332.65</v>
      </c>
      <c r="N35" s="7" t="n">
        <v>332.65</v>
      </c>
      <c r="O35" s="7" t="n">
        <v>1995.9</v>
      </c>
      <c r="P35" s="7" t="n">
        <v>199.59</v>
      </c>
      <c r="Q35" s="7" t="n">
        <v>199.59</v>
      </c>
      <c r="R35" s="7" t="n">
        <v>199.59</v>
      </c>
      <c r="S35" s="7" t="n">
        <v>199.59</v>
      </c>
      <c r="T35" s="7" t="n">
        <v>199.59</v>
      </c>
      <c r="U35" s="7" t="n">
        <v>199.59</v>
      </c>
      <c r="V35" s="7" t="n">
        <v>199.59</v>
      </c>
      <c r="W35" s="7" t="n">
        <v>199.59</v>
      </c>
      <c r="X35" s="7" t="n">
        <v>199.59</v>
      </c>
      <c r="Y35" s="7" t="n">
        <v>199.59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220</v>
      </c>
      <c r="B36" s="8" t="s">
        <v>191</v>
      </c>
      <c r="C36" s="8" t="s">
        <v>42</v>
      </c>
      <c r="D36" s="8" t="s">
        <v>43</v>
      </c>
      <c r="E36" s="8" t="n">
        <v>2014</v>
      </c>
      <c r="F36" s="8" t="s">
        <v>114</v>
      </c>
      <c r="G36" s="8" t="s">
        <v>115</v>
      </c>
      <c r="H36" s="8" t="s">
        <v>221</v>
      </c>
      <c r="I36" s="8" t="s">
        <v>47</v>
      </c>
      <c r="J36" s="9" t="n">
        <v>260000</v>
      </c>
      <c r="K36" s="8" t="s">
        <v>222</v>
      </c>
      <c r="L36" s="9" t="n">
        <v>3213.56</v>
      </c>
      <c r="M36" s="9" t="n">
        <v>401.69</v>
      </c>
      <c r="N36" s="9" t="n">
        <v>401.69</v>
      </c>
      <c r="O36" s="9" t="n">
        <v>2410.2</v>
      </c>
      <c r="P36" s="9" t="n">
        <v>241.02</v>
      </c>
      <c r="Q36" s="9" t="n">
        <v>241.02</v>
      </c>
      <c r="R36" s="9" t="n">
        <v>241.02</v>
      </c>
      <c r="S36" s="9" t="n">
        <v>241.02</v>
      </c>
      <c r="T36" s="9" t="n">
        <v>241.02</v>
      </c>
      <c r="U36" s="9" t="n">
        <v>241.02</v>
      </c>
      <c r="V36" s="9" t="n">
        <v>241.02</v>
      </c>
      <c r="W36" s="9" t="n">
        <v>241.02</v>
      </c>
      <c r="X36" s="9" t="n">
        <v>241.02</v>
      </c>
      <c r="Y36" s="9" t="n">
        <v>241.02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223</v>
      </c>
      <c r="B37" s="3" t="s">
        <v>224</v>
      </c>
      <c r="C37" s="3" t="s">
        <v>141</v>
      </c>
      <c r="D37" s="3" t="s">
        <v>142</v>
      </c>
      <c r="E37" s="3" t="n">
        <v>2014</v>
      </c>
      <c r="F37" s="3" t="s">
        <v>68</v>
      </c>
      <c r="G37" s="3" t="s">
        <v>69</v>
      </c>
      <c r="H37" s="3" t="s">
        <v>225</v>
      </c>
      <c r="I37" s="3" t="s">
        <v>47</v>
      </c>
      <c r="J37" s="7" t="n">
        <v>455000</v>
      </c>
      <c r="K37" s="3" t="s">
        <v>226</v>
      </c>
      <c r="L37" s="7" t="n">
        <v>6393.3</v>
      </c>
      <c r="M37" s="7" t="n">
        <v>799.16</v>
      </c>
      <c r="N37" s="7" t="n">
        <v>799.16</v>
      </c>
      <c r="O37" s="7" t="n">
        <v>4795</v>
      </c>
      <c r="P37" s="7" t="n">
        <v>479.5</v>
      </c>
      <c r="Q37" s="7" t="n">
        <v>479.5</v>
      </c>
      <c r="R37" s="7" t="n">
        <v>479.5</v>
      </c>
      <c r="S37" s="7" t="n">
        <v>479.5</v>
      </c>
      <c r="T37" s="7" t="n">
        <v>479.5</v>
      </c>
      <c r="U37" s="7" t="n">
        <v>479.5</v>
      </c>
      <c r="V37" s="7" t="n">
        <v>479.5</v>
      </c>
      <c r="W37" s="7" t="n">
        <v>479.5</v>
      </c>
      <c r="X37" s="7" t="n">
        <v>479.5</v>
      </c>
      <c r="Y37" s="7" t="n">
        <v>479.5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227</v>
      </c>
      <c r="B38" s="8" t="s">
        <v>228</v>
      </c>
      <c r="C38" s="8" t="s">
        <v>229</v>
      </c>
      <c r="D38" s="8" t="s">
        <v>230</v>
      </c>
      <c r="E38" s="8" t="n">
        <v>1959</v>
      </c>
      <c r="F38" s="8" t="s">
        <v>231</v>
      </c>
      <c r="G38" s="8" t="s">
        <v>232</v>
      </c>
      <c r="H38" s="8" t="s">
        <v>233</v>
      </c>
      <c r="I38" s="8" t="s">
        <v>89</v>
      </c>
      <c r="J38" s="9" t="n">
        <v>1025000</v>
      </c>
      <c r="K38" s="8" t="s">
        <v>234</v>
      </c>
      <c r="L38" s="9" t="n">
        <v>12944.46</v>
      </c>
      <c r="M38" s="9" t="n">
        <v>1618.06</v>
      </c>
      <c r="N38" s="9" t="n">
        <v>1618.06</v>
      </c>
      <c r="O38" s="9" t="n">
        <v>9708.3</v>
      </c>
      <c r="P38" s="9" t="n">
        <v>970.83</v>
      </c>
      <c r="Q38" s="9" t="n">
        <v>970.83</v>
      </c>
      <c r="R38" s="9" t="n">
        <v>970.83</v>
      </c>
      <c r="S38" s="9" t="n">
        <v>970.83</v>
      </c>
      <c r="T38" s="9" t="n">
        <v>970.83</v>
      </c>
      <c r="U38" s="9" t="n">
        <v>970.83</v>
      </c>
      <c r="V38" s="9" t="n">
        <v>970.83</v>
      </c>
      <c r="W38" s="9" t="n">
        <v>970.83</v>
      </c>
      <c r="X38" s="9" t="n">
        <v>970.83</v>
      </c>
      <c r="Y38" s="9" t="n">
        <v>970.83</v>
      </c>
      <c r="Z38" s="9" t="n">
        <v>350</v>
      </c>
      <c r="AA38" s="9" t="n">
        <v>250</v>
      </c>
      <c r="AB38" s="9" t="n">
        <v>600</v>
      </c>
    </row>
    <row r="39" customFormat="false" ht="15" hidden="false" customHeight="false" outlineLevel="0" collapsed="false">
      <c r="A39" s="3" t="s">
        <v>235</v>
      </c>
      <c r="B39" s="3" t="s">
        <v>236</v>
      </c>
      <c r="C39" s="3" t="s">
        <v>66</v>
      </c>
      <c r="D39" s="3" t="s">
        <v>67</v>
      </c>
      <c r="E39" s="3" t="n">
        <v>2021</v>
      </c>
      <c r="F39" s="3" t="s">
        <v>122</v>
      </c>
      <c r="G39" s="3" t="s">
        <v>123</v>
      </c>
      <c r="H39" s="3" t="s">
        <v>237</v>
      </c>
      <c r="I39" s="3" t="s">
        <v>47</v>
      </c>
      <c r="J39" s="7" t="n">
        <v>380000</v>
      </c>
      <c r="K39" s="3" t="s">
        <v>171</v>
      </c>
      <c r="L39" s="7" t="n">
        <v>6674.32</v>
      </c>
      <c r="M39" s="7" t="n">
        <v>834.29</v>
      </c>
      <c r="N39" s="7" t="n">
        <v>834.29</v>
      </c>
      <c r="O39" s="7" t="n">
        <v>5005.7</v>
      </c>
      <c r="P39" s="7" t="n">
        <v>500.57</v>
      </c>
      <c r="Q39" s="7" t="n">
        <v>500.57</v>
      </c>
      <c r="R39" s="7" t="n">
        <v>500.57</v>
      </c>
      <c r="S39" s="7" t="n">
        <v>500.57</v>
      </c>
      <c r="T39" s="7" t="n">
        <v>500.57</v>
      </c>
      <c r="U39" s="7" t="n">
        <v>500.57</v>
      </c>
      <c r="V39" s="7" t="n">
        <v>500.57</v>
      </c>
      <c r="W39" s="7" t="n">
        <v>500.57</v>
      </c>
      <c r="X39" s="7" t="n">
        <v>500.57</v>
      </c>
      <c r="Y39" s="7" t="n">
        <v>500.57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238</v>
      </c>
      <c r="B40" s="8" t="s">
        <v>239</v>
      </c>
      <c r="C40" s="8" t="s">
        <v>78</v>
      </c>
      <c r="D40" s="8" t="s">
        <v>79</v>
      </c>
      <c r="E40" s="8" t="n">
        <v>1975</v>
      </c>
      <c r="F40" s="8" t="s">
        <v>86</v>
      </c>
      <c r="G40" s="8" t="s">
        <v>136</v>
      </c>
      <c r="H40" s="8" t="s">
        <v>240</v>
      </c>
      <c r="I40" s="8" t="s">
        <v>89</v>
      </c>
      <c r="J40" s="9" t="n">
        <v>1720000</v>
      </c>
      <c r="K40" s="8" t="s">
        <v>71</v>
      </c>
      <c r="L40" s="9" t="n">
        <v>30553.22</v>
      </c>
      <c r="M40" s="9" t="n">
        <v>3819.15</v>
      </c>
      <c r="N40" s="9" t="n">
        <v>3819.15</v>
      </c>
      <c r="O40" s="9" t="n">
        <v>22914.9</v>
      </c>
      <c r="P40" s="9" t="n">
        <v>2291.49</v>
      </c>
      <c r="Q40" s="9" t="n">
        <v>2291.49</v>
      </c>
      <c r="R40" s="9" t="n">
        <v>2291.49</v>
      </c>
      <c r="S40" s="9" t="n">
        <v>2291.49</v>
      </c>
      <c r="T40" s="9" t="n">
        <v>2291.49</v>
      </c>
      <c r="U40" s="9" t="n">
        <v>2291.49</v>
      </c>
      <c r="V40" s="9" t="n">
        <v>2291.49</v>
      </c>
      <c r="W40" s="9" t="n">
        <v>2291.49</v>
      </c>
      <c r="X40" s="9" t="n">
        <v>2291.49</v>
      </c>
      <c r="Y40" s="9" t="n">
        <v>2291.49</v>
      </c>
      <c r="Z40" s="9" t="n">
        <v>350</v>
      </c>
      <c r="AA40" s="9" t="n">
        <v>250</v>
      </c>
      <c r="AB40" s="9" t="n">
        <v>600</v>
      </c>
    </row>
    <row r="41" customFormat="false" ht="15" hidden="false" customHeight="false" outlineLevel="0" collapsed="false">
      <c r="A41" s="3" t="s">
        <v>241</v>
      </c>
      <c r="B41" s="3" t="s">
        <v>191</v>
      </c>
      <c r="C41" s="3" t="s">
        <v>51</v>
      </c>
      <c r="D41" s="3" t="s">
        <v>52</v>
      </c>
      <c r="E41" s="3" t="n">
        <v>1957</v>
      </c>
      <c r="F41" s="3" t="s">
        <v>68</v>
      </c>
      <c r="G41" s="3" t="s">
        <v>69</v>
      </c>
      <c r="H41" s="3" t="s">
        <v>242</v>
      </c>
      <c r="I41" s="3" t="s">
        <v>47</v>
      </c>
      <c r="J41" s="7" t="n">
        <v>160000</v>
      </c>
      <c r="K41" s="3" t="s">
        <v>243</v>
      </c>
      <c r="L41" s="7" t="n">
        <v>3268.49</v>
      </c>
      <c r="M41" s="7" t="n">
        <v>408.56</v>
      </c>
      <c r="N41" s="7" t="n">
        <v>408.56</v>
      </c>
      <c r="O41" s="7" t="n">
        <v>2451.4</v>
      </c>
      <c r="P41" s="7" t="n">
        <v>245.14</v>
      </c>
      <c r="Q41" s="7" t="n">
        <v>245.14</v>
      </c>
      <c r="R41" s="7" t="n">
        <v>245.14</v>
      </c>
      <c r="S41" s="7" t="n">
        <v>245.14</v>
      </c>
      <c r="T41" s="7" t="n">
        <v>245.14</v>
      </c>
      <c r="U41" s="7" t="n">
        <v>245.14</v>
      </c>
      <c r="V41" s="7" t="n">
        <v>245.14</v>
      </c>
      <c r="W41" s="7" t="n">
        <v>245.14</v>
      </c>
      <c r="X41" s="7" t="n">
        <v>245.14</v>
      </c>
      <c r="Y41" s="7" t="n">
        <v>245.14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244</v>
      </c>
      <c r="B42" s="8" t="s">
        <v>245</v>
      </c>
      <c r="C42" s="8" t="s">
        <v>120</v>
      </c>
      <c r="D42" s="8" t="s">
        <v>121</v>
      </c>
      <c r="E42" s="8" t="n">
        <v>1983</v>
      </c>
      <c r="F42" s="8" t="s">
        <v>114</v>
      </c>
      <c r="G42" s="8" t="s">
        <v>115</v>
      </c>
      <c r="H42" s="8" t="s">
        <v>246</v>
      </c>
      <c r="I42" s="8" t="s">
        <v>47</v>
      </c>
      <c r="J42" s="9" t="n">
        <v>525000</v>
      </c>
      <c r="K42" s="8" t="s">
        <v>90</v>
      </c>
      <c r="L42" s="9" t="n">
        <v>6807.68</v>
      </c>
      <c r="M42" s="9" t="n">
        <v>850.96</v>
      </c>
      <c r="N42" s="9" t="n">
        <v>850.96</v>
      </c>
      <c r="O42" s="9" t="n">
        <v>5105.8</v>
      </c>
      <c r="P42" s="9" t="n">
        <v>510.58</v>
      </c>
      <c r="Q42" s="9" t="n">
        <v>510.58</v>
      </c>
      <c r="R42" s="9" t="n">
        <v>510.58</v>
      </c>
      <c r="S42" s="9" t="n">
        <v>510.58</v>
      </c>
      <c r="T42" s="9" t="n">
        <v>510.58</v>
      </c>
      <c r="U42" s="9" t="n">
        <v>510.58</v>
      </c>
      <c r="V42" s="9" t="n">
        <v>510.58</v>
      </c>
      <c r="W42" s="9" t="n">
        <v>510.58</v>
      </c>
      <c r="X42" s="9" t="n">
        <v>510.58</v>
      </c>
      <c r="Y42" s="9" t="n">
        <v>510.58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247</v>
      </c>
      <c r="B43" s="3" t="s">
        <v>248</v>
      </c>
      <c r="C43" s="3" t="s">
        <v>112</v>
      </c>
      <c r="D43" s="3" t="s">
        <v>113</v>
      </c>
      <c r="E43" s="3" t="n">
        <v>1977</v>
      </c>
      <c r="F43" s="3" t="s">
        <v>100</v>
      </c>
      <c r="G43" s="3" t="s">
        <v>101</v>
      </c>
      <c r="H43" s="3" t="s">
        <v>249</v>
      </c>
      <c r="I43" s="3" t="s">
        <v>103</v>
      </c>
      <c r="J43" s="7" t="n">
        <v>785000</v>
      </c>
      <c r="K43" s="3" t="s">
        <v>250</v>
      </c>
      <c r="L43" s="7" t="n">
        <v>14126.82</v>
      </c>
      <c r="M43" s="7" t="n">
        <v>1765.85</v>
      </c>
      <c r="N43" s="7" t="n">
        <v>1765.85</v>
      </c>
      <c r="O43" s="7" t="n">
        <v>10595.1</v>
      </c>
      <c r="P43" s="7" t="n">
        <v>1059.51</v>
      </c>
      <c r="Q43" s="7" t="n">
        <v>1059.51</v>
      </c>
      <c r="R43" s="7" t="n">
        <v>1059.51</v>
      </c>
      <c r="S43" s="7" t="n">
        <v>1059.51</v>
      </c>
      <c r="T43" s="7" t="n">
        <v>1059.51</v>
      </c>
      <c r="U43" s="7" t="n">
        <v>1059.51</v>
      </c>
      <c r="V43" s="7" t="n">
        <v>1059.51</v>
      </c>
      <c r="W43" s="7" t="n">
        <v>1059.51</v>
      </c>
      <c r="X43" s="7" t="n">
        <v>1059.51</v>
      </c>
      <c r="Y43" s="7" t="n">
        <v>1059.51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251</v>
      </c>
      <c r="B44" s="8" t="s">
        <v>252</v>
      </c>
      <c r="C44" s="8" t="s">
        <v>84</v>
      </c>
      <c r="D44" s="8" t="s">
        <v>85</v>
      </c>
      <c r="E44" s="8" t="n">
        <v>1975</v>
      </c>
      <c r="F44" s="8" t="s">
        <v>231</v>
      </c>
      <c r="G44" s="8" t="s">
        <v>232</v>
      </c>
      <c r="H44" s="8" t="s">
        <v>253</v>
      </c>
      <c r="I44" s="8" t="s">
        <v>89</v>
      </c>
      <c r="J44" s="9" t="n">
        <v>1345000</v>
      </c>
      <c r="K44" s="8" t="s">
        <v>254</v>
      </c>
      <c r="L44" s="9" t="n">
        <v>24638.53</v>
      </c>
      <c r="M44" s="9" t="n">
        <v>3079.82</v>
      </c>
      <c r="N44" s="9" t="n">
        <v>3079.82</v>
      </c>
      <c r="O44" s="9" t="n">
        <v>18478.9</v>
      </c>
      <c r="P44" s="9" t="n">
        <v>1847.89</v>
      </c>
      <c r="Q44" s="9" t="n">
        <v>1847.89</v>
      </c>
      <c r="R44" s="9" t="n">
        <v>1847.89</v>
      </c>
      <c r="S44" s="9" t="n">
        <v>1847.89</v>
      </c>
      <c r="T44" s="9" t="n">
        <v>1847.89</v>
      </c>
      <c r="U44" s="9" t="n">
        <v>1847.89</v>
      </c>
      <c r="V44" s="9" t="n">
        <v>1847.89</v>
      </c>
      <c r="W44" s="9" t="n">
        <v>1847.89</v>
      </c>
      <c r="X44" s="9" t="n">
        <v>1847.89</v>
      </c>
      <c r="Y44" s="9" t="n">
        <v>1847.89</v>
      </c>
      <c r="Z44" s="9" t="n">
        <v>350</v>
      </c>
      <c r="AA44" s="9" t="n">
        <v>250</v>
      </c>
      <c r="AB44" s="9" t="n">
        <v>600</v>
      </c>
    </row>
    <row r="45" customFormat="false" ht="15" hidden="false" customHeight="false" outlineLevel="0" collapsed="false">
      <c r="A45" s="3" t="s">
        <v>255</v>
      </c>
      <c r="B45" s="3" t="s">
        <v>256</v>
      </c>
      <c r="C45" s="3" t="s">
        <v>134</v>
      </c>
      <c r="D45" s="3" t="s">
        <v>135</v>
      </c>
      <c r="E45" s="3" t="n">
        <v>2009</v>
      </c>
      <c r="F45" s="3" t="s">
        <v>68</v>
      </c>
      <c r="G45" s="3" t="s">
        <v>69</v>
      </c>
      <c r="H45" s="3" t="s">
        <v>257</v>
      </c>
      <c r="I45" s="3" t="s">
        <v>47</v>
      </c>
      <c r="J45" s="7" t="n">
        <v>1505000</v>
      </c>
      <c r="K45" s="3" t="s">
        <v>258</v>
      </c>
      <c r="L45" s="7" t="n">
        <v>13928.35</v>
      </c>
      <c r="M45" s="7" t="n">
        <v>1741.04</v>
      </c>
      <c r="N45" s="7" t="n">
        <v>1741.04</v>
      </c>
      <c r="O45" s="7" t="n">
        <v>10446.3</v>
      </c>
      <c r="P45" s="7" t="n">
        <v>1044.63</v>
      </c>
      <c r="Q45" s="7" t="n">
        <v>1044.63</v>
      </c>
      <c r="R45" s="7" t="n">
        <v>1044.63</v>
      </c>
      <c r="S45" s="7" t="n">
        <v>1044.63</v>
      </c>
      <c r="T45" s="7" t="n">
        <v>1044.63</v>
      </c>
      <c r="U45" s="7" t="n">
        <v>1044.63</v>
      </c>
      <c r="V45" s="7" t="n">
        <v>1044.63</v>
      </c>
      <c r="W45" s="7" t="n">
        <v>1044.63</v>
      </c>
      <c r="X45" s="7" t="n">
        <v>1044.63</v>
      </c>
      <c r="Y45" s="7" t="n">
        <v>1044.63</v>
      </c>
      <c r="Z45" s="7" t="n">
        <v>350</v>
      </c>
      <c r="AA45" s="7" t="n">
        <v>250</v>
      </c>
      <c r="AB45" s="7" t="n">
        <v>600</v>
      </c>
    </row>
    <row r="46" customFormat="false" ht="15" hidden="false" customHeight="false" outlineLevel="0" collapsed="false">
      <c r="A46" s="8" t="s">
        <v>259</v>
      </c>
      <c r="B46" s="8" t="s">
        <v>260</v>
      </c>
      <c r="C46" s="8" t="s">
        <v>261</v>
      </c>
      <c r="D46" s="8" t="s">
        <v>262</v>
      </c>
      <c r="E46" s="8" t="n">
        <v>1987</v>
      </c>
      <c r="F46" s="8" t="s">
        <v>114</v>
      </c>
      <c r="G46" s="8" t="s">
        <v>115</v>
      </c>
      <c r="H46" s="8" t="s">
        <v>263</v>
      </c>
      <c r="I46" s="8" t="s">
        <v>47</v>
      </c>
      <c r="J46" s="9" t="n">
        <v>595000</v>
      </c>
      <c r="K46" s="8" t="s">
        <v>193</v>
      </c>
      <c r="L46" s="9" t="n">
        <v>9258.44</v>
      </c>
      <c r="M46" s="9" t="n">
        <v>1157.31</v>
      </c>
      <c r="N46" s="9" t="n">
        <v>1157.31</v>
      </c>
      <c r="O46" s="9" t="n">
        <v>6943.8</v>
      </c>
      <c r="P46" s="9" t="n">
        <v>694.38</v>
      </c>
      <c r="Q46" s="9" t="n">
        <v>694.38</v>
      </c>
      <c r="R46" s="9" t="n">
        <v>694.38</v>
      </c>
      <c r="S46" s="9" t="n">
        <v>694.38</v>
      </c>
      <c r="T46" s="9" t="n">
        <v>694.38</v>
      </c>
      <c r="U46" s="9" t="n">
        <v>694.38</v>
      </c>
      <c r="V46" s="9" t="n">
        <v>694.38</v>
      </c>
      <c r="W46" s="9" t="n">
        <v>694.38</v>
      </c>
      <c r="X46" s="9" t="n">
        <v>694.38</v>
      </c>
      <c r="Y46" s="9" t="n">
        <v>694.38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264</v>
      </c>
      <c r="B47" s="3" t="s">
        <v>265</v>
      </c>
      <c r="C47" s="3" t="s">
        <v>152</v>
      </c>
      <c r="D47" s="3" t="s">
        <v>153</v>
      </c>
      <c r="E47" s="3" t="n">
        <v>1958</v>
      </c>
      <c r="F47" s="3" t="s">
        <v>114</v>
      </c>
      <c r="G47" s="3" t="s">
        <v>115</v>
      </c>
      <c r="H47" s="3" t="s">
        <v>266</v>
      </c>
      <c r="I47" s="3" t="s">
        <v>47</v>
      </c>
      <c r="J47" s="7" t="n">
        <v>615000</v>
      </c>
      <c r="K47" s="3" t="s">
        <v>125</v>
      </c>
      <c r="L47" s="7" t="n">
        <v>9847.03</v>
      </c>
      <c r="M47" s="7" t="n">
        <v>1230.88</v>
      </c>
      <c r="N47" s="7" t="n">
        <v>1230.88</v>
      </c>
      <c r="O47" s="7" t="n">
        <v>7385.3</v>
      </c>
      <c r="P47" s="7" t="n">
        <v>738.53</v>
      </c>
      <c r="Q47" s="7" t="n">
        <v>738.53</v>
      </c>
      <c r="R47" s="7" t="n">
        <v>738.53</v>
      </c>
      <c r="S47" s="7" t="n">
        <v>738.53</v>
      </c>
      <c r="T47" s="7" t="n">
        <v>738.53</v>
      </c>
      <c r="U47" s="7" t="n">
        <v>738.53</v>
      </c>
      <c r="V47" s="7" t="n">
        <v>738.53</v>
      </c>
      <c r="W47" s="7" t="n">
        <v>738.53</v>
      </c>
      <c r="X47" s="7" t="n">
        <v>738.53</v>
      </c>
      <c r="Y47" s="7" t="n">
        <v>738.53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267</v>
      </c>
      <c r="B48" s="8" t="s">
        <v>198</v>
      </c>
      <c r="C48" s="8" t="s">
        <v>229</v>
      </c>
      <c r="D48" s="8" t="s">
        <v>230</v>
      </c>
      <c r="E48" s="8" t="n">
        <v>1983</v>
      </c>
      <c r="F48" s="8" t="s">
        <v>44</v>
      </c>
      <c r="G48" s="8" t="s">
        <v>45</v>
      </c>
      <c r="H48" s="8" t="s">
        <v>268</v>
      </c>
      <c r="I48" s="8" t="s">
        <v>47</v>
      </c>
      <c r="J48" s="9" t="n">
        <v>680000</v>
      </c>
      <c r="K48" s="8" t="s">
        <v>250</v>
      </c>
      <c r="L48" s="9" t="n">
        <v>10197.71</v>
      </c>
      <c r="M48" s="9" t="n">
        <v>1274.71</v>
      </c>
      <c r="N48" s="9" t="n">
        <v>1274.71</v>
      </c>
      <c r="O48" s="9" t="n">
        <v>7648.3</v>
      </c>
      <c r="P48" s="9" t="n">
        <v>764.83</v>
      </c>
      <c r="Q48" s="9" t="n">
        <v>764.83</v>
      </c>
      <c r="R48" s="9" t="n">
        <v>764.83</v>
      </c>
      <c r="S48" s="9" t="n">
        <v>764.83</v>
      </c>
      <c r="T48" s="9" t="n">
        <v>764.83</v>
      </c>
      <c r="U48" s="9" t="n">
        <v>764.83</v>
      </c>
      <c r="V48" s="9" t="n">
        <v>764.83</v>
      </c>
      <c r="W48" s="9" t="n">
        <v>764.83</v>
      </c>
      <c r="X48" s="9" t="n">
        <v>764.83</v>
      </c>
      <c r="Y48" s="9" t="n">
        <v>764.83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269</v>
      </c>
      <c r="B49" s="3" t="s">
        <v>270</v>
      </c>
      <c r="C49" s="3" t="s">
        <v>120</v>
      </c>
      <c r="D49" s="3" t="s">
        <v>121</v>
      </c>
      <c r="E49" s="3" t="n">
        <v>1958</v>
      </c>
      <c r="F49" s="3" t="s">
        <v>44</v>
      </c>
      <c r="G49" s="3" t="s">
        <v>45</v>
      </c>
      <c r="H49" s="3" t="s">
        <v>271</v>
      </c>
      <c r="I49" s="3" t="s">
        <v>47</v>
      </c>
      <c r="J49" s="7" t="n">
        <v>550000</v>
      </c>
      <c r="K49" s="3" t="s">
        <v>250</v>
      </c>
      <c r="L49" s="7" t="n">
        <v>8248.15</v>
      </c>
      <c r="M49" s="7" t="n">
        <v>1031.02</v>
      </c>
      <c r="N49" s="7" t="n">
        <v>1031.02</v>
      </c>
      <c r="O49" s="7" t="n">
        <v>6186.1</v>
      </c>
      <c r="P49" s="7" t="n">
        <v>618.61</v>
      </c>
      <c r="Q49" s="7" t="n">
        <v>618.61</v>
      </c>
      <c r="R49" s="7" t="n">
        <v>618.61</v>
      </c>
      <c r="S49" s="7" t="n">
        <v>618.61</v>
      </c>
      <c r="T49" s="7" t="n">
        <v>618.61</v>
      </c>
      <c r="U49" s="7" t="n">
        <v>618.61</v>
      </c>
      <c r="V49" s="7" t="n">
        <v>618.61</v>
      </c>
      <c r="W49" s="7" t="n">
        <v>618.61</v>
      </c>
      <c r="X49" s="7" t="n">
        <v>618.61</v>
      </c>
      <c r="Y49" s="7" t="n">
        <v>618.61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272</v>
      </c>
      <c r="B50" s="8" t="s">
        <v>273</v>
      </c>
      <c r="C50" s="8" t="s">
        <v>274</v>
      </c>
      <c r="D50" s="8" t="s">
        <v>275</v>
      </c>
      <c r="E50" s="8" t="n">
        <v>1978</v>
      </c>
      <c r="F50" s="8" t="s">
        <v>53</v>
      </c>
      <c r="G50" s="8" t="s">
        <v>54</v>
      </c>
      <c r="H50" s="8" t="s">
        <v>276</v>
      </c>
      <c r="I50" s="8" t="s">
        <v>47</v>
      </c>
      <c r="J50" s="9" t="n">
        <v>360000</v>
      </c>
      <c r="K50" s="8" t="s">
        <v>277</v>
      </c>
      <c r="L50" s="9" t="n">
        <v>5292.62</v>
      </c>
      <c r="M50" s="9" t="n">
        <v>661.58</v>
      </c>
      <c r="N50" s="9" t="n">
        <v>661.58</v>
      </c>
      <c r="O50" s="9" t="n">
        <v>3969.5</v>
      </c>
      <c r="P50" s="9" t="n">
        <v>396.95</v>
      </c>
      <c r="Q50" s="9" t="n">
        <v>396.95</v>
      </c>
      <c r="R50" s="9" t="n">
        <v>396.95</v>
      </c>
      <c r="S50" s="9" t="n">
        <v>396.95</v>
      </c>
      <c r="T50" s="9" t="n">
        <v>396.95</v>
      </c>
      <c r="U50" s="9" t="n">
        <v>396.95</v>
      </c>
      <c r="V50" s="9" t="n">
        <v>396.95</v>
      </c>
      <c r="W50" s="9" t="n">
        <v>396.95</v>
      </c>
      <c r="X50" s="9" t="n">
        <v>396.95</v>
      </c>
      <c r="Y50" s="9" t="n">
        <v>396.95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278</v>
      </c>
      <c r="B51" s="3" t="s">
        <v>279</v>
      </c>
      <c r="C51" s="3" t="s">
        <v>141</v>
      </c>
      <c r="D51" s="3" t="s">
        <v>142</v>
      </c>
      <c r="E51" s="3" t="n">
        <v>2000</v>
      </c>
      <c r="F51" s="3" t="s">
        <v>68</v>
      </c>
      <c r="G51" s="3" t="s">
        <v>69</v>
      </c>
      <c r="H51" s="3" t="s">
        <v>280</v>
      </c>
      <c r="I51" s="3" t="s">
        <v>47</v>
      </c>
      <c r="J51" s="7" t="n">
        <v>1600000</v>
      </c>
      <c r="K51" s="3" t="s">
        <v>71</v>
      </c>
      <c r="L51" s="7" t="n">
        <v>19539.85</v>
      </c>
      <c r="M51" s="7" t="n">
        <v>2442.48</v>
      </c>
      <c r="N51" s="7" t="n">
        <v>2442.48</v>
      </c>
      <c r="O51" s="7" t="n">
        <v>14654.9</v>
      </c>
      <c r="P51" s="7" t="n">
        <v>1465.49</v>
      </c>
      <c r="Q51" s="7" t="n">
        <v>1465.49</v>
      </c>
      <c r="R51" s="7" t="n">
        <v>1465.49</v>
      </c>
      <c r="S51" s="7" t="n">
        <v>1465.49</v>
      </c>
      <c r="T51" s="7" t="n">
        <v>1465.49</v>
      </c>
      <c r="U51" s="7" t="n">
        <v>1465.49</v>
      </c>
      <c r="V51" s="7" t="n">
        <v>1465.49</v>
      </c>
      <c r="W51" s="7" t="n">
        <v>1465.49</v>
      </c>
      <c r="X51" s="7" t="n">
        <v>1465.49</v>
      </c>
      <c r="Y51" s="7" t="n">
        <v>1465.49</v>
      </c>
      <c r="Z51" s="7" t="n">
        <v>350</v>
      </c>
      <c r="AA51" s="7" t="n">
        <v>250</v>
      </c>
      <c r="AB51" s="7" t="n">
        <v>600</v>
      </c>
    </row>
    <row r="52" customFormat="false" ht="15" hidden="false" customHeight="false" outlineLevel="0" collapsed="false">
      <c r="A52" s="8" t="s">
        <v>281</v>
      </c>
      <c r="B52" s="8" t="s">
        <v>282</v>
      </c>
      <c r="C52" s="8" t="s">
        <v>283</v>
      </c>
      <c r="D52" s="8" t="s">
        <v>284</v>
      </c>
      <c r="E52" s="8" t="n">
        <v>1975</v>
      </c>
      <c r="F52" s="8" t="s">
        <v>44</v>
      </c>
      <c r="G52" s="8" t="s">
        <v>45</v>
      </c>
      <c r="H52" s="8" t="s">
        <v>285</v>
      </c>
      <c r="I52" s="8" t="s">
        <v>47</v>
      </c>
      <c r="J52" s="9" t="n">
        <v>540000</v>
      </c>
      <c r="K52" s="8" t="s">
        <v>109</v>
      </c>
      <c r="L52" s="9" t="n">
        <v>6088.86</v>
      </c>
      <c r="M52" s="9" t="n">
        <v>761.11</v>
      </c>
      <c r="N52" s="9" t="n">
        <v>761.11</v>
      </c>
      <c r="O52" s="9" t="n">
        <v>4566.6</v>
      </c>
      <c r="P52" s="9" t="n">
        <v>456.66</v>
      </c>
      <c r="Q52" s="9" t="n">
        <v>456.66</v>
      </c>
      <c r="R52" s="9" t="n">
        <v>456.66</v>
      </c>
      <c r="S52" s="9" t="n">
        <v>456.66</v>
      </c>
      <c r="T52" s="9" t="n">
        <v>456.66</v>
      </c>
      <c r="U52" s="9" t="n">
        <v>456.66</v>
      </c>
      <c r="V52" s="9" t="n">
        <v>456.66</v>
      </c>
      <c r="W52" s="9" t="n">
        <v>456.66</v>
      </c>
      <c r="X52" s="9" t="n">
        <v>456.66</v>
      </c>
      <c r="Y52" s="9" t="n">
        <v>456.66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286</v>
      </c>
      <c r="B53" s="3" t="s">
        <v>287</v>
      </c>
      <c r="C53" s="3" t="s">
        <v>288</v>
      </c>
      <c r="D53" s="3" t="s">
        <v>289</v>
      </c>
      <c r="E53" s="3" t="n">
        <v>1970</v>
      </c>
      <c r="F53" s="3" t="s">
        <v>93</v>
      </c>
      <c r="G53" s="3" t="s">
        <v>94</v>
      </c>
      <c r="H53" s="3" t="s">
        <v>290</v>
      </c>
      <c r="I53" s="3" t="s">
        <v>96</v>
      </c>
      <c r="J53" s="7" t="n">
        <v>425000</v>
      </c>
      <c r="K53" s="3" t="s">
        <v>216</v>
      </c>
      <c r="L53" s="7" t="n">
        <v>3397.27</v>
      </c>
      <c r="M53" s="7" t="n">
        <v>424.66</v>
      </c>
      <c r="N53" s="7" t="n">
        <v>424.66</v>
      </c>
      <c r="O53" s="7" t="n">
        <v>2548</v>
      </c>
      <c r="P53" s="7" t="n">
        <v>254.8</v>
      </c>
      <c r="Q53" s="7" t="n">
        <v>254.8</v>
      </c>
      <c r="R53" s="7" t="n">
        <v>254.8</v>
      </c>
      <c r="S53" s="7" t="n">
        <v>254.8</v>
      </c>
      <c r="T53" s="7" t="n">
        <v>254.8</v>
      </c>
      <c r="U53" s="7" t="n">
        <v>254.8</v>
      </c>
      <c r="V53" s="7" t="n">
        <v>254.8</v>
      </c>
      <c r="W53" s="7" t="n">
        <v>254.8</v>
      </c>
      <c r="X53" s="7" t="n">
        <v>254.8</v>
      </c>
      <c r="Y53" s="7" t="n">
        <v>254.8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291</v>
      </c>
      <c r="B54" s="8" t="s">
        <v>292</v>
      </c>
      <c r="C54" s="8" t="s">
        <v>148</v>
      </c>
      <c r="D54" s="8" t="s">
        <v>149</v>
      </c>
      <c r="E54" s="8" t="n">
        <v>1963</v>
      </c>
      <c r="F54" s="8" t="s">
        <v>122</v>
      </c>
      <c r="G54" s="8" t="s">
        <v>123</v>
      </c>
      <c r="H54" s="8" t="s">
        <v>293</v>
      </c>
      <c r="I54" s="8" t="s">
        <v>47</v>
      </c>
      <c r="J54" s="9" t="n">
        <v>485000</v>
      </c>
      <c r="K54" s="8" t="s">
        <v>294</v>
      </c>
      <c r="L54" s="9" t="n">
        <v>6246.94</v>
      </c>
      <c r="M54" s="9" t="n">
        <v>780.87</v>
      </c>
      <c r="N54" s="9" t="n">
        <v>780.87</v>
      </c>
      <c r="O54" s="9" t="n">
        <v>4685.2</v>
      </c>
      <c r="P54" s="9" t="n">
        <v>468.52</v>
      </c>
      <c r="Q54" s="9" t="n">
        <v>468.52</v>
      </c>
      <c r="R54" s="9" t="n">
        <v>468.52</v>
      </c>
      <c r="S54" s="9" t="n">
        <v>468.52</v>
      </c>
      <c r="T54" s="9" t="n">
        <v>468.52</v>
      </c>
      <c r="U54" s="9" t="n">
        <v>468.52</v>
      </c>
      <c r="V54" s="9" t="n">
        <v>468.52</v>
      </c>
      <c r="W54" s="9" t="n">
        <v>468.52</v>
      </c>
      <c r="X54" s="9" t="n">
        <v>468.52</v>
      </c>
      <c r="Y54" s="9" t="n">
        <v>468.52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295</v>
      </c>
      <c r="B55" s="3" t="s">
        <v>296</v>
      </c>
      <c r="C55" s="3" t="s">
        <v>66</v>
      </c>
      <c r="D55" s="3" t="s">
        <v>67</v>
      </c>
      <c r="E55" s="3" t="n">
        <v>2014</v>
      </c>
      <c r="F55" s="3" t="s">
        <v>68</v>
      </c>
      <c r="G55" s="3" t="s">
        <v>69</v>
      </c>
      <c r="H55" s="3" t="s">
        <v>297</v>
      </c>
      <c r="I55" s="3" t="s">
        <v>47</v>
      </c>
      <c r="J55" s="7" t="n">
        <v>415000</v>
      </c>
      <c r="K55" s="3" t="s">
        <v>117</v>
      </c>
      <c r="L55" s="7" t="n">
        <v>6209.2</v>
      </c>
      <c r="M55" s="7" t="n">
        <v>776.15</v>
      </c>
      <c r="N55" s="7" t="n">
        <v>776.15</v>
      </c>
      <c r="O55" s="7" t="n">
        <v>4656.9</v>
      </c>
      <c r="P55" s="7" t="n">
        <v>465.69</v>
      </c>
      <c r="Q55" s="7" t="n">
        <v>465.69</v>
      </c>
      <c r="R55" s="7" t="n">
        <v>465.69</v>
      </c>
      <c r="S55" s="7" t="n">
        <v>465.69</v>
      </c>
      <c r="T55" s="7" t="n">
        <v>465.69</v>
      </c>
      <c r="U55" s="7" t="n">
        <v>465.69</v>
      </c>
      <c r="V55" s="7" t="n">
        <v>465.69</v>
      </c>
      <c r="W55" s="7" t="n">
        <v>465.69</v>
      </c>
      <c r="X55" s="7" t="n">
        <v>465.69</v>
      </c>
      <c r="Y55" s="7" t="n">
        <v>465.69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298</v>
      </c>
      <c r="B56" s="8" t="s">
        <v>73</v>
      </c>
      <c r="C56" s="8" t="s">
        <v>42</v>
      </c>
      <c r="D56" s="8" t="s">
        <v>43</v>
      </c>
      <c r="E56" s="8" t="n">
        <v>2022</v>
      </c>
      <c r="F56" s="8" t="s">
        <v>93</v>
      </c>
      <c r="G56" s="8" t="s">
        <v>94</v>
      </c>
      <c r="H56" s="8" t="s">
        <v>299</v>
      </c>
      <c r="I56" s="8" t="s">
        <v>96</v>
      </c>
      <c r="J56" s="9" t="n">
        <v>515000</v>
      </c>
      <c r="K56" s="8" t="s">
        <v>125</v>
      </c>
      <c r="L56" s="9" t="n">
        <v>5454.97</v>
      </c>
      <c r="M56" s="9" t="n">
        <v>681.87</v>
      </c>
      <c r="N56" s="9" t="n">
        <v>681.87</v>
      </c>
      <c r="O56" s="9" t="n">
        <v>4091.2</v>
      </c>
      <c r="P56" s="9" t="n">
        <v>409.12</v>
      </c>
      <c r="Q56" s="9" t="n">
        <v>409.12</v>
      </c>
      <c r="R56" s="9" t="n">
        <v>409.12</v>
      </c>
      <c r="S56" s="9" t="n">
        <v>409.12</v>
      </c>
      <c r="T56" s="9" t="n">
        <v>409.12</v>
      </c>
      <c r="U56" s="9" t="n">
        <v>409.12</v>
      </c>
      <c r="V56" s="9" t="n">
        <v>409.12</v>
      </c>
      <c r="W56" s="9" t="n">
        <v>409.12</v>
      </c>
      <c r="X56" s="9" t="n">
        <v>409.12</v>
      </c>
      <c r="Y56" s="9" t="n">
        <v>409.12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300</v>
      </c>
      <c r="B57" s="3" t="s">
        <v>301</v>
      </c>
      <c r="C57" s="3" t="s">
        <v>78</v>
      </c>
      <c r="D57" s="3" t="s">
        <v>79</v>
      </c>
      <c r="E57" s="3" t="n">
        <v>1987</v>
      </c>
      <c r="F57" s="3" t="s">
        <v>60</v>
      </c>
      <c r="G57" s="3" t="s">
        <v>61</v>
      </c>
      <c r="H57" s="3" t="s">
        <v>302</v>
      </c>
      <c r="I57" s="3" t="s">
        <v>47</v>
      </c>
      <c r="J57" s="7" t="n">
        <v>1150000</v>
      </c>
      <c r="K57" s="3" t="s">
        <v>303</v>
      </c>
      <c r="L57" s="7" t="n">
        <v>14702.59</v>
      </c>
      <c r="M57" s="7" t="n">
        <v>1837.82</v>
      </c>
      <c r="N57" s="7" t="n">
        <v>1837.82</v>
      </c>
      <c r="O57" s="7" t="n">
        <v>11026.9</v>
      </c>
      <c r="P57" s="7" t="n">
        <v>1102.69</v>
      </c>
      <c r="Q57" s="7" t="n">
        <v>1102.69</v>
      </c>
      <c r="R57" s="7" t="n">
        <v>1102.69</v>
      </c>
      <c r="S57" s="7" t="n">
        <v>1102.69</v>
      </c>
      <c r="T57" s="7" t="n">
        <v>1102.69</v>
      </c>
      <c r="U57" s="7" t="n">
        <v>1102.69</v>
      </c>
      <c r="V57" s="7" t="n">
        <v>1102.69</v>
      </c>
      <c r="W57" s="7" t="n">
        <v>1102.69</v>
      </c>
      <c r="X57" s="7" t="n">
        <v>1102.69</v>
      </c>
      <c r="Y57" s="7" t="n">
        <v>1102.69</v>
      </c>
      <c r="Z57" s="7" t="n">
        <v>350</v>
      </c>
      <c r="AA57" s="7" t="n">
        <v>250</v>
      </c>
      <c r="AB57" s="7" t="n">
        <v>600</v>
      </c>
    </row>
    <row r="58" customFormat="false" ht="15" hidden="false" customHeight="false" outlineLevel="0" collapsed="false">
      <c r="A58" s="8" t="s">
        <v>304</v>
      </c>
      <c r="B58" s="8" t="s">
        <v>305</v>
      </c>
      <c r="C58" s="8" t="s">
        <v>78</v>
      </c>
      <c r="D58" s="8" t="s">
        <v>79</v>
      </c>
      <c r="E58" s="8" t="n">
        <v>1988</v>
      </c>
      <c r="F58" s="8" t="s">
        <v>93</v>
      </c>
      <c r="G58" s="8" t="s">
        <v>94</v>
      </c>
      <c r="H58" s="8" t="s">
        <v>306</v>
      </c>
      <c r="I58" s="8" t="s">
        <v>96</v>
      </c>
      <c r="J58" s="9" t="n">
        <v>405000</v>
      </c>
      <c r="K58" s="8" t="s">
        <v>81</v>
      </c>
      <c r="L58" s="9" t="n">
        <v>4282.8</v>
      </c>
      <c r="M58" s="9" t="n">
        <v>535.35</v>
      </c>
      <c r="N58" s="9" t="n">
        <v>535.35</v>
      </c>
      <c r="O58" s="9" t="n">
        <v>3212.1</v>
      </c>
      <c r="P58" s="9" t="n">
        <v>321.21</v>
      </c>
      <c r="Q58" s="9" t="n">
        <v>321.21</v>
      </c>
      <c r="R58" s="9" t="n">
        <v>321.21</v>
      </c>
      <c r="S58" s="9" t="n">
        <v>321.21</v>
      </c>
      <c r="T58" s="9" t="n">
        <v>321.21</v>
      </c>
      <c r="U58" s="9" t="n">
        <v>321.21</v>
      </c>
      <c r="V58" s="9" t="n">
        <v>321.21</v>
      </c>
      <c r="W58" s="9" t="n">
        <v>321.21</v>
      </c>
      <c r="X58" s="9" t="n">
        <v>321.21</v>
      </c>
      <c r="Y58" s="9" t="n">
        <v>321.21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307</v>
      </c>
      <c r="B59" s="3" t="s">
        <v>308</v>
      </c>
      <c r="C59" s="3" t="s">
        <v>42</v>
      </c>
      <c r="D59" s="3" t="s">
        <v>43</v>
      </c>
      <c r="E59" s="3" t="n">
        <v>1995</v>
      </c>
      <c r="F59" s="3" t="s">
        <v>114</v>
      </c>
      <c r="G59" s="3" t="s">
        <v>115</v>
      </c>
      <c r="H59" s="3" t="s">
        <v>309</v>
      </c>
      <c r="I59" s="3" t="s">
        <v>47</v>
      </c>
      <c r="J59" s="7" t="n">
        <v>305000</v>
      </c>
      <c r="K59" s="3" t="s">
        <v>71</v>
      </c>
      <c r="L59" s="7" t="n">
        <v>5079.25</v>
      </c>
      <c r="M59" s="7" t="n">
        <v>634.91</v>
      </c>
      <c r="N59" s="7" t="n">
        <v>634.91</v>
      </c>
      <c r="O59" s="7" t="n">
        <v>3809.4</v>
      </c>
      <c r="P59" s="7" t="n">
        <v>380.94</v>
      </c>
      <c r="Q59" s="7" t="n">
        <v>380.94</v>
      </c>
      <c r="R59" s="7" t="n">
        <v>380.94</v>
      </c>
      <c r="S59" s="7" t="n">
        <v>380.94</v>
      </c>
      <c r="T59" s="7" t="n">
        <v>380.94</v>
      </c>
      <c r="U59" s="7" t="n">
        <v>380.94</v>
      </c>
      <c r="V59" s="7" t="n">
        <v>380.94</v>
      </c>
      <c r="W59" s="7" t="n">
        <v>380.94</v>
      </c>
      <c r="X59" s="7" t="n">
        <v>380.94</v>
      </c>
      <c r="Y59" s="7" t="n">
        <v>380.94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310</v>
      </c>
      <c r="B60" s="8" t="s">
        <v>311</v>
      </c>
      <c r="C60" s="8" t="s">
        <v>78</v>
      </c>
      <c r="D60" s="8" t="s">
        <v>79</v>
      </c>
      <c r="E60" s="8" t="n">
        <v>1955</v>
      </c>
      <c r="F60" s="8" t="s">
        <v>68</v>
      </c>
      <c r="G60" s="8" t="s">
        <v>69</v>
      </c>
      <c r="H60" s="8" t="s">
        <v>312</v>
      </c>
      <c r="I60" s="8" t="s">
        <v>47</v>
      </c>
      <c r="J60" s="9" t="n">
        <v>750000</v>
      </c>
      <c r="K60" s="8" t="s">
        <v>75</v>
      </c>
      <c r="L60" s="9" t="n">
        <v>11585.75</v>
      </c>
      <c r="M60" s="9" t="n">
        <v>1448.22</v>
      </c>
      <c r="N60" s="9" t="n">
        <v>1448.22</v>
      </c>
      <c r="O60" s="9" t="n">
        <v>8689.3</v>
      </c>
      <c r="P60" s="9" t="n">
        <v>868.93</v>
      </c>
      <c r="Q60" s="9" t="n">
        <v>868.93</v>
      </c>
      <c r="R60" s="9" t="n">
        <v>868.93</v>
      </c>
      <c r="S60" s="9" t="n">
        <v>868.93</v>
      </c>
      <c r="T60" s="9" t="n">
        <v>868.93</v>
      </c>
      <c r="U60" s="9" t="n">
        <v>868.93</v>
      </c>
      <c r="V60" s="9" t="n">
        <v>868.93</v>
      </c>
      <c r="W60" s="9" t="n">
        <v>868.93</v>
      </c>
      <c r="X60" s="9" t="n">
        <v>868.93</v>
      </c>
      <c r="Y60" s="9" t="n">
        <v>868.93</v>
      </c>
      <c r="Z60" s="9" t="n">
        <v>350</v>
      </c>
      <c r="AA60" s="9" t="n">
        <v>0</v>
      </c>
      <c r="AB60" s="9" t="n">
        <v>350</v>
      </c>
    </row>
    <row r="61" customFormat="false" ht="15" hidden="false" customHeight="false" outlineLevel="0" collapsed="false">
      <c r="A61" s="3" t="s">
        <v>313</v>
      </c>
      <c r="B61" s="3" t="s">
        <v>314</v>
      </c>
      <c r="C61" s="3" t="s">
        <v>315</v>
      </c>
      <c r="D61" s="3" t="s">
        <v>316</v>
      </c>
      <c r="E61" s="3" t="n">
        <v>1966</v>
      </c>
      <c r="F61" s="3" t="s">
        <v>60</v>
      </c>
      <c r="G61" s="3" t="s">
        <v>61</v>
      </c>
      <c r="H61" s="3" t="s">
        <v>317</v>
      </c>
      <c r="I61" s="3" t="s">
        <v>47</v>
      </c>
      <c r="J61" s="7" t="n">
        <v>665000</v>
      </c>
      <c r="K61" s="3" t="s">
        <v>176</v>
      </c>
      <c r="L61" s="7" t="n">
        <v>9447.87</v>
      </c>
      <c r="M61" s="7" t="n">
        <v>1180.98</v>
      </c>
      <c r="N61" s="7" t="n">
        <v>1180.98</v>
      </c>
      <c r="O61" s="7" t="n">
        <v>7085.9</v>
      </c>
      <c r="P61" s="7" t="n">
        <v>708.59</v>
      </c>
      <c r="Q61" s="7" t="n">
        <v>708.59</v>
      </c>
      <c r="R61" s="7" t="n">
        <v>708.59</v>
      </c>
      <c r="S61" s="7" t="n">
        <v>708.59</v>
      </c>
      <c r="T61" s="7" t="n">
        <v>708.59</v>
      </c>
      <c r="U61" s="7" t="n">
        <v>708.59</v>
      </c>
      <c r="V61" s="7" t="n">
        <v>708.59</v>
      </c>
      <c r="W61" s="7" t="n">
        <v>708.59</v>
      </c>
      <c r="X61" s="7" t="n">
        <v>708.59</v>
      </c>
      <c r="Y61" s="7" t="n">
        <v>708.59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318</v>
      </c>
      <c r="B62" s="8" t="s">
        <v>319</v>
      </c>
      <c r="C62" s="8" t="s">
        <v>315</v>
      </c>
      <c r="D62" s="8" t="s">
        <v>316</v>
      </c>
      <c r="E62" s="8" t="n">
        <v>2011</v>
      </c>
      <c r="F62" s="8" t="s">
        <v>86</v>
      </c>
      <c r="G62" s="8" t="s">
        <v>87</v>
      </c>
      <c r="H62" s="8" t="s">
        <v>320</v>
      </c>
      <c r="I62" s="8" t="s">
        <v>89</v>
      </c>
      <c r="J62" s="9" t="n">
        <v>1220000</v>
      </c>
      <c r="K62" s="8" t="s">
        <v>321</v>
      </c>
      <c r="L62" s="9" t="n">
        <v>17100.15</v>
      </c>
      <c r="M62" s="9" t="n">
        <v>2137.52</v>
      </c>
      <c r="N62" s="9" t="n">
        <v>2137.52</v>
      </c>
      <c r="O62" s="9" t="n">
        <v>12825.1</v>
      </c>
      <c r="P62" s="9" t="n">
        <v>1282.51</v>
      </c>
      <c r="Q62" s="9" t="n">
        <v>1282.51</v>
      </c>
      <c r="R62" s="9" t="n">
        <v>1282.51</v>
      </c>
      <c r="S62" s="9" t="n">
        <v>1282.51</v>
      </c>
      <c r="T62" s="9" t="n">
        <v>1282.51</v>
      </c>
      <c r="U62" s="9" t="n">
        <v>1282.51</v>
      </c>
      <c r="V62" s="9" t="n">
        <v>1282.51</v>
      </c>
      <c r="W62" s="9" t="n">
        <v>1282.51</v>
      </c>
      <c r="X62" s="9" t="n">
        <v>1282.51</v>
      </c>
      <c r="Y62" s="9" t="n">
        <v>1282.51</v>
      </c>
      <c r="Z62" s="9" t="n">
        <v>350</v>
      </c>
      <c r="AA62" s="9" t="n">
        <v>250</v>
      </c>
      <c r="AB62" s="9" t="n">
        <v>600</v>
      </c>
    </row>
    <row r="63" customFormat="false" ht="15" hidden="false" customHeight="false" outlineLevel="0" collapsed="false">
      <c r="A63" s="3" t="s">
        <v>322</v>
      </c>
      <c r="B63" s="3" t="s">
        <v>323</v>
      </c>
      <c r="C63" s="3" t="s">
        <v>148</v>
      </c>
      <c r="D63" s="3" t="s">
        <v>149</v>
      </c>
      <c r="E63" s="3" t="n">
        <v>2020</v>
      </c>
      <c r="F63" s="3" t="s">
        <v>114</v>
      </c>
      <c r="G63" s="3" t="s">
        <v>115</v>
      </c>
      <c r="H63" s="3" t="s">
        <v>324</v>
      </c>
      <c r="I63" s="3" t="s">
        <v>47</v>
      </c>
      <c r="J63" s="7" t="n">
        <v>320000</v>
      </c>
      <c r="K63" s="3" t="s">
        <v>325</v>
      </c>
      <c r="L63" s="7" t="n">
        <v>5079.25</v>
      </c>
      <c r="M63" s="7" t="n">
        <v>634.91</v>
      </c>
      <c r="N63" s="7" t="n">
        <v>634.91</v>
      </c>
      <c r="O63" s="7" t="n">
        <v>3809.4</v>
      </c>
      <c r="P63" s="7" t="n">
        <v>380.94</v>
      </c>
      <c r="Q63" s="7" t="n">
        <v>380.94</v>
      </c>
      <c r="R63" s="7" t="n">
        <v>380.94</v>
      </c>
      <c r="S63" s="7" t="n">
        <v>380.94</v>
      </c>
      <c r="T63" s="7" t="n">
        <v>380.94</v>
      </c>
      <c r="U63" s="7" t="n">
        <v>380.94</v>
      </c>
      <c r="V63" s="7" t="n">
        <v>380.94</v>
      </c>
      <c r="W63" s="7" t="n">
        <v>380.94</v>
      </c>
      <c r="X63" s="7" t="n">
        <v>380.94</v>
      </c>
      <c r="Y63" s="7" t="n">
        <v>380.94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326</v>
      </c>
      <c r="B64" s="8" t="s">
        <v>327</v>
      </c>
      <c r="C64" s="8" t="s">
        <v>288</v>
      </c>
      <c r="D64" s="8" t="s">
        <v>289</v>
      </c>
      <c r="E64" s="8" t="n">
        <v>1991</v>
      </c>
      <c r="F64" s="8" t="s">
        <v>86</v>
      </c>
      <c r="G64" s="8" t="s">
        <v>181</v>
      </c>
      <c r="H64" s="8" t="s">
        <v>328</v>
      </c>
      <c r="I64" s="8" t="s">
        <v>96</v>
      </c>
      <c r="J64" s="9" t="n">
        <v>940000</v>
      </c>
      <c r="K64" s="8" t="s">
        <v>97</v>
      </c>
      <c r="L64" s="9" t="n">
        <v>9535.94</v>
      </c>
      <c r="M64" s="9" t="n">
        <v>1191.99</v>
      </c>
      <c r="N64" s="9" t="n">
        <v>1191.99</v>
      </c>
      <c r="O64" s="9" t="n">
        <v>7152</v>
      </c>
      <c r="P64" s="9" t="n">
        <v>715.2</v>
      </c>
      <c r="Q64" s="9" t="n">
        <v>715.2</v>
      </c>
      <c r="R64" s="9" t="n">
        <v>715.2</v>
      </c>
      <c r="S64" s="9" t="n">
        <v>715.2</v>
      </c>
      <c r="T64" s="9" t="n">
        <v>715.2</v>
      </c>
      <c r="U64" s="9" t="n">
        <v>715.2</v>
      </c>
      <c r="V64" s="9" t="n">
        <v>715.2</v>
      </c>
      <c r="W64" s="9" t="n">
        <v>715.2</v>
      </c>
      <c r="X64" s="9" t="n">
        <v>715.2</v>
      </c>
      <c r="Y64" s="9" t="n">
        <v>715.2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329</v>
      </c>
      <c r="B65" s="3" t="s">
        <v>127</v>
      </c>
      <c r="C65" s="3" t="s">
        <v>106</v>
      </c>
      <c r="D65" s="3" t="s">
        <v>107</v>
      </c>
      <c r="E65" s="3" t="n">
        <v>2015</v>
      </c>
      <c r="F65" s="3" t="s">
        <v>231</v>
      </c>
      <c r="G65" s="3" t="s">
        <v>232</v>
      </c>
      <c r="H65" s="3" t="s">
        <v>330</v>
      </c>
      <c r="I65" s="3" t="s">
        <v>89</v>
      </c>
      <c r="J65" s="7" t="n">
        <v>340000</v>
      </c>
      <c r="K65" s="3" t="s">
        <v>71</v>
      </c>
      <c r="L65" s="7" t="n">
        <v>8681.91</v>
      </c>
      <c r="M65" s="7" t="n">
        <v>1085.24</v>
      </c>
      <c r="N65" s="7" t="n">
        <v>1085.24</v>
      </c>
      <c r="O65" s="7" t="n">
        <v>6511.4</v>
      </c>
      <c r="P65" s="7" t="n">
        <v>651.14</v>
      </c>
      <c r="Q65" s="7" t="n">
        <v>651.14</v>
      </c>
      <c r="R65" s="7" t="n">
        <v>651.14</v>
      </c>
      <c r="S65" s="7" t="n">
        <v>651.14</v>
      </c>
      <c r="T65" s="7" t="n">
        <v>651.14</v>
      </c>
      <c r="U65" s="7" t="n">
        <v>651.14</v>
      </c>
      <c r="V65" s="7" t="n">
        <v>651.14</v>
      </c>
      <c r="W65" s="7" t="n">
        <v>651.14</v>
      </c>
      <c r="X65" s="7" t="n">
        <v>651.14</v>
      </c>
      <c r="Y65" s="7" t="n">
        <v>651.14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331</v>
      </c>
      <c r="B66" s="8" t="s">
        <v>332</v>
      </c>
      <c r="C66" s="8" t="s">
        <v>134</v>
      </c>
      <c r="D66" s="8" t="s">
        <v>135</v>
      </c>
      <c r="E66" s="8" t="n">
        <v>1968</v>
      </c>
      <c r="F66" s="8" t="s">
        <v>114</v>
      </c>
      <c r="G66" s="8" t="s">
        <v>115</v>
      </c>
      <c r="H66" s="8" t="s">
        <v>333</v>
      </c>
      <c r="I66" s="8" t="s">
        <v>47</v>
      </c>
      <c r="J66" s="9" t="n">
        <v>460000</v>
      </c>
      <c r="K66" s="8" t="s">
        <v>334</v>
      </c>
      <c r="L66" s="9" t="n">
        <v>6224.16</v>
      </c>
      <c r="M66" s="9" t="n">
        <v>778.02</v>
      </c>
      <c r="N66" s="9" t="n">
        <v>778.02</v>
      </c>
      <c r="O66" s="9" t="n">
        <v>4668.1</v>
      </c>
      <c r="P66" s="9" t="n">
        <v>466.81</v>
      </c>
      <c r="Q66" s="9" t="n">
        <v>466.81</v>
      </c>
      <c r="R66" s="9" t="n">
        <v>466.81</v>
      </c>
      <c r="S66" s="9" t="n">
        <v>466.81</v>
      </c>
      <c r="T66" s="9" t="n">
        <v>466.81</v>
      </c>
      <c r="U66" s="9" t="n">
        <v>466.81</v>
      </c>
      <c r="V66" s="9" t="n">
        <v>466.81</v>
      </c>
      <c r="W66" s="9" t="n">
        <v>466.81</v>
      </c>
      <c r="X66" s="9" t="n">
        <v>466.81</v>
      </c>
      <c r="Y66" s="9" t="n">
        <v>466.81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335</v>
      </c>
      <c r="B67" s="3" t="s">
        <v>336</v>
      </c>
      <c r="C67" s="3" t="s">
        <v>337</v>
      </c>
      <c r="D67" s="3" t="s">
        <v>338</v>
      </c>
      <c r="E67" s="3" t="n">
        <v>1968</v>
      </c>
      <c r="F67" s="3" t="s">
        <v>60</v>
      </c>
      <c r="G67" s="3" t="s">
        <v>61</v>
      </c>
      <c r="H67" s="3" t="s">
        <v>339</v>
      </c>
      <c r="I67" s="3" t="s">
        <v>47</v>
      </c>
      <c r="J67" s="7" t="n">
        <v>695000</v>
      </c>
      <c r="K67" s="3" t="s">
        <v>117</v>
      </c>
      <c r="L67" s="7" t="n">
        <v>9012.07</v>
      </c>
      <c r="M67" s="7" t="n">
        <v>1126.51</v>
      </c>
      <c r="N67" s="7" t="n">
        <v>1126.51</v>
      </c>
      <c r="O67" s="7" t="n">
        <v>6759.1</v>
      </c>
      <c r="P67" s="7" t="n">
        <v>675.91</v>
      </c>
      <c r="Q67" s="7" t="n">
        <v>675.91</v>
      </c>
      <c r="R67" s="7" t="n">
        <v>675.91</v>
      </c>
      <c r="S67" s="7" t="n">
        <v>675.91</v>
      </c>
      <c r="T67" s="7" t="n">
        <v>675.91</v>
      </c>
      <c r="U67" s="7" t="n">
        <v>675.91</v>
      </c>
      <c r="V67" s="7" t="n">
        <v>675.91</v>
      </c>
      <c r="W67" s="7" t="n">
        <v>675.91</v>
      </c>
      <c r="X67" s="7" t="n">
        <v>675.91</v>
      </c>
      <c r="Y67" s="7" t="n">
        <v>675.91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340</v>
      </c>
      <c r="B68" s="8" t="s">
        <v>341</v>
      </c>
      <c r="C68" s="8" t="s">
        <v>66</v>
      </c>
      <c r="D68" s="8" t="s">
        <v>67</v>
      </c>
      <c r="E68" s="8" t="n">
        <v>1961</v>
      </c>
      <c r="F68" s="8" t="s">
        <v>231</v>
      </c>
      <c r="G68" s="8" t="s">
        <v>232</v>
      </c>
      <c r="H68" s="8" t="s">
        <v>342</v>
      </c>
      <c r="I68" s="8" t="s">
        <v>89</v>
      </c>
      <c r="J68" s="9" t="n">
        <v>460000</v>
      </c>
      <c r="K68" s="8" t="s">
        <v>63</v>
      </c>
      <c r="L68" s="9" t="n">
        <v>14223.81</v>
      </c>
      <c r="M68" s="9" t="n">
        <v>1777.98</v>
      </c>
      <c r="N68" s="9" t="n">
        <v>1777.98</v>
      </c>
      <c r="O68" s="9" t="n">
        <v>10667.9</v>
      </c>
      <c r="P68" s="9" t="n">
        <v>1066.79</v>
      </c>
      <c r="Q68" s="9" t="n">
        <v>1066.79</v>
      </c>
      <c r="R68" s="9" t="n">
        <v>1066.79</v>
      </c>
      <c r="S68" s="9" t="n">
        <v>1066.79</v>
      </c>
      <c r="T68" s="9" t="n">
        <v>1066.79</v>
      </c>
      <c r="U68" s="9" t="n">
        <v>1066.79</v>
      </c>
      <c r="V68" s="9" t="n">
        <v>1066.79</v>
      </c>
      <c r="W68" s="9" t="n">
        <v>1066.79</v>
      </c>
      <c r="X68" s="9" t="n">
        <v>1066.79</v>
      </c>
      <c r="Y68" s="9" t="n">
        <v>1066.79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343</v>
      </c>
      <c r="B69" s="3" t="s">
        <v>344</v>
      </c>
      <c r="C69" s="3" t="s">
        <v>78</v>
      </c>
      <c r="D69" s="3" t="s">
        <v>79</v>
      </c>
      <c r="E69" s="3" t="n">
        <v>2023</v>
      </c>
      <c r="F69" s="3" t="s">
        <v>53</v>
      </c>
      <c r="G69" s="3" t="s">
        <v>54</v>
      </c>
      <c r="H69" s="3" t="s">
        <v>345</v>
      </c>
      <c r="I69" s="3" t="s">
        <v>47</v>
      </c>
      <c r="J69" s="7" t="n">
        <v>1275000</v>
      </c>
      <c r="K69" s="3" t="s">
        <v>334</v>
      </c>
      <c r="L69" s="7" t="n">
        <v>12651.29</v>
      </c>
      <c r="M69" s="7" t="n">
        <v>1581.41</v>
      </c>
      <c r="N69" s="7" t="n">
        <v>1581.41</v>
      </c>
      <c r="O69" s="7" t="n">
        <v>9488.5</v>
      </c>
      <c r="P69" s="7" t="n">
        <v>948.85</v>
      </c>
      <c r="Q69" s="7" t="n">
        <v>948.85</v>
      </c>
      <c r="R69" s="7" t="n">
        <v>948.85</v>
      </c>
      <c r="S69" s="7" t="n">
        <v>948.85</v>
      </c>
      <c r="T69" s="7" t="n">
        <v>948.85</v>
      </c>
      <c r="U69" s="7" t="n">
        <v>948.85</v>
      </c>
      <c r="V69" s="7" t="n">
        <v>948.85</v>
      </c>
      <c r="W69" s="7" t="n">
        <v>948.85</v>
      </c>
      <c r="X69" s="7" t="n">
        <v>948.85</v>
      </c>
      <c r="Y69" s="7" t="n">
        <v>948.85</v>
      </c>
      <c r="Z69" s="7" t="n">
        <v>350</v>
      </c>
      <c r="AA69" s="7" t="n">
        <v>250</v>
      </c>
      <c r="AB69" s="7" t="n">
        <v>600</v>
      </c>
    </row>
    <row r="70" customFormat="false" ht="15" hidden="false" customHeight="false" outlineLevel="0" collapsed="false">
      <c r="A70" s="8" t="s">
        <v>346</v>
      </c>
      <c r="B70" s="8" t="s">
        <v>265</v>
      </c>
      <c r="C70" s="8" t="s">
        <v>58</v>
      </c>
      <c r="D70" s="8" t="s">
        <v>59</v>
      </c>
      <c r="E70" s="8" t="n">
        <v>1997</v>
      </c>
      <c r="F70" s="8" t="s">
        <v>86</v>
      </c>
      <c r="G70" s="8" t="s">
        <v>87</v>
      </c>
      <c r="H70" s="8" t="s">
        <v>347</v>
      </c>
      <c r="I70" s="8" t="s">
        <v>89</v>
      </c>
      <c r="J70" s="9" t="n">
        <v>1320000</v>
      </c>
      <c r="K70" s="8" t="s">
        <v>321</v>
      </c>
      <c r="L70" s="9" t="n">
        <v>18501.79</v>
      </c>
      <c r="M70" s="9" t="n">
        <v>2312.72</v>
      </c>
      <c r="N70" s="9" t="n">
        <v>2312.72</v>
      </c>
      <c r="O70" s="9" t="n">
        <v>13876.3</v>
      </c>
      <c r="P70" s="9" t="n">
        <v>1387.63</v>
      </c>
      <c r="Q70" s="9" t="n">
        <v>1387.63</v>
      </c>
      <c r="R70" s="9" t="n">
        <v>1387.63</v>
      </c>
      <c r="S70" s="9" t="n">
        <v>1387.63</v>
      </c>
      <c r="T70" s="9" t="n">
        <v>1387.63</v>
      </c>
      <c r="U70" s="9" t="n">
        <v>1387.63</v>
      </c>
      <c r="V70" s="9" t="n">
        <v>1387.63</v>
      </c>
      <c r="W70" s="9" t="n">
        <v>1387.63</v>
      </c>
      <c r="X70" s="9" t="n">
        <v>1387.63</v>
      </c>
      <c r="Y70" s="9" t="n">
        <v>1387.63</v>
      </c>
      <c r="Z70" s="9" t="n">
        <v>350</v>
      </c>
      <c r="AA70" s="9" t="n">
        <v>250</v>
      </c>
      <c r="AB70" s="9" t="n">
        <v>600</v>
      </c>
    </row>
    <row r="71" customFormat="false" ht="15" hidden="false" customHeight="false" outlineLevel="0" collapsed="false">
      <c r="A71" s="3" t="s">
        <v>348</v>
      </c>
      <c r="B71" s="3" t="s">
        <v>349</v>
      </c>
      <c r="C71" s="3" t="s">
        <v>42</v>
      </c>
      <c r="D71" s="3" t="s">
        <v>43</v>
      </c>
      <c r="E71" s="3" t="n">
        <v>2010</v>
      </c>
      <c r="F71" s="3" t="s">
        <v>68</v>
      </c>
      <c r="G71" s="3" t="s">
        <v>69</v>
      </c>
      <c r="H71" s="3" t="s">
        <v>350</v>
      </c>
      <c r="I71" s="3" t="s">
        <v>47</v>
      </c>
      <c r="J71" s="7" t="n">
        <v>1560000</v>
      </c>
      <c r="K71" s="3" t="s">
        <v>351</v>
      </c>
      <c r="L71" s="7" t="n">
        <v>18604.84</v>
      </c>
      <c r="M71" s="7" t="n">
        <v>2325.61</v>
      </c>
      <c r="N71" s="7" t="n">
        <v>2325.61</v>
      </c>
      <c r="O71" s="7" t="n">
        <v>13953.6</v>
      </c>
      <c r="P71" s="7" t="n">
        <v>1395.36</v>
      </c>
      <c r="Q71" s="7" t="n">
        <v>1395.36</v>
      </c>
      <c r="R71" s="7" t="n">
        <v>1395.36</v>
      </c>
      <c r="S71" s="7" t="n">
        <v>1395.36</v>
      </c>
      <c r="T71" s="7" t="n">
        <v>1395.36</v>
      </c>
      <c r="U71" s="7" t="n">
        <v>1395.36</v>
      </c>
      <c r="V71" s="7" t="n">
        <v>1395.36</v>
      </c>
      <c r="W71" s="7" t="n">
        <v>1395.36</v>
      </c>
      <c r="X71" s="7" t="n">
        <v>1395.36</v>
      </c>
      <c r="Y71" s="7" t="n">
        <v>1395.36</v>
      </c>
      <c r="Z71" s="7" t="n">
        <v>350</v>
      </c>
      <c r="AA71" s="7" t="n">
        <v>250</v>
      </c>
      <c r="AB71" s="7" t="n">
        <v>600</v>
      </c>
    </row>
    <row r="72" customFormat="false" ht="15" hidden="false" customHeight="false" outlineLevel="0" collapsed="false">
      <c r="A72" s="8" t="s">
        <v>352</v>
      </c>
      <c r="B72" s="8" t="s">
        <v>353</v>
      </c>
      <c r="C72" s="8" t="s">
        <v>354</v>
      </c>
      <c r="D72" s="8" t="s">
        <v>355</v>
      </c>
      <c r="E72" s="8" t="n">
        <v>1987</v>
      </c>
      <c r="F72" s="8" t="s">
        <v>44</v>
      </c>
      <c r="G72" s="8" t="s">
        <v>45</v>
      </c>
      <c r="H72" s="8" t="s">
        <v>356</v>
      </c>
      <c r="I72" s="8" t="s">
        <v>47</v>
      </c>
      <c r="J72" s="9" t="n">
        <v>480000</v>
      </c>
      <c r="K72" s="8" t="s">
        <v>357</v>
      </c>
      <c r="L72" s="9" t="n">
        <v>5807.83</v>
      </c>
      <c r="M72" s="9" t="n">
        <v>725.98</v>
      </c>
      <c r="N72" s="9" t="n">
        <v>725.98</v>
      </c>
      <c r="O72" s="9" t="n">
        <v>4355.9</v>
      </c>
      <c r="P72" s="9" t="n">
        <v>435.59</v>
      </c>
      <c r="Q72" s="9" t="n">
        <v>435.59</v>
      </c>
      <c r="R72" s="9" t="n">
        <v>435.59</v>
      </c>
      <c r="S72" s="9" t="n">
        <v>435.59</v>
      </c>
      <c r="T72" s="9" t="n">
        <v>435.59</v>
      </c>
      <c r="U72" s="9" t="n">
        <v>435.59</v>
      </c>
      <c r="V72" s="9" t="n">
        <v>435.59</v>
      </c>
      <c r="W72" s="9" t="n">
        <v>435.59</v>
      </c>
      <c r="X72" s="9" t="n">
        <v>435.59</v>
      </c>
      <c r="Y72" s="9" t="n">
        <v>435.59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358</v>
      </c>
      <c r="B73" s="3" t="s">
        <v>359</v>
      </c>
      <c r="C73" s="3" t="s">
        <v>283</v>
      </c>
      <c r="D73" s="3" t="s">
        <v>284</v>
      </c>
      <c r="E73" s="3" t="n">
        <v>2009</v>
      </c>
      <c r="F73" s="3" t="s">
        <v>231</v>
      </c>
      <c r="G73" s="3" t="s">
        <v>232</v>
      </c>
      <c r="H73" s="3" t="s">
        <v>360</v>
      </c>
      <c r="I73" s="3" t="s">
        <v>89</v>
      </c>
      <c r="J73" s="7" t="n">
        <v>600000</v>
      </c>
      <c r="K73" s="3" t="s">
        <v>75</v>
      </c>
      <c r="L73" s="7" t="n">
        <v>13546.4</v>
      </c>
      <c r="M73" s="7" t="n">
        <v>1693.3</v>
      </c>
      <c r="N73" s="7" t="n">
        <v>1693.3</v>
      </c>
      <c r="O73" s="7" t="n">
        <v>10159.8</v>
      </c>
      <c r="P73" s="7" t="n">
        <v>1015.98</v>
      </c>
      <c r="Q73" s="7" t="n">
        <v>1015.98</v>
      </c>
      <c r="R73" s="7" t="n">
        <v>1015.98</v>
      </c>
      <c r="S73" s="7" t="n">
        <v>1015.98</v>
      </c>
      <c r="T73" s="7" t="n">
        <v>1015.98</v>
      </c>
      <c r="U73" s="7" t="n">
        <v>1015.98</v>
      </c>
      <c r="V73" s="7" t="n">
        <v>1015.98</v>
      </c>
      <c r="W73" s="7" t="n">
        <v>1015.98</v>
      </c>
      <c r="X73" s="7" t="n">
        <v>1015.98</v>
      </c>
      <c r="Y73" s="7" t="n">
        <v>1015.98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361</v>
      </c>
      <c r="B74" s="8" t="s">
        <v>362</v>
      </c>
      <c r="C74" s="8" t="s">
        <v>134</v>
      </c>
      <c r="D74" s="8" t="s">
        <v>135</v>
      </c>
      <c r="E74" s="8" t="n">
        <v>2000</v>
      </c>
      <c r="F74" s="8" t="s">
        <v>60</v>
      </c>
      <c r="G74" s="8" t="s">
        <v>61</v>
      </c>
      <c r="H74" s="8" t="s">
        <v>363</v>
      </c>
      <c r="I74" s="8" t="s">
        <v>47</v>
      </c>
      <c r="J74" s="9" t="n">
        <v>505000</v>
      </c>
      <c r="K74" s="8" t="s">
        <v>222</v>
      </c>
      <c r="L74" s="9" t="n">
        <v>5409.5</v>
      </c>
      <c r="M74" s="9" t="n">
        <v>676.19</v>
      </c>
      <c r="N74" s="9" t="n">
        <v>676.19</v>
      </c>
      <c r="O74" s="9" t="n">
        <v>4057.1</v>
      </c>
      <c r="P74" s="9" t="n">
        <v>405.71</v>
      </c>
      <c r="Q74" s="9" t="n">
        <v>405.71</v>
      </c>
      <c r="R74" s="9" t="n">
        <v>405.71</v>
      </c>
      <c r="S74" s="9" t="n">
        <v>405.71</v>
      </c>
      <c r="T74" s="9" t="n">
        <v>405.71</v>
      </c>
      <c r="U74" s="9" t="n">
        <v>405.71</v>
      </c>
      <c r="V74" s="9" t="n">
        <v>405.71</v>
      </c>
      <c r="W74" s="9" t="n">
        <v>405.71</v>
      </c>
      <c r="X74" s="9" t="n">
        <v>405.71</v>
      </c>
      <c r="Y74" s="9" t="n">
        <v>405.71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364</v>
      </c>
      <c r="B75" s="3" t="s">
        <v>365</v>
      </c>
      <c r="C75" s="3" t="s">
        <v>261</v>
      </c>
      <c r="D75" s="3" t="s">
        <v>262</v>
      </c>
      <c r="E75" s="3" t="n">
        <v>2019</v>
      </c>
      <c r="F75" s="3" t="s">
        <v>44</v>
      </c>
      <c r="G75" s="3" t="s">
        <v>45</v>
      </c>
      <c r="H75" s="3" t="s">
        <v>366</v>
      </c>
      <c r="I75" s="3" t="s">
        <v>47</v>
      </c>
      <c r="J75" s="7" t="n">
        <v>415000</v>
      </c>
      <c r="K75" s="3" t="s">
        <v>97</v>
      </c>
      <c r="L75" s="7" t="n">
        <v>7343.05</v>
      </c>
      <c r="M75" s="7" t="n">
        <v>917.88</v>
      </c>
      <c r="N75" s="7" t="n">
        <v>917.88</v>
      </c>
      <c r="O75" s="7" t="n">
        <v>5507.3</v>
      </c>
      <c r="P75" s="7" t="n">
        <v>550.73</v>
      </c>
      <c r="Q75" s="7" t="n">
        <v>550.73</v>
      </c>
      <c r="R75" s="7" t="n">
        <v>550.73</v>
      </c>
      <c r="S75" s="7" t="n">
        <v>550.73</v>
      </c>
      <c r="T75" s="7" t="n">
        <v>550.73</v>
      </c>
      <c r="U75" s="7" t="n">
        <v>550.73</v>
      </c>
      <c r="V75" s="7" t="n">
        <v>550.73</v>
      </c>
      <c r="W75" s="7" t="n">
        <v>550.73</v>
      </c>
      <c r="X75" s="7" t="n">
        <v>550.73</v>
      </c>
      <c r="Y75" s="7" t="n">
        <v>550.73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367</v>
      </c>
      <c r="B76" s="8" t="s">
        <v>368</v>
      </c>
      <c r="C76" s="8" t="s">
        <v>128</v>
      </c>
      <c r="D76" s="8" t="s">
        <v>129</v>
      </c>
      <c r="E76" s="8" t="n">
        <v>1994</v>
      </c>
      <c r="F76" s="8" t="s">
        <v>68</v>
      </c>
      <c r="G76" s="8" t="s">
        <v>69</v>
      </c>
      <c r="H76" s="8" t="s">
        <v>369</v>
      </c>
      <c r="I76" s="8" t="s">
        <v>47</v>
      </c>
      <c r="J76" s="9" t="n">
        <v>435000</v>
      </c>
      <c r="K76" s="8" t="s">
        <v>370</v>
      </c>
      <c r="L76" s="9" t="n">
        <v>6225.47</v>
      </c>
      <c r="M76" s="9" t="n">
        <v>778.18</v>
      </c>
      <c r="N76" s="9" t="n">
        <v>778.18</v>
      </c>
      <c r="O76" s="9" t="n">
        <v>4669.1</v>
      </c>
      <c r="P76" s="9" t="n">
        <v>466.91</v>
      </c>
      <c r="Q76" s="9" t="n">
        <v>466.91</v>
      </c>
      <c r="R76" s="9" t="n">
        <v>466.91</v>
      </c>
      <c r="S76" s="9" t="n">
        <v>466.91</v>
      </c>
      <c r="T76" s="9" t="n">
        <v>466.91</v>
      </c>
      <c r="U76" s="9" t="n">
        <v>466.91</v>
      </c>
      <c r="V76" s="9" t="n">
        <v>466.91</v>
      </c>
      <c r="W76" s="9" t="n">
        <v>466.91</v>
      </c>
      <c r="X76" s="9" t="n">
        <v>466.91</v>
      </c>
      <c r="Y76" s="9" t="n">
        <v>466.91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371</v>
      </c>
      <c r="B77" s="3" t="s">
        <v>341</v>
      </c>
      <c r="C77" s="3" t="s">
        <v>66</v>
      </c>
      <c r="D77" s="3" t="s">
        <v>67</v>
      </c>
      <c r="E77" s="3" t="n">
        <v>1958</v>
      </c>
      <c r="F77" s="3" t="s">
        <v>231</v>
      </c>
      <c r="G77" s="3" t="s">
        <v>232</v>
      </c>
      <c r="H77" s="3" t="s">
        <v>372</v>
      </c>
      <c r="I77" s="3" t="s">
        <v>89</v>
      </c>
      <c r="J77" s="7" t="n">
        <v>320000</v>
      </c>
      <c r="K77" s="3" t="s">
        <v>373</v>
      </c>
      <c r="L77" s="7" t="n">
        <v>7660.51</v>
      </c>
      <c r="M77" s="7" t="n">
        <v>957.56</v>
      </c>
      <c r="N77" s="7" t="n">
        <v>957.56</v>
      </c>
      <c r="O77" s="7" t="n">
        <v>5745.4</v>
      </c>
      <c r="P77" s="7" t="n">
        <v>574.54</v>
      </c>
      <c r="Q77" s="7" t="n">
        <v>574.54</v>
      </c>
      <c r="R77" s="7" t="n">
        <v>574.54</v>
      </c>
      <c r="S77" s="7" t="n">
        <v>574.54</v>
      </c>
      <c r="T77" s="7" t="n">
        <v>574.54</v>
      </c>
      <c r="U77" s="7" t="n">
        <v>574.54</v>
      </c>
      <c r="V77" s="7" t="n">
        <v>574.54</v>
      </c>
      <c r="W77" s="7" t="n">
        <v>574.54</v>
      </c>
      <c r="X77" s="7" t="n">
        <v>574.54</v>
      </c>
      <c r="Y77" s="7" t="n">
        <v>574.54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374</v>
      </c>
      <c r="B78" s="8" t="s">
        <v>375</v>
      </c>
      <c r="C78" s="8" t="s">
        <v>106</v>
      </c>
      <c r="D78" s="8" t="s">
        <v>107</v>
      </c>
      <c r="E78" s="8" t="n">
        <v>2013</v>
      </c>
      <c r="F78" s="8" t="s">
        <v>60</v>
      </c>
      <c r="G78" s="8" t="s">
        <v>61</v>
      </c>
      <c r="H78" s="8" t="s">
        <v>376</v>
      </c>
      <c r="I78" s="8" t="s">
        <v>47</v>
      </c>
      <c r="J78" s="9" t="n">
        <v>915000</v>
      </c>
      <c r="K78" s="8" t="s">
        <v>71</v>
      </c>
      <c r="L78" s="9" t="n">
        <v>13206.05</v>
      </c>
      <c r="M78" s="9" t="n">
        <v>1650.76</v>
      </c>
      <c r="N78" s="9" t="n">
        <v>1650.76</v>
      </c>
      <c r="O78" s="9" t="n">
        <v>9904.5</v>
      </c>
      <c r="P78" s="9" t="n">
        <v>990.45</v>
      </c>
      <c r="Q78" s="9" t="n">
        <v>990.45</v>
      </c>
      <c r="R78" s="9" t="n">
        <v>990.45</v>
      </c>
      <c r="S78" s="9" t="n">
        <v>990.45</v>
      </c>
      <c r="T78" s="9" t="n">
        <v>990.45</v>
      </c>
      <c r="U78" s="9" t="n">
        <v>990.45</v>
      </c>
      <c r="V78" s="9" t="n">
        <v>990.45</v>
      </c>
      <c r="W78" s="9" t="n">
        <v>990.45</v>
      </c>
      <c r="X78" s="9" t="n">
        <v>990.45</v>
      </c>
      <c r="Y78" s="9" t="n">
        <v>990.45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377</v>
      </c>
      <c r="B79" s="3" t="s">
        <v>378</v>
      </c>
      <c r="C79" s="3" t="s">
        <v>112</v>
      </c>
      <c r="D79" s="3" t="s">
        <v>113</v>
      </c>
      <c r="E79" s="3" t="n">
        <v>2017</v>
      </c>
      <c r="F79" s="3" t="s">
        <v>60</v>
      </c>
      <c r="G79" s="3" t="s">
        <v>61</v>
      </c>
      <c r="H79" s="3" t="s">
        <v>379</v>
      </c>
      <c r="I79" s="3" t="s">
        <v>47</v>
      </c>
      <c r="J79" s="7" t="n">
        <v>270000</v>
      </c>
      <c r="K79" s="3" t="s">
        <v>380</v>
      </c>
      <c r="L79" s="7" t="n">
        <v>3934.34</v>
      </c>
      <c r="M79" s="7" t="n">
        <v>491.79</v>
      </c>
      <c r="N79" s="7" t="n">
        <v>491.79</v>
      </c>
      <c r="O79" s="7" t="n">
        <v>2950.8</v>
      </c>
      <c r="P79" s="7" t="n">
        <v>295.08</v>
      </c>
      <c r="Q79" s="7" t="n">
        <v>295.08</v>
      </c>
      <c r="R79" s="7" t="n">
        <v>295.08</v>
      </c>
      <c r="S79" s="7" t="n">
        <v>295.08</v>
      </c>
      <c r="T79" s="7" t="n">
        <v>295.08</v>
      </c>
      <c r="U79" s="7" t="n">
        <v>295.08</v>
      </c>
      <c r="V79" s="7" t="n">
        <v>295.08</v>
      </c>
      <c r="W79" s="7" t="n">
        <v>295.08</v>
      </c>
      <c r="X79" s="7" t="n">
        <v>295.08</v>
      </c>
      <c r="Y79" s="7" t="n">
        <v>295.08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381</v>
      </c>
      <c r="B80" s="8" t="s">
        <v>382</v>
      </c>
      <c r="C80" s="8" t="s">
        <v>163</v>
      </c>
      <c r="D80" s="8" t="s">
        <v>164</v>
      </c>
      <c r="E80" s="8" t="n">
        <v>1965</v>
      </c>
      <c r="F80" s="8" t="s">
        <v>53</v>
      </c>
      <c r="G80" s="8" t="s">
        <v>174</v>
      </c>
      <c r="H80" s="8" t="s">
        <v>383</v>
      </c>
      <c r="I80" s="8" t="s">
        <v>96</v>
      </c>
      <c r="J80" s="9" t="n">
        <v>620000</v>
      </c>
      <c r="K80" s="8" t="s">
        <v>81</v>
      </c>
      <c r="L80" s="9" t="n">
        <v>5873.44</v>
      </c>
      <c r="M80" s="9" t="n">
        <v>734.18</v>
      </c>
      <c r="N80" s="9" t="n">
        <v>734.18</v>
      </c>
      <c r="O80" s="9" t="n">
        <v>4405.1</v>
      </c>
      <c r="P80" s="9" t="n">
        <v>440.51</v>
      </c>
      <c r="Q80" s="9" t="n">
        <v>440.51</v>
      </c>
      <c r="R80" s="9" t="n">
        <v>440.51</v>
      </c>
      <c r="S80" s="9" t="n">
        <v>440.51</v>
      </c>
      <c r="T80" s="9" t="n">
        <v>440.51</v>
      </c>
      <c r="U80" s="9" t="n">
        <v>440.51</v>
      </c>
      <c r="V80" s="9" t="n">
        <v>440.51</v>
      </c>
      <c r="W80" s="9" t="n">
        <v>440.51</v>
      </c>
      <c r="X80" s="9" t="n">
        <v>440.51</v>
      </c>
      <c r="Y80" s="9" t="n">
        <v>440.51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384</v>
      </c>
      <c r="B81" s="3" t="s">
        <v>385</v>
      </c>
      <c r="C81" s="3" t="s">
        <v>261</v>
      </c>
      <c r="D81" s="3" t="s">
        <v>262</v>
      </c>
      <c r="E81" s="3" t="n">
        <v>1978</v>
      </c>
      <c r="F81" s="3" t="s">
        <v>68</v>
      </c>
      <c r="G81" s="3" t="s">
        <v>69</v>
      </c>
      <c r="H81" s="3" t="s">
        <v>386</v>
      </c>
      <c r="I81" s="3" t="s">
        <v>47</v>
      </c>
      <c r="J81" s="7" t="n">
        <v>985000</v>
      </c>
      <c r="K81" s="3" t="s">
        <v>193</v>
      </c>
      <c r="L81" s="7" t="n">
        <v>15327</v>
      </c>
      <c r="M81" s="7" t="n">
        <v>1915.88</v>
      </c>
      <c r="N81" s="7" t="n">
        <v>1915.88</v>
      </c>
      <c r="O81" s="7" t="n">
        <v>11495.2</v>
      </c>
      <c r="P81" s="7" t="n">
        <v>1149.52</v>
      </c>
      <c r="Q81" s="7" t="n">
        <v>1149.52</v>
      </c>
      <c r="R81" s="7" t="n">
        <v>1149.52</v>
      </c>
      <c r="S81" s="7" t="n">
        <v>1149.52</v>
      </c>
      <c r="T81" s="7" t="n">
        <v>1149.52</v>
      </c>
      <c r="U81" s="7" t="n">
        <v>1149.52</v>
      </c>
      <c r="V81" s="7" t="n">
        <v>1149.52</v>
      </c>
      <c r="W81" s="7" t="n">
        <v>1149.52</v>
      </c>
      <c r="X81" s="7" t="n">
        <v>1149.52</v>
      </c>
      <c r="Y81" s="7" t="n">
        <v>1149.52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387</v>
      </c>
      <c r="B82" s="8" t="s">
        <v>388</v>
      </c>
      <c r="C82" s="8" t="s">
        <v>51</v>
      </c>
      <c r="D82" s="8" t="s">
        <v>52</v>
      </c>
      <c r="E82" s="8" t="n">
        <v>1955</v>
      </c>
      <c r="F82" s="8" t="s">
        <v>114</v>
      </c>
      <c r="G82" s="8" t="s">
        <v>115</v>
      </c>
      <c r="H82" s="8" t="s">
        <v>389</v>
      </c>
      <c r="I82" s="8" t="s">
        <v>47</v>
      </c>
      <c r="J82" s="9" t="n">
        <v>1195000</v>
      </c>
      <c r="K82" s="8" t="s">
        <v>325</v>
      </c>
      <c r="L82" s="9" t="n">
        <v>13909.74</v>
      </c>
      <c r="M82" s="9" t="n">
        <v>1738.72</v>
      </c>
      <c r="N82" s="9" t="n">
        <v>1738.72</v>
      </c>
      <c r="O82" s="9" t="n">
        <v>10432.3</v>
      </c>
      <c r="P82" s="9" t="n">
        <v>1043.23</v>
      </c>
      <c r="Q82" s="9" t="n">
        <v>1043.23</v>
      </c>
      <c r="R82" s="9" t="n">
        <v>1043.23</v>
      </c>
      <c r="S82" s="9" t="n">
        <v>1043.23</v>
      </c>
      <c r="T82" s="9" t="n">
        <v>1043.23</v>
      </c>
      <c r="U82" s="9" t="n">
        <v>1043.23</v>
      </c>
      <c r="V82" s="9" t="n">
        <v>1043.23</v>
      </c>
      <c r="W82" s="9" t="n">
        <v>1043.23</v>
      </c>
      <c r="X82" s="9" t="n">
        <v>1043.23</v>
      </c>
      <c r="Y82" s="9" t="n">
        <v>1043.23</v>
      </c>
      <c r="Z82" s="9" t="n">
        <v>350</v>
      </c>
      <c r="AA82" s="9" t="n">
        <v>250</v>
      </c>
      <c r="AB82" s="9" t="n">
        <v>600</v>
      </c>
    </row>
    <row r="83" customFormat="false" ht="15" hidden="false" customHeight="false" outlineLevel="0" collapsed="false">
      <c r="A83" s="3" t="s">
        <v>390</v>
      </c>
      <c r="B83" s="3" t="s">
        <v>391</v>
      </c>
      <c r="C83" s="3" t="s">
        <v>112</v>
      </c>
      <c r="D83" s="3" t="s">
        <v>113</v>
      </c>
      <c r="E83" s="3" t="n">
        <v>1975</v>
      </c>
      <c r="F83" s="3" t="s">
        <v>60</v>
      </c>
      <c r="G83" s="3" t="s">
        <v>61</v>
      </c>
      <c r="H83" s="3" t="s">
        <v>392</v>
      </c>
      <c r="I83" s="3" t="s">
        <v>47</v>
      </c>
      <c r="J83" s="7" t="n">
        <v>615000</v>
      </c>
      <c r="K83" s="3" t="s">
        <v>189</v>
      </c>
      <c r="L83" s="7" t="n">
        <v>8390.78</v>
      </c>
      <c r="M83" s="7" t="n">
        <v>1048.85</v>
      </c>
      <c r="N83" s="7" t="n">
        <v>1048.85</v>
      </c>
      <c r="O83" s="7" t="n">
        <v>6293.1</v>
      </c>
      <c r="P83" s="7" t="n">
        <v>629.31</v>
      </c>
      <c r="Q83" s="7" t="n">
        <v>629.31</v>
      </c>
      <c r="R83" s="7" t="n">
        <v>629.31</v>
      </c>
      <c r="S83" s="7" t="n">
        <v>629.31</v>
      </c>
      <c r="T83" s="7" t="n">
        <v>629.31</v>
      </c>
      <c r="U83" s="7" t="n">
        <v>629.31</v>
      </c>
      <c r="V83" s="7" t="n">
        <v>629.31</v>
      </c>
      <c r="W83" s="7" t="n">
        <v>629.31</v>
      </c>
      <c r="X83" s="7" t="n">
        <v>629.31</v>
      </c>
      <c r="Y83" s="7" t="n">
        <v>629.31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393</v>
      </c>
      <c r="B84" s="8" t="s">
        <v>394</v>
      </c>
      <c r="C84" s="8" t="s">
        <v>112</v>
      </c>
      <c r="D84" s="8" t="s">
        <v>113</v>
      </c>
      <c r="E84" s="8" t="n">
        <v>2002</v>
      </c>
      <c r="F84" s="8" t="s">
        <v>122</v>
      </c>
      <c r="G84" s="8" t="s">
        <v>123</v>
      </c>
      <c r="H84" s="8" t="s">
        <v>395</v>
      </c>
      <c r="I84" s="8" t="s">
        <v>47</v>
      </c>
      <c r="J84" s="9" t="n">
        <v>495000</v>
      </c>
      <c r="K84" s="8" t="s">
        <v>125</v>
      </c>
      <c r="L84" s="9" t="n">
        <v>9145</v>
      </c>
      <c r="M84" s="9" t="n">
        <v>1143.12</v>
      </c>
      <c r="N84" s="9" t="n">
        <v>1143.12</v>
      </c>
      <c r="O84" s="9" t="n">
        <v>6858.8</v>
      </c>
      <c r="P84" s="9" t="n">
        <v>685.88</v>
      </c>
      <c r="Q84" s="9" t="n">
        <v>685.88</v>
      </c>
      <c r="R84" s="9" t="n">
        <v>685.88</v>
      </c>
      <c r="S84" s="9" t="n">
        <v>685.88</v>
      </c>
      <c r="T84" s="9" t="n">
        <v>685.88</v>
      </c>
      <c r="U84" s="9" t="n">
        <v>685.88</v>
      </c>
      <c r="V84" s="9" t="n">
        <v>685.88</v>
      </c>
      <c r="W84" s="9" t="n">
        <v>685.88</v>
      </c>
      <c r="X84" s="9" t="n">
        <v>685.88</v>
      </c>
      <c r="Y84" s="9" t="n">
        <v>685.88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396</v>
      </c>
      <c r="B85" s="3" t="s">
        <v>397</v>
      </c>
      <c r="C85" s="3" t="s">
        <v>206</v>
      </c>
      <c r="D85" s="3" t="s">
        <v>207</v>
      </c>
      <c r="E85" s="3" t="n">
        <v>2018</v>
      </c>
      <c r="F85" s="3" t="s">
        <v>114</v>
      </c>
      <c r="G85" s="3" t="s">
        <v>115</v>
      </c>
      <c r="H85" s="3" t="s">
        <v>398</v>
      </c>
      <c r="I85" s="3" t="s">
        <v>47</v>
      </c>
      <c r="J85" s="7" t="n">
        <v>305000</v>
      </c>
      <c r="K85" s="3" t="s">
        <v>171</v>
      </c>
      <c r="L85" s="7" t="n">
        <v>5357.02</v>
      </c>
      <c r="M85" s="7" t="n">
        <v>669.63</v>
      </c>
      <c r="N85" s="7" t="n">
        <v>669.63</v>
      </c>
      <c r="O85" s="7" t="n">
        <v>4017.8</v>
      </c>
      <c r="P85" s="7" t="n">
        <v>401.78</v>
      </c>
      <c r="Q85" s="7" t="n">
        <v>401.78</v>
      </c>
      <c r="R85" s="7" t="n">
        <v>401.78</v>
      </c>
      <c r="S85" s="7" t="n">
        <v>401.78</v>
      </c>
      <c r="T85" s="7" t="n">
        <v>401.78</v>
      </c>
      <c r="U85" s="7" t="n">
        <v>401.78</v>
      </c>
      <c r="V85" s="7" t="n">
        <v>401.78</v>
      </c>
      <c r="W85" s="7" t="n">
        <v>401.78</v>
      </c>
      <c r="X85" s="7" t="n">
        <v>401.78</v>
      </c>
      <c r="Y85" s="7" t="n">
        <v>401.78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399</v>
      </c>
      <c r="B86" s="8" t="s">
        <v>400</v>
      </c>
      <c r="C86" s="8" t="s">
        <v>288</v>
      </c>
      <c r="D86" s="8" t="s">
        <v>289</v>
      </c>
      <c r="E86" s="8" t="n">
        <v>1997</v>
      </c>
      <c r="F86" s="8" t="s">
        <v>60</v>
      </c>
      <c r="G86" s="8" t="s">
        <v>61</v>
      </c>
      <c r="H86" s="8" t="s">
        <v>401</v>
      </c>
      <c r="I86" s="8" t="s">
        <v>47</v>
      </c>
      <c r="J86" s="9" t="n">
        <v>460000</v>
      </c>
      <c r="K86" s="8" t="s">
        <v>254</v>
      </c>
      <c r="L86" s="9" t="n">
        <v>7899.9</v>
      </c>
      <c r="M86" s="9" t="n">
        <v>987.49</v>
      </c>
      <c r="N86" s="9" t="n">
        <v>987.49</v>
      </c>
      <c r="O86" s="9" t="n">
        <v>5924.9</v>
      </c>
      <c r="P86" s="9" t="n">
        <v>592.49</v>
      </c>
      <c r="Q86" s="9" t="n">
        <v>592.49</v>
      </c>
      <c r="R86" s="9" t="n">
        <v>592.49</v>
      </c>
      <c r="S86" s="9" t="n">
        <v>592.49</v>
      </c>
      <c r="T86" s="9" t="n">
        <v>592.49</v>
      </c>
      <c r="U86" s="9" t="n">
        <v>592.49</v>
      </c>
      <c r="V86" s="9" t="n">
        <v>592.49</v>
      </c>
      <c r="W86" s="9" t="n">
        <v>592.49</v>
      </c>
      <c r="X86" s="9" t="n">
        <v>592.49</v>
      </c>
      <c r="Y86" s="9" t="n">
        <v>592.49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402</v>
      </c>
      <c r="B87" s="3" t="s">
        <v>403</v>
      </c>
      <c r="C87" s="3" t="s">
        <v>229</v>
      </c>
      <c r="D87" s="3" t="s">
        <v>230</v>
      </c>
      <c r="E87" s="3" t="n">
        <v>1962</v>
      </c>
      <c r="F87" s="3" t="s">
        <v>114</v>
      </c>
      <c r="G87" s="3" t="s">
        <v>115</v>
      </c>
      <c r="H87" s="3" t="s">
        <v>404</v>
      </c>
      <c r="I87" s="3" t="s">
        <v>47</v>
      </c>
      <c r="J87" s="7" t="n">
        <v>695000</v>
      </c>
      <c r="K87" s="3" t="s">
        <v>405</v>
      </c>
      <c r="L87" s="7" t="n">
        <v>8620.24</v>
      </c>
      <c r="M87" s="7" t="n">
        <v>1077.53</v>
      </c>
      <c r="N87" s="7" t="n">
        <v>1077.53</v>
      </c>
      <c r="O87" s="7" t="n">
        <v>6465.2</v>
      </c>
      <c r="P87" s="7" t="n">
        <v>646.52</v>
      </c>
      <c r="Q87" s="7" t="n">
        <v>646.52</v>
      </c>
      <c r="R87" s="7" t="n">
        <v>646.52</v>
      </c>
      <c r="S87" s="7" t="n">
        <v>646.52</v>
      </c>
      <c r="T87" s="7" t="n">
        <v>646.52</v>
      </c>
      <c r="U87" s="7" t="n">
        <v>646.52</v>
      </c>
      <c r="V87" s="7" t="n">
        <v>646.52</v>
      </c>
      <c r="W87" s="7" t="n">
        <v>646.52</v>
      </c>
      <c r="X87" s="7" t="n">
        <v>646.52</v>
      </c>
      <c r="Y87" s="7" t="n">
        <v>646.52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406</v>
      </c>
      <c r="B88" s="8" t="s">
        <v>407</v>
      </c>
      <c r="C88" s="8" t="s">
        <v>337</v>
      </c>
      <c r="D88" s="8" t="s">
        <v>338</v>
      </c>
      <c r="E88" s="8" t="n">
        <v>2017</v>
      </c>
      <c r="F88" s="8" t="s">
        <v>86</v>
      </c>
      <c r="G88" s="8" t="s">
        <v>136</v>
      </c>
      <c r="H88" s="8" t="s">
        <v>408</v>
      </c>
      <c r="I88" s="8" t="s">
        <v>89</v>
      </c>
      <c r="J88" s="9" t="n">
        <v>715000</v>
      </c>
      <c r="K88" s="8" t="s">
        <v>189</v>
      </c>
      <c r="L88" s="9" t="n">
        <v>14257.51</v>
      </c>
      <c r="M88" s="9" t="n">
        <v>1782.19</v>
      </c>
      <c r="N88" s="9" t="n">
        <v>1782.19</v>
      </c>
      <c r="O88" s="9" t="n">
        <v>10693.1</v>
      </c>
      <c r="P88" s="9" t="n">
        <v>1069.31</v>
      </c>
      <c r="Q88" s="9" t="n">
        <v>1069.31</v>
      </c>
      <c r="R88" s="9" t="n">
        <v>1069.31</v>
      </c>
      <c r="S88" s="9" t="n">
        <v>1069.31</v>
      </c>
      <c r="T88" s="9" t="n">
        <v>1069.31</v>
      </c>
      <c r="U88" s="9" t="n">
        <v>1069.31</v>
      </c>
      <c r="V88" s="9" t="n">
        <v>1069.31</v>
      </c>
      <c r="W88" s="9" t="n">
        <v>1069.31</v>
      </c>
      <c r="X88" s="9" t="n">
        <v>1069.31</v>
      </c>
      <c r="Y88" s="9" t="n">
        <v>1069.31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409</v>
      </c>
      <c r="B89" s="3" t="s">
        <v>410</v>
      </c>
      <c r="C89" s="3" t="s">
        <v>168</v>
      </c>
      <c r="D89" s="3" t="s">
        <v>169</v>
      </c>
      <c r="E89" s="3" t="n">
        <v>1962</v>
      </c>
      <c r="F89" s="3" t="s">
        <v>100</v>
      </c>
      <c r="G89" s="3" t="s">
        <v>101</v>
      </c>
      <c r="H89" s="3" t="s">
        <v>411</v>
      </c>
      <c r="I89" s="3" t="s">
        <v>103</v>
      </c>
      <c r="J89" s="7" t="n">
        <v>1395000</v>
      </c>
      <c r="K89" s="3" t="s">
        <v>212</v>
      </c>
      <c r="L89" s="7" t="n">
        <v>21392.19</v>
      </c>
      <c r="M89" s="7" t="n">
        <v>2674.02</v>
      </c>
      <c r="N89" s="7" t="n">
        <v>2674.02</v>
      </c>
      <c r="O89" s="7" t="n">
        <v>16044.1</v>
      </c>
      <c r="P89" s="7" t="n">
        <v>1604.41</v>
      </c>
      <c r="Q89" s="7" t="n">
        <v>1604.41</v>
      </c>
      <c r="R89" s="7" t="n">
        <v>1604.41</v>
      </c>
      <c r="S89" s="7" t="n">
        <v>1604.41</v>
      </c>
      <c r="T89" s="7" t="n">
        <v>1604.41</v>
      </c>
      <c r="U89" s="7" t="n">
        <v>1604.41</v>
      </c>
      <c r="V89" s="7" t="n">
        <v>1604.41</v>
      </c>
      <c r="W89" s="7" t="n">
        <v>1604.41</v>
      </c>
      <c r="X89" s="7" t="n">
        <v>1604.41</v>
      </c>
      <c r="Y89" s="7" t="n">
        <v>1604.41</v>
      </c>
      <c r="Z89" s="7" t="n">
        <v>350</v>
      </c>
      <c r="AA89" s="7" t="n">
        <v>250</v>
      </c>
      <c r="AB89" s="7" t="n">
        <v>600</v>
      </c>
    </row>
    <row r="90" customFormat="false" ht="15" hidden="false" customHeight="false" outlineLevel="0" collapsed="false">
      <c r="A90" s="8" t="s">
        <v>412</v>
      </c>
      <c r="B90" s="8" t="s">
        <v>413</v>
      </c>
      <c r="C90" s="8" t="s">
        <v>84</v>
      </c>
      <c r="D90" s="8" t="s">
        <v>85</v>
      </c>
      <c r="E90" s="8" t="n">
        <v>2004</v>
      </c>
      <c r="F90" s="8" t="s">
        <v>44</v>
      </c>
      <c r="G90" s="8" t="s">
        <v>45</v>
      </c>
      <c r="H90" s="8" t="s">
        <v>414</v>
      </c>
      <c r="I90" s="8" t="s">
        <v>47</v>
      </c>
      <c r="J90" s="9" t="n">
        <v>330000</v>
      </c>
      <c r="K90" s="8" t="s">
        <v>277</v>
      </c>
      <c r="L90" s="9" t="n">
        <v>4851.57</v>
      </c>
      <c r="M90" s="9" t="n">
        <v>606.45</v>
      </c>
      <c r="N90" s="9" t="n">
        <v>606.45</v>
      </c>
      <c r="O90" s="9" t="n">
        <v>3638.7</v>
      </c>
      <c r="P90" s="9" t="n">
        <v>363.87</v>
      </c>
      <c r="Q90" s="9" t="n">
        <v>363.87</v>
      </c>
      <c r="R90" s="9" t="n">
        <v>363.87</v>
      </c>
      <c r="S90" s="9" t="n">
        <v>363.87</v>
      </c>
      <c r="T90" s="9" t="n">
        <v>363.87</v>
      </c>
      <c r="U90" s="9" t="n">
        <v>363.87</v>
      </c>
      <c r="V90" s="9" t="n">
        <v>363.87</v>
      </c>
      <c r="W90" s="9" t="n">
        <v>363.87</v>
      </c>
      <c r="X90" s="9" t="n">
        <v>363.87</v>
      </c>
      <c r="Y90" s="9" t="n">
        <v>363.87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415</v>
      </c>
      <c r="B91" s="3" t="s">
        <v>416</v>
      </c>
      <c r="C91" s="3" t="s">
        <v>112</v>
      </c>
      <c r="D91" s="3" t="s">
        <v>113</v>
      </c>
      <c r="E91" s="3" t="n">
        <v>2001</v>
      </c>
      <c r="F91" s="3" t="s">
        <v>93</v>
      </c>
      <c r="G91" s="3" t="s">
        <v>94</v>
      </c>
      <c r="H91" s="3" t="s">
        <v>417</v>
      </c>
      <c r="I91" s="3" t="s">
        <v>96</v>
      </c>
      <c r="J91" s="7" t="n">
        <v>345000</v>
      </c>
      <c r="K91" s="3" t="s">
        <v>373</v>
      </c>
      <c r="L91" s="7" t="n">
        <v>3447.23</v>
      </c>
      <c r="M91" s="7" t="n">
        <v>430.9</v>
      </c>
      <c r="N91" s="7" t="n">
        <v>430.9</v>
      </c>
      <c r="O91" s="7" t="n">
        <v>2585.4</v>
      </c>
      <c r="P91" s="7" t="n">
        <v>258.54</v>
      </c>
      <c r="Q91" s="7" t="n">
        <v>258.54</v>
      </c>
      <c r="R91" s="7" t="n">
        <v>258.54</v>
      </c>
      <c r="S91" s="7" t="n">
        <v>258.54</v>
      </c>
      <c r="T91" s="7" t="n">
        <v>258.54</v>
      </c>
      <c r="U91" s="7" t="n">
        <v>258.54</v>
      </c>
      <c r="V91" s="7" t="n">
        <v>258.54</v>
      </c>
      <c r="W91" s="7" t="n">
        <v>258.54</v>
      </c>
      <c r="X91" s="7" t="n">
        <v>258.54</v>
      </c>
      <c r="Y91" s="7" t="n">
        <v>258.54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418</v>
      </c>
      <c r="B92" s="8" t="s">
        <v>105</v>
      </c>
      <c r="C92" s="8" t="s">
        <v>128</v>
      </c>
      <c r="D92" s="8" t="s">
        <v>129</v>
      </c>
      <c r="E92" s="8" t="n">
        <v>1988</v>
      </c>
      <c r="F92" s="8" t="s">
        <v>100</v>
      </c>
      <c r="G92" s="8" t="s">
        <v>101</v>
      </c>
      <c r="H92" s="8" t="s">
        <v>419</v>
      </c>
      <c r="I92" s="8" t="s">
        <v>103</v>
      </c>
      <c r="J92" s="9" t="n">
        <v>750000</v>
      </c>
      <c r="K92" s="8" t="s">
        <v>420</v>
      </c>
      <c r="L92" s="9" t="n">
        <v>12685.12</v>
      </c>
      <c r="M92" s="9" t="n">
        <v>1585.64</v>
      </c>
      <c r="N92" s="9" t="n">
        <v>1585.64</v>
      </c>
      <c r="O92" s="9" t="n">
        <v>9513.8</v>
      </c>
      <c r="P92" s="9" t="n">
        <v>951.38</v>
      </c>
      <c r="Q92" s="9" t="n">
        <v>951.38</v>
      </c>
      <c r="R92" s="9" t="n">
        <v>951.38</v>
      </c>
      <c r="S92" s="9" t="n">
        <v>951.38</v>
      </c>
      <c r="T92" s="9" t="n">
        <v>951.38</v>
      </c>
      <c r="U92" s="9" t="n">
        <v>951.38</v>
      </c>
      <c r="V92" s="9" t="n">
        <v>951.38</v>
      </c>
      <c r="W92" s="9" t="n">
        <v>951.38</v>
      </c>
      <c r="X92" s="9" t="n">
        <v>951.38</v>
      </c>
      <c r="Y92" s="9" t="n">
        <v>951.38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421</v>
      </c>
      <c r="B93" s="3" t="s">
        <v>422</v>
      </c>
      <c r="C93" s="3" t="s">
        <v>274</v>
      </c>
      <c r="D93" s="3" t="s">
        <v>275</v>
      </c>
      <c r="E93" s="3" t="n">
        <v>1976</v>
      </c>
      <c r="F93" s="3" t="s">
        <v>86</v>
      </c>
      <c r="G93" s="3" t="s">
        <v>181</v>
      </c>
      <c r="H93" s="3" t="s">
        <v>423</v>
      </c>
      <c r="I93" s="3" t="s">
        <v>96</v>
      </c>
      <c r="J93" s="7" t="n">
        <v>710000</v>
      </c>
      <c r="K93" s="3" t="s">
        <v>71</v>
      </c>
      <c r="L93" s="7" t="n">
        <v>6778.99</v>
      </c>
      <c r="M93" s="7" t="n">
        <v>847.37</v>
      </c>
      <c r="N93" s="7" t="n">
        <v>847.37</v>
      </c>
      <c r="O93" s="7" t="n">
        <v>5084.2</v>
      </c>
      <c r="P93" s="7" t="n">
        <v>508.42</v>
      </c>
      <c r="Q93" s="7" t="n">
        <v>508.42</v>
      </c>
      <c r="R93" s="7" t="n">
        <v>508.42</v>
      </c>
      <c r="S93" s="7" t="n">
        <v>508.42</v>
      </c>
      <c r="T93" s="7" t="n">
        <v>508.42</v>
      </c>
      <c r="U93" s="7" t="n">
        <v>508.42</v>
      </c>
      <c r="V93" s="7" t="n">
        <v>508.42</v>
      </c>
      <c r="W93" s="7" t="n">
        <v>508.42</v>
      </c>
      <c r="X93" s="7" t="n">
        <v>508.42</v>
      </c>
      <c r="Y93" s="7" t="n">
        <v>508.42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424</v>
      </c>
      <c r="B94" s="8" t="s">
        <v>425</v>
      </c>
      <c r="C94" s="8" t="s">
        <v>156</v>
      </c>
      <c r="D94" s="8" t="s">
        <v>157</v>
      </c>
      <c r="E94" s="8" t="n">
        <v>1970</v>
      </c>
      <c r="F94" s="8" t="s">
        <v>53</v>
      </c>
      <c r="G94" s="8" t="s">
        <v>54</v>
      </c>
      <c r="H94" s="8" t="s">
        <v>426</v>
      </c>
      <c r="I94" s="8" t="s">
        <v>47</v>
      </c>
      <c r="J94" s="9" t="n">
        <v>170000</v>
      </c>
      <c r="K94" s="8" t="s">
        <v>357</v>
      </c>
      <c r="L94" s="9" t="n">
        <v>2523.18</v>
      </c>
      <c r="M94" s="9" t="n">
        <v>315.4</v>
      </c>
      <c r="N94" s="9" t="n">
        <v>315.4</v>
      </c>
      <c r="O94" s="9" t="n">
        <v>1892.4</v>
      </c>
      <c r="P94" s="9" t="n">
        <v>189.24</v>
      </c>
      <c r="Q94" s="9" t="n">
        <v>189.24</v>
      </c>
      <c r="R94" s="9" t="n">
        <v>189.24</v>
      </c>
      <c r="S94" s="9" t="n">
        <v>189.24</v>
      </c>
      <c r="T94" s="9" t="n">
        <v>189.24</v>
      </c>
      <c r="U94" s="9" t="n">
        <v>189.24</v>
      </c>
      <c r="V94" s="9" t="n">
        <v>189.24</v>
      </c>
      <c r="W94" s="9" t="n">
        <v>189.24</v>
      </c>
      <c r="X94" s="9" t="n">
        <v>189.24</v>
      </c>
      <c r="Y94" s="9" t="n">
        <v>189.24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427</v>
      </c>
      <c r="B95" s="3" t="s">
        <v>428</v>
      </c>
      <c r="C95" s="3" t="s">
        <v>283</v>
      </c>
      <c r="D95" s="3" t="s">
        <v>284</v>
      </c>
      <c r="E95" s="3" t="n">
        <v>2006</v>
      </c>
      <c r="F95" s="3" t="s">
        <v>114</v>
      </c>
      <c r="G95" s="3" t="s">
        <v>115</v>
      </c>
      <c r="H95" s="3" t="s">
        <v>429</v>
      </c>
      <c r="I95" s="3" t="s">
        <v>47</v>
      </c>
      <c r="J95" s="7" t="n">
        <v>400000</v>
      </c>
      <c r="K95" s="3" t="s">
        <v>75</v>
      </c>
      <c r="L95" s="7" t="n">
        <v>7129.69</v>
      </c>
      <c r="M95" s="7" t="n">
        <v>891.21</v>
      </c>
      <c r="N95" s="7" t="n">
        <v>891.21</v>
      </c>
      <c r="O95" s="7" t="n">
        <v>5347.3</v>
      </c>
      <c r="P95" s="7" t="n">
        <v>534.73</v>
      </c>
      <c r="Q95" s="7" t="n">
        <v>534.73</v>
      </c>
      <c r="R95" s="7" t="n">
        <v>534.73</v>
      </c>
      <c r="S95" s="7" t="n">
        <v>534.73</v>
      </c>
      <c r="T95" s="7" t="n">
        <v>534.73</v>
      </c>
      <c r="U95" s="7" t="n">
        <v>534.73</v>
      </c>
      <c r="V95" s="7" t="n">
        <v>534.73</v>
      </c>
      <c r="W95" s="7" t="n">
        <v>534.73</v>
      </c>
      <c r="X95" s="7" t="n">
        <v>534.73</v>
      </c>
      <c r="Y95" s="7" t="n">
        <v>534.73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430</v>
      </c>
      <c r="B96" s="8" t="s">
        <v>431</v>
      </c>
      <c r="C96" s="8" t="s">
        <v>432</v>
      </c>
      <c r="D96" s="8" t="s">
        <v>433</v>
      </c>
      <c r="E96" s="8" t="n">
        <v>2019</v>
      </c>
      <c r="F96" s="8" t="s">
        <v>68</v>
      </c>
      <c r="G96" s="8" t="s">
        <v>69</v>
      </c>
      <c r="H96" s="8" t="s">
        <v>434</v>
      </c>
      <c r="I96" s="8" t="s">
        <v>47</v>
      </c>
      <c r="J96" s="9" t="n">
        <v>610000</v>
      </c>
      <c r="K96" s="8" t="s">
        <v>420</v>
      </c>
      <c r="L96" s="9" t="n">
        <v>8597.7</v>
      </c>
      <c r="M96" s="9" t="n">
        <v>1074.71</v>
      </c>
      <c r="N96" s="9" t="n">
        <v>1074.71</v>
      </c>
      <c r="O96" s="9" t="n">
        <v>6448.3</v>
      </c>
      <c r="P96" s="9" t="n">
        <v>644.83</v>
      </c>
      <c r="Q96" s="9" t="n">
        <v>644.83</v>
      </c>
      <c r="R96" s="9" t="n">
        <v>644.83</v>
      </c>
      <c r="S96" s="9" t="n">
        <v>644.83</v>
      </c>
      <c r="T96" s="9" t="n">
        <v>644.83</v>
      </c>
      <c r="U96" s="9" t="n">
        <v>644.83</v>
      </c>
      <c r="V96" s="9" t="n">
        <v>644.83</v>
      </c>
      <c r="W96" s="9" t="n">
        <v>644.83</v>
      </c>
      <c r="X96" s="9" t="n">
        <v>644.83</v>
      </c>
      <c r="Y96" s="9" t="n">
        <v>644.83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435</v>
      </c>
      <c r="B97" s="3" t="s">
        <v>436</v>
      </c>
      <c r="C97" s="3" t="s">
        <v>229</v>
      </c>
      <c r="D97" s="3" t="s">
        <v>230</v>
      </c>
      <c r="E97" s="3" t="n">
        <v>2014</v>
      </c>
      <c r="F97" s="3" t="s">
        <v>437</v>
      </c>
      <c r="G97" s="3" t="s">
        <v>438</v>
      </c>
      <c r="H97" s="3" t="s">
        <v>439</v>
      </c>
      <c r="I97" s="3" t="s">
        <v>89</v>
      </c>
      <c r="J97" s="7" t="n">
        <v>1685000</v>
      </c>
      <c r="K97" s="3" t="s">
        <v>216</v>
      </c>
      <c r="L97" s="7" t="n">
        <v>22448.62</v>
      </c>
      <c r="M97" s="7" t="n">
        <v>2806.08</v>
      </c>
      <c r="N97" s="7" t="n">
        <v>2806.08</v>
      </c>
      <c r="O97" s="7" t="n">
        <v>16836.5</v>
      </c>
      <c r="P97" s="7" t="n">
        <v>1683.65</v>
      </c>
      <c r="Q97" s="7" t="n">
        <v>1683.65</v>
      </c>
      <c r="R97" s="7" t="n">
        <v>1683.65</v>
      </c>
      <c r="S97" s="7" t="n">
        <v>1683.65</v>
      </c>
      <c r="T97" s="7" t="n">
        <v>1683.65</v>
      </c>
      <c r="U97" s="7" t="n">
        <v>1683.65</v>
      </c>
      <c r="V97" s="7" t="n">
        <v>1683.65</v>
      </c>
      <c r="W97" s="7" t="n">
        <v>1683.65</v>
      </c>
      <c r="X97" s="7" t="n">
        <v>1683.65</v>
      </c>
      <c r="Y97" s="7" t="n">
        <v>1683.65</v>
      </c>
      <c r="Z97" s="7" t="n">
        <v>350</v>
      </c>
      <c r="AA97" s="7" t="n">
        <v>250</v>
      </c>
      <c r="AB97" s="7" t="n">
        <v>600</v>
      </c>
    </row>
    <row r="98" customFormat="false" ht="15" hidden="false" customHeight="false" outlineLevel="0" collapsed="false">
      <c r="A98" s="8" t="s">
        <v>440</v>
      </c>
      <c r="B98" s="8" t="s">
        <v>441</v>
      </c>
      <c r="C98" s="8" t="s">
        <v>261</v>
      </c>
      <c r="D98" s="8" t="s">
        <v>262</v>
      </c>
      <c r="E98" s="8" t="n">
        <v>1965</v>
      </c>
      <c r="F98" s="8" t="s">
        <v>44</v>
      </c>
      <c r="G98" s="8" t="s">
        <v>45</v>
      </c>
      <c r="H98" s="8" t="s">
        <v>442</v>
      </c>
      <c r="I98" s="8" t="s">
        <v>47</v>
      </c>
      <c r="J98" s="9" t="n">
        <v>270000</v>
      </c>
      <c r="K98" s="8" t="s">
        <v>443</v>
      </c>
      <c r="L98" s="9" t="n">
        <v>3828.95</v>
      </c>
      <c r="M98" s="9" t="n">
        <v>478.62</v>
      </c>
      <c r="N98" s="9" t="n">
        <v>478.62</v>
      </c>
      <c r="O98" s="9" t="n">
        <v>2871.7</v>
      </c>
      <c r="P98" s="9" t="n">
        <v>287.17</v>
      </c>
      <c r="Q98" s="9" t="n">
        <v>287.17</v>
      </c>
      <c r="R98" s="9" t="n">
        <v>287.17</v>
      </c>
      <c r="S98" s="9" t="n">
        <v>287.17</v>
      </c>
      <c r="T98" s="9" t="n">
        <v>287.17</v>
      </c>
      <c r="U98" s="9" t="n">
        <v>287.17</v>
      </c>
      <c r="V98" s="9" t="n">
        <v>287.17</v>
      </c>
      <c r="W98" s="9" t="n">
        <v>287.17</v>
      </c>
      <c r="X98" s="9" t="n">
        <v>287.17</v>
      </c>
      <c r="Y98" s="9" t="n">
        <v>287.17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444</v>
      </c>
      <c r="B99" s="3" t="s">
        <v>445</v>
      </c>
      <c r="C99" s="3" t="s">
        <v>354</v>
      </c>
      <c r="D99" s="3" t="s">
        <v>355</v>
      </c>
      <c r="E99" s="3" t="n">
        <v>1987</v>
      </c>
      <c r="F99" s="3" t="s">
        <v>122</v>
      </c>
      <c r="G99" s="3" t="s">
        <v>123</v>
      </c>
      <c r="H99" s="3" t="s">
        <v>446</v>
      </c>
      <c r="I99" s="3" t="s">
        <v>47</v>
      </c>
      <c r="J99" s="7" t="n">
        <v>500000</v>
      </c>
      <c r="K99" s="3" t="s">
        <v>81</v>
      </c>
      <c r="L99" s="7" t="n">
        <v>7160.05</v>
      </c>
      <c r="M99" s="7" t="n">
        <v>895.01</v>
      </c>
      <c r="N99" s="7" t="n">
        <v>895.01</v>
      </c>
      <c r="O99" s="7" t="n">
        <v>5370</v>
      </c>
      <c r="P99" s="7" t="n">
        <v>537</v>
      </c>
      <c r="Q99" s="7" t="n">
        <v>537</v>
      </c>
      <c r="R99" s="7" t="n">
        <v>537</v>
      </c>
      <c r="S99" s="7" t="n">
        <v>537</v>
      </c>
      <c r="T99" s="7" t="n">
        <v>537</v>
      </c>
      <c r="U99" s="7" t="n">
        <v>537</v>
      </c>
      <c r="V99" s="7" t="n">
        <v>537</v>
      </c>
      <c r="W99" s="7" t="n">
        <v>537</v>
      </c>
      <c r="X99" s="7" t="n">
        <v>537</v>
      </c>
      <c r="Y99" s="7" t="n">
        <v>537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447</v>
      </c>
      <c r="B100" s="8" t="s">
        <v>448</v>
      </c>
      <c r="C100" s="8" t="s">
        <v>337</v>
      </c>
      <c r="D100" s="8" t="s">
        <v>338</v>
      </c>
      <c r="E100" s="8" t="n">
        <v>1968</v>
      </c>
      <c r="F100" s="8" t="s">
        <v>44</v>
      </c>
      <c r="G100" s="8" t="s">
        <v>45</v>
      </c>
      <c r="H100" s="8" t="s">
        <v>449</v>
      </c>
      <c r="I100" s="8" t="s">
        <v>47</v>
      </c>
      <c r="J100" s="9" t="n">
        <v>635000</v>
      </c>
      <c r="K100" s="8" t="s">
        <v>234</v>
      </c>
      <c r="L100" s="9" t="n">
        <v>6515.64</v>
      </c>
      <c r="M100" s="9" t="n">
        <v>814.46</v>
      </c>
      <c r="N100" s="9" t="n">
        <v>814.46</v>
      </c>
      <c r="O100" s="9" t="n">
        <v>4886.7</v>
      </c>
      <c r="P100" s="9" t="n">
        <v>488.67</v>
      </c>
      <c r="Q100" s="9" t="n">
        <v>488.67</v>
      </c>
      <c r="R100" s="9" t="n">
        <v>488.67</v>
      </c>
      <c r="S100" s="9" t="n">
        <v>488.67</v>
      </c>
      <c r="T100" s="9" t="n">
        <v>488.67</v>
      </c>
      <c r="U100" s="9" t="n">
        <v>488.67</v>
      </c>
      <c r="V100" s="9" t="n">
        <v>488.67</v>
      </c>
      <c r="W100" s="9" t="n">
        <v>488.67</v>
      </c>
      <c r="X100" s="9" t="n">
        <v>488.67</v>
      </c>
      <c r="Y100" s="9" t="n">
        <v>488.67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450</v>
      </c>
      <c r="B101" s="3" t="s">
        <v>451</v>
      </c>
      <c r="C101" s="3" t="s">
        <v>120</v>
      </c>
      <c r="D101" s="3" t="s">
        <v>121</v>
      </c>
      <c r="E101" s="3" t="n">
        <v>1972</v>
      </c>
      <c r="F101" s="3" t="s">
        <v>158</v>
      </c>
      <c r="G101" s="3" t="s">
        <v>159</v>
      </c>
      <c r="H101" s="3" t="s">
        <v>452</v>
      </c>
      <c r="I101" s="3" t="s">
        <v>103</v>
      </c>
      <c r="J101" s="7" t="n">
        <v>1190000</v>
      </c>
      <c r="K101" s="3" t="s">
        <v>453</v>
      </c>
      <c r="L101" s="7" t="n">
        <v>14318.07</v>
      </c>
      <c r="M101" s="7" t="n">
        <v>1789.76</v>
      </c>
      <c r="N101" s="7" t="n">
        <v>1789.76</v>
      </c>
      <c r="O101" s="7" t="n">
        <v>10738.6</v>
      </c>
      <c r="P101" s="7" t="n">
        <v>1073.86</v>
      </c>
      <c r="Q101" s="7" t="n">
        <v>1073.86</v>
      </c>
      <c r="R101" s="7" t="n">
        <v>1073.86</v>
      </c>
      <c r="S101" s="7" t="n">
        <v>1073.86</v>
      </c>
      <c r="T101" s="7" t="n">
        <v>1073.86</v>
      </c>
      <c r="U101" s="7" t="n">
        <v>1073.86</v>
      </c>
      <c r="V101" s="7" t="n">
        <v>1073.86</v>
      </c>
      <c r="W101" s="7" t="n">
        <v>1073.86</v>
      </c>
      <c r="X101" s="7" t="n">
        <v>1073.86</v>
      </c>
      <c r="Y101" s="7" t="n">
        <v>1073.86</v>
      </c>
      <c r="Z101" s="7" t="n">
        <v>350</v>
      </c>
      <c r="AA101" s="7" t="n">
        <v>250</v>
      </c>
      <c r="AB101" s="7" t="n">
        <v>600</v>
      </c>
    </row>
    <row r="102" customFormat="false" ht="15" hidden="false" customHeight="false" outlineLevel="0" collapsed="false">
      <c r="A102" s="8" t="s">
        <v>454</v>
      </c>
      <c r="B102" s="8" t="s">
        <v>455</v>
      </c>
      <c r="C102" s="8" t="s">
        <v>152</v>
      </c>
      <c r="D102" s="8" t="s">
        <v>153</v>
      </c>
      <c r="E102" s="8" t="n">
        <v>2024</v>
      </c>
      <c r="F102" s="8" t="s">
        <v>231</v>
      </c>
      <c r="G102" s="8" t="s">
        <v>232</v>
      </c>
      <c r="H102" s="8" t="s">
        <v>456</v>
      </c>
      <c r="I102" s="8" t="s">
        <v>89</v>
      </c>
      <c r="J102" s="9" t="n">
        <v>320000</v>
      </c>
      <c r="K102" s="8" t="s">
        <v>351</v>
      </c>
      <c r="L102" s="9" t="n">
        <v>7979.7</v>
      </c>
      <c r="M102" s="9" t="n">
        <v>997.46</v>
      </c>
      <c r="N102" s="9" t="n">
        <v>997.46</v>
      </c>
      <c r="O102" s="9" t="n">
        <v>5984.8</v>
      </c>
      <c r="P102" s="9" t="n">
        <v>598.48</v>
      </c>
      <c r="Q102" s="9" t="n">
        <v>598.48</v>
      </c>
      <c r="R102" s="9" t="n">
        <v>598.48</v>
      </c>
      <c r="S102" s="9" t="n">
        <v>598.48</v>
      </c>
      <c r="T102" s="9" t="n">
        <v>598.48</v>
      </c>
      <c r="U102" s="9" t="n">
        <v>598.48</v>
      </c>
      <c r="V102" s="9" t="n">
        <v>598.48</v>
      </c>
      <c r="W102" s="9" t="n">
        <v>598.48</v>
      </c>
      <c r="X102" s="9" t="n">
        <v>598.48</v>
      </c>
      <c r="Y102" s="9" t="n">
        <v>598.48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457</v>
      </c>
      <c r="B103" s="3" t="s">
        <v>458</v>
      </c>
      <c r="C103" s="3" t="s">
        <v>66</v>
      </c>
      <c r="D103" s="3" t="s">
        <v>67</v>
      </c>
      <c r="E103" s="3" t="n">
        <v>1979</v>
      </c>
      <c r="F103" s="3" t="s">
        <v>86</v>
      </c>
      <c r="G103" s="3" t="s">
        <v>87</v>
      </c>
      <c r="H103" s="3" t="s">
        <v>459</v>
      </c>
      <c r="I103" s="3" t="s">
        <v>89</v>
      </c>
      <c r="J103" s="7" t="n">
        <v>695000</v>
      </c>
      <c r="K103" s="3" t="s">
        <v>460</v>
      </c>
      <c r="L103" s="7" t="n">
        <v>15462.18</v>
      </c>
      <c r="M103" s="7" t="n">
        <v>1932.77</v>
      </c>
      <c r="N103" s="7" t="n">
        <v>1932.77</v>
      </c>
      <c r="O103" s="7" t="n">
        <v>11596.6</v>
      </c>
      <c r="P103" s="7" t="n">
        <v>1159.66</v>
      </c>
      <c r="Q103" s="7" t="n">
        <v>1159.66</v>
      </c>
      <c r="R103" s="7" t="n">
        <v>1159.66</v>
      </c>
      <c r="S103" s="7" t="n">
        <v>1159.66</v>
      </c>
      <c r="T103" s="7" t="n">
        <v>1159.66</v>
      </c>
      <c r="U103" s="7" t="n">
        <v>1159.66</v>
      </c>
      <c r="V103" s="7" t="n">
        <v>1159.66</v>
      </c>
      <c r="W103" s="7" t="n">
        <v>1159.66</v>
      </c>
      <c r="X103" s="7" t="n">
        <v>1159.66</v>
      </c>
      <c r="Y103" s="7" t="n">
        <v>1159.66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461</v>
      </c>
      <c r="B104" s="8" t="s">
        <v>462</v>
      </c>
      <c r="C104" s="8" t="s">
        <v>141</v>
      </c>
      <c r="D104" s="8" t="s">
        <v>142</v>
      </c>
      <c r="E104" s="8" t="n">
        <v>1969</v>
      </c>
      <c r="F104" s="8" t="s">
        <v>60</v>
      </c>
      <c r="G104" s="8" t="s">
        <v>61</v>
      </c>
      <c r="H104" s="8" t="s">
        <v>463</v>
      </c>
      <c r="I104" s="8" t="s">
        <v>47</v>
      </c>
      <c r="J104" s="9" t="n">
        <v>725000</v>
      </c>
      <c r="K104" s="8" t="s">
        <v>443</v>
      </c>
      <c r="L104" s="9" t="n">
        <v>8910.59</v>
      </c>
      <c r="M104" s="9" t="n">
        <v>1113.82</v>
      </c>
      <c r="N104" s="9" t="n">
        <v>1113.82</v>
      </c>
      <c r="O104" s="9" t="n">
        <v>6682.9</v>
      </c>
      <c r="P104" s="9" t="n">
        <v>668.29</v>
      </c>
      <c r="Q104" s="9" t="n">
        <v>668.29</v>
      </c>
      <c r="R104" s="9" t="n">
        <v>668.29</v>
      </c>
      <c r="S104" s="9" t="n">
        <v>668.29</v>
      </c>
      <c r="T104" s="9" t="n">
        <v>668.29</v>
      </c>
      <c r="U104" s="9" t="n">
        <v>668.29</v>
      </c>
      <c r="V104" s="9" t="n">
        <v>668.29</v>
      </c>
      <c r="W104" s="9" t="n">
        <v>668.29</v>
      </c>
      <c r="X104" s="9" t="n">
        <v>668.29</v>
      </c>
      <c r="Y104" s="9" t="n">
        <v>668.29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464</v>
      </c>
      <c r="B105" s="3" t="s">
        <v>403</v>
      </c>
      <c r="C105" s="3" t="s">
        <v>465</v>
      </c>
      <c r="D105" s="3" t="s">
        <v>466</v>
      </c>
      <c r="E105" s="3" t="n">
        <v>1970</v>
      </c>
      <c r="F105" s="3" t="s">
        <v>122</v>
      </c>
      <c r="G105" s="3" t="s">
        <v>123</v>
      </c>
      <c r="H105" s="3" t="s">
        <v>467</v>
      </c>
      <c r="I105" s="3" t="s">
        <v>47</v>
      </c>
      <c r="J105" s="7" t="n">
        <v>610000</v>
      </c>
      <c r="K105" s="3" t="s">
        <v>138</v>
      </c>
      <c r="L105" s="7" t="n">
        <v>9560.63</v>
      </c>
      <c r="M105" s="7" t="n">
        <v>1195.08</v>
      </c>
      <c r="N105" s="7" t="n">
        <v>1195.08</v>
      </c>
      <c r="O105" s="7" t="n">
        <v>7170.5</v>
      </c>
      <c r="P105" s="7" t="n">
        <v>717.05</v>
      </c>
      <c r="Q105" s="7" t="n">
        <v>717.05</v>
      </c>
      <c r="R105" s="7" t="n">
        <v>717.05</v>
      </c>
      <c r="S105" s="7" t="n">
        <v>717.05</v>
      </c>
      <c r="T105" s="7" t="n">
        <v>717.05</v>
      </c>
      <c r="U105" s="7" t="n">
        <v>717.05</v>
      </c>
      <c r="V105" s="7" t="n">
        <v>717.05</v>
      </c>
      <c r="W105" s="7" t="n">
        <v>717.05</v>
      </c>
      <c r="X105" s="7" t="n">
        <v>717.05</v>
      </c>
      <c r="Y105" s="7" t="n">
        <v>717.05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468</v>
      </c>
      <c r="B106" s="8" t="s">
        <v>407</v>
      </c>
      <c r="C106" s="8" t="s">
        <v>168</v>
      </c>
      <c r="D106" s="8" t="s">
        <v>169</v>
      </c>
      <c r="E106" s="8" t="n">
        <v>2024</v>
      </c>
      <c r="F106" s="8" t="s">
        <v>44</v>
      </c>
      <c r="G106" s="8" t="s">
        <v>45</v>
      </c>
      <c r="H106" s="8" t="s">
        <v>469</v>
      </c>
      <c r="I106" s="8" t="s">
        <v>47</v>
      </c>
      <c r="J106" s="9" t="n">
        <v>615000</v>
      </c>
      <c r="K106" s="8" t="s">
        <v>71</v>
      </c>
      <c r="L106" s="9" t="n">
        <v>8876.2</v>
      </c>
      <c r="M106" s="9" t="n">
        <v>1109.53</v>
      </c>
      <c r="N106" s="9" t="n">
        <v>1109.53</v>
      </c>
      <c r="O106" s="9" t="n">
        <v>6657.2</v>
      </c>
      <c r="P106" s="9" t="n">
        <v>665.72</v>
      </c>
      <c r="Q106" s="9" t="n">
        <v>665.72</v>
      </c>
      <c r="R106" s="9" t="n">
        <v>665.72</v>
      </c>
      <c r="S106" s="9" t="n">
        <v>665.72</v>
      </c>
      <c r="T106" s="9" t="n">
        <v>665.72</v>
      </c>
      <c r="U106" s="9" t="n">
        <v>665.72</v>
      </c>
      <c r="V106" s="9" t="n">
        <v>665.72</v>
      </c>
      <c r="W106" s="9" t="n">
        <v>665.72</v>
      </c>
      <c r="X106" s="9" t="n">
        <v>665.72</v>
      </c>
      <c r="Y106" s="9" t="n">
        <v>665.72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470</v>
      </c>
      <c r="B107" s="3" t="s">
        <v>471</v>
      </c>
      <c r="C107" s="3" t="s">
        <v>120</v>
      </c>
      <c r="D107" s="3" t="s">
        <v>121</v>
      </c>
      <c r="E107" s="3" t="n">
        <v>2006</v>
      </c>
      <c r="F107" s="3" t="s">
        <v>44</v>
      </c>
      <c r="G107" s="3" t="s">
        <v>45</v>
      </c>
      <c r="H107" s="3" t="s">
        <v>472</v>
      </c>
      <c r="I107" s="3" t="s">
        <v>47</v>
      </c>
      <c r="J107" s="7" t="n">
        <v>325000</v>
      </c>
      <c r="K107" s="3" t="s">
        <v>138</v>
      </c>
      <c r="L107" s="7" t="n">
        <v>5877.44</v>
      </c>
      <c r="M107" s="7" t="n">
        <v>734.68</v>
      </c>
      <c r="N107" s="7" t="n">
        <v>734.68</v>
      </c>
      <c r="O107" s="7" t="n">
        <v>4408.1</v>
      </c>
      <c r="P107" s="7" t="n">
        <v>440.81</v>
      </c>
      <c r="Q107" s="7" t="n">
        <v>440.81</v>
      </c>
      <c r="R107" s="7" t="n">
        <v>440.81</v>
      </c>
      <c r="S107" s="7" t="n">
        <v>440.81</v>
      </c>
      <c r="T107" s="7" t="n">
        <v>440.81</v>
      </c>
      <c r="U107" s="7" t="n">
        <v>440.81</v>
      </c>
      <c r="V107" s="7" t="n">
        <v>440.81</v>
      </c>
      <c r="W107" s="7" t="n">
        <v>440.81</v>
      </c>
      <c r="X107" s="7" t="n">
        <v>440.81</v>
      </c>
      <c r="Y107" s="7" t="n">
        <v>440.81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473</v>
      </c>
      <c r="B108" s="8" t="s">
        <v>474</v>
      </c>
      <c r="C108" s="8" t="s">
        <v>179</v>
      </c>
      <c r="D108" s="8" t="s">
        <v>180</v>
      </c>
      <c r="E108" s="8" t="n">
        <v>1966</v>
      </c>
      <c r="F108" s="8" t="s">
        <v>86</v>
      </c>
      <c r="G108" s="8" t="s">
        <v>136</v>
      </c>
      <c r="H108" s="8" t="s">
        <v>475</v>
      </c>
      <c r="I108" s="8" t="s">
        <v>89</v>
      </c>
      <c r="J108" s="9" t="n">
        <v>290000</v>
      </c>
      <c r="K108" s="8" t="s">
        <v>117</v>
      </c>
      <c r="L108" s="9" t="n">
        <v>6653.07</v>
      </c>
      <c r="M108" s="9" t="n">
        <v>831.63</v>
      </c>
      <c r="N108" s="9" t="n">
        <v>831.63</v>
      </c>
      <c r="O108" s="9" t="n">
        <v>4989.8</v>
      </c>
      <c r="P108" s="9" t="n">
        <v>498.98</v>
      </c>
      <c r="Q108" s="9" t="n">
        <v>498.98</v>
      </c>
      <c r="R108" s="9" t="n">
        <v>498.98</v>
      </c>
      <c r="S108" s="9" t="n">
        <v>498.98</v>
      </c>
      <c r="T108" s="9" t="n">
        <v>498.98</v>
      </c>
      <c r="U108" s="9" t="n">
        <v>498.98</v>
      </c>
      <c r="V108" s="9" t="n">
        <v>498.98</v>
      </c>
      <c r="W108" s="9" t="n">
        <v>498.98</v>
      </c>
      <c r="X108" s="9" t="n">
        <v>498.98</v>
      </c>
      <c r="Y108" s="9" t="n">
        <v>498.98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476</v>
      </c>
      <c r="B109" s="3" t="s">
        <v>477</v>
      </c>
      <c r="C109" s="3" t="s">
        <v>156</v>
      </c>
      <c r="D109" s="3" t="s">
        <v>157</v>
      </c>
      <c r="E109" s="3" t="n">
        <v>2006</v>
      </c>
      <c r="F109" s="3" t="s">
        <v>478</v>
      </c>
      <c r="G109" s="3" t="s">
        <v>479</v>
      </c>
      <c r="H109" s="3" t="s">
        <v>480</v>
      </c>
      <c r="I109" s="3" t="s">
        <v>103</v>
      </c>
      <c r="J109" s="7" t="n">
        <v>1030000</v>
      </c>
      <c r="K109" s="3" t="s">
        <v>234</v>
      </c>
      <c r="L109" s="7" t="n">
        <v>11056.47</v>
      </c>
      <c r="M109" s="7" t="n">
        <v>1382.06</v>
      </c>
      <c r="N109" s="7" t="n">
        <v>1382.06</v>
      </c>
      <c r="O109" s="7" t="n">
        <v>8292.4</v>
      </c>
      <c r="P109" s="7" t="n">
        <v>829.24</v>
      </c>
      <c r="Q109" s="7" t="n">
        <v>829.24</v>
      </c>
      <c r="R109" s="7" t="n">
        <v>829.24</v>
      </c>
      <c r="S109" s="7" t="n">
        <v>829.24</v>
      </c>
      <c r="T109" s="7" t="n">
        <v>829.24</v>
      </c>
      <c r="U109" s="7" t="n">
        <v>829.24</v>
      </c>
      <c r="V109" s="7" t="n">
        <v>829.24</v>
      </c>
      <c r="W109" s="7" t="n">
        <v>829.24</v>
      </c>
      <c r="X109" s="7" t="n">
        <v>829.24</v>
      </c>
      <c r="Y109" s="7" t="n">
        <v>829.24</v>
      </c>
      <c r="Z109" s="7" t="n">
        <v>350</v>
      </c>
      <c r="AA109" s="7" t="n">
        <v>250</v>
      </c>
      <c r="AB109" s="7" t="n">
        <v>600</v>
      </c>
    </row>
    <row r="110" customFormat="false" ht="15" hidden="false" customHeight="false" outlineLevel="0" collapsed="false">
      <c r="A110" s="8" t="s">
        <v>481</v>
      </c>
      <c r="B110" s="8" t="s">
        <v>482</v>
      </c>
      <c r="C110" s="8" t="s">
        <v>186</v>
      </c>
      <c r="D110" s="8" t="s">
        <v>187</v>
      </c>
      <c r="E110" s="8" t="n">
        <v>1955</v>
      </c>
      <c r="F110" s="8" t="s">
        <v>68</v>
      </c>
      <c r="G110" s="8" t="s">
        <v>69</v>
      </c>
      <c r="H110" s="8" t="s">
        <v>483</v>
      </c>
      <c r="I110" s="8" t="s">
        <v>47</v>
      </c>
      <c r="J110" s="9" t="n">
        <v>745000</v>
      </c>
      <c r="K110" s="8" t="s">
        <v>109</v>
      </c>
      <c r="L110" s="9" t="n">
        <v>8400.36</v>
      </c>
      <c r="M110" s="9" t="n">
        <v>1050.05</v>
      </c>
      <c r="N110" s="9" t="n">
        <v>1050.05</v>
      </c>
      <c r="O110" s="9" t="n">
        <v>6300.3</v>
      </c>
      <c r="P110" s="9" t="n">
        <v>630.03</v>
      </c>
      <c r="Q110" s="9" t="n">
        <v>630.03</v>
      </c>
      <c r="R110" s="9" t="n">
        <v>630.03</v>
      </c>
      <c r="S110" s="9" t="n">
        <v>630.03</v>
      </c>
      <c r="T110" s="9" t="n">
        <v>630.03</v>
      </c>
      <c r="U110" s="9" t="n">
        <v>630.03</v>
      </c>
      <c r="V110" s="9" t="n">
        <v>630.03</v>
      </c>
      <c r="W110" s="9" t="n">
        <v>630.03</v>
      </c>
      <c r="X110" s="9" t="n">
        <v>630.03</v>
      </c>
      <c r="Y110" s="9" t="n">
        <v>630.03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484</v>
      </c>
      <c r="B111" s="3" t="s">
        <v>485</v>
      </c>
      <c r="C111" s="3" t="s">
        <v>58</v>
      </c>
      <c r="D111" s="3" t="s">
        <v>59</v>
      </c>
      <c r="E111" s="3" t="n">
        <v>1964</v>
      </c>
      <c r="F111" s="3" t="s">
        <v>122</v>
      </c>
      <c r="G111" s="3" t="s">
        <v>123</v>
      </c>
      <c r="H111" s="3" t="s">
        <v>486</v>
      </c>
      <c r="I111" s="3" t="s">
        <v>47</v>
      </c>
      <c r="J111" s="7" t="n">
        <v>1360000</v>
      </c>
      <c r="K111" s="3" t="s">
        <v>487</v>
      </c>
      <c r="L111" s="7" t="n">
        <v>15441.07</v>
      </c>
      <c r="M111" s="7" t="n">
        <v>1930.13</v>
      </c>
      <c r="N111" s="7" t="n">
        <v>1930.13</v>
      </c>
      <c r="O111" s="7" t="n">
        <v>11580.8</v>
      </c>
      <c r="P111" s="7" t="n">
        <v>1158.08</v>
      </c>
      <c r="Q111" s="7" t="n">
        <v>1158.08</v>
      </c>
      <c r="R111" s="7" t="n">
        <v>1158.08</v>
      </c>
      <c r="S111" s="7" t="n">
        <v>1158.08</v>
      </c>
      <c r="T111" s="7" t="n">
        <v>1158.08</v>
      </c>
      <c r="U111" s="7" t="n">
        <v>1158.08</v>
      </c>
      <c r="V111" s="7" t="n">
        <v>1158.08</v>
      </c>
      <c r="W111" s="7" t="n">
        <v>1158.08</v>
      </c>
      <c r="X111" s="7" t="n">
        <v>1158.08</v>
      </c>
      <c r="Y111" s="7" t="n">
        <v>1158.08</v>
      </c>
      <c r="Z111" s="7" t="n">
        <v>350</v>
      </c>
      <c r="AA111" s="7" t="n">
        <v>250</v>
      </c>
      <c r="AB111" s="7" t="n">
        <v>600</v>
      </c>
    </row>
    <row r="112" customFormat="false" ht="15" hidden="false" customHeight="false" outlineLevel="0" collapsed="false">
      <c r="A112" s="8" t="s">
        <v>488</v>
      </c>
      <c r="B112" s="8" t="s">
        <v>489</v>
      </c>
      <c r="C112" s="8" t="s">
        <v>58</v>
      </c>
      <c r="D112" s="8" t="s">
        <v>59</v>
      </c>
      <c r="E112" s="8" t="n">
        <v>1963</v>
      </c>
      <c r="F112" s="8" t="s">
        <v>114</v>
      </c>
      <c r="G112" s="8" t="s">
        <v>115</v>
      </c>
      <c r="H112" s="8" t="s">
        <v>490</v>
      </c>
      <c r="I112" s="8" t="s">
        <v>47</v>
      </c>
      <c r="J112" s="9" t="n">
        <v>395000</v>
      </c>
      <c r="K112" s="8" t="s">
        <v>171</v>
      </c>
      <c r="L112" s="9" t="n">
        <v>6937.78</v>
      </c>
      <c r="M112" s="9" t="n">
        <v>867.22</v>
      </c>
      <c r="N112" s="9" t="n">
        <v>867.22</v>
      </c>
      <c r="O112" s="9" t="n">
        <v>5203.3</v>
      </c>
      <c r="P112" s="9" t="n">
        <v>520.33</v>
      </c>
      <c r="Q112" s="9" t="n">
        <v>520.33</v>
      </c>
      <c r="R112" s="9" t="n">
        <v>520.33</v>
      </c>
      <c r="S112" s="9" t="n">
        <v>520.33</v>
      </c>
      <c r="T112" s="9" t="n">
        <v>520.33</v>
      </c>
      <c r="U112" s="9" t="n">
        <v>520.33</v>
      </c>
      <c r="V112" s="9" t="n">
        <v>520.33</v>
      </c>
      <c r="W112" s="9" t="n">
        <v>520.33</v>
      </c>
      <c r="X112" s="9" t="n">
        <v>520.33</v>
      </c>
      <c r="Y112" s="9" t="n">
        <v>520.33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491</v>
      </c>
      <c r="B113" s="3" t="s">
        <v>492</v>
      </c>
      <c r="C113" s="3" t="s">
        <v>354</v>
      </c>
      <c r="D113" s="3" t="s">
        <v>355</v>
      </c>
      <c r="E113" s="3" t="n">
        <v>1961</v>
      </c>
      <c r="F113" s="3" t="s">
        <v>122</v>
      </c>
      <c r="G113" s="3" t="s">
        <v>123</v>
      </c>
      <c r="H113" s="3" t="s">
        <v>493</v>
      </c>
      <c r="I113" s="3" t="s">
        <v>47</v>
      </c>
      <c r="J113" s="7" t="n">
        <v>185000</v>
      </c>
      <c r="K113" s="3" t="s">
        <v>63</v>
      </c>
      <c r="L113" s="7" t="n">
        <v>4576.36</v>
      </c>
      <c r="M113" s="7" t="n">
        <v>572.04</v>
      </c>
      <c r="N113" s="7" t="n">
        <v>572.04</v>
      </c>
      <c r="O113" s="7" t="n">
        <v>3432.3</v>
      </c>
      <c r="P113" s="7" t="n">
        <v>343.23</v>
      </c>
      <c r="Q113" s="7" t="n">
        <v>343.23</v>
      </c>
      <c r="R113" s="7" t="n">
        <v>343.23</v>
      </c>
      <c r="S113" s="7" t="n">
        <v>343.23</v>
      </c>
      <c r="T113" s="7" t="n">
        <v>343.23</v>
      </c>
      <c r="U113" s="7" t="n">
        <v>343.23</v>
      </c>
      <c r="V113" s="7" t="n">
        <v>343.23</v>
      </c>
      <c r="W113" s="7" t="n">
        <v>343.23</v>
      </c>
      <c r="X113" s="7" t="n">
        <v>343.23</v>
      </c>
      <c r="Y113" s="7" t="n">
        <v>343.23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494</v>
      </c>
      <c r="B114" s="8" t="s">
        <v>495</v>
      </c>
      <c r="C114" s="8" t="s">
        <v>274</v>
      </c>
      <c r="D114" s="8" t="s">
        <v>275</v>
      </c>
      <c r="E114" s="8" t="n">
        <v>1996</v>
      </c>
      <c r="F114" s="8" t="s">
        <v>496</v>
      </c>
      <c r="G114" s="8" t="s">
        <v>497</v>
      </c>
      <c r="H114" s="8" t="s">
        <v>498</v>
      </c>
      <c r="I114" s="8" t="s">
        <v>145</v>
      </c>
      <c r="J114" s="9" t="n">
        <v>1950000</v>
      </c>
      <c r="K114" s="8" t="s">
        <v>487</v>
      </c>
      <c r="L114" s="9" t="n">
        <v>13686.4</v>
      </c>
      <c r="M114" s="9" t="n">
        <v>1710.8</v>
      </c>
      <c r="N114" s="9" t="n">
        <v>1710.8</v>
      </c>
      <c r="O114" s="9" t="n">
        <v>10264.8</v>
      </c>
      <c r="P114" s="9" t="n">
        <v>1026.48</v>
      </c>
      <c r="Q114" s="9" t="n">
        <v>1026.48</v>
      </c>
      <c r="R114" s="9" t="n">
        <v>1026.48</v>
      </c>
      <c r="S114" s="9" t="n">
        <v>1026.48</v>
      </c>
      <c r="T114" s="9" t="n">
        <v>1026.48</v>
      </c>
      <c r="U114" s="9" t="n">
        <v>1026.48</v>
      </c>
      <c r="V114" s="9" t="n">
        <v>1026.48</v>
      </c>
      <c r="W114" s="9" t="n">
        <v>1026.48</v>
      </c>
      <c r="X114" s="9" t="n">
        <v>1026.48</v>
      </c>
      <c r="Y114" s="9" t="n">
        <v>1026.48</v>
      </c>
      <c r="Z114" s="9" t="n">
        <v>350</v>
      </c>
      <c r="AA114" s="9" t="n">
        <v>250</v>
      </c>
      <c r="AB114" s="9" t="n">
        <v>600</v>
      </c>
    </row>
    <row r="115" customFormat="false" ht="15" hidden="false" customHeight="false" outlineLevel="0" collapsed="false">
      <c r="A115" s="3" t="s">
        <v>499</v>
      </c>
      <c r="B115" s="3" t="s">
        <v>500</v>
      </c>
      <c r="C115" s="3" t="s">
        <v>186</v>
      </c>
      <c r="D115" s="3" t="s">
        <v>187</v>
      </c>
      <c r="E115" s="3" t="n">
        <v>1970</v>
      </c>
      <c r="F115" s="3" t="s">
        <v>114</v>
      </c>
      <c r="G115" s="3" t="s">
        <v>115</v>
      </c>
      <c r="H115" s="3" t="s">
        <v>501</v>
      </c>
      <c r="I115" s="3" t="s">
        <v>47</v>
      </c>
      <c r="J115" s="7" t="n">
        <v>800000</v>
      </c>
      <c r="K115" s="3" t="s">
        <v>380</v>
      </c>
      <c r="L115" s="7" t="n">
        <v>10102.99</v>
      </c>
      <c r="M115" s="7" t="n">
        <v>1262.87</v>
      </c>
      <c r="N115" s="7" t="n">
        <v>1262.87</v>
      </c>
      <c r="O115" s="7" t="n">
        <v>7577.2</v>
      </c>
      <c r="P115" s="7" t="n">
        <v>757.72</v>
      </c>
      <c r="Q115" s="7" t="n">
        <v>757.72</v>
      </c>
      <c r="R115" s="7" t="n">
        <v>757.72</v>
      </c>
      <c r="S115" s="7" t="n">
        <v>757.72</v>
      </c>
      <c r="T115" s="7" t="n">
        <v>757.72</v>
      </c>
      <c r="U115" s="7" t="n">
        <v>757.72</v>
      </c>
      <c r="V115" s="7" t="n">
        <v>757.72</v>
      </c>
      <c r="W115" s="7" t="n">
        <v>757.72</v>
      </c>
      <c r="X115" s="7" t="n">
        <v>757.72</v>
      </c>
      <c r="Y115" s="7" t="n">
        <v>757.72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502</v>
      </c>
      <c r="B116" s="8" t="s">
        <v>503</v>
      </c>
      <c r="C116" s="8" t="s">
        <v>148</v>
      </c>
      <c r="D116" s="8" t="s">
        <v>149</v>
      </c>
      <c r="E116" s="8" t="n">
        <v>1969</v>
      </c>
      <c r="F116" s="8" t="s">
        <v>53</v>
      </c>
      <c r="G116" s="8" t="s">
        <v>54</v>
      </c>
      <c r="H116" s="8" t="s">
        <v>504</v>
      </c>
      <c r="I116" s="8" t="s">
        <v>47</v>
      </c>
      <c r="J116" s="9" t="n">
        <v>805000</v>
      </c>
      <c r="K116" s="8" t="s">
        <v>357</v>
      </c>
      <c r="L116" s="9" t="n">
        <v>8441.53</v>
      </c>
      <c r="M116" s="9" t="n">
        <v>1055.19</v>
      </c>
      <c r="N116" s="9" t="n">
        <v>1055.19</v>
      </c>
      <c r="O116" s="9" t="n">
        <v>6331.1</v>
      </c>
      <c r="P116" s="9" t="n">
        <v>633.11</v>
      </c>
      <c r="Q116" s="9" t="n">
        <v>633.11</v>
      </c>
      <c r="R116" s="9" t="n">
        <v>633.11</v>
      </c>
      <c r="S116" s="9" t="n">
        <v>633.11</v>
      </c>
      <c r="T116" s="9" t="n">
        <v>633.11</v>
      </c>
      <c r="U116" s="9" t="n">
        <v>633.11</v>
      </c>
      <c r="V116" s="9" t="n">
        <v>633.11</v>
      </c>
      <c r="W116" s="9" t="n">
        <v>633.11</v>
      </c>
      <c r="X116" s="9" t="n">
        <v>633.11</v>
      </c>
      <c r="Y116" s="9" t="n">
        <v>633.11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505</v>
      </c>
      <c r="B117" s="3" t="s">
        <v>506</v>
      </c>
      <c r="C117" s="3" t="s">
        <v>51</v>
      </c>
      <c r="D117" s="3" t="s">
        <v>52</v>
      </c>
      <c r="E117" s="3" t="n">
        <v>1979</v>
      </c>
      <c r="F117" s="3" t="s">
        <v>68</v>
      </c>
      <c r="G117" s="3" t="s">
        <v>69</v>
      </c>
      <c r="H117" s="3" t="s">
        <v>507</v>
      </c>
      <c r="I117" s="3" t="s">
        <v>47</v>
      </c>
      <c r="J117" s="7" t="n">
        <v>270000</v>
      </c>
      <c r="K117" s="3" t="s">
        <v>226</v>
      </c>
      <c r="L117" s="7" t="n">
        <v>3793.83</v>
      </c>
      <c r="M117" s="7" t="n">
        <v>474.23</v>
      </c>
      <c r="N117" s="7" t="n">
        <v>474.23</v>
      </c>
      <c r="O117" s="7" t="n">
        <v>2845.4</v>
      </c>
      <c r="P117" s="7" t="n">
        <v>284.54</v>
      </c>
      <c r="Q117" s="7" t="n">
        <v>284.54</v>
      </c>
      <c r="R117" s="7" t="n">
        <v>284.54</v>
      </c>
      <c r="S117" s="7" t="n">
        <v>284.54</v>
      </c>
      <c r="T117" s="7" t="n">
        <v>284.54</v>
      </c>
      <c r="U117" s="7" t="n">
        <v>284.54</v>
      </c>
      <c r="V117" s="7" t="n">
        <v>284.54</v>
      </c>
      <c r="W117" s="7" t="n">
        <v>284.54</v>
      </c>
      <c r="X117" s="7" t="n">
        <v>284.54</v>
      </c>
      <c r="Y117" s="7" t="n">
        <v>284.54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508</v>
      </c>
      <c r="B118" s="8" t="s">
        <v>239</v>
      </c>
      <c r="C118" s="8" t="s">
        <v>315</v>
      </c>
      <c r="D118" s="8" t="s">
        <v>316</v>
      </c>
      <c r="E118" s="8" t="n">
        <v>1960</v>
      </c>
      <c r="F118" s="8" t="s">
        <v>122</v>
      </c>
      <c r="G118" s="8" t="s">
        <v>123</v>
      </c>
      <c r="H118" s="8" t="s">
        <v>509</v>
      </c>
      <c r="I118" s="8" t="s">
        <v>47</v>
      </c>
      <c r="J118" s="9" t="n">
        <v>340000</v>
      </c>
      <c r="K118" s="8" t="s">
        <v>510</v>
      </c>
      <c r="L118" s="9" t="n">
        <v>4688.94</v>
      </c>
      <c r="M118" s="9" t="n">
        <v>586.12</v>
      </c>
      <c r="N118" s="9" t="n">
        <v>586.12</v>
      </c>
      <c r="O118" s="9" t="n">
        <v>3516.7</v>
      </c>
      <c r="P118" s="9" t="n">
        <v>351.67</v>
      </c>
      <c r="Q118" s="9" t="n">
        <v>351.67</v>
      </c>
      <c r="R118" s="9" t="n">
        <v>351.67</v>
      </c>
      <c r="S118" s="9" t="n">
        <v>351.67</v>
      </c>
      <c r="T118" s="9" t="n">
        <v>351.67</v>
      </c>
      <c r="U118" s="9" t="n">
        <v>351.67</v>
      </c>
      <c r="V118" s="9" t="n">
        <v>351.67</v>
      </c>
      <c r="W118" s="9" t="n">
        <v>351.67</v>
      </c>
      <c r="X118" s="9" t="n">
        <v>351.67</v>
      </c>
      <c r="Y118" s="9" t="n">
        <v>351.67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511</v>
      </c>
      <c r="B119" s="3" t="s">
        <v>512</v>
      </c>
      <c r="C119" s="3" t="s">
        <v>261</v>
      </c>
      <c r="D119" s="3" t="s">
        <v>262</v>
      </c>
      <c r="E119" s="3" t="n">
        <v>2013</v>
      </c>
      <c r="F119" s="3" t="s">
        <v>60</v>
      </c>
      <c r="G119" s="3" t="s">
        <v>61</v>
      </c>
      <c r="H119" s="3" t="s">
        <v>513</v>
      </c>
      <c r="I119" s="3" t="s">
        <v>47</v>
      </c>
      <c r="J119" s="7" t="n">
        <v>570000</v>
      </c>
      <c r="K119" s="3" t="s">
        <v>325</v>
      </c>
      <c r="L119" s="7" t="n">
        <v>7841.09</v>
      </c>
      <c r="M119" s="7" t="n">
        <v>980.14</v>
      </c>
      <c r="N119" s="7" t="n">
        <v>980.14</v>
      </c>
      <c r="O119" s="7" t="n">
        <v>5880.8</v>
      </c>
      <c r="P119" s="7" t="n">
        <v>588.08</v>
      </c>
      <c r="Q119" s="7" t="n">
        <v>588.08</v>
      </c>
      <c r="R119" s="7" t="n">
        <v>588.08</v>
      </c>
      <c r="S119" s="7" t="n">
        <v>588.08</v>
      </c>
      <c r="T119" s="7" t="n">
        <v>588.08</v>
      </c>
      <c r="U119" s="7" t="n">
        <v>588.08</v>
      </c>
      <c r="V119" s="7" t="n">
        <v>588.08</v>
      </c>
      <c r="W119" s="7" t="n">
        <v>588.08</v>
      </c>
      <c r="X119" s="7" t="n">
        <v>588.08</v>
      </c>
      <c r="Y119" s="7" t="n">
        <v>588.08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514</v>
      </c>
      <c r="B120" s="8" t="s">
        <v>515</v>
      </c>
      <c r="C120" s="8" t="s">
        <v>106</v>
      </c>
      <c r="D120" s="8" t="s">
        <v>107</v>
      </c>
      <c r="E120" s="8" t="n">
        <v>1989</v>
      </c>
      <c r="F120" s="8" t="s">
        <v>437</v>
      </c>
      <c r="G120" s="8" t="s">
        <v>438</v>
      </c>
      <c r="H120" s="8" t="s">
        <v>516</v>
      </c>
      <c r="I120" s="8" t="s">
        <v>89</v>
      </c>
      <c r="J120" s="9" t="n">
        <v>765000</v>
      </c>
      <c r="K120" s="8" t="s">
        <v>75</v>
      </c>
      <c r="L120" s="9" t="n">
        <v>17271.66</v>
      </c>
      <c r="M120" s="9" t="n">
        <v>2158.96</v>
      </c>
      <c r="N120" s="9" t="n">
        <v>2158.96</v>
      </c>
      <c r="O120" s="9" t="n">
        <v>12953.7</v>
      </c>
      <c r="P120" s="9" t="n">
        <v>1295.37</v>
      </c>
      <c r="Q120" s="9" t="n">
        <v>1295.37</v>
      </c>
      <c r="R120" s="9" t="n">
        <v>1295.37</v>
      </c>
      <c r="S120" s="9" t="n">
        <v>1295.37</v>
      </c>
      <c r="T120" s="9" t="n">
        <v>1295.37</v>
      </c>
      <c r="U120" s="9" t="n">
        <v>1295.37</v>
      </c>
      <c r="V120" s="9" t="n">
        <v>1295.37</v>
      </c>
      <c r="W120" s="9" t="n">
        <v>1295.37</v>
      </c>
      <c r="X120" s="9" t="n">
        <v>1295.37</v>
      </c>
      <c r="Y120" s="9" t="n">
        <v>1295.37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517</v>
      </c>
      <c r="B121" s="3" t="s">
        <v>308</v>
      </c>
      <c r="C121" s="3" t="s">
        <v>186</v>
      </c>
      <c r="D121" s="3" t="s">
        <v>187</v>
      </c>
      <c r="E121" s="3" t="n">
        <v>2004</v>
      </c>
      <c r="F121" s="3" t="s">
        <v>44</v>
      </c>
      <c r="G121" s="3" t="s">
        <v>45</v>
      </c>
      <c r="H121" s="3" t="s">
        <v>518</v>
      </c>
      <c r="I121" s="3" t="s">
        <v>47</v>
      </c>
      <c r="J121" s="7" t="n">
        <v>825000</v>
      </c>
      <c r="K121" s="3" t="s">
        <v>351</v>
      </c>
      <c r="L121" s="7" t="n">
        <v>11628.03</v>
      </c>
      <c r="M121" s="7" t="n">
        <v>1453.5</v>
      </c>
      <c r="N121" s="7" t="n">
        <v>1453.5</v>
      </c>
      <c r="O121" s="7" t="n">
        <v>8721</v>
      </c>
      <c r="P121" s="7" t="n">
        <v>872.1</v>
      </c>
      <c r="Q121" s="7" t="n">
        <v>872.1</v>
      </c>
      <c r="R121" s="7" t="n">
        <v>872.1</v>
      </c>
      <c r="S121" s="7" t="n">
        <v>872.1</v>
      </c>
      <c r="T121" s="7" t="n">
        <v>872.1</v>
      </c>
      <c r="U121" s="7" t="n">
        <v>872.1</v>
      </c>
      <c r="V121" s="7" t="n">
        <v>872.1</v>
      </c>
      <c r="W121" s="7" t="n">
        <v>872.1</v>
      </c>
      <c r="X121" s="7" t="n">
        <v>872.1</v>
      </c>
      <c r="Y121" s="7" t="n">
        <v>872.1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519</v>
      </c>
      <c r="B122" s="8" t="s">
        <v>520</v>
      </c>
      <c r="C122" s="8" t="s">
        <v>315</v>
      </c>
      <c r="D122" s="8" t="s">
        <v>316</v>
      </c>
      <c r="E122" s="8" t="n">
        <v>2001</v>
      </c>
      <c r="F122" s="8" t="s">
        <v>68</v>
      </c>
      <c r="G122" s="8" t="s">
        <v>69</v>
      </c>
      <c r="H122" s="8" t="s">
        <v>521</v>
      </c>
      <c r="I122" s="8" t="s">
        <v>47</v>
      </c>
      <c r="J122" s="9" t="n">
        <v>345000</v>
      </c>
      <c r="K122" s="8" t="s">
        <v>193</v>
      </c>
      <c r="L122" s="9" t="n">
        <v>6194.24</v>
      </c>
      <c r="M122" s="9" t="n">
        <v>774.28</v>
      </c>
      <c r="N122" s="9" t="n">
        <v>774.28</v>
      </c>
      <c r="O122" s="9" t="n">
        <v>4645.7</v>
      </c>
      <c r="P122" s="9" t="n">
        <v>464.57</v>
      </c>
      <c r="Q122" s="9" t="n">
        <v>464.57</v>
      </c>
      <c r="R122" s="9" t="n">
        <v>464.57</v>
      </c>
      <c r="S122" s="9" t="n">
        <v>464.57</v>
      </c>
      <c r="T122" s="9" t="n">
        <v>464.57</v>
      </c>
      <c r="U122" s="9" t="n">
        <v>464.57</v>
      </c>
      <c r="V122" s="9" t="n">
        <v>464.57</v>
      </c>
      <c r="W122" s="9" t="n">
        <v>464.57</v>
      </c>
      <c r="X122" s="9" t="n">
        <v>464.57</v>
      </c>
      <c r="Y122" s="9" t="n">
        <v>464.57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522</v>
      </c>
      <c r="B123" s="3" t="s">
        <v>523</v>
      </c>
      <c r="C123" s="3" t="s">
        <v>66</v>
      </c>
      <c r="D123" s="3" t="s">
        <v>67</v>
      </c>
      <c r="E123" s="3" t="n">
        <v>1979</v>
      </c>
      <c r="F123" s="3" t="s">
        <v>44</v>
      </c>
      <c r="G123" s="3" t="s">
        <v>45</v>
      </c>
      <c r="H123" s="3" t="s">
        <v>524</v>
      </c>
      <c r="I123" s="3" t="s">
        <v>47</v>
      </c>
      <c r="J123" s="7" t="n">
        <v>190000</v>
      </c>
      <c r="K123" s="3" t="s">
        <v>117</v>
      </c>
      <c r="L123" s="7" t="n">
        <v>3487.13</v>
      </c>
      <c r="M123" s="7" t="n">
        <v>435.89</v>
      </c>
      <c r="N123" s="7" t="n">
        <v>435.89</v>
      </c>
      <c r="O123" s="7" t="n">
        <v>2615.3</v>
      </c>
      <c r="P123" s="7" t="n">
        <v>261.53</v>
      </c>
      <c r="Q123" s="7" t="n">
        <v>261.53</v>
      </c>
      <c r="R123" s="7" t="n">
        <v>261.53</v>
      </c>
      <c r="S123" s="7" t="n">
        <v>261.53</v>
      </c>
      <c r="T123" s="7" t="n">
        <v>261.53</v>
      </c>
      <c r="U123" s="7" t="n">
        <v>261.53</v>
      </c>
      <c r="V123" s="7" t="n">
        <v>261.53</v>
      </c>
      <c r="W123" s="7" t="n">
        <v>261.53</v>
      </c>
      <c r="X123" s="7" t="n">
        <v>261.53</v>
      </c>
      <c r="Y123" s="7" t="n">
        <v>261.53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525</v>
      </c>
      <c r="B124" s="8" t="s">
        <v>526</v>
      </c>
      <c r="C124" s="8" t="s">
        <v>128</v>
      </c>
      <c r="D124" s="8" t="s">
        <v>129</v>
      </c>
      <c r="E124" s="8" t="n">
        <v>2006</v>
      </c>
      <c r="F124" s="8" t="s">
        <v>53</v>
      </c>
      <c r="G124" s="8" t="s">
        <v>54</v>
      </c>
      <c r="H124" s="8" t="s">
        <v>527</v>
      </c>
      <c r="I124" s="8" t="s">
        <v>47</v>
      </c>
      <c r="J124" s="9" t="n">
        <v>820000</v>
      </c>
      <c r="K124" s="8" t="s">
        <v>81</v>
      </c>
      <c r="L124" s="9" t="n">
        <v>11742.48</v>
      </c>
      <c r="M124" s="9" t="n">
        <v>1467.81</v>
      </c>
      <c r="N124" s="9" t="n">
        <v>1467.81</v>
      </c>
      <c r="O124" s="9" t="n">
        <v>8806.9</v>
      </c>
      <c r="P124" s="9" t="n">
        <v>880.69</v>
      </c>
      <c r="Q124" s="9" t="n">
        <v>880.69</v>
      </c>
      <c r="R124" s="9" t="n">
        <v>880.69</v>
      </c>
      <c r="S124" s="9" t="n">
        <v>880.69</v>
      </c>
      <c r="T124" s="9" t="n">
        <v>880.69</v>
      </c>
      <c r="U124" s="9" t="n">
        <v>880.69</v>
      </c>
      <c r="V124" s="9" t="n">
        <v>880.69</v>
      </c>
      <c r="W124" s="9" t="n">
        <v>880.69</v>
      </c>
      <c r="X124" s="9" t="n">
        <v>880.69</v>
      </c>
      <c r="Y124" s="9" t="n">
        <v>880.69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528</v>
      </c>
      <c r="B125" s="3" t="s">
        <v>529</v>
      </c>
      <c r="C125" s="3" t="s">
        <v>106</v>
      </c>
      <c r="D125" s="3" t="s">
        <v>107</v>
      </c>
      <c r="E125" s="3" t="n">
        <v>2008</v>
      </c>
      <c r="F125" s="3" t="s">
        <v>53</v>
      </c>
      <c r="G125" s="3" t="s">
        <v>54</v>
      </c>
      <c r="H125" s="3" t="s">
        <v>530</v>
      </c>
      <c r="I125" s="3" t="s">
        <v>47</v>
      </c>
      <c r="J125" s="7" t="n">
        <v>420000</v>
      </c>
      <c r="K125" s="3" t="s">
        <v>125</v>
      </c>
      <c r="L125" s="7" t="n">
        <v>7759.39</v>
      </c>
      <c r="M125" s="7" t="n">
        <v>969.92</v>
      </c>
      <c r="N125" s="7" t="n">
        <v>969.92</v>
      </c>
      <c r="O125" s="7" t="n">
        <v>5819.5</v>
      </c>
      <c r="P125" s="7" t="n">
        <v>581.95</v>
      </c>
      <c r="Q125" s="7" t="n">
        <v>581.95</v>
      </c>
      <c r="R125" s="7" t="n">
        <v>581.95</v>
      </c>
      <c r="S125" s="7" t="n">
        <v>581.95</v>
      </c>
      <c r="T125" s="7" t="n">
        <v>581.95</v>
      </c>
      <c r="U125" s="7" t="n">
        <v>581.95</v>
      </c>
      <c r="V125" s="7" t="n">
        <v>581.95</v>
      </c>
      <c r="W125" s="7" t="n">
        <v>581.95</v>
      </c>
      <c r="X125" s="7" t="n">
        <v>581.95</v>
      </c>
      <c r="Y125" s="7" t="n">
        <v>581.95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531</v>
      </c>
      <c r="B126" s="8" t="s">
        <v>532</v>
      </c>
      <c r="C126" s="8" t="s">
        <v>84</v>
      </c>
      <c r="D126" s="8" t="s">
        <v>85</v>
      </c>
      <c r="E126" s="8" t="n">
        <v>1985</v>
      </c>
      <c r="F126" s="8" t="s">
        <v>437</v>
      </c>
      <c r="G126" s="8" t="s">
        <v>438</v>
      </c>
      <c r="H126" s="8" t="s">
        <v>533</v>
      </c>
      <c r="I126" s="8" t="s">
        <v>89</v>
      </c>
      <c r="J126" s="9" t="n">
        <v>265000</v>
      </c>
      <c r="K126" s="8" t="s">
        <v>138</v>
      </c>
      <c r="L126" s="9" t="n">
        <v>7348.3</v>
      </c>
      <c r="M126" s="9" t="n">
        <v>918.54</v>
      </c>
      <c r="N126" s="9" t="n">
        <v>918.54</v>
      </c>
      <c r="O126" s="9" t="n">
        <v>5511.2</v>
      </c>
      <c r="P126" s="9" t="n">
        <v>551.12</v>
      </c>
      <c r="Q126" s="9" t="n">
        <v>551.12</v>
      </c>
      <c r="R126" s="9" t="n">
        <v>551.12</v>
      </c>
      <c r="S126" s="9" t="n">
        <v>551.12</v>
      </c>
      <c r="T126" s="9" t="n">
        <v>551.12</v>
      </c>
      <c r="U126" s="9" t="n">
        <v>551.12</v>
      </c>
      <c r="V126" s="9" t="n">
        <v>551.12</v>
      </c>
      <c r="W126" s="9" t="n">
        <v>551.12</v>
      </c>
      <c r="X126" s="9" t="n">
        <v>551.12</v>
      </c>
      <c r="Y126" s="9" t="n">
        <v>551.12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534</v>
      </c>
      <c r="B127" s="3" t="s">
        <v>535</v>
      </c>
      <c r="C127" s="3" t="s">
        <v>337</v>
      </c>
      <c r="D127" s="3" t="s">
        <v>338</v>
      </c>
      <c r="E127" s="3" t="n">
        <v>2007</v>
      </c>
      <c r="F127" s="3" t="s">
        <v>437</v>
      </c>
      <c r="G127" s="3" t="s">
        <v>438</v>
      </c>
      <c r="H127" s="3" t="s">
        <v>536</v>
      </c>
      <c r="I127" s="3" t="s">
        <v>89</v>
      </c>
      <c r="J127" s="7" t="n">
        <v>655000</v>
      </c>
      <c r="K127" s="3" t="s">
        <v>125</v>
      </c>
      <c r="L127" s="7" t="n">
        <v>15327.87</v>
      </c>
      <c r="M127" s="7" t="n">
        <v>1915.98</v>
      </c>
      <c r="N127" s="7" t="n">
        <v>1915.98</v>
      </c>
      <c r="O127" s="7" t="n">
        <v>11495.9</v>
      </c>
      <c r="P127" s="7" t="n">
        <v>1149.59</v>
      </c>
      <c r="Q127" s="7" t="n">
        <v>1149.59</v>
      </c>
      <c r="R127" s="7" t="n">
        <v>1149.59</v>
      </c>
      <c r="S127" s="7" t="n">
        <v>1149.59</v>
      </c>
      <c r="T127" s="7" t="n">
        <v>1149.59</v>
      </c>
      <c r="U127" s="7" t="n">
        <v>1149.59</v>
      </c>
      <c r="V127" s="7" t="n">
        <v>1149.59</v>
      </c>
      <c r="W127" s="7" t="n">
        <v>1149.59</v>
      </c>
      <c r="X127" s="7" t="n">
        <v>1149.59</v>
      </c>
      <c r="Y127" s="7" t="n">
        <v>1149.59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537</v>
      </c>
      <c r="B128" s="8" t="s">
        <v>538</v>
      </c>
      <c r="C128" s="8" t="s">
        <v>106</v>
      </c>
      <c r="D128" s="8" t="s">
        <v>107</v>
      </c>
      <c r="E128" s="8" t="n">
        <v>1963</v>
      </c>
      <c r="F128" s="8" t="s">
        <v>86</v>
      </c>
      <c r="G128" s="8" t="s">
        <v>87</v>
      </c>
      <c r="H128" s="8" t="s">
        <v>539</v>
      </c>
      <c r="I128" s="8" t="s">
        <v>89</v>
      </c>
      <c r="J128" s="9" t="n">
        <v>1655000</v>
      </c>
      <c r="K128" s="8" t="s">
        <v>125</v>
      </c>
      <c r="L128" s="9" t="n">
        <v>32614.07</v>
      </c>
      <c r="M128" s="9" t="n">
        <v>4076.76</v>
      </c>
      <c r="N128" s="9" t="n">
        <v>4076.76</v>
      </c>
      <c r="O128" s="9" t="n">
        <v>24460.6</v>
      </c>
      <c r="P128" s="9" t="n">
        <v>2446.06</v>
      </c>
      <c r="Q128" s="9" t="n">
        <v>2446.06</v>
      </c>
      <c r="R128" s="9" t="n">
        <v>2446.06</v>
      </c>
      <c r="S128" s="9" t="n">
        <v>2446.06</v>
      </c>
      <c r="T128" s="9" t="n">
        <v>2446.06</v>
      </c>
      <c r="U128" s="9" t="n">
        <v>2446.06</v>
      </c>
      <c r="V128" s="9" t="n">
        <v>2446.06</v>
      </c>
      <c r="W128" s="9" t="n">
        <v>2446.06</v>
      </c>
      <c r="X128" s="9" t="n">
        <v>2446.06</v>
      </c>
      <c r="Y128" s="9" t="n">
        <v>2446.06</v>
      </c>
      <c r="Z128" s="9" t="n">
        <v>350</v>
      </c>
      <c r="AA128" s="9" t="n">
        <v>250</v>
      </c>
      <c r="AB128" s="9" t="n">
        <v>600</v>
      </c>
    </row>
    <row r="129" customFormat="false" ht="15" hidden="false" customHeight="false" outlineLevel="0" collapsed="false">
      <c r="A129" s="3" t="s">
        <v>540</v>
      </c>
      <c r="B129" s="3" t="s">
        <v>119</v>
      </c>
      <c r="C129" s="3" t="s">
        <v>156</v>
      </c>
      <c r="D129" s="3" t="s">
        <v>157</v>
      </c>
      <c r="E129" s="3" t="n">
        <v>1988</v>
      </c>
      <c r="F129" s="3" t="s">
        <v>60</v>
      </c>
      <c r="G129" s="3" t="s">
        <v>61</v>
      </c>
      <c r="H129" s="3" t="s">
        <v>541</v>
      </c>
      <c r="I129" s="3" t="s">
        <v>47</v>
      </c>
      <c r="J129" s="7" t="n">
        <v>295000</v>
      </c>
      <c r="K129" s="3" t="s">
        <v>81</v>
      </c>
      <c r="L129" s="7" t="n">
        <v>4874.34</v>
      </c>
      <c r="M129" s="7" t="n">
        <v>609.29</v>
      </c>
      <c r="N129" s="7" t="n">
        <v>609.29</v>
      </c>
      <c r="O129" s="7" t="n">
        <v>3655.8</v>
      </c>
      <c r="P129" s="7" t="n">
        <v>365.58</v>
      </c>
      <c r="Q129" s="7" t="n">
        <v>365.58</v>
      </c>
      <c r="R129" s="7" t="n">
        <v>365.58</v>
      </c>
      <c r="S129" s="7" t="n">
        <v>365.58</v>
      </c>
      <c r="T129" s="7" t="n">
        <v>365.58</v>
      </c>
      <c r="U129" s="7" t="n">
        <v>365.58</v>
      </c>
      <c r="V129" s="7" t="n">
        <v>365.58</v>
      </c>
      <c r="W129" s="7" t="n">
        <v>365.58</v>
      </c>
      <c r="X129" s="7" t="n">
        <v>365.58</v>
      </c>
      <c r="Y129" s="7" t="n">
        <v>365.58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542</v>
      </c>
      <c r="B130" s="8" t="s">
        <v>543</v>
      </c>
      <c r="C130" s="8" t="s">
        <v>168</v>
      </c>
      <c r="D130" s="8" t="s">
        <v>169</v>
      </c>
      <c r="E130" s="8" t="n">
        <v>1968</v>
      </c>
      <c r="F130" s="8" t="s">
        <v>93</v>
      </c>
      <c r="G130" s="8" t="s">
        <v>94</v>
      </c>
      <c r="H130" s="8" t="s">
        <v>544</v>
      </c>
      <c r="I130" s="8" t="s">
        <v>96</v>
      </c>
      <c r="J130" s="9" t="n">
        <v>155000</v>
      </c>
      <c r="K130" s="8" t="s">
        <v>357</v>
      </c>
      <c r="L130" s="9" t="n">
        <v>1425.34</v>
      </c>
      <c r="M130" s="9" t="n">
        <v>178.17</v>
      </c>
      <c r="N130" s="9" t="n">
        <v>178.17</v>
      </c>
      <c r="O130" s="9" t="n">
        <v>1069</v>
      </c>
      <c r="P130" s="9" t="n">
        <v>106.9</v>
      </c>
      <c r="Q130" s="9" t="n">
        <v>106.9</v>
      </c>
      <c r="R130" s="9" t="n">
        <v>106.9</v>
      </c>
      <c r="S130" s="9" t="n">
        <v>106.9</v>
      </c>
      <c r="T130" s="9" t="n">
        <v>106.9</v>
      </c>
      <c r="U130" s="9" t="n">
        <v>106.9</v>
      </c>
      <c r="V130" s="9" t="n">
        <v>106.9</v>
      </c>
      <c r="W130" s="9" t="n">
        <v>106.9</v>
      </c>
      <c r="X130" s="9" t="n">
        <v>106.9</v>
      </c>
      <c r="Y130" s="9" t="n">
        <v>106.9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545</v>
      </c>
      <c r="B131" s="3" t="s">
        <v>546</v>
      </c>
      <c r="C131" s="3" t="s">
        <v>261</v>
      </c>
      <c r="D131" s="3" t="s">
        <v>262</v>
      </c>
      <c r="E131" s="3" t="n">
        <v>2019</v>
      </c>
      <c r="F131" s="3" t="s">
        <v>86</v>
      </c>
      <c r="G131" s="3" t="s">
        <v>181</v>
      </c>
      <c r="H131" s="3" t="s">
        <v>547</v>
      </c>
      <c r="I131" s="3" t="s">
        <v>96</v>
      </c>
      <c r="J131" s="7" t="n">
        <v>525000</v>
      </c>
      <c r="K131" s="3" t="s">
        <v>325</v>
      </c>
      <c r="L131" s="7" t="n">
        <v>4777.67</v>
      </c>
      <c r="M131" s="7" t="n">
        <v>597.21</v>
      </c>
      <c r="N131" s="7" t="n">
        <v>597.21</v>
      </c>
      <c r="O131" s="7" t="n">
        <v>3583.3</v>
      </c>
      <c r="P131" s="7" t="n">
        <v>358.33</v>
      </c>
      <c r="Q131" s="7" t="n">
        <v>358.33</v>
      </c>
      <c r="R131" s="7" t="n">
        <v>358.33</v>
      </c>
      <c r="S131" s="7" t="n">
        <v>358.33</v>
      </c>
      <c r="T131" s="7" t="n">
        <v>358.33</v>
      </c>
      <c r="U131" s="7" t="n">
        <v>358.33</v>
      </c>
      <c r="V131" s="7" t="n">
        <v>358.33</v>
      </c>
      <c r="W131" s="7" t="n">
        <v>358.33</v>
      </c>
      <c r="X131" s="7" t="n">
        <v>358.33</v>
      </c>
      <c r="Y131" s="7" t="n">
        <v>358.33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548</v>
      </c>
      <c r="B132" s="8" t="s">
        <v>549</v>
      </c>
      <c r="C132" s="8" t="s">
        <v>156</v>
      </c>
      <c r="D132" s="8" t="s">
        <v>157</v>
      </c>
      <c r="E132" s="8" t="n">
        <v>2012</v>
      </c>
      <c r="F132" s="8" t="s">
        <v>478</v>
      </c>
      <c r="G132" s="8" t="s">
        <v>479</v>
      </c>
      <c r="H132" s="8" t="s">
        <v>550</v>
      </c>
      <c r="I132" s="8" t="s">
        <v>103</v>
      </c>
      <c r="J132" s="9" t="n">
        <v>425000</v>
      </c>
      <c r="K132" s="8" t="s">
        <v>48</v>
      </c>
      <c r="L132" s="9" t="n">
        <v>8434.19</v>
      </c>
      <c r="M132" s="9" t="n">
        <v>1054.27</v>
      </c>
      <c r="N132" s="9" t="n">
        <v>1054.27</v>
      </c>
      <c r="O132" s="9" t="n">
        <v>6325.6</v>
      </c>
      <c r="P132" s="9" t="n">
        <v>632.56</v>
      </c>
      <c r="Q132" s="9" t="n">
        <v>632.56</v>
      </c>
      <c r="R132" s="9" t="n">
        <v>632.56</v>
      </c>
      <c r="S132" s="9" t="n">
        <v>632.56</v>
      </c>
      <c r="T132" s="9" t="n">
        <v>632.56</v>
      </c>
      <c r="U132" s="9" t="n">
        <v>632.56</v>
      </c>
      <c r="V132" s="9" t="n">
        <v>632.56</v>
      </c>
      <c r="W132" s="9" t="n">
        <v>632.56</v>
      </c>
      <c r="X132" s="9" t="n">
        <v>632.56</v>
      </c>
      <c r="Y132" s="9" t="n">
        <v>632.56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551</v>
      </c>
      <c r="B133" s="3" t="s">
        <v>552</v>
      </c>
      <c r="C133" s="3" t="s">
        <v>261</v>
      </c>
      <c r="D133" s="3" t="s">
        <v>262</v>
      </c>
      <c r="E133" s="3" t="n">
        <v>2012</v>
      </c>
      <c r="F133" s="3" t="s">
        <v>114</v>
      </c>
      <c r="G133" s="3" t="s">
        <v>115</v>
      </c>
      <c r="H133" s="3" t="s">
        <v>553</v>
      </c>
      <c r="I133" s="3" t="s">
        <v>47</v>
      </c>
      <c r="J133" s="7" t="n">
        <v>645000</v>
      </c>
      <c r="K133" s="3" t="s">
        <v>183</v>
      </c>
      <c r="L133" s="7" t="n">
        <v>9018.28</v>
      </c>
      <c r="M133" s="7" t="n">
        <v>1127.29</v>
      </c>
      <c r="N133" s="7" t="n">
        <v>1127.29</v>
      </c>
      <c r="O133" s="7" t="n">
        <v>6763.7</v>
      </c>
      <c r="P133" s="7" t="n">
        <v>676.37</v>
      </c>
      <c r="Q133" s="7" t="n">
        <v>676.37</v>
      </c>
      <c r="R133" s="7" t="n">
        <v>676.37</v>
      </c>
      <c r="S133" s="7" t="n">
        <v>676.37</v>
      </c>
      <c r="T133" s="7" t="n">
        <v>676.37</v>
      </c>
      <c r="U133" s="7" t="n">
        <v>676.37</v>
      </c>
      <c r="V133" s="7" t="n">
        <v>676.37</v>
      </c>
      <c r="W133" s="7" t="n">
        <v>676.37</v>
      </c>
      <c r="X133" s="7" t="n">
        <v>676.37</v>
      </c>
      <c r="Y133" s="7" t="n">
        <v>676.37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554</v>
      </c>
      <c r="B134" s="8" t="s">
        <v>119</v>
      </c>
      <c r="C134" s="8" t="s">
        <v>315</v>
      </c>
      <c r="D134" s="8" t="s">
        <v>316</v>
      </c>
      <c r="E134" s="8" t="n">
        <v>1972</v>
      </c>
      <c r="F134" s="8" t="s">
        <v>68</v>
      </c>
      <c r="G134" s="8" t="s">
        <v>69</v>
      </c>
      <c r="H134" s="8" t="s">
        <v>555</v>
      </c>
      <c r="I134" s="8" t="s">
        <v>47</v>
      </c>
      <c r="J134" s="9" t="n">
        <v>630000</v>
      </c>
      <c r="K134" s="8" t="s">
        <v>370</v>
      </c>
      <c r="L134" s="9" t="n">
        <v>7814.04</v>
      </c>
      <c r="M134" s="9" t="n">
        <v>976.75</v>
      </c>
      <c r="N134" s="9" t="n">
        <v>976.75</v>
      </c>
      <c r="O134" s="9" t="n">
        <v>5860.5</v>
      </c>
      <c r="P134" s="9" t="n">
        <v>586.05</v>
      </c>
      <c r="Q134" s="9" t="n">
        <v>586.05</v>
      </c>
      <c r="R134" s="9" t="n">
        <v>586.05</v>
      </c>
      <c r="S134" s="9" t="n">
        <v>586.05</v>
      </c>
      <c r="T134" s="9" t="n">
        <v>586.05</v>
      </c>
      <c r="U134" s="9" t="n">
        <v>586.05</v>
      </c>
      <c r="V134" s="9" t="n">
        <v>586.05</v>
      </c>
      <c r="W134" s="9" t="n">
        <v>586.05</v>
      </c>
      <c r="X134" s="9" t="n">
        <v>586.05</v>
      </c>
      <c r="Y134" s="9" t="n">
        <v>586.05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556</v>
      </c>
      <c r="B135" s="3" t="s">
        <v>557</v>
      </c>
      <c r="C135" s="3" t="s">
        <v>337</v>
      </c>
      <c r="D135" s="3" t="s">
        <v>338</v>
      </c>
      <c r="E135" s="3" t="n">
        <v>1980</v>
      </c>
      <c r="F135" s="3" t="s">
        <v>114</v>
      </c>
      <c r="G135" s="3" t="s">
        <v>115</v>
      </c>
      <c r="H135" s="3" t="s">
        <v>558</v>
      </c>
      <c r="I135" s="3" t="s">
        <v>47</v>
      </c>
      <c r="J135" s="7" t="n">
        <v>805000</v>
      </c>
      <c r="K135" s="3" t="s">
        <v>176</v>
      </c>
      <c r="L135" s="7" t="n">
        <v>11436.9</v>
      </c>
      <c r="M135" s="7" t="n">
        <v>1429.61</v>
      </c>
      <c r="N135" s="7" t="n">
        <v>1429.61</v>
      </c>
      <c r="O135" s="7" t="n">
        <v>8577.7</v>
      </c>
      <c r="P135" s="7" t="n">
        <v>857.77</v>
      </c>
      <c r="Q135" s="7" t="n">
        <v>857.77</v>
      </c>
      <c r="R135" s="7" t="n">
        <v>857.77</v>
      </c>
      <c r="S135" s="7" t="n">
        <v>857.77</v>
      </c>
      <c r="T135" s="7" t="n">
        <v>857.77</v>
      </c>
      <c r="U135" s="7" t="n">
        <v>857.77</v>
      </c>
      <c r="V135" s="7" t="n">
        <v>857.77</v>
      </c>
      <c r="W135" s="7" t="n">
        <v>857.77</v>
      </c>
      <c r="X135" s="7" t="n">
        <v>857.77</v>
      </c>
      <c r="Y135" s="7" t="n">
        <v>857.77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559</v>
      </c>
      <c r="B136" s="8" t="s">
        <v>560</v>
      </c>
      <c r="C136" s="8" t="s">
        <v>354</v>
      </c>
      <c r="D136" s="8" t="s">
        <v>355</v>
      </c>
      <c r="E136" s="8" t="n">
        <v>1969</v>
      </c>
      <c r="F136" s="8" t="s">
        <v>53</v>
      </c>
      <c r="G136" s="8" t="s">
        <v>54</v>
      </c>
      <c r="H136" s="8" t="s">
        <v>561</v>
      </c>
      <c r="I136" s="8" t="s">
        <v>47</v>
      </c>
      <c r="J136" s="9" t="n">
        <v>1035000</v>
      </c>
      <c r="K136" s="8" t="s">
        <v>294</v>
      </c>
      <c r="L136" s="9" t="n">
        <v>9776.13</v>
      </c>
      <c r="M136" s="9" t="n">
        <v>1222.02</v>
      </c>
      <c r="N136" s="9" t="n">
        <v>1222.02</v>
      </c>
      <c r="O136" s="9" t="n">
        <v>7332.1</v>
      </c>
      <c r="P136" s="9" t="n">
        <v>733.21</v>
      </c>
      <c r="Q136" s="9" t="n">
        <v>733.21</v>
      </c>
      <c r="R136" s="9" t="n">
        <v>733.21</v>
      </c>
      <c r="S136" s="9" t="n">
        <v>733.21</v>
      </c>
      <c r="T136" s="9" t="n">
        <v>733.21</v>
      </c>
      <c r="U136" s="9" t="n">
        <v>733.21</v>
      </c>
      <c r="V136" s="9" t="n">
        <v>733.21</v>
      </c>
      <c r="W136" s="9" t="n">
        <v>733.21</v>
      </c>
      <c r="X136" s="9" t="n">
        <v>733.21</v>
      </c>
      <c r="Y136" s="9" t="n">
        <v>733.21</v>
      </c>
      <c r="Z136" s="9" t="n">
        <v>350</v>
      </c>
      <c r="AA136" s="9" t="n">
        <v>250</v>
      </c>
      <c r="AB136" s="9" t="n">
        <v>600</v>
      </c>
    </row>
    <row r="137" customFormat="false" ht="15" hidden="false" customHeight="false" outlineLevel="0" collapsed="false">
      <c r="A137" s="3" t="s">
        <v>562</v>
      </c>
      <c r="B137" s="3" t="s">
        <v>563</v>
      </c>
      <c r="C137" s="3" t="s">
        <v>274</v>
      </c>
      <c r="D137" s="3" t="s">
        <v>275</v>
      </c>
      <c r="E137" s="3" t="n">
        <v>1977</v>
      </c>
      <c r="F137" s="3" t="s">
        <v>122</v>
      </c>
      <c r="G137" s="3" t="s">
        <v>123</v>
      </c>
      <c r="H137" s="3" t="s">
        <v>564</v>
      </c>
      <c r="I137" s="3" t="s">
        <v>47</v>
      </c>
      <c r="J137" s="7" t="n">
        <v>350000</v>
      </c>
      <c r="K137" s="3" t="s">
        <v>171</v>
      </c>
      <c r="L137" s="7" t="n">
        <v>6147.4</v>
      </c>
      <c r="M137" s="7" t="n">
        <v>768.42</v>
      </c>
      <c r="N137" s="7" t="n">
        <v>768.42</v>
      </c>
      <c r="O137" s="7" t="n">
        <v>4610.5</v>
      </c>
      <c r="P137" s="7" t="n">
        <v>461.05</v>
      </c>
      <c r="Q137" s="7" t="n">
        <v>461.05</v>
      </c>
      <c r="R137" s="7" t="n">
        <v>461.05</v>
      </c>
      <c r="S137" s="7" t="n">
        <v>461.05</v>
      </c>
      <c r="T137" s="7" t="n">
        <v>461.05</v>
      </c>
      <c r="U137" s="7" t="n">
        <v>461.05</v>
      </c>
      <c r="V137" s="7" t="n">
        <v>461.05</v>
      </c>
      <c r="W137" s="7" t="n">
        <v>461.05</v>
      </c>
      <c r="X137" s="7" t="n">
        <v>461.05</v>
      </c>
      <c r="Y137" s="7" t="n">
        <v>461.05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565</v>
      </c>
      <c r="B138" s="8" t="s">
        <v>566</v>
      </c>
      <c r="C138" s="8" t="s">
        <v>206</v>
      </c>
      <c r="D138" s="8" t="s">
        <v>207</v>
      </c>
      <c r="E138" s="8" t="n">
        <v>1974</v>
      </c>
      <c r="F138" s="8" t="s">
        <v>86</v>
      </c>
      <c r="G138" s="8" t="s">
        <v>87</v>
      </c>
      <c r="H138" s="8" t="s">
        <v>567</v>
      </c>
      <c r="I138" s="8" t="s">
        <v>89</v>
      </c>
      <c r="J138" s="9" t="n">
        <v>1950000</v>
      </c>
      <c r="K138" s="8" t="s">
        <v>171</v>
      </c>
      <c r="L138" s="9" t="n">
        <v>36533.14</v>
      </c>
      <c r="M138" s="9" t="n">
        <v>4566.64</v>
      </c>
      <c r="N138" s="9" t="n">
        <v>4566.64</v>
      </c>
      <c r="O138" s="9" t="n">
        <v>27399.9</v>
      </c>
      <c r="P138" s="9" t="n">
        <v>2739.99</v>
      </c>
      <c r="Q138" s="9" t="n">
        <v>2739.99</v>
      </c>
      <c r="R138" s="9" t="n">
        <v>2739.99</v>
      </c>
      <c r="S138" s="9" t="n">
        <v>2739.99</v>
      </c>
      <c r="T138" s="9" t="n">
        <v>2739.99</v>
      </c>
      <c r="U138" s="9" t="n">
        <v>2739.99</v>
      </c>
      <c r="V138" s="9" t="n">
        <v>2739.99</v>
      </c>
      <c r="W138" s="9" t="n">
        <v>2739.99</v>
      </c>
      <c r="X138" s="9" t="n">
        <v>2739.99</v>
      </c>
      <c r="Y138" s="9" t="n">
        <v>2739.99</v>
      </c>
      <c r="Z138" s="9" t="n">
        <v>350</v>
      </c>
      <c r="AA138" s="9" t="n">
        <v>250</v>
      </c>
      <c r="AB138" s="9" t="n">
        <v>600</v>
      </c>
    </row>
    <row r="139" customFormat="false" ht="15" hidden="false" customHeight="false" outlineLevel="0" collapsed="false">
      <c r="A139" s="3" t="s">
        <v>568</v>
      </c>
      <c r="B139" s="3" t="s">
        <v>569</v>
      </c>
      <c r="C139" s="3" t="s">
        <v>51</v>
      </c>
      <c r="D139" s="3" t="s">
        <v>52</v>
      </c>
      <c r="E139" s="3" t="n">
        <v>2003</v>
      </c>
      <c r="F139" s="3" t="s">
        <v>60</v>
      </c>
      <c r="G139" s="3" t="s">
        <v>61</v>
      </c>
      <c r="H139" s="3" t="s">
        <v>570</v>
      </c>
      <c r="I139" s="3" t="s">
        <v>47</v>
      </c>
      <c r="J139" s="7" t="n">
        <v>615000</v>
      </c>
      <c r="K139" s="3" t="s">
        <v>321</v>
      </c>
      <c r="L139" s="7" t="n">
        <v>7003.88</v>
      </c>
      <c r="M139" s="7" t="n">
        <v>875.49</v>
      </c>
      <c r="N139" s="7" t="n">
        <v>875.49</v>
      </c>
      <c r="O139" s="7" t="n">
        <v>5252.9</v>
      </c>
      <c r="P139" s="7" t="n">
        <v>525.29</v>
      </c>
      <c r="Q139" s="7" t="n">
        <v>525.29</v>
      </c>
      <c r="R139" s="7" t="n">
        <v>525.29</v>
      </c>
      <c r="S139" s="7" t="n">
        <v>525.29</v>
      </c>
      <c r="T139" s="7" t="n">
        <v>525.29</v>
      </c>
      <c r="U139" s="7" t="n">
        <v>525.29</v>
      </c>
      <c r="V139" s="7" t="n">
        <v>525.29</v>
      </c>
      <c r="W139" s="7" t="n">
        <v>525.29</v>
      </c>
      <c r="X139" s="7" t="n">
        <v>525.29</v>
      </c>
      <c r="Y139" s="7" t="n">
        <v>525.29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571</v>
      </c>
      <c r="B140" s="8" t="s">
        <v>572</v>
      </c>
      <c r="C140" s="8" t="s">
        <v>283</v>
      </c>
      <c r="D140" s="8" t="s">
        <v>284</v>
      </c>
      <c r="E140" s="8" t="n">
        <v>1971</v>
      </c>
      <c r="F140" s="8" t="s">
        <v>60</v>
      </c>
      <c r="G140" s="8" t="s">
        <v>61</v>
      </c>
      <c r="H140" s="8" t="s">
        <v>573</v>
      </c>
      <c r="I140" s="8" t="s">
        <v>47</v>
      </c>
      <c r="J140" s="9" t="n">
        <v>325000</v>
      </c>
      <c r="K140" s="8" t="s">
        <v>254</v>
      </c>
      <c r="L140" s="9" t="n">
        <v>5581.45</v>
      </c>
      <c r="M140" s="9" t="n">
        <v>697.68</v>
      </c>
      <c r="N140" s="9" t="n">
        <v>697.68</v>
      </c>
      <c r="O140" s="9" t="n">
        <v>4186.1</v>
      </c>
      <c r="P140" s="9" t="n">
        <v>418.61</v>
      </c>
      <c r="Q140" s="9" t="n">
        <v>418.61</v>
      </c>
      <c r="R140" s="9" t="n">
        <v>418.61</v>
      </c>
      <c r="S140" s="9" t="n">
        <v>418.61</v>
      </c>
      <c r="T140" s="9" t="n">
        <v>418.61</v>
      </c>
      <c r="U140" s="9" t="n">
        <v>418.61</v>
      </c>
      <c r="V140" s="9" t="n">
        <v>418.61</v>
      </c>
      <c r="W140" s="9" t="n">
        <v>418.61</v>
      </c>
      <c r="X140" s="9" t="n">
        <v>418.61</v>
      </c>
      <c r="Y140" s="9" t="n">
        <v>418.61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574</v>
      </c>
      <c r="B141" s="3" t="s">
        <v>195</v>
      </c>
      <c r="C141" s="3" t="s">
        <v>274</v>
      </c>
      <c r="D141" s="3" t="s">
        <v>275</v>
      </c>
      <c r="E141" s="3" t="n">
        <v>1985</v>
      </c>
      <c r="F141" s="3" t="s">
        <v>53</v>
      </c>
      <c r="G141" s="3" t="s">
        <v>54</v>
      </c>
      <c r="H141" s="3" t="s">
        <v>575</v>
      </c>
      <c r="I141" s="3" t="s">
        <v>47</v>
      </c>
      <c r="J141" s="7" t="n">
        <v>440000</v>
      </c>
      <c r="K141" s="3" t="s">
        <v>97</v>
      </c>
      <c r="L141" s="7" t="n">
        <v>7785.41</v>
      </c>
      <c r="M141" s="7" t="n">
        <v>973.18</v>
      </c>
      <c r="N141" s="7" t="n">
        <v>973.18</v>
      </c>
      <c r="O141" s="7" t="n">
        <v>5839.1</v>
      </c>
      <c r="P141" s="7" t="n">
        <v>583.91</v>
      </c>
      <c r="Q141" s="7" t="n">
        <v>583.91</v>
      </c>
      <c r="R141" s="7" t="n">
        <v>583.91</v>
      </c>
      <c r="S141" s="7" t="n">
        <v>583.91</v>
      </c>
      <c r="T141" s="7" t="n">
        <v>583.91</v>
      </c>
      <c r="U141" s="7" t="n">
        <v>583.91</v>
      </c>
      <c r="V141" s="7" t="n">
        <v>583.91</v>
      </c>
      <c r="W141" s="7" t="n">
        <v>583.91</v>
      </c>
      <c r="X141" s="7" t="n">
        <v>583.91</v>
      </c>
      <c r="Y141" s="7" t="n">
        <v>583.91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576</v>
      </c>
      <c r="B142" s="8" t="s">
        <v>577</v>
      </c>
      <c r="C142" s="8" t="s">
        <v>432</v>
      </c>
      <c r="D142" s="8" t="s">
        <v>433</v>
      </c>
      <c r="E142" s="8" t="n">
        <v>2004</v>
      </c>
      <c r="F142" s="8" t="s">
        <v>68</v>
      </c>
      <c r="G142" s="8" t="s">
        <v>69</v>
      </c>
      <c r="H142" s="8" t="s">
        <v>578</v>
      </c>
      <c r="I142" s="8" t="s">
        <v>47</v>
      </c>
      <c r="J142" s="9" t="n">
        <v>985000</v>
      </c>
      <c r="K142" s="8" t="s">
        <v>97</v>
      </c>
      <c r="L142" s="9" t="n">
        <v>15104.88</v>
      </c>
      <c r="M142" s="9" t="n">
        <v>1888.11</v>
      </c>
      <c r="N142" s="9" t="n">
        <v>1888.11</v>
      </c>
      <c r="O142" s="9" t="n">
        <v>11328.7</v>
      </c>
      <c r="P142" s="9" t="n">
        <v>1132.87</v>
      </c>
      <c r="Q142" s="9" t="n">
        <v>1132.87</v>
      </c>
      <c r="R142" s="9" t="n">
        <v>1132.87</v>
      </c>
      <c r="S142" s="9" t="n">
        <v>1132.87</v>
      </c>
      <c r="T142" s="9" t="n">
        <v>1132.87</v>
      </c>
      <c r="U142" s="9" t="n">
        <v>1132.87</v>
      </c>
      <c r="V142" s="9" t="n">
        <v>1132.87</v>
      </c>
      <c r="W142" s="9" t="n">
        <v>1132.87</v>
      </c>
      <c r="X142" s="9" t="n">
        <v>1132.87</v>
      </c>
      <c r="Y142" s="9" t="n">
        <v>1132.87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579</v>
      </c>
      <c r="B143" s="3" t="s">
        <v>580</v>
      </c>
      <c r="C143" s="3" t="s">
        <v>148</v>
      </c>
      <c r="D143" s="3" t="s">
        <v>149</v>
      </c>
      <c r="E143" s="3" t="n">
        <v>2018</v>
      </c>
      <c r="F143" s="3" t="s">
        <v>44</v>
      </c>
      <c r="G143" s="3" t="s">
        <v>45</v>
      </c>
      <c r="H143" s="3" t="s">
        <v>581</v>
      </c>
      <c r="I143" s="3" t="s">
        <v>47</v>
      </c>
      <c r="J143" s="7" t="n">
        <v>605000</v>
      </c>
      <c r="K143" s="3" t="s">
        <v>117</v>
      </c>
      <c r="L143" s="7" t="n">
        <v>7845.04</v>
      </c>
      <c r="M143" s="7" t="n">
        <v>980.63</v>
      </c>
      <c r="N143" s="7" t="n">
        <v>980.63</v>
      </c>
      <c r="O143" s="7" t="n">
        <v>5883.8</v>
      </c>
      <c r="P143" s="7" t="n">
        <v>588.38</v>
      </c>
      <c r="Q143" s="7" t="n">
        <v>588.38</v>
      </c>
      <c r="R143" s="7" t="n">
        <v>588.38</v>
      </c>
      <c r="S143" s="7" t="n">
        <v>588.38</v>
      </c>
      <c r="T143" s="7" t="n">
        <v>588.38</v>
      </c>
      <c r="U143" s="7" t="n">
        <v>588.38</v>
      </c>
      <c r="V143" s="7" t="n">
        <v>588.38</v>
      </c>
      <c r="W143" s="7" t="n">
        <v>588.38</v>
      </c>
      <c r="X143" s="7" t="n">
        <v>588.38</v>
      </c>
      <c r="Y143" s="7" t="n">
        <v>588.38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582</v>
      </c>
      <c r="B144" s="8" t="s">
        <v>583</v>
      </c>
      <c r="C144" s="8" t="s">
        <v>134</v>
      </c>
      <c r="D144" s="8" t="s">
        <v>135</v>
      </c>
      <c r="E144" s="8" t="n">
        <v>1977</v>
      </c>
      <c r="F144" s="8" t="s">
        <v>60</v>
      </c>
      <c r="G144" s="8" t="s">
        <v>61</v>
      </c>
      <c r="H144" s="8" t="s">
        <v>584</v>
      </c>
      <c r="I144" s="8" t="s">
        <v>47</v>
      </c>
      <c r="J144" s="9" t="n">
        <v>605000</v>
      </c>
      <c r="K144" s="8" t="s">
        <v>90</v>
      </c>
      <c r="L144" s="9" t="n">
        <v>7845.04</v>
      </c>
      <c r="M144" s="9" t="n">
        <v>980.63</v>
      </c>
      <c r="N144" s="9" t="n">
        <v>980.63</v>
      </c>
      <c r="O144" s="9" t="n">
        <v>5883.8</v>
      </c>
      <c r="P144" s="9" t="n">
        <v>588.38</v>
      </c>
      <c r="Q144" s="9" t="n">
        <v>588.38</v>
      </c>
      <c r="R144" s="9" t="n">
        <v>588.38</v>
      </c>
      <c r="S144" s="9" t="n">
        <v>588.38</v>
      </c>
      <c r="T144" s="9" t="n">
        <v>588.38</v>
      </c>
      <c r="U144" s="9" t="n">
        <v>588.38</v>
      </c>
      <c r="V144" s="9" t="n">
        <v>588.38</v>
      </c>
      <c r="W144" s="9" t="n">
        <v>588.38</v>
      </c>
      <c r="X144" s="9" t="n">
        <v>588.38</v>
      </c>
      <c r="Y144" s="9" t="n">
        <v>588.38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585</v>
      </c>
      <c r="B145" s="3" t="s">
        <v>586</v>
      </c>
      <c r="C145" s="3" t="s">
        <v>229</v>
      </c>
      <c r="D145" s="3" t="s">
        <v>230</v>
      </c>
      <c r="E145" s="3" t="n">
        <v>1974</v>
      </c>
      <c r="F145" s="3" t="s">
        <v>53</v>
      </c>
      <c r="G145" s="3" t="s">
        <v>54</v>
      </c>
      <c r="H145" s="3" t="s">
        <v>587</v>
      </c>
      <c r="I145" s="3" t="s">
        <v>47</v>
      </c>
      <c r="J145" s="7" t="n">
        <v>760000</v>
      </c>
      <c r="K145" s="3" t="s">
        <v>250</v>
      </c>
      <c r="L145" s="7" t="n">
        <v>11397.43</v>
      </c>
      <c r="M145" s="7" t="n">
        <v>1424.68</v>
      </c>
      <c r="N145" s="7" t="n">
        <v>1424.68</v>
      </c>
      <c r="O145" s="7" t="n">
        <v>8548.1</v>
      </c>
      <c r="P145" s="7" t="n">
        <v>854.81</v>
      </c>
      <c r="Q145" s="7" t="n">
        <v>854.81</v>
      </c>
      <c r="R145" s="7" t="n">
        <v>854.81</v>
      </c>
      <c r="S145" s="7" t="n">
        <v>854.81</v>
      </c>
      <c r="T145" s="7" t="n">
        <v>854.81</v>
      </c>
      <c r="U145" s="7" t="n">
        <v>854.81</v>
      </c>
      <c r="V145" s="7" t="n">
        <v>854.81</v>
      </c>
      <c r="W145" s="7" t="n">
        <v>854.81</v>
      </c>
      <c r="X145" s="7" t="n">
        <v>854.81</v>
      </c>
      <c r="Y145" s="7" t="n">
        <v>854.81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588</v>
      </c>
      <c r="B146" s="8" t="s">
        <v>589</v>
      </c>
      <c r="C146" s="8" t="s">
        <v>229</v>
      </c>
      <c r="D146" s="8" t="s">
        <v>230</v>
      </c>
      <c r="E146" s="8" t="n">
        <v>1966</v>
      </c>
      <c r="F146" s="8" t="s">
        <v>60</v>
      </c>
      <c r="G146" s="8" t="s">
        <v>61</v>
      </c>
      <c r="H146" s="8" t="s">
        <v>590</v>
      </c>
      <c r="I146" s="8" t="s">
        <v>47</v>
      </c>
      <c r="J146" s="9" t="n">
        <v>715000</v>
      </c>
      <c r="K146" s="8" t="s">
        <v>370</v>
      </c>
      <c r="L146" s="9" t="n">
        <v>8868.3</v>
      </c>
      <c r="M146" s="9" t="n">
        <v>1108.54</v>
      </c>
      <c r="N146" s="9" t="n">
        <v>1108.54</v>
      </c>
      <c r="O146" s="9" t="n">
        <v>6651.2</v>
      </c>
      <c r="P146" s="9" t="n">
        <v>665.12</v>
      </c>
      <c r="Q146" s="9" t="n">
        <v>665.12</v>
      </c>
      <c r="R146" s="9" t="n">
        <v>665.12</v>
      </c>
      <c r="S146" s="9" t="n">
        <v>665.12</v>
      </c>
      <c r="T146" s="9" t="n">
        <v>665.12</v>
      </c>
      <c r="U146" s="9" t="n">
        <v>665.12</v>
      </c>
      <c r="V146" s="9" t="n">
        <v>665.12</v>
      </c>
      <c r="W146" s="9" t="n">
        <v>665.12</v>
      </c>
      <c r="X146" s="9" t="n">
        <v>665.12</v>
      </c>
      <c r="Y146" s="9" t="n">
        <v>665.12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591</v>
      </c>
      <c r="B147" s="3" t="s">
        <v>592</v>
      </c>
      <c r="C147" s="3" t="s">
        <v>354</v>
      </c>
      <c r="D147" s="3" t="s">
        <v>355</v>
      </c>
      <c r="E147" s="3" t="n">
        <v>1959</v>
      </c>
      <c r="F147" s="3" t="s">
        <v>53</v>
      </c>
      <c r="G147" s="3" t="s">
        <v>54</v>
      </c>
      <c r="H147" s="3" t="s">
        <v>593</v>
      </c>
      <c r="I147" s="3" t="s">
        <v>47</v>
      </c>
      <c r="J147" s="7" t="n">
        <v>520000</v>
      </c>
      <c r="K147" s="3" t="s">
        <v>460</v>
      </c>
      <c r="L147" s="7" t="n">
        <v>7915.51</v>
      </c>
      <c r="M147" s="7" t="n">
        <v>989.44</v>
      </c>
      <c r="N147" s="7" t="n">
        <v>989.44</v>
      </c>
      <c r="O147" s="7" t="n">
        <v>5936.6</v>
      </c>
      <c r="P147" s="7" t="n">
        <v>593.66</v>
      </c>
      <c r="Q147" s="7" t="n">
        <v>593.66</v>
      </c>
      <c r="R147" s="7" t="n">
        <v>593.66</v>
      </c>
      <c r="S147" s="7" t="n">
        <v>593.66</v>
      </c>
      <c r="T147" s="7" t="n">
        <v>593.66</v>
      </c>
      <c r="U147" s="7" t="n">
        <v>593.66</v>
      </c>
      <c r="V147" s="7" t="n">
        <v>593.66</v>
      </c>
      <c r="W147" s="7" t="n">
        <v>593.66</v>
      </c>
      <c r="X147" s="7" t="n">
        <v>593.66</v>
      </c>
      <c r="Y147" s="7" t="n">
        <v>593.66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594</v>
      </c>
      <c r="B148" s="8" t="s">
        <v>228</v>
      </c>
      <c r="C148" s="8" t="s">
        <v>66</v>
      </c>
      <c r="D148" s="8" t="s">
        <v>67</v>
      </c>
      <c r="E148" s="8" t="n">
        <v>1992</v>
      </c>
      <c r="F148" s="8" t="s">
        <v>44</v>
      </c>
      <c r="G148" s="8" t="s">
        <v>45</v>
      </c>
      <c r="H148" s="8" t="s">
        <v>595</v>
      </c>
      <c r="I148" s="8" t="s">
        <v>47</v>
      </c>
      <c r="J148" s="9" t="n">
        <v>765000</v>
      </c>
      <c r="K148" s="8" t="s">
        <v>117</v>
      </c>
      <c r="L148" s="9" t="n">
        <v>9919.77</v>
      </c>
      <c r="M148" s="9" t="n">
        <v>1239.97</v>
      </c>
      <c r="N148" s="9" t="n">
        <v>1239.97</v>
      </c>
      <c r="O148" s="9" t="n">
        <v>7439.8</v>
      </c>
      <c r="P148" s="9" t="n">
        <v>743.98</v>
      </c>
      <c r="Q148" s="9" t="n">
        <v>743.98</v>
      </c>
      <c r="R148" s="9" t="n">
        <v>743.98</v>
      </c>
      <c r="S148" s="9" t="n">
        <v>743.98</v>
      </c>
      <c r="T148" s="9" t="n">
        <v>743.98</v>
      </c>
      <c r="U148" s="9" t="n">
        <v>743.98</v>
      </c>
      <c r="V148" s="9" t="n">
        <v>743.98</v>
      </c>
      <c r="W148" s="9" t="n">
        <v>743.98</v>
      </c>
      <c r="X148" s="9" t="n">
        <v>743.98</v>
      </c>
      <c r="Y148" s="9" t="n">
        <v>743.98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596</v>
      </c>
      <c r="B149" s="3" t="s">
        <v>597</v>
      </c>
      <c r="C149" s="3" t="s">
        <v>465</v>
      </c>
      <c r="D149" s="3" t="s">
        <v>466</v>
      </c>
      <c r="E149" s="3" t="n">
        <v>2012</v>
      </c>
      <c r="F149" s="3" t="s">
        <v>44</v>
      </c>
      <c r="G149" s="3" t="s">
        <v>45</v>
      </c>
      <c r="H149" s="3" t="s">
        <v>598</v>
      </c>
      <c r="I149" s="3" t="s">
        <v>47</v>
      </c>
      <c r="J149" s="7" t="n">
        <v>280000</v>
      </c>
      <c r="K149" s="3" t="s">
        <v>117</v>
      </c>
      <c r="L149" s="7" t="n">
        <v>4189.34</v>
      </c>
      <c r="M149" s="7" t="n">
        <v>523.67</v>
      </c>
      <c r="N149" s="7" t="n">
        <v>523.67</v>
      </c>
      <c r="O149" s="7" t="n">
        <v>3142</v>
      </c>
      <c r="P149" s="7" t="n">
        <v>314.2</v>
      </c>
      <c r="Q149" s="7" t="n">
        <v>314.2</v>
      </c>
      <c r="R149" s="7" t="n">
        <v>314.2</v>
      </c>
      <c r="S149" s="7" t="n">
        <v>314.2</v>
      </c>
      <c r="T149" s="7" t="n">
        <v>314.2</v>
      </c>
      <c r="U149" s="7" t="n">
        <v>314.2</v>
      </c>
      <c r="V149" s="7" t="n">
        <v>314.2</v>
      </c>
      <c r="W149" s="7" t="n">
        <v>314.2</v>
      </c>
      <c r="X149" s="7" t="n">
        <v>314.2</v>
      </c>
      <c r="Y149" s="7" t="n">
        <v>314.2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599</v>
      </c>
      <c r="B150" s="8" t="s">
        <v>600</v>
      </c>
      <c r="C150" s="8" t="s">
        <v>152</v>
      </c>
      <c r="D150" s="8" t="s">
        <v>153</v>
      </c>
      <c r="E150" s="8" t="n">
        <v>2011</v>
      </c>
      <c r="F150" s="8" t="s">
        <v>114</v>
      </c>
      <c r="G150" s="8" t="s">
        <v>115</v>
      </c>
      <c r="H150" s="8" t="s">
        <v>601</v>
      </c>
      <c r="I150" s="8" t="s">
        <v>47</v>
      </c>
      <c r="J150" s="9" t="n">
        <v>1400000</v>
      </c>
      <c r="K150" s="8" t="s">
        <v>510</v>
      </c>
      <c r="L150" s="9" t="n">
        <v>14158.76</v>
      </c>
      <c r="M150" s="9" t="n">
        <v>1769.85</v>
      </c>
      <c r="N150" s="9" t="n">
        <v>1769.85</v>
      </c>
      <c r="O150" s="9" t="n">
        <v>10619.1</v>
      </c>
      <c r="P150" s="9" t="n">
        <v>1061.91</v>
      </c>
      <c r="Q150" s="9" t="n">
        <v>1061.91</v>
      </c>
      <c r="R150" s="9" t="n">
        <v>1061.91</v>
      </c>
      <c r="S150" s="9" t="n">
        <v>1061.91</v>
      </c>
      <c r="T150" s="9" t="n">
        <v>1061.91</v>
      </c>
      <c r="U150" s="9" t="n">
        <v>1061.91</v>
      </c>
      <c r="V150" s="9" t="n">
        <v>1061.91</v>
      </c>
      <c r="W150" s="9" t="n">
        <v>1061.91</v>
      </c>
      <c r="X150" s="9" t="n">
        <v>1061.91</v>
      </c>
      <c r="Y150" s="9" t="n">
        <v>1061.91</v>
      </c>
      <c r="Z150" s="9" t="n">
        <v>350</v>
      </c>
      <c r="AA150" s="9" t="n">
        <v>250</v>
      </c>
      <c r="AB150" s="9" t="n">
        <v>600</v>
      </c>
    </row>
    <row r="151" customFormat="false" ht="15" hidden="false" customHeight="false" outlineLevel="0" collapsed="false">
      <c r="A151" s="3" t="s">
        <v>602</v>
      </c>
      <c r="B151" s="3" t="s">
        <v>589</v>
      </c>
      <c r="C151" s="3" t="s">
        <v>163</v>
      </c>
      <c r="D151" s="3" t="s">
        <v>164</v>
      </c>
      <c r="E151" s="3" t="n">
        <v>2001</v>
      </c>
      <c r="F151" s="3" t="s">
        <v>100</v>
      </c>
      <c r="G151" s="3" t="s">
        <v>101</v>
      </c>
      <c r="H151" s="3" t="s">
        <v>603</v>
      </c>
      <c r="I151" s="3" t="s">
        <v>103</v>
      </c>
      <c r="J151" s="7" t="n">
        <v>125000</v>
      </c>
      <c r="K151" s="3" t="s">
        <v>189</v>
      </c>
      <c r="L151" s="7" t="n">
        <v>2754.95</v>
      </c>
      <c r="M151" s="7" t="n">
        <v>344.37</v>
      </c>
      <c r="N151" s="7" t="n">
        <v>344.37</v>
      </c>
      <c r="O151" s="7" t="n">
        <v>2066.2</v>
      </c>
      <c r="P151" s="7" t="n">
        <v>206.62</v>
      </c>
      <c r="Q151" s="7" t="n">
        <v>206.62</v>
      </c>
      <c r="R151" s="7" t="n">
        <v>206.62</v>
      </c>
      <c r="S151" s="7" t="n">
        <v>206.62</v>
      </c>
      <c r="T151" s="7" t="n">
        <v>206.62</v>
      </c>
      <c r="U151" s="7" t="n">
        <v>206.62</v>
      </c>
      <c r="V151" s="7" t="n">
        <v>206.62</v>
      </c>
      <c r="W151" s="7" t="n">
        <v>206.62</v>
      </c>
      <c r="X151" s="7" t="n">
        <v>206.62</v>
      </c>
      <c r="Y151" s="7" t="n">
        <v>206.62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604</v>
      </c>
      <c r="B152" s="8" t="s">
        <v>605</v>
      </c>
      <c r="C152" s="8" t="s">
        <v>112</v>
      </c>
      <c r="D152" s="8" t="s">
        <v>113</v>
      </c>
      <c r="E152" s="8" t="n">
        <v>1977</v>
      </c>
      <c r="F152" s="8" t="s">
        <v>86</v>
      </c>
      <c r="G152" s="8" t="s">
        <v>87</v>
      </c>
      <c r="H152" s="8" t="s">
        <v>606</v>
      </c>
      <c r="I152" s="8" t="s">
        <v>89</v>
      </c>
      <c r="J152" s="9" t="n">
        <v>895000</v>
      </c>
      <c r="K152" s="8" t="s">
        <v>171</v>
      </c>
      <c r="L152" s="9" t="n">
        <v>19911.73</v>
      </c>
      <c r="M152" s="9" t="n">
        <v>2488.97</v>
      </c>
      <c r="N152" s="9" t="n">
        <v>2488.97</v>
      </c>
      <c r="O152" s="9" t="n">
        <v>14933.8</v>
      </c>
      <c r="P152" s="9" t="n">
        <v>1493.38</v>
      </c>
      <c r="Q152" s="9" t="n">
        <v>1493.38</v>
      </c>
      <c r="R152" s="9" t="n">
        <v>1493.38</v>
      </c>
      <c r="S152" s="9" t="n">
        <v>1493.38</v>
      </c>
      <c r="T152" s="9" t="n">
        <v>1493.38</v>
      </c>
      <c r="U152" s="9" t="n">
        <v>1493.38</v>
      </c>
      <c r="V152" s="9" t="n">
        <v>1493.38</v>
      </c>
      <c r="W152" s="9" t="n">
        <v>1493.38</v>
      </c>
      <c r="X152" s="9" t="n">
        <v>1493.38</v>
      </c>
      <c r="Y152" s="9" t="n">
        <v>1493.38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607</v>
      </c>
      <c r="B153" s="3" t="s">
        <v>147</v>
      </c>
      <c r="C153" s="3" t="s">
        <v>152</v>
      </c>
      <c r="D153" s="3" t="s">
        <v>153</v>
      </c>
      <c r="E153" s="3" t="n">
        <v>1965</v>
      </c>
      <c r="F153" s="3" t="s">
        <v>114</v>
      </c>
      <c r="G153" s="3" t="s">
        <v>115</v>
      </c>
      <c r="H153" s="3" t="s">
        <v>608</v>
      </c>
      <c r="I153" s="3" t="s">
        <v>47</v>
      </c>
      <c r="J153" s="7" t="n">
        <v>660000</v>
      </c>
      <c r="K153" s="3" t="s">
        <v>216</v>
      </c>
      <c r="L153" s="7" t="n">
        <v>7144.26</v>
      </c>
      <c r="M153" s="7" t="n">
        <v>893.03</v>
      </c>
      <c r="N153" s="7" t="n">
        <v>893.03</v>
      </c>
      <c r="O153" s="7" t="n">
        <v>5358.2</v>
      </c>
      <c r="P153" s="7" t="n">
        <v>535.82</v>
      </c>
      <c r="Q153" s="7" t="n">
        <v>535.82</v>
      </c>
      <c r="R153" s="7" t="n">
        <v>535.82</v>
      </c>
      <c r="S153" s="7" t="n">
        <v>535.82</v>
      </c>
      <c r="T153" s="7" t="n">
        <v>535.82</v>
      </c>
      <c r="U153" s="7" t="n">
        <v>535.82</v>
      </c>
      <c r="V153" s="7" t="n">
        <v>535.82</v>
      </c>
      <c r="W153" s="7" t="n">
        <v>535.82</v>
      </c>
      <c r="X153" s="7" t="n">
        <v>535.82</v>
      </c>
      <c r="Y153" s="7" t="n">
        <v>535.82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609</v>
      </c>
      <c r="B154" s="8" t="s">
        <v>610</v>
      </c>
      <c r="C154" s="8" t="s">
        <v>156</v>
      </c>
      <c r="D154" s="8" t="s">
        <v>157</v>
      </c>
      <c r="E154" s="8" t="n">
        <v>1965</v>
      </c>
      <c r="F154" s="8" t="s">
        <v>86</v>
      </c>
      <c r="G154" s="8" t="s">
        <v>181</v>
      </c>
      <c r="H154" s="8" t="s">
        <v>611</v>
      </c>
      <c r="I154" s="8" t="s">
        <v>96</v>
      </c>
      <c r="J154" s="9" t="n">
        <v>535000</v>
      </c>
      <c r="K154" s="8" t="s">
        <v>71</v>
      </c>
      <c r="L154" s="9" t="n">
        <v>5108.11</v>
      </c>
      <c r="M154" s="9" t="n">
        <v>638.51</v>
      </c>
      <c r="N154" s="9" t="n">
        <v>638.51</v>
      </c>
      <c r="O154" s="9" t="n">
        <v>3831.1</v>
      </c>
      <c r="P154" s="9" t="n">
        <v>383.11</v>
      </c>
      <c r="Q154" s="9" t="n">
        <v>383.11</v>
      </c>
      <c r="R154" s="9" t="n">
        <v>383.11</v>
      </c>
      <c r="S154" s="9" t="n">
        <v>383.11</v>
      </c>
      <c r="T154" s="9" t="n">
        <v>383.11</v>
      </c>
      <c r="U154" s="9" t="n">
        <v>383.11</v>
      </c>
      <c r="V154" s="9" t="n">
        <v>383.11</v>
      </c>
      <c r="W154" s="9" t="n">
        <v>383.11</v>
      </c>
      <c r="X154" s="9" t="n">
        <v>383.11</v>
      </c>
      <c r="Y154" s="9" t="n">
        <v>383.11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612</v>
      </c>
      <c r="B155" s="3" t="s">
        <v>477</v>
      </c>
      <c r="C155" s="3" t="s">
        <v>163</v>
      </c>
      <c r="D155" s="3" t="s">
        <v>164</v>
      </c>
      <c r="E155" s="3" t="n">
        <v>2017</v>
      </c>
      <c r="F155" s="3" t="s">
        <v>231</v>
      </c>
      <c r="G155" s="3" t="s">
        <v>232</v>
      </c>
      <c r="H155" s="3" t="s">
        <v>613</v>
      </c>
      <c r="I155" s="3" t="s">
        <v>89</v>
      </c>
      <c r="J155" s="7" t="n">
        <v>1275000</v>
      </c>
      <c r="K155" s="3" t="s">
        <v>258</v>
      </c>
      <c r="L155" s="7" t="n">
        <v>17163.29</v>
      </c>
      <c r="M155" s="7" t="n">
        <v>2145.41</v>
      </c>
      <c r="N155" s="7" t="n">
        <v>2145.41</v>
      </c>
      <c r="O155" s="7" t="n">
        <v>12872.5</v>
      </c>
      <c r="P155" s="7" t="n">
        <v>1287.25</v>
      </c>
      <c r="Q155" s="7" t="n">
        <v>1287.25</v>
      </c>
      <c r="R155" s="7" t="n">
        <v>1287.25</v>
      </c>
      <c r="S155" s="7" t="n">
        <v>1287.25</v>
      </c>
      <c r="T155" s="7" t="n">
        <v>1287.25</v>
      </c>
      <c r="U155" s="7" t="n">
        <v>1287.25</v>
      </c>
      <c r="V155" s="7" t="n">
        <v>1287.25</v>
      </c>
      <c r="W155" s="7" t="n">
        <v>1287.25</v>
      </c>
      <c r="X155" s="7" t="n">
        <v>1287.25</v>
      </c>
      <c r="Y155" s="7" t="n">
        <v>1287.25</v>
      </c>
      <c r="Z155" s="7" t="n">
        <v>350</v>
      </c>
      <c r="AA155" s="7" t="n">
        <v>250</v>
      </c>
      <c r="AB155" s="7" t="n">
        <v>600</v>
      </c>
    </row>
    <row r="156" customFormat="false" ht="15" hidden="false" customHeight="false" outlineLevel="0" collapsed="false">
      <c r="A156" s="8" t="s">
        <v>614</v>
      </c>
      <c r="B156" s="8" t="s">
        <v>615</v>
      </c>
      <c r="C156" s="8" t="s">
        <v>141</v>
      </c>
      <c r="D156" s="8" t="s">
        <v>142</v>
      </c>
      <c r="E156" s="8" t="n">
        <v>1971</v>
      </c>
      <c r="F156" s="8" t="s">
        <v>122</v>
      </c>
      <c r="G156" s="8" t="s">
        <v>130</v>
      </c>
      <c r="H156" s="8" t="s">
        <v>616</v>
      </c>
      <c r="I156" s="8" t="s">
        <v>96</v>
      </c>
      <c r="J156" s="9" t="n">
        <v>1615000</v>
      </c>
      <c r="K156" s="8" t="s">
        <v>277</v>
      </c>
      <c r="L156" s="9" t="n">
        <v>12029.94</v>
      </c>
      <c r="M156" s="9" t="n">
        <v>1503.74</v>
      </c>
      <c r="N156" s="9" t="n">
        <v>1503.74</v>
      </c>
      <c r="O156" s="9" t="n">
        <v>9022.5</v>
      </c>
      <c r="P156" s="9" t="n">
        <v>902.25</v>
      </c>
      <c r="Q156" s="9" t="n">
        <v>902.25</v>
      </c>
      <c r="R156" s="9" t="n">
        <v>902.25</v>
      </c>
      <c r="S156" s="9" t="n">
        <v>902.25</v>
      </c>
      <c r="T156" s="9" t="n">
        <v>902.25</v>
      </c>
      <c r="U156" s="9" t="n">
        <v>902.25</v>
      </c>
      <c r="V156" s="9" t="n">
        <v>902.25</v>
      </c>
      <c r="W156" s="9" t="n">
        <v>902.25</v>
      </c>
      <c r="X156" s="9" t="n">
        <v>902.25</v>
      </c>
      <c r="Y156" s="9" t="n">
        <v>902.25</v>
      </c>
      <c r="Z156" s="9" t="n">
        <v>350</v>
      </c>
      <c r="AA156" s="9" t="n">
        <v>250</v>
      </c>
      <c r="AB156" s="9" t="n">
        <v>600</v>
      </c>
    </row>
    <row r="157" customFormat="false" ht="15" hidden="false" customHeight="false" outlineLevel="0" collapsed="false">
      <c r="A157" s="3" t="s">
        <v>617</v>
      </c>
      <c r="B157" s="3" t="s">
        <v>618</v>
      </c>
      <c r="C157" s="3" t="s">
        <v>156</v>
      </c>
      <c r="D157" s="3" t="s">
        <v>157</v>
      </c>
      <c r="E157" s="3" t="n">
        <v>2009</v>
      </c>
      <c r="F157" s="3" t="s">
        <v>60</v>
      </c>
      <c r="G157" s="3" t="s">
        <v>61</v>
      </c>
      <c r="H157" s="3" t="s">
        <v>619</v>
      </c>
      <c r="I157" s="3" t="s">
        <v>47</v>
      </c>
      <c r="J157" s="7" t="n">
        <v>680000</v>
      </c>
      <c r="K157" s="3" t="s">
        <v>117</v>
      </c>
      <c r="L157" s="7" t="n">
        <v>8817.57</v>
      </c>
      <c r="M157" s="7" t="n">
        <v>1102.2</v>
      </c>
      <c r="N157" s="7" t="n">
        <v>1102.2</v>
      </c>
      <c r="O157" s="7" t="n">
        <v>6613.2</v>
      </c>
      <c r="P157" s="7" t="n">
        <v>661.32</v>
      </c>
      <c r="Q157" s="7" t="n">
        <v>661.32</v>
      </c>
      <c r="R157" s="7" t="n">
        <v>661.32</v>
      </c>
      <c r="S157" s="7" t="n">
        <v>661.32</v>
      </c>
      <c r="T157" s="7" t="n">
        <v>661.32</v>
      </c>
      <c r="U157" s="7" t="n">
        <v>661.32</v>
      </c>
      <c r="V157" s="7" t="n">
        <v>661.32</v>
      </c>
      <c r="W157" s="7" t="n">
        <v>661.32</v>
      </c>
      <c r="X157" s="7" t="n">
        <v>661.32</v>
      </c>
      <c r="Y157" s="7" t="n">
        <v>661.32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620</v>
      </c>
      <c r="B158" s="8" t="s">
        <v>621</v>
      </c>
      <c r="C158" s="8" t="s">
        <v>261</v>
      </c>
      <c r="D158" s="8" t="s">
        <v>262</v>
      </c>
      <c r="E158" s="8" t="n">
        <v>1998</v>
      </c>
      <c r="F158" s="8" t="s">
        <v>122</v>
      </c>
      <c r="G158" s="8" t="s">
        <v>123</v>
      </c>
      <c r="H158" s="8" t="s">
        <v>622</v>
      </c>
      <c r="I158" s="8" t="s">
        <v>47</v>
      </c>
      <c r="J158" s="9" t="n">
        <v>560000</v>
      </c>
      <c r="K158" s="8" t="s">
        <v>487</v>
      </c>
      <c r="L158" s="9" t="n">
        <v>7514.1</v>
      </c>
      <c r="M158" s="9" t="n">
        <v>939.26</v>
      </c>
      <c r="N158" s="9" t="n">
        <v>939.26</v>
      </c>
      <c r="O158" s="9" t="n">
        <v>5635.6</v>
      </c>
      <c r="P158" s="9" t="n">
        <v>563.56</v>
      </c>
      <c r="Q158" s="9" t="n">
        <v>563.56</v>
      </c>
      <c r="R158" s="9" t="n">
        <v>563.56</v>
      </c>
      <c r="S158" s="9" t="n">
        <v>563.56</v>
      </c>
      <c r="T158" s="9" t="n">
        <v>563.56</v>
      </c>
      <c r="U158" s="9" t="n">
        <v>563.56</v>
      </c>
      <c r="V158" s="9" t="n">
        <v>563.56</v>
      </c>
      <c r="W158" s="9" t="n">
        <v>563.56</v>
      </c>
      <c r="X158" s="9" t="n">
        <v>563.56</v>
      </c>
      <c r="Y158" s="9" t="n">
        <v>563.56</v>
      </c>
      <c r="Z158" s="9" t="n">
        <v>350</v>
      </c>
      <c r="AA158" s="9" t="n">
        <v>0</v>
      </c>
      <c r="AB158" s="9" t="n">
        <v>350</v>
      </c>
    </row>
    <row r="159" customFormat="false" ht="15" hidden="false" customHeight="false" outlineLevel="0" collapsed="false">
      <c r="A159" s="3" t="s">
        <v>623</v>
      </c>
      <c r="B159" s="3" t="s">
        <v>624</v>
      </c>
      <c r="C159" s="3" t="s">
        <v>168</v>
      </c>
      <c r="D159" s="3" t="s">
        <v>169</v>
      </c>
      <c r="E159" s="3" t="n">
        <v>1984</v>
      </c>
      <c r="F159" s="3" t="s">
        <v>122</v>
      </c>
      <c r="G159" s="3" t="s">
        <v>123</v>
      </c>
      <c r="H159" s="3" t="s">
        <v>625</v>
      </c>
      <c r="I159" s="3" t="s">
        <v>47</v>
      </c>
      <c r="J159" s="7" t="n">
        <v>985000</v>
      </c>
      <c r="K159" s="3" t="s">
        <v>325</v>
      </c>
      <c r="L159" s="7" t="n">
        <v>13549.96</v>
      </c>
      <c r="M159" s="7" t="n">
        <v>1693.74</v>
      </c>
      <c r="N159" s="7" t="n">
        <v>1693.74</v>
      </c>
      <c r="O159" s="7" t="n">
        <v>10162.5</v>
      </c>
      <c r="P159" s="7" t="n">
        <v>1016.25</v>
      </c>
      <c r="Q159" s="7" t="n">
        <v>1016.25</v>
      </c>
      <c r="R159" s="7" t="n">
        <v>1016.25</v>
      </c>
      <c r="S159" s="7" t="n">
        <v>1016.25</v>
      </c>
      <c r="T159" s="7" t="n">
        <v>1016.25</v>
      </c>
      <c r="U159" s="7" t="n">
        <v>1016.25</v>
      </c>
      <c r="V159" s="7" t="n">
        <v>1016.25</v>
      </c>
      <c r="W159" s="7" t="n">
        <v>1016.25</v>
      </c>
      <c r="X159" s="7" t="n">
        <v>1016.25</v>
      </c>
      <c r="Y159" s="7" t="n">
        <v>1016.25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626</v>
      </c>
      <c r="B160" s="8" t="s">
        <v>627</v>
      </c>
      <c r="C160" s="8" t="s">
        <v>283</v>
      </c>
      <c r="D160" s="8" t="s">
        <v>284</v>
      </c>
      <c r="E160" s="8" t="n">
        <v>1985</v>
      </c>
      <c r="F160" s="8" t="s">
        <v>86</v>
      </c>
      <c r="G160" s="8" t="s">
        <v>87</v>
      </c>
      <c r="H160" s="8" t="s">
        <v>628</v>
      </c>
      <c r="I160" s="8" t="s">
        <v>89</v>
      </c>
      <c r="J160" s="9" t="n">
        <v>885000</v>
      </c>
      <c r="K160" s="8" t="s">
        <v>370</v>
      </c>
      <c r="L160" s="9" t="n">
        <v>16043.1</v>
      </c>
      <c r="M160" s="9" t="n">
        <v>2005.39</v>
      </c>
      <c r="N160" s="9" t="n">
        <v>2005.39</v>
      </c>
      <c r="O160" s="9" t="n">
        <v>12032.3</v>
      </c>
      <c r="P160" s="9" t="n">
        <v>1203.23</v>
      </c>
      <c r="Q160" s="9" t="n">
        <v>1203.23</v>
      </c>
      <c r="R160" s="9" t="n">
        <v>1203.23</v>
      </c>
      <c r="S160" s="9" t="n">
        <v>1203.23</v>
      </c>
      <c r="T160" s="9" t="n">
        <v>1203.23</v>
      </c>
      <c r="U160" s="9" t="n">
        <v>1203.23</v>
      </c>
      <c r="V160" s="9" t="n">
        <v>1203.23</v>
      </c>
      <c r="W160" s="9" t="n">
        <v>1203.23</v>
      </c>
      <c r="X160" s="9" t="n">
        <v>1203.23</v>
      </c>
      <c r="Y160" s="9" t="n">
        <v>1203.23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629</v>
      </c>
      <c r="B161" s="3" t="s">
        <v>630</v>
      </c>
      <c r="C161" s="3" t="s">
        <v>134</v>
      </c>
      <c r="D161" s="3" t="s">
        <v>135</v>
      </c>
      <c r="E161" s="3" t="n">
        <v>1972</v>
      </c>
      <c r="F161" s="3" t="s">
        <v>122</v>
      </c>
      <c r="G161" s="3" t="s">
        <v>123</v>
      </c>
      <c r="H161" s="3" t="s">
        <v>631</v>
      </c>
      <c r="I161" s="3" t="s">
        <v>47</v>
      </c>
      <c r="J161" s="7" t="n">
        <v>395000</v>
      </c>
      <c r="K161" s="3" t="s">
        <v>138</v>
      </c>
      <c r="L161" s="7" t="n">
        <v>7143.35</v>
      </c>
      <c r="M161" s="7" t="n">
        <v>892.92</v>
      </c>
      <c r="N161" s="7" t="n">
        <v>892.92</v>
      </c>
      <c r="O161" s="7" t="n">
        <v>5357.5</v>
      </c>
      <c r="P161" s="7" t="n">
        <v>535.75</v>
      </c>
      <c r="Q161" s="7" t="n">
        <v>535.75</v>
      </c>
      <c r="R161" s="7" t="n">
        <v>535.75</v>
      </c>
      <c r="S161" s="7" t="n">
        <v>535.75</v>
      </c>
      <c r="T161" s="7" t="n">
        <v>535.75</v>
      </c>
      <c r="U161" s="7" t="n">
        <v>535.75</v>
      </c>
      <c r="V161" s="7" t="n">
        <v>535.75</v>
      </c>
      <c r="W161" s="7" t="n">
        <v>535.75</v>
      </c>
      <c r="X161" s="7" t="n">
        <v>535.75</v>
      </c>
      <c r="Y161" s="7" t="n">
        <v>535.75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632</v>
      </c>
      <c r="B162" s="8" t="s">
        <v>633</v>
      </c>
      <c r="C162" s="8" t="s">
        <v>128</v>
      </c>
      <c r="D162" s="8" t="s">
        <v>129</v>
      </c>
      <c r="E162" s="8" t="n">
        <v>1975</v>
      </c>
      <c r="F162" s="8" t="s">
        <v>60</v>
      </c>
      <c r="G162" s="8" t="s">
        <v>61</v>
      </c>
      <c r="H162" s="8" t="s">
        <v>634</v>
      </c>
      <c r="I162" s="8" t="s">
        <v>47</v>
      </c>
      <c r="J162" s="9" t="n">
        <v>715000</v>
      </c>
      <c r="K162" s="8" t="s">
        <v>189</v>
      </c>
      <c r="L162" s="9" t="n">
        <v>9755.14</v>
      </c>
      <c r="M162" s="9" t="n">
        <v>1219.39</v>
      </c>
      <c r="N162" s="9" t="n">
        <v>1219.39</v>
      </c>
      <c r="O162" s="9" t="n">
        <v>7316.4</v>
      </c>
      <c r="P162" s="9" t="n">
        <v>731.64</v>
      </c>
      <c r="Q162" s="9" t="n">
        <v>731.64</v>
      </c>
      <c r="R162" s="9" t="n">
        <v>731.64</v>
      </c>
      <c r="S162" s="9" t="n">
        <v>731.64</v>
      </c>
      <c r="T162" s="9" t="n">
        <v>731.64</v>
      </c>
      <c r="U162" s="9" t="n">
        <v>731.64</v>
      </c>
      <c r="V162" s="9" t="n">
        <v>731.64</v>
      </c>
      <c r="W162" s="9" t="n">
        <v>731.64</v>
      </c>
      <c r="X162" s="9" t="n">
        <v>731.64</v>
      </c>
      <c r="Y162" s="9" t="n">
        <v>731.64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635</v>
      </c>
      <c r="B163" s="3" t="s">
        <v>636</v>
      </c>
      <c r="C163" s="3" t="s">
        <v>66</v>
      </c>
      <c r="D163" s="3" t="s">
        <v>67</v>
      </c>
      <c r="E163" s="3" t="n">
        <v>2016</v>
      </c>
      <c r="F163" s="3" t="s">
        <v>114</v>
      </c>
      <c r="G163" s="3" t="s">
        <v>115</v>
      </c>
      <c r="H163" s="3" t="s">
        <v>637</v>
      </c>
      <c r="I163" s="3" t="s">
        <v>47</v>
      </c>
      <c r="J163" s="7" t="n">
        <v>285000</v>
      </c>
      <c r="K163" s="3" t="s">
        <v>71</v>
      </c>
      <c r="L163" s="7" t="n">
        <v>4746.18</v>
      </c>
      <c r="M163" s="7" t="n">
        <v>593.27</v>
      </c>
      <c r="N163" s="7" t="n">
        <v>593.27</v>
      </c>
      <c r="O163" s="7" t="n">
        <v>3559.6</v>
      </c>
      <c r="P163" s="7" t="n">
        <v>355.96</v>
      </c>
      <c r="Q163" s="7" t="n">
        <v>355.96</v>
      </c>
      <c r="R163" s="7" t="n">
        <v>355.96</v>
      </c>
      <c r="S163" s="7" t="n">
        <v>355.96</v>
      </c>
      <c r="T163" s="7" t="n">
        <v>355.96</v>
      </c>
      <c r="U163" s="7" t="n">
        <v>355.96</v>
      </c>
      <c r="V163" s="7" t="n">
        <v>355.96</v>
      </c>
      <c r="W163" s="7" t="n">
        <v>355.96</v>
      </c>
      <c r="X163" s="7" t="n">
        <v>355.96</v>
      </c>
      <c r="Y163" s="7" t="n">
        <v>355.96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638</v>
      </c>
      <c r="B164" s="8" t="s">
        <v>639</v>
      </c>
      <c r="C164" s="8" t="s">
        <v>120</v>
      </c>
      <c r="D164" s="8" t="s">
        <v>121</v>
      </c>
      <c r="E164" s="8" t="n">
        <v>2011</v>
      </c>
      <c r="F164" s="8" t="s">
        <v>53</v>
      </c>
      <c r="G164" s="8" t="s">
        <v>54</v>
      </c>
      <c r="H164" s="8" t="s">
        <v>640</v>
      </c>
      <c r="I164" s="8" t="s">
        <v>47</v>
      </c>
      <c r="J164" s="9" t="n">
        <v>1020000</v>
      </c>
      <c r="K164" s="8" t="s">
        <v>117</v>
      </c>
      <c r="L164" s="9" t="n">
        <v>11191.53</v>
      </c>
      <c r="M164" s="9" t="n">
        <v>1398.94</v>
      </c>
      <c r="N164" s="9" t="n">
        <v>1398.94</v>
      </c>
      <c r="O164" s="9" t="n">
        <v>8393.6</v>
      </c>
      <c r="P164" s="9" t="n">
        <v>839.36</v>
      </c>
      <c r="Q164" s="9" t="n">
        <v>839.36</v>
      </c>
      <c r="R164" s="9" t="n">
        <v>839.36</v>
      </c>
      <c r="S164" s="9" t="n">
        <v>839.36</v>
      </c>
      <c r="T164" s="9" t="n">
        <v>839.36</v>
      </c>
      <c r="U164" s="9" t="n">
        <v>839.36</v>
      </c>
      <c r="V164" s="9" t="n">
        <v>839.36</v>
      </c>
      <c r="W164" s="9" t="n">
        <v>839.36</v>
      </c>
      <c r="X164" s="9" t="n">
        <v>839.36</v>
      </c>
      <c r="Y164" s="9" t="n">
        <v>839.36</v>
      </c>
      <c r="Z164" s="9" t="n">
        <v>350</v>
      </c>
      <c r="AA164" s="9" t="n">
        <v>250</v>
      </c>
      <c r="AB164" s="9" t="n">
        <v>600</v>
      </c>
    </row>
    <row r="165" customFormat="false" ht="15" hidden="false" customHeight="false" outlineLevel="0" collapsed="false">
      <c r="A165" s="3" t="s">
        <v>641</v>
      </c>
      <c r="B165" s="3" t="s">
        <v>495</v>
      </c>
      <c r="C165" s="3" t="s">
        <v>163</v>
      </c>
      <c r="D165" s="3" t="s">
        <v>164</v>
      </c>
      <c r="E165" s="3" t="n">
        <v>1985</v>
      </c>
      <c r="F165" s="3" t="s">
        <v>478</v>
      </c>
      <c r="G165" s="3" t="s">
        <v>479</v>
      </c>
      <c r="H165" s="3" t="s">
        <v>642</v>
      </c>
      <c r="I165" s="3" t="s">
        <v>103</v>
      </c>
      <c r="J165" s="7" t="n">
        <v>735000</v>
      </c>
      <c r="K165" s="3" t="s">
        <v>294</v>
      </c>
      <c r="L165" s="7" t="n">
        <v>9845.68</v>
      </c>
      <c r="M165" s="7" t="n">
        <v>1230.71</v>
      </c>
      <c r="N165" s="7" t="n">
        <v>1230.71</v>
      </c>
      <c r="O165" s="7" t="n">
        <v>7384.3</v>
      </c>
      <c r="P165" s="7" t="n">
        <v>738.43</v>
      </c>
      <c r="Q165" s="7" t="n">
        <v>738.43</v>
      </c>
      <c r="R165" s="7" t="n">
        <v>738.43</v>
      </c>
      <c r="S165" s="7" t="n">
        <v>738.43</v>
      </c>
      <c r="T165" s="7" t="n">
        <v>738.43</v>
      </c>
      <c r="U165" s="7" t="n">
        <v>738.43</v>
      </c>
      <c r="V165" s="7" t="n">
        <v>738.43</v>
      </c>
      <c r="W165" s="7" t="n">
        <v>738.43</v>
      </c>
      <c r="X165" s="7" t="n">
        <v>738.43</v>
      </c>
      <c r="Y165" s="7" t="n">
        <v>738.43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643</v>
      </c>
      <c r="B166" s="8" t="s">
        <v>248</v>
      </c>
      <c r="C166" s="8" t="s">
        <v>78</v>
      </c>
      <c r="D166" s="8" t="s">
        <v>79</v>
      </c>
      <c r="E166" s="8" t="n">
        <v>1979</v>
      </c>
      <c r="F166" s="8" t="s">
        <v>122</v>
      </c>
      <c r="G166" s="8" t="s">
        <v>130</v>
      </c>
      <c r="H166" s="8" t="s">
        <v>644</v>
      </c>
      <c r="I166" s="8" t="s">
        <v>96</v>
      </c>
      <c r="J166" s="9" t="n">
        <v>570000</v>
      </c>
      <c r="K166" s="8" t="s">
        <v>125</v>
      </c>
      <c r="L166" s="9" t="n">
        <v>6037.54</v>
      </c>
      <c r="M166" s="9" t="n">
        <v>754.69</v>
      </c>
      <c r="N166" s="9" t="n">
        <v>754.69</v>
      </c>
      <c r="O166" s="9" t="n">
        <v>4528.2</v>
      </c>
      <c r="P166" s="9" t="n">
        <v>452.82</v>
      </c>
      <c r="Q166" s="9" t="n">
        <v>452.82</v>
      </c>
      <c r="R166" s="9" t="n">
        <v>452.82</v>
      </c>
      <c r="S166" s="9" t="n">
        <v>452.82</v>
      </c>
      <c r="T166" s="9" t="n">
        <v>452.82</v>
      </c>
      <c r="U166" s="9" t="n">
        <v>452.82</v>
      </c>
      <c r="V166" s="9" t="n">
        <v>452.82</v>
      </c>
      <c r="W166" s="9" t="n">
        <v>452.82</v>
      </c>
      <c r="X166" s="9" t="n">
        <v>452.82</v>
      </c>
      <c r="Y166" s="9" t="n">
        <v>452.82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645</v>
      </c>
      <c r="B167" s="3" t="s">
        <v>646</v>
      </c>
      <c r="C167" s="3" t="s">
        <v>354</v>
      </c>
      <c r="D167" s="3" t="s">
        <v>355</v>
      </c>
      <c r="E167" s="3" t="n">
        <v>1981</v>
      </c>
      <c r="F167" s="3" t="s">
        <v>122</v>
      </c>
      <c r="G167" s="3" t="s">
        <v>123</v>
      </c>
      <c r="H167" s="3" t="s">
        <v>647</v>
      </c>
      <c r="I167" s="3" t="s">
        <v>47</v>
      </c>
      <c r="J167" s="7" t="n">
        <v>575000</v>
      </c>
      <c r="K167" s="3" t="s">
        <v>648</v>
      </c>
      <c r="L167" s="7" t="n">
        <v>6353.84</v>
      </c>
      <c r="M167" s="7" t="n">
        <v>794.23</v>
      </c>
      <c r="N167" s="7" t="n">
        <v>794.23</v>
      </c>
      <c r="O167" s="7" t="n">
        <v>4765.4</v>
      </c>
      <c r="P167" s="7" t="n">
        <v>476.54</v>
      </c>
      <c r="Q167" s="7" t="n">
        <v>476.54</v>
      </c>
      <c r="R167" s="7" t="n">
        <v>476.54</v>
      </c>
      <c r="S167" s="7" t="n">
        <v>476.54</v>
      </c>
      <c r="T167" s="7" t="n">
        <v>476.54</v>
      </c>
      <c r="U167" s="7" t="n">
        <v>476.54</v>
      </c>
      <c r="V167" s="7" t="n">
        <v>476.54</v>
      </c>
      <c r="W167" s="7" t="n">
        <v>476.54</v>
      </c>
      <c r="X167" s="7" t="n">
        <v>476.54</v>
      </c>
      <c r="Y167" s="7" t="n">
        <v>476.54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649</v>
      </c>
      <c r="B168" s="8" t="s">
        <v>650</v>
      </c>
      <c r="C168" s="8" t="s">
        <v>288</v>
      </c>
      <c r="D168" s="8" t="s">
        <v>289</v>
      </c>
      <c r="E168" s="8" t="n">
        <v>2015</v>
      </c>
      <c r="F168" s="8" t="s">
        <v>53</v>
      </c>
      <c r="G168" s="8" t="s">
        <v>54</v>
      </c>
      <c r="H168" s="8" t="s">
        <v>651</v>
      </c>
      <c r="I168" s="8" t="s">
        <v>47</v>
      </c>
      <c r="J168" s="9" t="n">
        <v>470000</v>
      </c>
      <c r="K168" s="8" t="s">
        <v>75</v>
      </c>
      <c r="L168" s="9" t="n">
        <v>8377.38</v>
      </c>
      <c r="M168" s="9" t="n">
        <v>1047.17</v>
      </c>
      <c r="N168" s="9" t="n">
        <v>1047.17</v>
      </c>
      <c r="O168" s="9" t="n">
        <v>6283</v>
      </c>
      <c r="P168" s="9" t="n">
        <v>628.3</v>
      </c>
      <c r="Q168" s="9" t="n">
        <v>628.3</v>
      </c>
      <c r="R168" s="9" t="n">
        <v>628.3</v>
      </c>
      <c r="S168" s="9" t="n">
        <v>628.3</v>
      </c>
      <c r="T168" s="9" t="n">
        <v>628.3</v>
      </c>
      <c r="U168" s="9" t="n">
        <v>628.3</v>
      </c>
      <c r="V168" s="9" t="n">
        <v>628.3</v>
      </c>
      <c r="W168" s="9" t="n">
        <v>628.3</v>
      </c>
      <c r="X168" s="9" t="n">
        <v>628.3</v>
      </c>
      <c r="Y168" s="9" t="n">
        <v>628.3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652</v>
      </c>
      <c r="B169" s="3" t="s">
        <v>653</v>
      </c>
      <c r="C169" s="3" t="s">
        <v>315</v>
      </c>
      <c r="D169" s="3" t="s">
        <v>316</v>
      </c>
      <c r="E169" s="3" t="n">
        <v>2006</v>
      </c>
      <c r="F169" s="3" t="s">
        <v>44</v>
      </c>
      <c r="G169" s="3" t="s">
        <v>45</v>
      </c>
      <c r="H169" s="3" t="s">
        <v>654</v>
      </c>
      <c r="I169" s="3" t="s">
        <v>47</v>
      </c>
      <c r="J169" s="7" t="n">
        <v>1030000</v>
      </c>
      <c r="K169" s="3" t="s">
        <v>250</v>
      </c>
      <c r="L169" s="7" t="n">
        <v>13070.14</v>
      </c>
      <c r="M169" s="7" t="n">
        <v>1633.77</v>
      </c>
      <c r="N169" s="7" t="n">
        <v>1633.77</v>
      </c>
      <c r="O169" s="7" t="n">
        <v>9802.6</v>
      </c>
      <c r="P169" s="7" t="n">
        <v>980.26</v>
      </c>
      <c r="Q169" s="7" t="n">
        <v>980.26</v>
      </c>
      <c r="R169" s="7" t="n">
        <v>980.26</v>
      </c>
      <c r="S169" s="7" t="n">
        <v>980.26</v>
      </c>
      <c r="T169" s="7" t="n">
        <v>980.26</v>
      </c>
      <c r="U169" s="7" t="n">
        <v>980.26</v>
      </c>
      <c r="V169" s="7" t="n">
        <v>980.26</v>
      </c>
      <c r="W169" s="7" t="n">
        <v>980.26</v>
      </c>
      <c r="X169" s="7" t="n">
        <v>980.26</v>
      </c>
      <c r="Y169" s="7" t="n">
        <v>980.26</v>
      </c>
      <c r="Z169" s="7" t="n">
        <v>350</v>
      </c>
      <c r="AA169" s="7" t="n">
        <v>250</v>
      </c>
      <c r="AB169" s="7" t="n">
        <v>600</v>
      </c>
    </row>
    <row r="170" customFormat="false" ht="15" hidden="false" customHeight="false" outlineLevel="0" collapsed="false">
      <c r="A170" s="8" t="s">
        <v>655</v>
      </c>
      <c r="B170" s="8" t="s">
        <v>224</v>
      </c>
      <c r="C170" s="8" t="s">
        <v>354</v>
      </c>
      <c r="D170" s="8" t="s">
        <v>355</v>
      </c>
      <c r="E170" s="8" t="n">
        <v>1982</v>
      </c>
      <c r="F170" s="8" t="s">
        <v>86</v>
      </c>
      <c r="G170" s="8" t="s">
        <v>136</v>
      </c>
      <c r="H170" s="8" t="s">
        <v>656</v>
      </c>
      <c r="I170" s="8" t="s">
        <v>89</v>
      </c>
      <c r="J170" s="9" t="n">
        <v>1950000</v>
      </c>
      <c r="K170" s="8" t="s">
        <v>171</v>
      </c>
      <c r="L170" s="9" t="n">
        <v>36533.14</v>
      </c>
      <c r="M170" s="9" t="n">
        <v>4566.64</v>
      </c>
      <c r="N170" s="9" t="n">
        <v>4566.64</v>
      </c>
      <c r="O170" s="9" t="n">
        <v>27399.9</v>
      </c>
      <c r="P170" s="9" t="n">
        <v>2739.99</v>
      </c>
      <c r="Q170" s="9" t="n">
        <v>2739.99</v>
      </c>
      <c r="R170" s="9" t="n">
        <v>2739.99</v>
      </c>
      <c r="S170" s="9" t="n">
        <v>2739.99</v>
      </c>
      <c r="T170" s="9" t="n">
        <v>2739.99</v>
      </c>
      <c r="U170" s="9" t="n">
        <v>2739.99</v>
      </c>
      <c r="V170" s="9" t="n">
        <v>2739.99</v>
      </c>
      <c r="W170" s="9" t="n">
        <v>2739.99</v>
      </c>
      <c r="X170" s="9" t="n">
        <v>2739.99</v>
      </c>
      <c r="Y170" s="9" t="n">
        <v>2739.99</v>
      </c>
      <c r="Z170" s="9" t="n">
        <v>350</v>
      </c>
      <c r="AA170" s="9" t="n">
        <v>250</v>
      </c>
      <c r="AB170" s="9" t="n">
        <v>600</v>
      </c>
    </row>
    <row r="171" customFormat="false" ht="15" hidden="false" customHeight="false" outlineLevel="0" collapsed="false">
      <c r="A171" s="3" t="s">
        <v>657</v>
      </c>
      <c r="B171" s="3" t="s">
        <v>557</v>
      </c>
      <c r="C171" s="3" t="s">
        <v>261</v>
      </c>
      <c r="D171" s="3" t="s">
        <v>262</v>
      </c>
      <c r="E171" s="3" t="n">
        <v>2008</v>
      </c>
      <c r="F171" s="3" t="s">
        <v>86</v>
      </c>
      <c r="G171" s="3" t="s">
        <v>181</v>
      </c>
      <c r="H171" s="3" t="s">
        <v>658</v>
      </c>
      <c r="I171" s="3" t="s">
        <v>96</v>
      </c>
      <c r="J171" s="7" t="n">
        <v>520000</v>
      </c>
      <c r="K171" s="3" t="s">
        <v>71</v>
      </c>
      <c r="L171" s="7" t="n">
        <v>4964.9</v>
      </c>
      <c r="M171" s="7" t="n">
        <v>620.61</v>
      </c>
      <c r="N171" s="7" t="n">
        <v>620.61</v>
      </c>
      <c r="O171" s="7" t="n">
        <v>3723.7</v>
      </c>
      <c r="P171" s="7" t="n">
        <v>372.37</v>
      </c>
      <c r="Q171" s="7" t="n">
        <v>372.37</v>
      </c>
      <c r="R171" s="7" t="n">
        <v>372.37</v>
      </c>
      <c r="S171" s="7" t="n">
        <v>372.37</v>
      </c>
      <c r="T171" s="7" t="n">
        <v>372.37</v>
      </c>
      <c r="U171" s="7" t="n">
        <v>372.37</v>
      </c>
      <c r="V171" s="7" t="n">
        <v>372.37</v>
      </c>
      <c r="W171" s="7" t="n">
        <v>372.37</v>
      </c>
      <c r="X171" s="7" t="n">
        <v>372.37</v>
      </c>
      <c r="Y171" s="7" t="n">
        <v>372.37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659</v>
      </c>
      <c r="B172" s="8" t="s">
        <v>495</v>
      </c>
      <c r="C172" s="8" t="s">
        <v>141</v>
      </c>
      <c r="D172" s="8" t="s">
        <v>142</v>
      </c>
      <c r="E172" s="8" t="n">
        <v>1972</v>
      </c>
      <c r="F172" s="8" t="s">
        <v>437</v>
      </c>
      <c r="G172" s="8" t="s">
        <v>438</v>
      </c>
      <c r="H172" s="8" t="s">
        <v>660</v>
      </c>
      <c r="I172" s="8" t="s">
        <v>89</v>
      </c>
      <c r="J172" s="9" t="n">
        <v>285000</v>
      </c>
      <c r="K172" s="8" t="s">
        <v>216</v>
      </c>
      <c r="L172" s="9" t="n">
        <v>5458.11</v>
      </c>
      <c r="M172" s="9" t="n">
        <v>682.26</v>
      </c>
      <c r="N172" s="9" t="n">
        <v>682.26</v>
      </c>
      <c r="O172" s="9" t="n">
        <v>4093.6</v>
      </c>
      <c r="P172" s="9" t="n">
        <v>409.36</v>
      </c>
      <c r="Q172" s="9" t="n">
        <v>409.36</v>
      </c>
      <c r="R172" s="9" t="n">
        <v>409.36</v>
      </c>
      <c r="S172" s="9" t="n">
        <v>409.36</v>
      </c>
      <c r="T172" s="9" t="n">
        <v>409.36</v>
      </c>
      <c r="U172" s="9" t="n">
        <v>409.36</v>
      </c>
      <c r="V172" s="9" t="n">
        <v>409.36</v>
      </c>
      <c r="W172" s="9" t="n">
        <v>409.36</v>
      </c>
      <c r="X172" s="9" t="n">
        <v>409.36</v>
      </c>
      <c r="Y172" s="9" t="n">
        <v>409.36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661</v>
      </c>
      <c r="B173" s="3" t="s">
        <v>662</v>
      </c>
      <c r="C173" s="3" t="s">
        <v>206</v>
      </c>
      <c r="D173" s="3" t="s">
        <v>207</v>
      </c>
      <c r="E173" s="3" t="n">
        <v>2010</v>
      </c>
      <c r="F173" s="3" t="s">
        <v>114</v>
      </c>
      <c r="G173" s="3" t="s">
        <v>115</v>
      </c>
      <c r="H173" s="3" t="s">
        <v>663</v>
      </c>
      <c r="I173" s="3" t="s">
        <v>47</v>
      </c>
      <c r="J173" s="7" t="n">
        <v>860000</v>
      </c>
      <c r="K173" s="3" t="s">
        <v>125</v>
      </c>
      <c r="L173" s="7" t="n">
        <v>13769.84</v>
      </c>
      <c r="M173" s="7" t="n">
        <v>1721.23</v>
      </c>
      <c r="N173" s="7" t="n">
        <v>1721.23</v>
      </c>
      <c r="O173" s="7" t="n">
        <v>10327.4</v>
      </c>
      <c r="P173" s="7" t="n">
        <v>1032.74</v>
      </c>
      <c r="Q173" s="7" t="n">
        <v>1032.74</v>
      </c>
      <c r="R173" s="7" t="n">
        <v>1032.74</v>
      </c>
      <c r="S173" s="7" t="n">
        <v>1032.74</v>
      </c>
      <c r="T173" s="7" t="n">
        <v>1032.74</v>
      </c>
      <c r="U173" s="7" t="n">
        <v>1032.74</v>
      </c>
      <c r="V173" s="7" t="n">
        <v>1032.74</v>
      </c>
      <c r="W173" s="7" t="n">
        <v>1032.74</v>
      </c>
      <c r="X173" s="7" t="n">
        <v>1032.74</v>
      </c>
      <c r="Y173" s="7" t="n">
        <v>1032.74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664</v>
      </c>
      <c r="B174" s="8" t="s">
        <v>665</v>
      </c>
      <c r="C174" s="8" t="s">
        <v>148</v>
      </c>
      <c r="D174" s="8" t="s">
        <v>149</v>
      </c>
      <c r="E174" s="8" t="n">
        <v>2018</v>
      </c>
      <c r="F174" s="8" t="s">
        <v>68</v>
      </c>
      <c r="G174" s="8" t="s">
        <v>69</v>
      </c>
      <c r="H174" s="8" t="s">
        <v>666</v>
      </c>
      <c r="I174" s="8" t="s">
        <v>47</v>
      </c>
      <c r="J174" s="9" t="n">
        <v>785000</v>
      </c>
      <c r="K174" s="8" t="s">
        <v>303</v>
      </c>
      <c r="L174" s="9" t="n">
        <v>11860.87</v>
      </c>
      <c r="M174" s="9" t="n">
        <v>1482.61</v>
      </c>
      <c r="N174" s="9" t="n">
        <v>1482.61</v>
      </c>
      <c r="O174" s="9" t="n">
        <v>8895.7</v>
      </c>
      <c r="P174" s="9" t="n">
        <v>889.57</v>
      </c>
      <c r="Q174" s="9" t="n">
        <v>889.57</v>
      </c>
      <c r="R174" s="9" t="n">
        <v>889.57</v>
      </c>
      <c r="S174" s="9" t="n">
        <v>889.57</v>
      </c>
      <c r="T174" s="9" t="n">
        <v>889.57</v>
      </c>
      <c r="U174" s="9" t="n">
        <v>889.57</v>
      </c>
      <c r="V174" s="9" t="n">
        <v>889.57</v>
      </c>
      <c r="W174" s="9" t="n">
        <v>889.57</v>
      </c>
      <c r="X174" s="9" t="n">
        <v>889.57</v>
      </c>
      <c r="Y174" s="9" t="n">
        <v>889.57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667</v>
      </c>
      <c r="B175" s="3" t="s">
        <v>668</v>
      </c>
      <c r="C175" s="3" t="s">
        <v>283</v>
      </c>
      <c r="D175" s="3" t="s">
        <v>284</v>
      </c>
      <c r="E175" s="3" t="n">
        <v>1982</v>
      </c>
      <c r="F175" s="3" t="s">
        <v>122</v>
      </c>
      <c r="G175" s="3" t="s">
        <v>130</v>
      </c>
      <c r="H175" s="3" t="s">
        <v>669</v>
      </c>
      <c r="I175" s="3" t="s">
        <v>96</v>
      </c>
      <c r="J175" s="7" t="n">
        <v>435000</v>
      </c>
      <c r="K175" s="3" t="s">
        <v>420</v>
      </c>
      <c r="L175" s="7" t="n">
        <v>4527.61</v>
      </c>
      <c r="M175" s="7" t="n">
        <v>565.95</v>
      </c>
      <c r="N175" s="7" t="n">
        <v>565.95</v>
      </c>
      <c r="O175" s="7" t="n">
        <v>3395.7</v>
      </c>
      <c r="P175" s="7" t="n">
        <v>339.57</v>
      </c>
      <c r="Q175" s="7" t="n">
        <v>339.57</v>
      </c>
      <c r="R175" s="7" t="n">
        <v>339.57</v>
      </c>
      <c r="S175" s="7" t="n">
        <v>339.57</v>
      </c>
      <c r="T175" s="7" t="n">
        <v>339.57</v>
      </c>
      <c r="U175" s="7" t="n">
        <v>339.57</v>
      </c>
      <c r="V175" s="7" t="n">
        <v>339.57</v>
      </c>
      <c r="W175" s="7" t="n">
        <v>339.57</v>
      </c>
      <c r="X175" s="7" t="n">
        <v>339.57</v>
      </c>
      <c r="Y175" s="7" t="n">
        <v>339.57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670</v>
      </c>
      <c r="B176" s="8" t="s">
        <v>671</v>
      </c>
      <c r="C176" s="8" t="s">
        <v>168</v>
      </c>
      <c r="D176" s="8" t="s">
        <v>169</v>
      </c>
      <c r="E176" s="8" t="n">
        <v>2007</v>
      </c>
      <c r="F176" s="8" t="s">
        <v>53</v>
      </c>
      <c r="G176" s="8" t="s">
        <v>54</v>
      </c>
      <c r="H176" s="8" t="s">
        <v>672</v>
      </c>
      <c r="I176" s="8" t="s">
        <v>47</v>
      </c>
      <c r="J176" s="9" t="n">
        <v>395000</v>
      </c>
      <c r="K176" s="8" t="s">
        <v>171</v>
      </c>
      <c r="L176" s="9" t="n">
        <v>6937.78</v>
      </c>
      <c r="M176" s="9" t="n">
        <v>867.22</v>
      </c>
      <c r="N176" s="9" t="n">
        <v>867.22</v>
      </c>
      <c r="O176" s="9" t="n">
        <v>5203.3</v>
      </c>
      <c r="P176" s="9" t="n">
        <v>520.33</v>
      </c>
      <c r="Q176" s="9" t="n">
        <v>520.33</v>
      </c>
      <c r="R176" s="9" t="n">
        <v>520.33</v>
      </c>
      <c r="S176" s="9" t="n">
        <v>520.33</v>
      </c>
      <c r="T176" s="9" t="n">
        <v>520.33</v>
      </c>
      <c r="U176" s="9" t="n">
        <v>520.33</v>
      </c>
      <c r="V176" s="9" t="n">
        <v>520.33</v>
      </c>
      <c r="W176" s="9" t="n">
        <v>520.33</v>
      </c>
      <c r="X176" s="9" t="n">
        <v>520.33</v>
      </c>
      <c r="Y176" s="9" t="n">
        <v>520.33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673</v>
      </c>
      <c r="B177" s="3" t="s">
        <v>674</v>
      </c>
      <c r="C177" s="3" t="s">
        <v>78</v>
      </c>
      <c r="D177" s="3" t="s">
        <v>79</v>
      </c>
      <c r="E177" s="3" t="n">
        <v>1988</v>
      </c>
      <c r="F177" s="3" t="s">
        <v>53</v>
      </c>
      <c r="G177" s="3" t="s">
        <v>174</v>
      </c>
      <c r="H177" s="3" t="s">
        <v>675</v>
      </c>
      <c r="I177" s="3" t="s">
        <v>96</v>
      </c>
      <c r="J177" s="7" t="n">
        <v>955000</v>
      </c>
      <c r="K177" s="3" t="s">
        <v>109</v>
      </c>
      <c r="L177" s="7" t="n">
        <v>7123.61</v>
      </c>
      <c r="M177" s="7" t="n">
        <v>890.45</v>
      </c>
      <c r="N177" s="7" t="n">
        <v>890.45</v>
      </c>
      <c r="O177" s="7" t="n">
        <v>5342.7</v>
      </c>
      <c r="P177" s="7" t="n">
        <v>534.27</v>
      </c>
      <c r="Q177" s="7" t="n">
        <v>534.27</v>
      </c>
      <c r="R177" s="7" t="n">
        <v>534.27</v>
      </c>
      <c r="S177" s="7" t="n">
        <v>534.27</v>
      </c>
      <c r="T177" s="7" t="n">
        <v>534.27</v>
      </c>
      <c r="U177" s="7" t="n">
        <v>534.27</v>
      </c>
      <c r="V177" s="7" t="n">
        <v>534.27</v>
      </c>
      <c r="W177" s="7" t="n">
        <v>534.27</v>
      </c>
      <c r="X177" s="7" t="n">
        <v>534.27</v>
      </c>
      <c r="Y177" s="7" t="n">
        <v>534.27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676</v>
      </c>
      <c r="B178" s="8" t="s">
        <v>422</v>
      </c>
      <c r="C178" s="8" t="s">
        <v>354</v>
      </c>
      <c r="D178" s="8" t="s">
        <v>355</v>
      </c>
      <c r="E178" s="8" t="n">
        <v>1982</v>
      </c>
      <c r="F178" s="8" t="s">
        <v>60</v>
      </c>
      <c r="G178" s="8" t="s">
        <v>61</v>
      </c>
      <c r="H178" s="8" t="s">
        <v>677</v>
      </c>
      <c r="I178" s="8" t="s">
        <v>47</v>
      </c>
      <c r="J178" s="9" t="n">
        <v>700000</v>
      </c>
      <c r="K178" s="8" t="s">
        <v>171</v>
      </c>
      <c r="L178" s="9" t="n">
        <v>10655.5</v>
      </c>
      <c r="M178" s="9" t="n">
        <v>1331.94</v>
      </c>
      <c r="N178" s="9" t="n">
        <v>1331.94</v>
      </c>
      <c r="O178" s="9" t="n">
        <v>7991.6</v>
      </c>
      <c r="P178" s="9" t="n">
        <v>799.16</v>
      </c>
      <c r="Q178" s="9" t="n">
        <v>799.16</v>
      </c>
      <c r="R178" s="9" t="n">
        <v>799.16</v>
      </c>
      <c r="S178" s="9" t="n">
        <v>799.16</v>
      </c>
      <c r="T178" s="9" t="n">
        <v>799.16</v>
      </c>
      <c r="U178" s="9" t="n">
        <v>799.16</v>
      </c>
      <c r="V178" s="9" t="n">
        <v>799.16</v>
      </c>
      <c r="W178" s="9" t="n">
        <v>799.16</v>
      </c>
      <c r="X178" s="9" t="n">
        <v>799.16</v>
      </c>
      <c r="Y178" s="9" t="n">
        <v>799.16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678</v>
      </c>
      <c r="B179" s="3" t="s">
        <v>679</v>
      </c>
      <c r="C179" s="3" t="s">
        <v>58</v>
      </c>
      <c r="D179" s="3" t="s">
        <v>59</v>
      </c>
      <c r="E179" s="3" t="n">
        <v>2014</v>
      </c>
      <c r="F179" s="3" t="s">
        <v>478</v>
      </c>
      <c r="G179" s="3" t="s">
        <v>479</v>
      </c>
      <c r="H179" s="3" t="s">
        <v>680</v>
      </c>
      <c r="I179" s="3" t="s">
        <v>103</v>
      </c>
      <c r="J179" s="7" t="n">
        <v>150000</v>
      </c>
      <c r="K179" s="3" t="s">
        <v>334</v>
      </c>
      <c r="L179" s="7" t="n">
        <v>2841.47</v>
      </c>
      <c r="M179" s="7" t="n">
        <v>355.18</v>
      </c>
      <c r="N179" s="7" t="n">
        <v>355.18</v>
      </c>
      <c r="O179" s="7" t="n">
        <v>2131.1</v>
      </c>
      <c r="P179" s="7" t="n">
        <v>213.11</v>
      </c>
      <c r="Q179" s="7" t="n">
        <v>213.11</v>
      </c>
      <c r="R179" s="7" t="n">
        <v>213.11</v>
      </c>
      <c r="S179" s="7" t="n">
        <v>213.11</v>
      </c>
      <c r="T179" s="7" t="n">
        <v>213.11</v>
      </c>
      <c r="U179" s="7" t="n">
        <v>213.11</v>
      </c>
      <c r="V179" s="7" t="n">
        <v>213.11</v>
      </c>
      <c r="W179" s="7" t="n">
        <v>213.11</v>
      </c>
      <c r="X179" s="7" t="n">
        <v>213.11</v>
      </c>
      <c r="Y179" s="7" t="n">
        <v>213.11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681</v>
      </c>
      <c r="B180" s="8" t="s">
        <v>140</v>
      </c>
      <c r="C180" s="8" t="s">
        <v>148</v>
      </c>
      <c r="D180" s="8" t="s">
        <v>149</v>
      </c>
      <c r="E180" s="8" t="n">
        <v>2003</v>
      </c>
      <c r="F180" s="8" t="s">
        <v>122</v>
      </c>
      <c r="G180" s="8" t="s">
        <v>123</v>
      </c>
      <c r="H180" s="8" t="s">
        <v>682</v>
      </c>
      <c r="I180" s="8" t="s">
        <v>47</v>
      </c>
      <c r="J180" s="9" t="n">
        <v>435000</v>
      </c>
      <c r="K180" s="8" t="s">
        <v>234</v>
      </c>
      <c r="L180" s="9" t="n">
        <v>5150.16</v>
      </c>
      <c r="M180" s="9" t="n">
        <v>643.77</v>
      </c>
      <c r="N180" s="9" t="n">
        <v>643.77</v>
      </c>
      <c r="O180" s="9" t="n">
        <v>3862.6</v>
      </c>
      <c r="P180" s="9" t="n">
        <v>386.26</v>
      </c>
      <c r="Q180" s="9" t="n">
        <v>386.26</v>
      </c>
      <c r="R180" s="9" t="n">
        <v>386.26</v>
      </c>
      <c r="S180" s="9" t="n">
        <v>386.26</v>
      </c>
      <c r="T180" s="9" t="n">
        <v>386.26</v>
      </c>
      <c r="U180" s="9" t="n">
        <v>386.26</v>
      </c>
      <c r="V180" s="9" t="n">
        <v>386.26</v>
      </c>
      <c r="W180" s="9" t="n">
        <v>386.26</v>
      </c>
      <c r="X180" s="9" t="n">
        <v>386.26</v>
      </c>
      <c r="Y180" s="9" t="n">
        <v>386.26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683</v>
      </c>
      <c r="B181" s="3" t="s">
        <v>349</v>
      </c>
      <c r="C181" s="3" t="s">
        <v>112</v>
      </c>
      <c r="D181" s="3" t="s">
        <v>113</v>
      </c>
      <c r="E181" s="3" t="n">
        <v>2006</v>
      </c>
      <c r="F181" s="3" t="s">
        <v>122</v>
      </c>
      <c r="G181" s="3" t="s">
        <v>130</v>
      </c>
      <c r="H181" s="3" t="s">
        <v>684</v>
      </c>
      <c r="I181" s="3" t="s">
        <v>96</v>
      </c>
      <c r="J181" s="7" t="n">
        <v>500000</v>
      </c>
      <c r="K181" s="3" t="s">
        <v>277</v>
      </c>
      <c r="L181" s="7" t="n">
        <v>4214.49</v>
      </c>
      <c r="M181" s="7" t="n">
        <v>526.81</v>
      </c>
      <c r="N181" s="7" t="n">
        <v>526.81</v>
      </c>
      <c r="O181" s="7" t="n">
        <v>3160.9</v>
      </c>
      <c r="P181" s="7" t="n">
        <v>316.09</v>
      </c>
      <c r="Q181" s="7" t="n">
        <v>316.09</v>
      </c>
      <c r="R181" s="7" t="n">
        <v>316.09</v>
      </c>
      <c r="S181" s="7" t="n">
        <v>316.09</v>
      </c>
      <c r="T181" s="7" t="n">
        <v>316.09</v>
      </c>
      <c r="U181" s="7" t="n">
        <v>316.09</v>
      </c>
      <c r="V181" s="7" t="n">
        <v>316.09</v>
      </c>
      <c r="W181" s="7" t="n">
        <v>316.09</v>
      </c>
      <c r="X181" s="7" t="n">
        <v>316.09</v>
      </c>
      <c r="Y181" s="7" t="n">
        <v>316.09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685</v>
      </c>
      <c r="B182" s="8" t="s">
        <v>686</v>
      </c>
      <c r="C182" s="8" t="s">
        <v>128</v>
      </c>
      <c r="D182" s="8" t="s">
        <v>129</v>
      </c>
      <c r="E182" s="8" t="n">
        <v>1997</v>
      </c>
      <c r="F182" s="8" t="s">
        <v>122</v>
      </c>
      <c r="G182" s="8" t="s">
        <v>130</v>
      </c>
      <c r="H182" s="8" t="s">
        <v>687</v>
      </c>
      <c r="I182" s="8" t="s">
        <v>96</v>
      </c>
      <c r="J182" s="9" t="n">
        <v>485000</v>
      </c>
      <c r="K182" s="8" t="s">
        <v>688</v>
      </c>
      <c r="L182" s="9" t="n">
        <v>4603.8</v>
      </c>
      <c r="M182" s="9" t="n">
        <v>575.48</v>
      </c>
      <c r="N182" s="9" t="n">
        <v>575.48</v>
      </c>
      <c r="O182" s="9" t="n">
        <v>3452.9</v>
      </c>
      <c r="P182" s="9" t="n">
        <v>345.29</v>
      </c>
      <c r="Q182" s="9" t="n">
        <v>345.29</v>
      </c>
      <c r="R182" s="9" t="n">
        <v>345.29</v>
      </c>
      <c r="S182" s="9" t="n">
        <v>345.29</v>
      </c>
      <c r="T182" s="9" t="n">
        <v>345.29</v>
      </c>
      <c r="U182" s="9" t="n">
        <v>345.29</v>
      </c>
      <c r="V182" s="9" t="n">
        <v>345.29</v>
      </c>
      <c r="W182" s="9" t="n">
        <v>345.29</v>
      </c>
      <c r="X182" s="9" t="n">
        <v>345.29</v>
      </c>
      <c r="Y182" s="9" t="n">
        <v>345.29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689</v>
      </c>
      <c r="B183" s="3" t="s">
        <v>690</v>
      </c>
      <c r="C183" s="3" t="s">
        <v>261</v>
      </c>
      <c r="D183" s="3" t="s">
        <v>262</v>
      </c>
      <c r="E183" s="3" t="n">
        <v>2010</v>
      </c>
      <c r="F183" s="3" t="s">
        <v>68</v>
      </c>
      <c r="G183" s="3" t="s">
        <v>69</v>
      </c>
      <c r="H183" s="3" t="s">
        <v>691</v>
      </c>
      <c r="I183" s="3" t="s">
        <v>47</v>
      </c>
      <c r="J183" s="7" t="n">
        <v>580000</v>
      </c>
      <c r="K183" s="3" t="s">
        <v>405</v>
      </c>
      <c r="L183" s="7" t="n">
        <v>7193.87</v>
      </c>
      <c r="M183" s="7" t="n">
        <v>899.23</v>
      </c>
      <c r="N183" s="7" t="n">
        <v>899.23</v>
      </c>
      <c r="O183" s="7" t="n">
        <v>5395.4</v>
      </c>
      <c r="P183" s="7" t="n">
        <v>539.54</v>
      </c>
      <c r="Q183" s="7" t="n">
        <v>539.54</v>
      </c>
      <c r="R183" s="7" t="n">
        <v>539.54</v>
      </c>
      <c r="S183" s="7" t="n">
        <v>539.54</v>
      </c>
      <c r="T183" s="7" t="n">
        <v>539.54</v>
      </c>
      <c r="U183" s="7" t="n">
        <v>539.54</v>
      </c>
      <c r="V183" s="7" t="n">
        <v>539.54</v>
      </c>
      <c r="W183" s="7" t="n">
        <v>539.54</v>
      </c>
      <c r="X183" s="7" t="n">
        <v>539.54</v>
      </c>
      <c r="Y183" s="7" t="n">
        <v>539.54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692</v>
      </c>
      <c r="B184" s="8" t="s">
        <v>693</v>
      </c>
      <c r="C184" s="8" t="s">
        <v>274</v>
      </c>
      <c r="D184" s="8" t="s">
        <v>275</v>
      </c>
      <c r="E184" s="8" t="n">
        <v>1956</v>
      </c>
      <c r="F184" s="8" t="s">
        <v>44</v>
      </c>
      <c r="G184" s="8" t="s">
        <v>45</v>
      </c>
      <c r="H184" s="8" t="s">
        <v>694</v>
      </c>
      <c r="I184" s="8" t="s">
        <v>47</v>
      </c>
      <c r="J184" s="9" t="n">
        <v>470000</v>
      </c>
      <c r="K184" s="8" t="s">
        <v>125</v>
      </c>
      <c r="L184" s="9" t="n">
        <v>8683.13</v>
      </c>
      <c r="M184" s="9" t="n">
        <v>1085.39</v>
      </c>
      <c r="N184" s="9" t="n">
        <v>1085.39</v>
      </c>
      <c r="O184" s="9" t="n">
        <v>6512.3</v>
      </c>
      <c r="P184" s="9" t="n">
        <v>651.23</v>
      </c>
      <c r="Q184" s="9" t="n">
        <v>651.23</v>
      </c>
      <c r="R184" s="9" t="n">
        <v>651.23</v>
      </c>
      <c r="S184" s="9" t="n">
        <v>651.23</v>
      </c>
      <c r="T184" s="9" t="n">
        <v>651.23</v>
      </c>
      <c r="U184" s="9" t="n">
        <v>651.23</v>
      </c>
      <c r="V184" s="9" t="n">
        <v>651.23</v>
      </c>
      <c r="W184" s="9" t="n">
        <v>651.23</v>
      </c>
      <c r="X184" s="9" t="n">
        <v>651.23</v>
      </c>
      <c r="Y184" s="9" t="n">
        <v>651.23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695</v>
      </c>
      <c r="B185" s="3" t="s">
        <v>279</v>
      </c>
      <c r="C185" s="3" t="s">
        <v>186</v>
      </c>
      <c r="D185" s="3" t="s">
        <v>187</v>
      </c>
      <c r="E185" s="3" t="n">
        <v>2013</v>
      </c>
      <c r="F185" s="3" t="s">
        <v>86</v>
      </c>
      <c r="G185" s="3" t="s">
        <v>136</v>
      </c>
      <c r="H185" s="3" t="s">
        <v>696</v>
      </c>
      <c r="I185" s="3" t="s">
        <v>89</v>
      </c>
      <c r="J185" s="7" t="n">
        <v>655000</v>
      </c>
      <c r="K185" s="3" t="s">
        <v>216</v>
      </c>
      <c r="L185" s="7" t="n">
        <v>10362.5</v>
      </c>
      <c r="M185" s="7" t="n">
        <v>1295.31</v>
      </c>
      <c r="N185" s="7" t="n">
        <v>1295.31</v>
      </c>
      <c r="O185" s="7" t="n">
        <v>7771.9</v>
      </c>
      <c r="P185" s="7" t="n">
        <v>777.19</v>
      </c>
      <c r="Q185" s="7" t="n">
        <v>777.19</v>
      </c>
      <c r="R185" s="7" t="n">
        <v>777.19</v>
      </c>
      <c r="S185" s="7" t="n">
        <v>777.19</v>
      </c>
      <c r="T185" s="7" t="n">
        <v>777.19</v>
      </c>
      <c r="U185" s="7" t="n">
        <v>777.19</v>
      </c>
      <c r="V185" s="7" t="n">
        <v>777.19</v>
      </c>
      <c r="W185" s="7" t="n">
        <v>777.19</v>
      </c>
      <c r="X185" s="7" t="n">
        <v>777.19</v>
      </c>
      <c r="Y185" s="7" t="n">
        <v>777.19</v>
      </c>
      <c r="Z185" s="7" t="n">
        <v>350</v>
      </c>
      <c r="AA185" s="7" t="n">
        <v>0</v>
      </c>
      <c r="AB185" s="7" t="n">
        <v>350</v>
      </c>
    </row>
    <row r="186" customFormat="false" ht="15" hidden="false" customHeight="false" outlineLevel="0" collapsed="false">
      <c r="A186" s="8" t="s">
        <v>697</v>
      </c>
      <c r="B186" s="8" t="s">
        <v>698</v>
      </c>
      <c r="C186" s="8" t="s">
        <v>168</v>
      </c>
      <c r="D186" s="8" t="s">
        <v>169</v>
      </c>
      <c r="E186" s="8" t="n">
        <v>2002</v>
      </c>
      <c r="F186" s="8" t="s">
        <v>53</v>
      </c>
      <c r="G186" s="8" t="s">
        <v>54</v>
      </c>
      <c r="H186" s="8" t="s">
        <v>699</v>
      </c>
      <c r="I186" s="8" t="s">
        <v>47</v>
      </c>
      <c r="J186" s="9" t="n">
        <v>255000</v>
      </c>
      <c r="K186" s="8" t="s">
        <v>226</v>
      </c>
      <c r="L186" s="9" t="n">
        <v>3583.06</v>
      </c>
      <c r="M186" s="9" t="n">
        <v>447.88</v>
      </c>
      <c r="N186" s="9" t="n">
        <v>447.88</v>
      </c>
      <c r="O186" s="9" t="n">
        <v>2687.3</v>
      </c>
      <c r="P186" s="9" t="n">
        <v>268.73</v>
      </c>
      <c r="Q186" s="9" t="n">
        <v>268.73</v>
      </c>
      <c r="R186" s="9" t="n">
        <v>268.73</v>
      </c>
      <c r="S186" s="9" t="n">
        <v>268.73</v>
      </c>
      <c r="T186" s="9" t="n">
        <v>268.73</v>
      </c>
      <c r="U186" s="9" t="n">
        <v>268.73</v>
      </c>
      <c r="V186" s="9" t="n">
        <v>268.73</v>
      </c>
      <c r="W186" s="9" t="n">
        <v>268.73</v>
      </c>
      <c r="X186" s="9" t="n">
        <v>268.73</v>
      </c>
      <c r="Y186" s="9" t="n">
        <v>268.73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700</v>
      </c>
      <c r="B187" s="3" t="s">
        <v>701</v>
      </c>
      <c r="C187" s="3" t="s">
        <v>42</v>
      </c>
      <c r="D187" s="3" t="s">
        <v>43</v>
      </c>
      <c r="E187" s="3" t="n">
        <v>1977</v>
      </c>
      <c r="F187" s="3" t="s">
        <v>44</v>
      </c>
      <c r="G187" s="3" t="s">
        <v>45</v>
      </c>
      <c r="H187" s="3" t="s">
        <v>702</v>
      </c>
      <c r="I187" s="3" t="s">
        <v>47</v>
      </c>
      <c r="J187" s="7" t="n">
        <v>1200000</v>
      </c>
      <c r="K187" s="3" t="s">
        <v>75</v>
      </c>
      <c r="L187" s="7" t="n">
        <v>15685.31</v>
      </c>
      <c r="M187" s="7" t="n">
        <v>1960.66</v>
      </c>
      <c r="N187" s="7" t="n">
        <v>1960.66</v>
      </c>
      <c r="O187" s="7" t="n">
        <v>11764</v>
      </c>
      <c r="P187" s="7" t="n">
        <v>1176.4</v>
      </c>
      <c r="Q187" s="7" t="n">
        <v>1176.4</v>
      </c>
      <c r="R187" s="7" t="n">
        <v>1176.4</v>
      </c>
      <c r="S187" s="7" t="n">
        <v>1176.4</v>
      </c>
      <c r="T187" s="7" t="n">
        <v>1176.4</v>
      </c>
      <c r="U187" s="7" t="n">
        <v>1176.4</v>
      </c>
      <c r="V187" s="7" t="n">
        <v>1176.4</v>
      </c>
      <c r="W187" s="7" t="n">
        <v>1176.4</v>
      </c>
      <c r="X187" s="7" t="n">
        <v>1176.4</v>
      </c>
      <c r="Y187" s="7" t="n">
        <v>1176.4</v>
      </c>
      <c r="Z187" s="7" t="n">
        <v>350</v>
      </c>
      <c r="AA187" s="7" t="n">
        <v>250</v>
      </c>
      <c r="AB187" s="7" t="n">
        <v>600</v>
      </c>
    </row>
    <row r="188" customFormat="false" ht="15" hidden="false" customHeight="false" outlineLevel="0" collapsed="false">
      <c r="A188" s="8" t="s">
        <v>703</v>
      </c>
      <c r="B188" s="8" t="s">
        <v>256</v>
      </c>
      <c r="C188" s="8" t="s">
        <v>78</v>
      </c>
      <c r="D188" s="8" t="s">
        <v>79</v>
      </c>
      <c r="E188" s="8" t="n">
        <v>2021</v>
      </c>
      <c r="F188" s="8" t="s">
        <v>44</v>
      </c>
      <c r="G188" s="8" t="s">
        <v>45</v>
      </c>
      <c r="H188" s="8" t="s">
        <v>704</v>
      </c>
      <c r="I188" s="8" t="s">
        <v>47</v>
      </c>
      <c r="J188" s="9" t="n">
        <v>590000</v>
      </c>
      <c r="K188" s="8" t="s">
        <v>90</v>
      </c>
      <c r="L188" s="9" t="n">
        <v>7650.54</v>
      </c>
      <c r="M188" s="9" t="n">
        <v>956.32</v>
      </c>
      <c r="N188" s="9" t="n">
        <v>956.32</v>
      </c>
      <c r="O188" s="9" t="n">
        <v>5737.9</v>
      </c>
      <c r="P188" s="9" t="n">
        <v>573.79</v>
      </c>
      <c r="Q188" s="9" t="n">
        <v>573.79</v>
      </c>
      <c r="R188" s="9" t="n">
        <v>573.79</v>
      </c>
      <c r="S188" s="9" t="n">
        <v>573.79</v>
      </c>
      <c r="T188" s="9" t="n">
        <v>573.79</v>
      </c>
      <c r="U188" s="9" t="n">
        <v>573.79</v>
      </c>
      <c r="V188" s="9" t="n">
        <v>573.79</v>
      </c>
      <c r="W188" s="9" t="n">
        <v>573.79</v>
      </c>
      <c r="X188" s="9" t="n">
        <v>573.79</v>
      </c>
      <c r="Y188" s="9" t="n">
        <v>573.79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705</v>
      </c>
      <c r="B189" s="3" t="s">
        <v>706</v>
      </c>
      <c r="C189" s="3" t="s">
        <v>274</v>
      </c>
      <c r="D189" s="3" t="s">
        <v>275</v>
      </c>
      <c r="E189" s="3" t="n">
        <v>1960</v>
      </c>
      <c r="F189" s="3" t="s">
        <v>68</v>
      </c>
      <c r="G189" s="3" t="s">
        <v>69</v>
      </c>
      <c r="H189" s="3" t="s">
        <v>707</v>
      </c>
      <c r="I189" s="3" t="s">
        <v>47</v>
      </c>
      <c r="J189" s="7" t="n">
        <v>535000</v>
      </c>
      <c r="K189" s="3" t="s">
        <v>453</v>
      </c>
      <c r="L189" s="7" t="n">
        <v>6153.13</v>
      </c>
      <c r="M189" s="7" t="n">
        <v>769.14</v>
      </c>
      <c r="N189" s="7" t="n">
        <v>769.14</v>
      </c>
      <c r="O189" s="7" t="n">
        <v>4614.8</v>
      </c>
      <c r="P189" s="7" t="n">
        <v>461.48</v>
      </c>
      <c r="Q189" s="7" t="n">
        <v>461.48</v>
      </c>
      <c r="R189" s="7" t="n">
        <v>461.48</v>
      </c>
      <c r="S189" s="7" t="n">
        <v>461.48</v>
      </c>
      <c r="T189" s="7" t="n">
        <v>461.48</v>
      </c>
      <c r="U189" s="7" t="n">
        <v>461.48</v>
      </c>
      <c r="V189" s="7" t="n">
        <v>461.48</v>
      </c>
      <c r="W189" s="7" t="n">
        <v>461.48</v>
      </c>
      <c r="X189" s="7" t="n">
        <v>461.48</v>
      </c>
      <c r="Y189" s="7" t="n">
        <v>461.48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708</v>
      </c>
      <c r="B190" s="8" t="s">
        <v>709</v>
      </c>
      <c r="C190" s="8" t="s">
        <v>274</v>
      </c>
      <c r="D190" s="8" t="s">
        <v>275</v>
      </c>
      <c r="E190" s="8" t="n">
        <v>2012</v>
      </c>
      <c r="F190" s="8" t="s">
        <v>93</v>
      </c>
      <c r="G190" s="8" t="s">
        <v>94</v>
      </c>
      <c r="H190" s="8" t="s">
        <v>710</v>
      </c>
      <c r="I190" s="8" t="s">
        <v>96</v>
      </c>
      <c r="J190" s="9" t="n">
        <v>895000</v>
      </c>
      <c r="K190" s="8" t="s">
        <v>81</v>
      </c>
      <c r="L190" s="9" t="n">
        <v>8478.6</v>
      </c>
      <c r="M190" s="9" t="n">
        <v>1059.83</v>
      </c>
      <c r="N190" s="9" t="n">
        <v>1059.83</v>
      </c>
      <c r="O190" s="9" t="n">
        <v>6358.9</v>
      </c>
      <c r="P190" s="9" t="n">
        <v>635.89</v>
      </c>
      <c r="Q190" s="9" t="n">
        <v>635.89</v>
      </c>
      <c r="R190" s="9" t="n">
        <v>635.89</v>
      </c>
      <c r="S190" s="9" t="n">
        <v>635.89</v>
      </c>
      <c r="T190" s="9" t="n">
        <v>635.89</v>
      </c>
      <c r="U190" s="9" t="n">
        <v>635.89</v>
      </c>
      <c r="V190" s="9" t="n">
        <v>635.89</v>
      </c>
      <c r="W190" s="9" t="n">
        <v>635.89</v>
      </c>
      <c r="X190" s="9" t="n">
        <v>635.89</v>
      </c>
      <c r="Y190" s="9" t="n">
        <v>635.89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711</v>
      </c>
      <c r="B191" s="3" t="s">
        <v>712</v>
      </c>
      <c r="C191" s="3" t="s">
        <v>186</v>
      </c>
      <c r="D191" s="3" t="s">
        <v>187</v>
      </c>
      <c r="E191" s="3" t="n">
        <v>1960</v>
      </c>
      <c r="F191" s="3" t="s">
        <v>122</v>
      </c>
      <c r="G191" s="3" t="s">
        <v>123</v>
      </c>
      <c r="H191" s="3" t="s">
        <v>713</v>
      </c>
      <c r="I191" s="3" t="s">
        <v>47</v>
      </c>
      <c r="J191" s="7" t="n">
        <v>1050000</v>
      </c>
      <c r="K191" s="3" t="s">
        <v>97</v>
      </c>
      <c r="L191" s="7" t="n">
        <v>13624.47</v>
      </c>
      <c r="M191" s="7" t="n">
        <v>1703.06</v>
      </c>
      <c r="N191" s="7" t="n">
        <v>1703.06</v>
      </c>
      <c r="O191" s="7" t="n">
        <v>10218.4</v>
      </c>
      <c r="P191" s="7" t="n">
        <v>1021.84</v>
      </c>
      <c r="Q191" s="7" t="n">
        <v>1021.84</v>
      </c>
      <c r="R191" s="7" t="n">
        <v>1021.84</v>
      </c>
      <c r="S191" s="7" t="n">
        <v>1021.84</v>
      </c>
      <c r="T191" s="7" t="n">
        <v>1021.84</v>
      </c>
      <c r="U191" s="7" t="n">
        <v>1021.84</v>
      </c>
      <c r="V191" s="7" t="n">
        <v>1021.84</v>
      </c>
      <c r="W191" s="7" t="n">
        <v>1021.84</v>
      </c>
      <c r="X191" s="7" t="n">
        <v>1021.84</v>
      </c>
      <c r="Y191" s="7" t="n">
        <v>1021.84</v>
      </c>
      <c r="Z191" s="7" t="n">
        <v>350</v>
      </c>
      <c r="AA191" s="7" t="n">
        <v>250</v>
      </c>
      <c r="AB191" s="7" t="n">
        <v>600</v>
      </c>
    </row>
    <row r="192" customFormat="false" ht="15" hidden="false" customHeight="false" outlineLevel="0" collapsed="false">
      <c r="A192" s="8" t="s">
        <v>714</v>
      </c>
      <c r="B192" s="8" t="s">
        <v>431</v>
      </c>
      <c r="C192" s="8" t="s">
        <v>112</v>
      </c>
      <c r="D192" s="8" t="s">
        <v>113</v>
      </c>
      <c r="E192" s="8" t="n">
        <v>1976</v>
      </c>
      <c r="F192" s="8" t="s">
        <v>86</v>
      </c>
      <c r="G192" s="8" t="s">
        <v>87</v>
      </c>
      <c r="H192" s="8" t="s">
        <v>715</v>
      </c>
      <c r="I192" s="8" t="s">
        <v>89</v>
      </c>
      <c r="J192" s="9" t="n">
        <v>1240000</v>
      </c>
      <c r="K192" s="8" t="s">
        <v>357</v>
      </c>
      <c r="L192" s="9" t="n">
        <v>16003.8</v>
      </c>
      <c r="M192" s="9" t="n">
        <v>2000.47</v>
      </c>
      <c r="N192" s="9" t="n">
        <v>2000.47</v>
      </c>
      <c r="O192" s="9" t="n">
        <v>12002.8</v>
      </c>
      <c r="P192" s="9" t="n">
        <v>1200.28</v>
      </c>
      <c r="Q192" s="9" t="n">
        <v>1200.28</v>
      </c>
      <c r="R192" s="9" t="n">
        <v>1200.28</v>
      </c>
      <c r="S192" s="9" t="n">
        <v>1200.28</v>
      </c>
      <c r="T192" s="9" t="n">
        <v>1200.28</v>
      </c>
      <c r="U192" s="9" t="n">
        <v>1200.28</v>
      </c>
      <c r="V192" s="9" t="n">
        <v>1200.28</v>
      </c>
      <c r="W192" s="9" t="n">
        <v>1200.28</v>
      </c>
      <c r="X192" s="9" t="n">
        <v>1200.28</v>
      </c>
      <c r="Y192" s="9" t="n">
        <v>1200.28</v>
      </c>
      <c r="Z192" s="9" t="n">
        <v>350</v>
      </c>
      <c r="AA192" s="9" t="n">
        <v>250</v>
      </c>
      <c r="AB192" s="9" t="n">
        <v>600</v>
      </c>
    </row>
    <row r="193" customFormat="false" ht="15" hidden="false" customHeight="false" outlineLevel="0" collapsed="false">
      <c r="A193" s="3" t="s">
        <v>716</v>
      </c>
      <c r="B193" s="3" t="s">
        <v>717</v>
      </c>
      <c r="C193" s="3" t="s">
        <v>152</v>
      </c>
      <c r="D193" s="3" t="s">
        <v>153</v>
      </c>
      <c r="E193" s="3" t="n">
        <v>2013</v>
      </c>
      <c r="F193" s="3" t="s">
        <v>68</v>
      </c>
      <c r="G193" s="3" t="s">
        <v>69</v>
      </c>
      <c r="H193" s="3" t="s">
        <v>718</v>
      </c>
      <c r="I193" s="3" t="s">
        <v>47</v>
      </c>
      <c r="J193" s="7" t="n">
        <v>630000</v>
      </c>
      <c r="K193" s="3" t="s">
        <v>351</v>
      </c>
      <c r="L193" s="7" t="n">
        <v>8879.58</v>
      </c>
      <c r="M193" s="7" t="n">
        <v>1109.95</v>
      </c>
      <c r="N193" s="7" t="n">
        <v>1109.95</v>
      </c>
      <c r="O193" s="7" t="n">
        <v>6659.7</v>
      </c>
      <c r="P193" s="7" t="n">
        <v>665.97</v>
      </c>
      <c r="Q193" s="7" t="n">
        <v>665.97</v>
      </c>
      <c r="R193" s="7" t="n">
        <v>665.97</v>
      </c>
      <c r="S193" s="7" t="n">
        <v>665.97</v>
      </c>
      <c r="T193" s="7" t="n">
        <v>665.97</v>
      </c>
      <c r="U193" s="7" t="n">
        <v>665.97</v>
      </c>
      <c r="V193" s="7" t="n">
        <v>665.97</v>
      </c>
      <c r="W193" s="7" t="n">
        <v>665.97</v>
      </c>
      <c r="X193" s="7" t="n">
        <v>665.97</v>
      </c>
      <c r="Y193" s="7" t="n">
        <v>665.97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719</v>
      </c>
      <c r="B194" s="8" t="s">
        <v>720</v>
      </c>
      <c r="C194" s="8" t="s">
        <v>163</v>
      </c>
      <c r="D194" s="8" t="s">
        <v>164</v>
      </c>
      <c r="E194" s="8" t="n">
        <v>1988</v>
      </c>
      <c r="F194" s="8" t="s">
        <v>53</v>
      </c>
      <c r="G194" s="8" t="s">
        <v>174</v>
      </c>
      <c r="H194" s="8" t="s">
        <v>721</v>
      </c>
      <c r="I194" s="8" t="s">
        <v>96</v>
      </c>
      <c r="J194" s="9" t="n">
        <v>285000</v>
      </c>
      <c r="K194" s="8" t="s">
        <v>303</v>
      </c>
      <c r="L194" s="9" t="n">
        <v>3179.95</v>
      </c>
      <c r="M194" s="9" t="n">
        <v>397.49</v>
      </c>
      <c r="N194" s="9" t="n">
        <v>397.49</v>
      </c>
      <c r="O194" s="9" t="n">
        <v>2385</v>
      </c>
      <c r="P194" s="9" t="n">
        <v>238.5</v>
      </c>
      <c r="Q194" s="9" t="n">
        <v>238.5</v>
      </c>
      <c r="R194" s="9" t="n">
        <v>238.5</v>
      </c>
      <c r="S194" s="9" t="n">
        <v>238.5</v>
      </c>
      <c r="T194" s="9" t="n">
        <v>238.5</v>
      </c>
      <c r="U194" s="9" t="n">
        <v>238.5</v>
      </c>
      <c r="V194" s="9" t="n">
        <v>238.5</v>
      </c>
      <c r="W194" s="9" t="n">
        <v>238.5</v>
      </c>
      <c r="X194" s="9" t="n">
        <v>238.5</v>
      </c>
      <c r="Y194" s="9" t="n">
        <v>238.5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722</v>
      </c>
      <c r="B195" s="3" t="s">
        <v>723</v>
      </c>
      <c r="C195" s="3" t="s">
        <v>288</v>
      </c>
      <c r="D195" s="3" t="s">
        <v>289</v>
      </c>
      <c r="E195" s="3" t="n">
        <v>2023</v>
      </c>
      <c r="F195" s="3" t="s">
        <v>44</v>
      </c>
      <c r="G195" s="3" t="s">
        <v>45</v>
      </c>
      <c r="H195" s="3" t="s">
        <v>724</v>
      </c>
      <c r="I195" s="3" t="s">
        <v>47</v>
      </c>
      <c r="J195" s="7" t="n">
        <v>205000</v>
      </c>
      <c r="K195" s="3" t="s">
        <v>725</v>
      </c>
      <c r="L195" s="7" t="n">
        <v>3827.86</v>
      </c>
      <c r="M195" s="7" t="n">
        <v>478.48</v>
      </c>
      <c r="N195" s="7" t="n">
        <v>478.48</v>
      </c>
      <c r="O195" s="7" t="n">
        <v>2870.9</v>
      </c>
      <c r="P195" s="7" t="n">
        <v>287.09</v>
      </c>
      <c r="Q195" s="7" t="n">
        <v>287.09</v>
      </c>
      <c r="R195" s="7" t="n">
        <v>287.09</v>
      </c>
      <c r="S195" s="7" t="n">
        <v>287.09</v>
      </c>
      <c r="T195" s="7" t="n">
        <v>287.09</v>
      </c>
      <c r="U195" s="7" t="n">
        <v>287.09</v>
      </c>
      <c r="V195" s="7" t="n">
        <v>287.09</v>
      </c>
      <c r="W195" s="7" t="n">
        <v>287.09</v>
      </c>
      <c r="X195" s="7" t="n">
        <v>287.09</v>
      </c>
      <c r="Y195" s="7" t="n">
        <v>287.09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726</v>
      </c>
      <c r="B196" s="8" t="s">
        <v>727</v>
      </c>
      <c r="C196" s="8" t="s">
        <v>152</v>
      </c>
      <c r="D196" s="8" t="s">
        <v>153</v>
      </c>
      <c r="E196" s="8" t="n">
        <v>1956</v>
      </c>
      <c r="F196" s="8" t="s">
        <v>86</v>
      </c>
      <c r="G196" s="8" t="s">
        <v>136</v>
      </c>
      <c r="H196" s="8" t="s">
        <v>728</v>
      </c>
      <c r="I196" s="8" t="s">
        <v>89</v>
      </c>
      <c r="J196" s="9" t="n">
        <v>575000</v>
      </c>
      <c r="K196" s="8" t="s">
        <v>420</v>
      </c>
      <c r="L196" s="9" t="n">
        <v>11844.86</v>
      </c>
      <c r="M196" s="9" t="n">
        <v>1480.61</v>
      </c>
      <c r="N196" s="9" t="n">
        <v>1480.61</v>
      </c>
      <c r="O196" s="9" t="n">
        <v>8883.6</v>
      </c>
      <c r="P196" s="9" t="n">
        <v>888.36</v>
      </c>
      <c r="Q196" s="9" t="n">
        <v>888.36</v>
      </c>
      <c r="R196" s="9" t="n">
        <v>888.36</v>
      </c>
      <c r="S196" s="9" t="n">
        <v>888.36</v>
      </c>
      <c r="T196" s="9" t="n">
        <v>888.36</v>
      </c>
      <c r="U196" s="9" t="n">
        <v>888.36</v>
      </c>
      <c r="V196" s="9" t="n">
        <v>888.36</v>
      </c>
      <c r="W196" s="9" t="n">
        <v>888.36</v>
      </c>
      <c r="X196" s="9" t="n">
        <v>888.36</v>
      </c>
      <c r="Y196" s="9" t="n">
        <v>888.36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729</v>
      </c>
      <c r="B197" s="3" t="s">
        <v>586</v>
      </c>
      <c r="C197" s="3" t="s">
        <v>168</v>
      </c>
      <c r="D197" s="3" t="s">
        <v>169</v>
      </c>
      <c r="E197" s="3" t="n">
        <v>1956</v>
      </c>
      <c r="F197" s="3" t="s">
        <v>231</v>
      </c>
      <c r="G197" s="3" t="s">
        <v>232</v>
      </c>
      <c r="H197" s="3" t="s">
        <v>730</v>
      </c>
      <c r="I197" s="3" t="s">
        <v>89</v>
      </c>
      <c r="J197" s="7" t="n">
        <v>1535000</v>
      </c>
      <c r="K197" s="3" t="s">
        <v>277</v>
      </c>
      <c r="L197" s="7" t="n">
        <v>24071.63</v>
      </c>
      <c r="M197" s="7" t="n">
        <v>3008.95</v>
      </c>
      <c r="N197" s="7" t="n">
        <v>3008.95</v>
      </c>
      <c r="O197" s="7" t="n">
        <v>18053.7</v>
      </c>
      <c r="P197" s="7" t="n">
        <v>1805.37</v>
      </c>
      <c r="Q197" s="7" t="n">
        <v>1805.37</v>
      </c>
      <c r="R197" s="7" t="n">
        <v>1805.37</v>
      </c>
      <c r="S197" s="7" t="n">
        <v>1805.37</v>
      </c>
      <c r="T197" s="7" t="n">
        <v>1805.37</v>
      </c>
      <c r="U197" s="7" t="n">
        <v>1805.37</v>
      </c>
      <c r="V197" s="7" t="n">
        <v>1805.37</v>
      </c>
      <c r="W197" s="7" t="n">
        <v>1805.37</v>
      </c>
      <c r="X197" s="7" t="n">
        <v>1805.37</v>
      </c>
      <c r="Y197" s="7" t="n">
        <v>1805.37</v>
      </c>
      <c r="Z197" s="7" t="n">
        <v>350</v>
      </c>
      <c r="AA197" s="7" t="n">
        <v>250</v>
      </c>
      <c r="AB197" s="7" t="n">
        <v>600</v>
      </c>
    </row>
    <row r="198" customFormat="false" ht="15" hidden="false" customHeight="false" outlineLevel="0" collapsed="false">
      <c r="A198" s="8" t="s">
        <v>731</v>
      </c>
      <c r="B198" s="8" t="s">
        <v>732</v>
      </c>
      <c r="C198" s="8" t="s">
        <v>315</v>
      </c>
      <c r="D198" s="8" t="s">
        <v>316</v>
      </c>
      <c r="E198" s="8" t="n">
        <v>1984</v>
      </c>
      <c r="F198" s="8" t="s">
        <v>68</v>
      </c>
      <c r="G198" s="8" t="s">
        <v>69</v>
      </c>
      <c r="H198" s="8" t="s">
        <v>733</v>
      </c>
      <c r="I198" s="8" t="s">
        <v>47</v>
      </c>
      <c r="J198" s="9" t="n">
        <v>470000</v>
      </c>
      <c r="K198" s="8" t="s">
        <v>81</v>
      </c>
      <c r="L198" s="9" t="n">
        <v>7765.9</v>
      </c>
      <c r="M198" s="9" t="n">
        <v>970.74</v>
      </c>
      <c r="N198" s="9" t="n">
        <v>970.74</v>
      </c>
      <c r="O198" s="9" t="n">
        <v>5824.4</v>
      </c>
      <c r="P198" s="9" t="n">
        <v>582.44</v>
      </c>
      <c r="Q198" s="9" t="n">
        <v>582.44</v>
      </c>
      <c r="R198" s="9" t="n">
        <v>582.44</v>
      </c>
      <c r="S198" s="9" t="n">
        <v>582.44</v>
      </c>
      <c r="T198" s="9" t="n">
        <v>582.44</v>
      </c>
      <c r="U198" s="9" t="n">
        <v>582.44</v>
      </c>
      <c r="V198" s="9" t="n">
        <v>582.44</v>
      </c>
      <c r="W198" s="9" t="n">
        <v>582.44</v>
      </c>
      <c r="X198" s="9" t="n">
        <v>582.44</v>
      </c>
      <c r="Y198" s="9" t="n">
        <v>582.44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734</v>
      </c>
      <c r="B199" s="3" t="s">
        <v>413</v>
      </c>
      <c r="C199" s="3" t="s">
        <v>156</v>
      </c>
      <c r="D199" s="3" t="s">
        <v>157</v>
      </c>
      <c r="E199" s="3" t="n">
        <v>1956</v>
      </c>
      <c r="F199" s="3" t="s">
        <v>231</v>
      </c>
      <c r="G199" s="3" t="s">
        <v>232</v>
      </c>
      <c r="H199" s="3" t="s">
        <v>735</v>
      </c>
      <c r="I199" s="3" t="s">
        <v>89</v>
      </c>
      <c r="J199" s="7" t="n">
        <v>1085000</v>
      </c>
      <c r="K199" s="3" t="s">
        <v>125</v>
      </c>
      <c r="L199" s="7" t="n">
        <v>21381.43</v>
      </c>
      <c r="M199" s="7" t="n">
        <v>2672.68</v>
      </c>
      <c r="N199" s="7" t="n">
        <v>2672.68</v>
      </c>
      <c r="O199" s="7" t="n">
        <v>16036.1</v>
      </c>
      <c r="P199" s="7" t="n">
        <v>1603.61</v>
      </c>
      <c r="Q199" s="7" t="n">
        <v>1603.61</v>
      </c>
      <c r="R199" s="7" t="n">
        <v>1603.61</v>
      </c>
      <c r="S199" s="7" t="n">
        <v>1603.61</v>
      </c>
      <c r="T199" s="7" t="n">
        <v>1603.61</v>
      </c>
      <c r="U199" s="7" t="n">
        <v>1603.61</v>
      </c>
      <c r="V199" s="7" t="n">
        <v>1603.61</v>
      </c>
      <c r="W199" s="7" t="n">
        <v>1603.61</v>
      </c>
      <c r="X199" s="7" t="n">
        <v>1603.61</v>
      </c>
      <c r="Y199" s="7" t="n">
        <v>1603.61</v>
      </c>
      <c r="Z199" s="7" t="n">
        <v>350</v>
      </c>
      <c r="AA199" s="7" t="n">
        <v>250</v>
      </c>
      <c r="AB199" s="7" t="n">
        <v>600</v>
      </c>
    </row>
    <row r="200" customFormat="false" ht="15" hidden="false" customHeight="false" outlineLevel="0" collapsed="false">
      <c r="A200" s="8" t="s">
        <v>736</v>
      </c>
      <c r="B200" s="8" t="s">
        <v>737</v>
      </c>
      <c r="C200" s="8" t="s">
        <v>179</v>
      </c>
      <c r="D200" s="8" t="s">
        <v>180</v>
      </c>
      <c r="E200" s="8" t="n">
        <v>1967</v>
      </c>
      <c r="F200" s="8" t="s">
        <v>68</v>
      </c>
      <c r="G200" s="8" t="s">
        <v>69</v>
      </c>
      <c r="H200" s="8" t="s">
        <v>738</v>
      </c>
      <c r="I200" s="8" t="s">
        <v>47</v>
      </c>
      <c r="J200" s="9" t="n">
        <v>340000</v>
      </c>
      <c r="K200" s="8" t="s">
        <v>138</v>
      </c>
      <c r="L200" s="9" t="n">
        <v>6148.71</v>
      </c>
      <c r="M200" s="9" t="n">
        <v>768.59</v>
      </c>
      <c r="N200" s="9" t="n">
        <v>768.59</v>
      </c>
      <c r="O200" s="9" t="n">
        <v>4611.5</v>
      </c>
      <c r="P200" s="9" t="n">
        <v>461.15</v>
      </c>
      <c r="Q200" s="9" t="n">
        <v>461.15</v>
      </c>
      <c r="R200" s="9" t="n">
        <v>461.15</v>
      </c>
      <c r="S200" s="9" t="n">
        <v>461.15</v>
      </c>
      <c r="T200" s="9" t="n">
        <v>461.15</v>
      </c>
      <c r="U200" s="9" t="n">
        <v>461.15</v>
      </c>
      <c r="V200" s="9" t="n">
        <v>461.15</v>
      </c>
      <c r="W200" s="9" t="n">
        <v>461.15</v>
      </c>
      <c r="X200" s="9" t="n">
        <v>461.15</v>
      </c>
      <c r="Y200" s="9" t="n">
        <v>461.15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739</v>
      </c>
      <c r="B201" s="3" t="s">
        <v>740</v>
      </c>
      <c r="C201" s="3" t="s">
        <v>156</v>
      </c>
      <c r="D201" s="3" t="s">
        <v>157</v>
      </c>
      <c r="E201" s="3" t="n">
        <v>2002</v>
      </c>
      <c r="F201" s="3" t="s">
        <v>44</v>
      </c>
      <c r="G201" s="3" t="s">
        <v>45</v>
      </c>
      <c r="H201" s="3" t="s">
        <v>741</v>
      </c>
      <c r="I201" s="3" t="s">
        <v>47</v>
      </c>
      <c r="J201" s="7" t="n">
        <v>920000</v>
      </c>
      <c r="K201" s="3" t="s">
        <v>193</v>
      </c>
      <c r="L201" s="7" t="n">
        <v>14315.58</v>
      </c>
      <c r="M201" s="7" t="n">
        <v>1789.45</v>
      </c>
      <c r="N201" s="7" t="n">
        <v>1789.45</v>
      </c>
      <c r="O201" s="7" t="n">
        <v>10736.7</v>
      </c>
      <c r="P201" s="7" t="n">
        <v>1073.67</v>
      </c>
      <c r="Q201" s="7" t="n">
        <v>1073.67</v>
      </c>
      <c r="R201" s="7" t="n">
        <v>1073.67</v>
      </c>
      <c r="S201" s="7" t="n">
        <v>1073.67</v>
      </c>
      <c r="T201" s="7" t="n">
        <v>1073.67</v>
      </c>
      <c r="U201" s="7" t="n">
        <v>1073.67</v>
      </c>
      <c r="V201" s="7" t="n">
        <v>1073.67</v>
      </c>
      <c r="W201" s="7" t="n">
        <v>1073.67</v>
      </c>
      <c r="X201" s="7" t="n">
        <v>1073.67</v>
      </c>
      <c r="Y201" s="7" t="n">
        <v>1073.67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742</v>
      </c>
      <c r="B202" s="8" t="s">
        <v>743</v>
      </c>
      <c r="C202" s="8" t="s">
        <v>106</v>
      </c>
      <c r="D202" s="8" t="s">
        <v>107</v>
      </c>
      <c r="E202" s="8" t="n">
        <v>1972</v>
      </c>
      <c r="F202" s="8" t="s">
        <v>114</v>
      </c>
      <c r="G202" s="8" t="s">
        <v>115</v>
      </c>
      <c r="H202" s="8" t="s">
        <v>744</v>
      </c>
      <c r="I202" s="8" t="s">
        <v>47</v>
      </c>
      <c r="J202" s="9" t="n">
        <v>470000</v>
      </c>
      <c r="K202" s="8" t="s">
        <v>63</v>
      </c>
      <c r="L202" s="9" t="n">
        <v>9478.06</v>
      </c>
      <c r="M202" s="9" t="n">
        <v>1184.76</v>
      </c>
      <c r="N202" s="9" t="n">
        <v>1184.76</v>
      </c>
      <c r="O202" s="9" t="n">
        <v>7108.5</v>
      </c>
      <c r="P202" s="9" t="n">
        <v>710.85</v>
      </c>
      <c r="Q202" s="9" t="n">
        <v>710.85</v>
      </c>
      <c r="R202" s="9" t="n">
        <v>710.85</v>
      </c>
      <c r="S202" s="9" t="n">
        <v>710.85</v>
      </c>
      <c r="T202" s="9" t="n">
        <v>710.85</v>
      </c>
      <c r="U202" s="9" t="n">
        <v>710.85</v>
      </c>
      <c r="V202" s="9" t="n">
        <v>710.85</v>
      </c>
      <c r="W202" s="9" t="n">
        <v>710.85</v>
      </c>
      <c r="X202" s="9" t="n">
        <v>710.85</v>
      </c>
      <c r="Y202" s="9" t="n">
        <v>710.85</v>
      </c>
      <c r="Z202" s="9" t="n">
        <v>350</v>
      </c>
      <c r="AA202" s="9" t="n">
        <v>0</v>
      </c>
      <c r="AB202" s="9" t="n">
        <v>350</v>
      </c>
    </row>
    <row r="203" customFormat="false" ht="15" hidden="false" customHeight="false" outlineLevel="0" collapsed="false">
      <c r="A203" s="3" t="s">
        <v>745</v>
      </c>
      <c r="B203" s="3" t="s">
        <v>746</v>
      </c>
      <c r="C203" s="3" t="s">
        <v>148</v>
      </c>
      <c r="D203" s="3" t="s">
        <v>149</v>
      </c>
      <c r="E203" s="3" t="n">
        <v>1992</v>
      </c>
      <c r="F203" s="3" t="s">
        <v>44</v>
      </c>
      <c r="G203" s="3" t="s">
        <v>45</v>
      </c>
      <c r="H203" s="3" t="s">
        <v>747</v>
      </c>
      <c r="I203" s="3" t="s">
        <v>47</v>
      </c>
      <c r="J203" s="7" t="n">
        <v>410000</v>
      </c>
      <c r="K203" s="3" t="s">
        <v>222</v>
      </c>
      <c r="L203" s="7" t="n">
        <v>5067.54</v>
      </c>
      <c r="M203" s="7" t="n">
        <v>633.44</v>
      </c>
      <c r="N203" s="7" t="n">
        <v>633.44</v>
      </c>
      <c r="O203" s="7" t="n">
        <v>3800.7</v>
      </c>
      <c r="P203" s="7" t="n">
        <v>380.07</v>
      </c>
      <c r="Q203" s="7" t="n">
        <v>380.07</v>
      </c>
      <c r="R203" s="7" t="n">
        <v>380.07</v>
      </c>
      <c r="S203" s="7" t="n">
        <v>380.07</v>
      </c>
      <c r="T203" s="7" t="n">
        <v>380.07</v>
      </c>
      <c r="U203" s="7" t="n">
        <v>380.07</v>
      </c>
      <c r="V203" s="7" t="n">
        <v>380.07</v>
      </c>
      <c r="W203" s="7" t="n">
        <v>380.07</v>
      </c>
      <c r="X203" s="7" t="n">
        <v>380.07</v>
      </c>
      <c r="Y203" s="7" t="n">
        <v>380.07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748</v>
      </c>
      <c r="B204" s="8" t="s">
        <v>749</v>
      </c>
      <c r="C204" s="8" t="s">
        <v>186</v>
      </c>
      <c r="D204" s="8" t="s">
        <v>187</v>
      </c>
      <c r="E204" s="8" t="n">
        <v>1996</v>
      </c>
      <c r="F204" s="8" t="s">
        <v>122</v>
      </c>
      <c r="G204" s="8" t="s">
        <v>123</v>
      </c>
      <c r="H204" s="8" t="s">
        <v>750</v>
      </c>
      <c r="I204" s="8" t="s">
        <v>47</v>
      </c>
      <c r="J204" s="9" t="n">
        <v>1130000</v>
      </c>
      <c r="K204" s="8" t="s">
        <v>71</v>
      </c>
      <c r="L204" s="9" t="n">
        <v>13800.02</v>
      </c>
      <c r="M204" s="9" t="n">
        <v>1725</v>
      </c>
      <c r="N204" s="9" t="n">
        <v>1725</v>
      </c>
      <c r="O204" s="9" t="n">
        <v>10350</v>
      </c>
      <c r="P204" s="9" t="n">
        <v>1035</v>
      </c>
      <c r="Q204" s="9" t="n">
        <v>1035</v>
      </c>
      <c r="R204" s="9" t="n">
        <v>1035</v>
      </c>
      <c r="S204" s="9" t="n">
        <v>1035</v>
      </c>
      <c r="T204" s="9" t="n">
        <v>1035</v>
      </c>
      <c r="U204" s="9" t="n">
        <v>1035</v>
      </c>
      <c r="V204" s="9" t="n">
        <v>1035</v>
      </c>
      <c r="W204" s="9" t="n">
        <v>1035</v>
      </c>
      <c r="X204" s="9" t="n">
        <v>1035</v>
      </c>
      <c r="Y204" s="9" t="n">
        <v>1035</v>
      </c>
      <c r="Z204" s="9" t="n">
        <v>350</v>
      </c>
      <c r="AA204" s="9" t="n">
        <v>250</v>
      </c>
      <c r="AB204" s="9" t="n">
        <v>600</v>
      </c>
    </row>
    <row r="205" customFormat="false" ht="15" hidden="false" customHeight="false" outlineLevel="0" collapsed="false">
      <c r="A205" s="3" t="s">
        <v>751</v>
      </c>
      <c r="B205" s="3" t="s">
        <v>407</v>
      </c>
      <c r="C205" s="3" t="s">
        <v>186</v>
      </c>
      <c r="D205" s="3" t="s">
        <v>187</v>
      </c>
      <c r="E205" s="3" t="n">
        <v>2002</v>
      </c>
      <c r="F205" s="3" t="s">
        <v>93</v>
      </c>
      <c r="G205" s="3" t="s">
        <v>94</v>
      </c>
      <c r="H205" s="3" t="s">
        <v>752</v>
      </c>
      <c r="I205" s="3" t="s">
        <v>96</v>
      </c>
      <c r="J205" s="7" t="n">
        <v>815000</v>
      </c>
      <c r="K205" s="3" t="s">
        <v>75</v>
      </c>
      <c r="L205" s="7" t="n">
        <v>8328.66</v>
      </c>
      <c r="M205" s="7" t="n">
        <v>1041.08</v>
      </c>
      <c r="N205" s="7" t="n">
        <v>1041.08</v>
      </c>
      <c r="O205" s="7" t="n">
        <v>6246.5</v>
      </c>
      <c r="P205" s="7" t="n">
        <v>624.65</v>
      </c>
      <c r="Q205" s="7" t="n">
        <v>624.65</v>
      </c>
      <c r="R205" s="7" t="n">
        <v>624.65</v>
      </c>
      <c r="S205" s="7" t="n">
        <v>624.65</v>
      </c>
      <c r="T205" s="7" t="n">
        <v>624.65</v>
      </c>
      <c r="U205" s="7" t="n">
        <v>624.65</v>
      </c>
      <c r="V205" s="7" t="n">
        <v>624.65</v>
      </c>
      <c r="W205" s="7" t="n">
        <v>624.65</v>
      </c>
      <c r="X205" s="7" t="n">
        <v>624.65</v>
      </c>
      <c r="Y205" s="7" t="n">
        <v>624.65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753</v>
      </c>
      <c r="B206" s="8" t="s">
        <v>218</v>
      </c>
      <c r="C206" s="8" t="s">
        <v>354</v>
      </c>
      <c r="D206" s="8" t="s">
        <v>355</v>
      </c>
      <c r="E206" s="8" t="n">
        <v>1987</v>
      </c>
      <c r="F206" s="8" t="s">
        <v>86</v>
      </c>
      <c r="G206" s="8" t="s">
        <v>87</v>
      </c>
      <c r="H206" s="8" t="s">
        <v>754</v>
      </c>
      <c r="I206" s="8" t="s">
        <v>89</v>
      </c>
      <c r="J206" s="9" t="n">
        <v>440000</v>
      </c>
      <c r="K206" s="8" t="s">
        <v>75</v>
      </c>
      <c r="L206" s="9" t="n">
        <v>12025.4</v>
      </c>
      <c r="M206" s="9" t="n">
        <v>1503.17</v>
      </c>
      <c r="N206" s="9" t="n">
        <v>1503.17</v>
      </c>
      <c r="O206" s="9" t="n">
        <v>9019</v>
      </c>
      <c r="P206" s="9" t="n">
        <v>901.9</v>
      </c>
      <c r="Q206" s="9" t="n">
        <v>901.9</v>
      </c>
      <c r="R206" s="9" t="n">
        <v>901.9</v>
      </c>
      <c r="S206" s="9" t="n">
        <v>901.9</v>
      </c>
      <c r="T206" s="9" t="n">
        <v>901.9</v>
      </c>
      <c r="U206" s="9" t="n">
        <v>901.9</v>
      </c>
      <c r="V206" s="9" t="n">
        <v>901.9</v>
      </c>
      <c r="W206" s="9" t="n">
        <v>901.9</v>
      </c>
      <c r="X206" s="9" t="n">
        <v>901.9</v>
      </c>
      <c r="Y206" s="9" t="n">
        <v>901.9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755</v>
      </c>
      <c r="B207" s="3" t="s">
        <v>756</v>
      </c>
      <c r="C207" s="3" t="s">
        <v>51</v>
      </c>
      <c r="D207" s="3" t="s">
        <v>52</v>
      </c>
      <c r="E207" s="3" t="n">
        <v>1984</v>
      </c>
      <c r="F207" s="3" t="s">
        <v>68</v>
      </c>
      <c r="G207" s="3" t="s">
        <v>69</v>
      </c>
      <c r="H207" s="3" t="s">
        <v>757</v>
      </c>
      <c r="I207" s="3" t="s">
        <v>47</v>
      </c>
      <c r="J207" s="7" t="n">
        <v>475000</v>
      </c>
      <c r="K207" s="3" t="s">
        <v>277</v>
      </c>
      <c r="L207" s="7" t="n">
        <v>6983.32</v>
      </c>
      <c r="M207" s="7" t="n">
        <v>872.91</v>
      </c>
      <c r="N207" s="7" t="n">
        <v>872.91</v>
      </c>
      <c r="O207" s="7" t="n">
        <v>5237.5</v>
      </c>
      <c r="P207" s="7" t="n">
        <v>523.75</v>
      </c>
      <c r="Q207" s="7" t="n">
        <v>523.75</v>
      </c>
      <c r="R207" s="7" t="n">
        <v>523.75</v>
      </c>
      <c r="S207" s="7" t="n">
        <v>523.75</v>
      </c>
      <c r="T207" s="7" t="n">
        <v>523.75</v>
      </c>
      <c r="U207" s="7" t="n">
        <v>523.75</v>
      </c>
      <c r="V207" s="7" t="n">
        <v>523.75</v>
      </c>
      <c r="W207" s="7" t="n">
        <v>523.75</v>
      </c>
      <c r="X207" s="7" t="n">
        <v>523.75</v>
      </c>
      <c r="Y207" s="7" t="n">
        <v>523.75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758</v>
      </c>
      <c r="B208" s="8" t="s">
        <v>57</v>
      </c>
      <c r="C208" s="8" t="s">
        <v>261</v>
      </c>
      <c r="D208" s="8" t="s">
        <v>262</v>
      </c>
      <c r="E208" s="8" t="n">
        <v>2004</v>
      </c>
      <c r="F208" s="8" t="s">
        <v>437</v>
      </c>
      <c r="G208" s="8" t="s">
        <v>438</v>
      </c>
      <c r="H208" s="8" t="s">
        <v>759</v>
      </c>
      <c r="I208" s="8" t="s">
        <v>89</v>
      </c>
      <c r="J208" s="9" t="n">
        <v>1950000</v>
      </c>
      <c r="K208" s="8" t="s">
        <v>125</v>
      </c>
      <c r="L208" s="9" t="n">
        <v>38427.45</v>
      </c>
      <c r="M208" s="9" t="n">
        <v>4803.43</v>
      </c>
      <c r="N208" s="9" t="n">
        <v>4803.43</v>
      </c>
      <c r="O208" s="9" t="n">
        <v>28820.6</v>
      </c>
      <c r="P208" s="9" t="n">
        <v>2882.06</v>
      </c>
      <c r="Q208" s="9" t="n">
        <v>2882.06</v>
      </c>
      <c r="R208" s="9" t="n">
        <v>2882.06</v>
      </c>
      <c r="S208" s="9" t="n">
        <v>2882.06</v>
      </c>
      <c r="T208" s="9" t="n">
        <v>2882.06</v>
      </c>
      <c r="U208" s="9" t="n">
        <v>2882.06</v>
      </c>
      <c r="V208" s="9" t="n">
        <v>2882.06</v>
      </c>
      <c r="W208" s="9" t="n">
        <v>2882.06</v>
      </c>
      <c r="X208" s="9" t="n">
        <v>2882.06</v>
      </c>
      <c r="Y208" s="9" t="n">
        <v>2882.06</v>
      </c>
      <c r="Z208" s="9" t="n">
        <v>350</v>
      </c>
      <c r="AA208" s="9" t="n">
        <v>250</v>
      </c>
      <c r="AB208" s="9" t="n">
        <v>600</v>
      </c>
    </row>
    <row r="209" customFormat="false" ht="15" hidden="false" customHeight="false" outlineLevel="0" collapsed="false">
      <c r="A209" s="3" t="s">
        <v>760</v>
      </c>
      <c r="B209" s="3" t="s">
        <v>761</v>
      </c>
      <c r="C209" s="3" t="s">
        <v>152</v>
      </c>
      <c r="D209" s="3" t="s">
        <v>153</v>
      </c>
      <c r="E209" s="3" t="n">
        <v>2015</v>
      </c>
      <c r="F209" s="3" t="s">
        <v>231</v>
      </c>
      <c r="G209" s="3" t="s">
        <v>232</v>
      </c>
      <c r="H209" s="3" t="s">
        <v>762</v>
      </c>
      <c r="I209" s="3" t="s">
        <v>89</v>
      </c>
      <c r="J209" s="7" t="n">
        <v>805000</v>
      </c>
      <c r="K209" s="3" t="s">
        <v>212</v>
      </c>
      <c r="L209" s="7" t="n">
        <v>17246.12</v>
      </c>
      <c r="M209" s="7" t="n">
        <v>2155.76</v>
      </c>
      <c r="N209" s="7" t="n">
        <v>2155.76</v>
      </c>
      <c r="O209" s="7" t="n">
        <v>12934.6</v>
      </c>
      <c r="P209" s="7" t="n">
        <v>1293.46</v>
      </c>
      <c r="Q209" s="7" t="n">
        <v>1293.46</v>
      </c>
      <c r="R209" s="7" t="n">
        <v>1293.46</v>
      </c>
      <c r="S209" s="7" t="n">
        <v>1293.46</v>
      </c>
      <c r="T209" s="7" t="n">
        <v>1293.46</v>
      </c>
      <c r="U209" s="7" t="n">
        <v>1293.46</v>
      </c>
      <c r="V209" s="7" t="n">
        <v>1293.46</v>
      </c>
      <c r="W209" s="7" t="n">
        <v>1293.46</v>
      </c>
      <c r="X209" s="7" t="n">
        <v>1293.46</v>
      </c>
      <c r="Y209" s="7" t="n">
        <v>1293.46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763</v>
      </c>
      <c r="B210" s="8" t="s">
        <v>451</v>
      </c>
      <c r="C210" s="8" t="s">
        <v>179</v>
      </c>
      <c r="D210" s="8" t="s">
        <v>180</v>
      </c>
      <c r="E210" s="8" t="n">
        <v>1975</v>
      </c>
      <c r="F210" s="8" t="s">
        <v>86</v>
      </c>
      <c r="G210" s="8" t="s">
        <v>87</v>
      </c>
      <c r="H210" s="8" t="s">
        <v>764</v>
      </c>
      <c r="I210" s="8" t="s">
        <v>89</v>
      </c>
      <c r="J210" s="9" t="n">
        <v>705000</v>
      </c>
      <c r="K210" s="8" t="s">
        <v>125</v>
      </c>
      <c r="L210" s="9" t="n">
        <v>16497.94</v>
      </c>
      <c r="M210" s="9" t="n">
        <v>2062.24</v>
      </c>
      <c r="N210" s="9" t="n">
        <v>2062.24</v>
      </c>
      <c r="O210" s="9" t="n">
        <v>12373.5</v>
      </c>
      <c r="P210" s="9" t="n">
        <v>1237.35</v>
      </c>
      <c r="Q210" s="9" t="n">
        <v>1237.35</v>
      </c>
      <c r="R210" s="9" t="n">
        <v>1237.35</v>
      </c>
      <c r="S210" s="9" t="n">
        <v>1237.35</v>
      </c>
      <c r="T210" s="9" t="n">
        <v>1237.35</v>
      </c>
      <c r="U210" s="9" t="n">
        <v>1237.35</v>
      </c>
      <c r="V210" s="9" t="n">
        <v>1237.35</v>
      </c>
      <c r="W210" s="9" t="n">
        <v>1237.35</v>
      </c>
      <c r="X210" s="9" t="n">
        <v>1237.35</v>
      </c>
      <c r="Y210" s="9" t="n">
        <v>1237.35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765</v>
      </c>
      <c r="B211" s="3" t="s">
        <v>766</v>
      </c>
      <c r="C211" s="3" t="s">
        <v>156</v>
      </c>
      <c r="D211" s="3" t="s">
        <v>157</v>
      </c>
      <c r="E211" s="3" t="n">
        <v>1976</v>
      </c>
      <c r="F211" s="3" t="s">
        <v>68</v>
      </c>
      <c r="G211" s="3" t="s">
        <v>69</v>
      </c>
      <c r="H211" s="3" t="s">
        <v>767</v>
      </c>
      <c r="I211" s="3" t="s">
        <v>47</v>
      </c>
      <c r="J211" s="7" t="n">
        <v>570000</v>
      </c>
      <c r="K211" s="3" t="s">
        <v>75</v>
      </c>
      <c r="L211" s="7" t="n">
        <v>8805.17</v>
      </c>
      <c r="M211" s="7" t="n">
        <v>1100.65</v>
      </c>
      <c r="N211" s="7" t="n">
        <v>1100.65</v>
      </c>
      <c r="O211" s="7" t="n">
        <v>6603.9</v>
      </c>
      <c r="P211" s="7" t="n">
        <v>660.39</v>
      </c>
      <c r="Q211" s="7" t="n">
        <v>660.39</v>
      </c>
      <c r="R211" s="7" t="n">
        <v>660.39</v>
      </c>
      <c r="S211" s="7" t="n">
        <v>660.39</v>
      </c>
      <c r="T211" s="7" t="n">
        <v>660.39</v>
      </c>
      <c r="U211" s="7" t="n">
        <v>660.39</v>
      </c>
      <c r="V211" s="7" t="n">
        <v>660.39</v>
      </c>
      <c r="W211" s="7" t="n">
        <v>660.39</v>
      </c>
      <c r="X211" s="7" t="n">
        <v>660.39</v>
      </c>
      <c r="Y211" s="7" t="n">
        <v>660.39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768</v>
      </c>
      <c r="B212" s="8" t="s">
        <v>769</v>
      </c>
      <c r="C212" s="8" t="s">
        <v>51</v>
      </c>
      <c r="D212" s="8" t="s">
        <v>52</v>
      </c>
      <c r="E212" s="8" t="n">
        <v>1980</v>
      </c>
      <c r="F212" s="8" t="s">
        <v>158</v>
      </c>
      <c r="G212" s="8" t="s">
        <v>159</v>
      </c>
      <c r="H212" s="8" t="s">
        <v>770</v>
      </c>
      <c r="I212" s="8" t="s">
        <v>103</v>
      </c>
      <c r="J212" s="9" t="n">
        <v>840000</v>
      </c>
      <c r="K212" s="8" t="s">
        <v>216</v>
      </c>
      <c r="L212" s="9" t="n">
        <v>10911.23</v>
      </c>
      <c r="M212" s="9" t="n">
        <v>1363.9</v>
      </c>
      <c r="N212" s="9" t="n">
        <v>1363.9</v>
      </c>
      <c r="O212" s="9" t="n">
        <v>8183.4</v>
      </c>
      <c r="P212" s="9" t="n">
        <v>818.34</v>
      </c>
      <c r="Q212" s="9" t="n">
        <v>818.34</v>
      </c>
      <c r="R212" s="9" t="n">
        <v>818.34</v>
      </c>
      <c r="S212" s="9" t="n">
        <v>818.34</v>
      </c>
      <c r="T212" s="9" t="n">
        <v>818.34</v>
      </c>
      <c r="U212" s="9" t="n">
        <v>818.34</v>
      </c>
      <c r="V212" s="9" t="n">
        <v>818.34</v>
      </c>
      <c r="W212" s="9" t="n">
        <v>818.34</v>
      </c>
      <c r="X212" s="9" t="n">
        <v>818.34</v>
      </c>
      <c r="Y212" s="9" t="n">
        <v>818.34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771</v>
      </c>
      <c r="B213" s="3" t="s">
        <v>489</v>
      </c>
      <c r="C213" s="3" t="s">
        <v>134</v>
      </c>
      <c r="D213" s="3" t="s">
        <v>135</v>
      </c>
      <c r="E213" s="3" t="n">
        <v>1989</v>
      </c>
      <c r="F213" s="3" t="s">
        <v>53</v>
      </c>
      <c r="G213" s="3" t="s">
        <v>54</v>
      </c>
      <c r="H213" s="3" t="s">
        <v>772</v>
      </c>
      <c r="I213" s="3" t="s">
        <v>47</v>
      </c>
      <c r="J213" s="7" t="n">
        <v>725000</v>
      </c>
      <c r="K213" s="3" t="s">
        <v>321</v>
      </c>
      <c r="L213" s="7" t="n">
        <v>8256.6</v>
      </c>
      <c r="M213" s="7" t="n">
        <v>1032.08</v>
      </c>
      <c r="N213" s="7" t="n">
        <v>1032.08</v>
      </c>
      <c r="O213" s="7" t="n">
        <v>6192.5</v>
      </c>
      <c r="P213" s="7" t="n">
        <v>619.25</v>
      </c>
      <c r="Q213" s="7" t="n">
        <v>619.25</v>
      </c>
      <c r="R213" s="7" t="n">
        <v>619.25</v>
      </c>
      <c r="S213" s="7" t="n">
        <v>619.25</v>
      </c>
      <c r="T213" s="7" t="n">
        <v>619.25</v>
      </c>
      <c r="U213" s="7" t="n">
        <v>619.25</v>
      </c>
      <c r="V213" s="7" t="n">
        <v>619.25</v>
      </c>
      <c r="W213" s="7" t="n">
        <v>619.25</v>
      </c>
      <c r="X213" s="7" t="n">
        <v>619.25</v>
      </c>
      <c r="Y213" s="7" t="n">
        <v>619.25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773</v>
      </c>
      <c r="B214" s="8" t="s">
        <v>774</v>
      </c>
      <c r="C214" s="8" t="s">
        <v>261</v>
      </c>
      <c r="D214" s="8" t="s">
        <v>262</v>
      </c>
      <c r="E214" s="8" t="n">
        <v>1957</v>
      </c>
      <c r="F214" s="8" t="s">
        <v>68</v>
      </c>
      <c r="G214" s="8" t="s">
        <v>69</v>
      </c>
      <c r="H214" s="8" t="s">
        <v>775</v>
      </c>
      <c r="I214" s="8" t="s">
        <v>47</v>
      </c>
      <c r="J214" s="9" t="n">
        <v>980000</v>
      </c>
      <c r="K214" s="8" t="s">
        <v>75</v>
      </c>
      <c r="L214" s="9" t="n">
        <v>15138.7</v>
      </c>
      <c r="M214" s="9" t="n">
        <v>1892.34</v>
      </c>
      <c r="N214" s="9" t="n">
        <v>1892.34</v>
      </c>
      <c r="O214" s="9" t="n">
        <v>11354</v>
      </c>
      <c r="P214" s="9" t="n">
        <v>1135.4</v>
      </c>
      <c r="Q214" s="9" t="n">
        <v>1135.4</v>
      </c>
      <c r="R214" s="9" t="n">
        <v>1135.4</v>
      </c>
      <c r="S214" s="9" t="n">
        <v>1135.4</v>
      </c>
      <c r="T214" s="9" t="n">
        <v>1135.4</v>
      </c>
      <c r="U214" s="9" t="n">
        <v>1135.4</v>
      </c>
      <c r="V214" s="9" t="n">
        <v>1135.4</v>
      </c>
      <c r="W214" s="9" t="n">
        <v>1135.4</v>
      </c>
      <c r="X214" s="9" t="n">
        <v>1135.4</v>
      </c>
      <c r="Y214" s="9" t="n">
        <v>1135.4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776</v>
      </c>
      <c r="B215" s="3" t="s">
        <v>428</v>
      </c>
      <c r="C215" s="3" t="s">
        <v>465</v>
      </c>
      <c r="D215" s="3" t="s">
        <v>466</v>
      </c>
      <c r="E215" s="3" t="n">
        <v>2023</v>
      </c>
      <c r="F215" s="3" t="s">
        <v>44</v>
      </c>
      <c r="G215" s="3" t="s">
        <v>45</v>
      </c>
      <c r="H215" s="3" t="s">
        <v>777</v>
      </c>
      <c r="I215" s="3" t="s">
        <v>47</v>
      </c>
      <c r="J215" s="7" t="n">
        <v>335000</v>
      </c>
      <c r="K215" s="3" t="s">
        <v>71</v>
      </c>
      <c r="L215" s="7" t="n">
        <v>5578.85</v>
      </c>
      <c r="M215" s="7" t="n">
        <v>697.36</v>
      </c>
      <c r="N215" s="7" t="n">
        <v>697.36</v>
      </c>
      <c r="O215" s="7" t="n">
        <v>4184.1</v>
      </c>
      <c r="P215" s="7" t="n">
        <v>418.41</v>
      </c>
      <c r="Q215" s="7" t="n">
        <v>418.41</v>
      </c>
      <c r="R215" s="7" t="n">
        <v>418.41</v>
      </c>
      <c r="S215" s="7" t="n">
        <v>418.41</v>
      </c>
      <c r="T215" s="7" t="n">
        <v>418.41</v>
      </c>
      <c r="U215" s="7" t="n">
        <v>418.41</v>
      </c>
      <c r="V215" s="7" t="n">
        <v>418.41</v>
      </c>
      <c r="W215" s="7" t="n">
        <v>418.41</v>
      </c>
      <c r="X215" s="7" t="n">
        <v>418.41</v>
      </c>
      <c r="Y215" s="7" t="n">
        <v>418.41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778</v>
      </c>
      <c r="B216" s="8" t="s">
        <v>779</v>
      </c>
      <c r="C216" s="8" t="s">
        <v>58</v>
      </c>
      <c r="D216" s="8" t="s">
        <v>59</v>
      </c>
      <c r="E216" s="8" t="n">
        <v>1961</v>
      </c>
      <c r="F216" s="8" t="s">
        <v>68</v>
      </c>
      <c r="G216" s="8" t="s">
        <v>69</v>
      </c>
      <c r="H216" s="8" t="s">
        <v>780</v>
      </c>
      <c r="I216" s="8" t="s">
        <v>47</v>
      </c>
      <c r="J216" s="9" t="n">
        <v>630000</v>
      </c>
      <c r="K216" s="8" t="s">
        <v>258</v>
      </c>
      <c r="L216" s="9" t="n">
        <v>6890.55</v>
      </c>
      <c r="M216" s="9" t="n">
        <v>861.32</v>
      </c>
      <c r="N216" s="9" t="n">
        <v>861.32</v>
      </c>
      <c r="O216" s="9" t="n">
        <v>5167.9</v>
      </c>
      <c r="P216" s="9" t="n">
        <v>516.79</v>
      </c>
      <c r="Q216" s="9" t="n">
        <v>516.79</v>
      </c>
      <c r="R216" s="9" t="n">
        <v>516.79</v>
      </c>
      <c r="S216" s="9" t="n">
        <v>516.79</v>
      </c>
      <c r="T216" s="9" t="n">
        <v>516.79</v>
      </c>
      <c r="U216" s="9" t="n">
        <v>516.79</v>
      </c>
      <c r="V216" s="9" t="n">
        <v>516.79</v>
      </c>
      <c r="W216" s="9" t="n">
        <v>516.79</v>
      </c>
      <c r="X216" s="9" t="n">
        <v>516.79</v>
      </c>
      <c r="Y216" s="9" t="n">
        <v>516.79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781</v>
      </c>
      <c r="B217" s="3" t="s">
        <v>471</v>
      </c>
      <c r="C217" s="3" t="s">
        <v>120</v>
      </c>
      <c r="D217" s="3" t="s">
        <v>121</v>
      </c>
      <c r="E217" s="3" t="n">
        <v>2011</v>
      </c>
      <c r="F217" s="3" t="s">
        <v>44</v>
      </c>
      <c r="G217" s="3" t="s">
        <v>45</v>
      </c>
      <c r="H217" s="3" t="s">
        <v>782</v>
      </c>
      <c r="I217" s="3" t="s">
        <v>47</v>
      </c>
      <c r="J217" s="7" t="n">
        <v>530000</v>
      </c>
      <c r="K217" s="3" t="s">
        <v>370</v>
      </c>
      <c r="L217" s="7" t="n">
        <v>6573.71</v>
      </c>
      <c r="M217" s="7" t="n">
        <v>821.71</v>
      </c>
      <c r="N217" s="7" t="n">
        <v>821.71</v>
      </c>
      <c r="O217" s="7" t="n">
        <v>4930.3</v>
      </c>
      <c r="P217" s="7" t="n">
        <v>493.03</v>
      </c>
      <c r="Q217" s="7" t="n">
        <v>493.03</v>
      </c>
      <c r="R217" s="7" t="n">
        <v>493.03</v>
      </c>
      <c r="S217" s="7" t="n">
        <v>493.03</v>
      </c>
      <c r="T217" s="7" t="n">
        <v>493.03</v>
      </c>
      <c r="U217" s="7" t="n">
        <v>493.03</v>
      </c>
      <c r="V217" s="7" t="n">
        <v>493.03</v>
      </c>
      <c r="W217" s="7" t="n">
        <v>493.03</v>
      </c>
      <c r="X217" s="7" t="n">
        <v>493.03</v>
      </c>
      <c r="Y217" s="7" t="n">
        <v>493.03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783</v>
      </c>
      <c r="B218" s="8" t="s">
        <v>784</v>
      </c>
      <c r="C218" s="8" t="s">
        <v>465</v>
      </c>
      <c r="D218" s="8" t="s">
        <v>466</v>
      </c>
      <c r="E218" s="8" t="n">
        <v>1994</v>
      </c>
      <c r="F218" s="8" t="s">
        <v>231</v>
      </c>
      <c r="G218" s="8" t="s">
        <v>232</v>
      </c>
      <c r="H218" s="8" t="s">
        <v>785</v>
      </c>
      <c r="I218" s="8" t="s">
        <v>89</v>
      </c>
      <c r="J218" s="9" t="n">
        <v>840000</v>
      </c>
      <c r="K218" s="8" t="s">
        <v>97</v>
      </c>
      <c r="L218" s="9" t="n">
        <v>18826.54</v>
      </c>
      <c r="M218" s="9" t="n">
        <v>2353.32</v>
      </c>
      <c r="N218" s="9" t="n">
        <v>2353.32</v>
      </c>
      <c r="O218" s="9" t="n">
        <v>14119.9</v>
      </c>
      <c r="P218" s="9" t="n">
        <v>1411.99</v>
      </c>
      <c r="Q218" s="9" t="n">
        <v>1411.99</v>
      </c>
      <c r="R218" s="9" t="n">
        <v>1411.99</v>
      </c>
      <c r="S218" s="9" t="n">
        <v>1411.99</v>
      </c>
      <c r="T218" s="9" t="n">
        <v>1411.99</v>
      </c>
      <c r="U218" s="9" t="n">
        <v>1411.99</v>
      </c>
      <c r="V218" s="9" t="n">
        <v>1411.99</v>
      </c>
      <c r="W218" s="9" t="n">
        <v>1411.99</v>
      </c>
      <c r="X218" s="9" t="n">
        <v>1411.99</v>
      </c>
      <c r="Y218" s="9" t="n">
        <v>1411.99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786</v>
      </c>
      <c r="B219" s="3" t="s">
        <v>746</v>
      </c>
      <c r="C219" s="3" t="s">
        <v>168</v>
      </c>
      <c r="D219" s="3" t="s">
        <v>169</v>
      </c>
      <c r="E219" s="3" t="n">
        <v>1976</v>
      </c>
      <c r="F219" s="3" t="s">
        <v>60</v>
      </c>
      <c r="G219" s="3" t="s">
        <v>61</v>
      </c>
      <c r="H219" s="3" t="s">
        <v>787</v>
      </c>
      <c r="I219" s="3" t="s">
        <v>47</v>
      </c>
      <c r="J219" s="7" t="n">
        <v>720000</v>
      </c>
      <c r="K219" s="3" t="s">
        <v>171</v>
      </c>
      <c r="L219" s="7" t="n">
        <v>10959.94</v>
      </c>
      <c r="M219" s="7" t="n">
        <v>1369.99</v>
      </c>
      <c r="N219" s="7" t="n">
        <v>1369.99</v>
      </c>
      <c r="O219" s="7" t="n">
        <v>8220</v>
      </c>
      <c r="P219" s="7" t="n">
        <v>822</v>
      </c>
      <c r="Q219" s="7" t="n">
        <v>822</v>
      </c>
      <c r="R219" s="7" t="n">
        <v>822</v>
      </c>
      <c r="S219" s="7" t="n">
        <v>822</v>
      </c>
      <c r="T219" s="7" t="n">
        <v>822</v>
      </c>
      <c r="U219" s="7" t="n">
        <v>822</v>
      </c>
      <c r="V219" s="7" t="n">
        <v>822</v>
      </c>
      <c r="W219" s="7" t="n">
        <v>822</v>
      </c>
      <c r="X219" s="7" t="n">
        <v>822</v>
      </c>
      <c r="Y219" s="7" t="n">
        <v>822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788</v>
      </c>
      <c r="B220" s="8" t="s">
        <v>789</v>
      </c>
      <c r="C220" s="8" t="s">
        <v>337</v>
      </c>
      <c r="D220" s="8" t="s">
        <v>338</v>
      </c>
      <c r="E220" s="8" t="n">
        <v>2017</v>
      </c>
      <c r="F220" s="8" t="s">
        <v>68</v>
      </c>
      <c r="G220" s="8" t="s">
        <v>69</v>
      </c>
      <c r="H220" s="8" t="s">
        <v>790</v>
      </c>
      <c r="I220" s="8" t="s">
        <v>47</v>
      </c>
      <c r="J220" s="9" t="n">
        <v>360000</v>
      </c>
      <c r="K220" s="8" t="s">
        <v>71</v>
      </c>
      <c r="L220" s="9" t="n">
        <v>5995.18</v>
      </c>
      <c r="M220" s="9" t="n">
        <v>749.4</v>
      </c>
      <c r="N220" s="9" t="n">
        <v>749.4</v>
      </c>
      <c r="O220" s="9" t="n">
        <v>4496.4</v>
      </c>
      <c r="P220" s="9" t="n">
        <v>449.64</v>
      </c>
      <c r="Q220" s="9" t="n">
        <v>449.64</v>
      </c>
      <c r="R220" s="9" t="n">
        <v>449.64</v>
      </c>
      <c r="S220" s="9" t="n">
        <v>449.64</v>
      </c>
      <c r="T220" s="9" t="n">
        <v>449.64</v>
      </c>
      <c r="U220" s="9" t="n">
        <v>449.64</v>
      </c>
      <c r="V220" s="9" t="n">
        <v>449.64</v>
      </c>
      <c r="W220" s="9" t="n">
        <v>449.64</v>
      </c>
      <c r="X220" s="9" t="n">
        <v>449.64</v>
      </c>
      <c r="Y220" s="9" t="n">
        <v>449.64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791</v>
      </c>
      <c r="B221" s="3" t="s">
        <v>792</v>
      </c>
      <c r="C221" s="3" t="s">
        <v>156</v>
      </c>
      <c r="D221" s="3" t="s">
        <v>157</v>
      </c>
      <c r="E221" s="3" t="n">
        <v>2011</v>
      </c>
      <c r="F221" s="3" t="s">
        <v>44</v>
      </c>
      <c r="G221" s="3" t="s">
        <v>45</v>
      </c>
      <c r="H221" s="3" t="s">
        <v>793</v>
      </c>
      <c r="I221" s="3" t="s">
        <v>47</v>
      </c>
      <c r="J221" s="7" t="n">
        <v>305000</v>
      </c>
      <c r="K221" s="3" t="s">
        <v>794</v>
      </c>
      <c r="L221" s="7" t="n">
        <v>4245.94</v>
      </c>
      <c r="M221" s="7" t="n">
        <v>530.74</v>
      </c>
      <c r="N221" s="7" t="n">
        <v>530.74</v>
      </c>
      <c r="O221" s="7" t="n">
        <v>3184.5</v>
      </c>
      <c r="P221" s="7" t="n">
        <v>318.45</v>
      </c>
      <c r="Q221" s="7" t="n">
        <v>318.45</v>
      </c>
      <c r="R221" s="7" t="n">
        <v>318.45</v>
      </c>
      <c r="S221" s="7" t="n">
        <v>318.45</v>
      </c>
      <c r="T221" s="7" t="n">
        <v>318.45</v>
      </c>
      <c r="U221" s="7" t="n">
        <v>318.45</v>
      </c>
      <c r="V221" s="7" t="n">
        <v>318.45</v>
      </c>
      <c r="W221" s="7" t="n">
        <v>318.45</v>
      </c>
      <c r="X221" s="7" t="n">
        <v>318.45</v>
      </c>
      <c r="Y221" s="7" t="n">
        <v>318.45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795</v>
      </c>
      <c r="B222" s="8" t="s">
        <v>743</v>
      </c>
      <c r="C222" s="8" t="s">
        <v>66</v>
      </c>
      <c r="D222" s="8" t="s">
        <v>67</v>
      </c>
      <c r="E222" s="8" t="n">
        <v>2014</v>
      </c>
      <c r="F222" s="8" t="s">
        <v>60</v>
      </c>
      <c r="G222" s="8" t="s">
        <v>61</v>
      </c>
      <c r="H222" s="8" t="s">
        <v>796</v>
      </c>
      <c r="I222" s="8" t="s">
        <v>47</v>
      </c>
      <c r="J222" s="9" t="n">
        <v>565000</v>
      </c>
      <c r="K222" s="8" t="s">
        <v>125</v>
      </c>
      <c r="L222" s="9" t="n">
        <v>9046.46</v>
      </c>
      <c r="M222" s="9" t="n">
        <v>1130.81</v>
      </c>
      <c r="N222" s="9" t="n">
        <v>1130.81</v>
      </c>
      <c r="O222" s="9" t="n">
        <v>6784.8</v>
      </c>
      <c r="P222" s="9" t="n">
        <v>678.48</v>
      </c>
      <c r="Q222" s="9" t="n">
        <v>678.48</v>
      </c>
      <c r="R222" s="9" t="n">
        <v>678.48</v>
      </c>
      <c r="S222" s="9" t="n">
        <v>678.48</v>
      </c>
      <c r="T222" s="9" t="n">
        <v>678.48</v>
      </c>
      <c r="U222" s="9" t="n">
        <v>678.48</v>
      </c>
      <c r="V222" s="9" t="n">
        <v>678.48</v>
      </c>
      <c r="W222" s="9" t="n">
        <v>678.48</v>
      </c>
      <c r="X222" s="9" t="n">
        <v>678.48</v>
      </c>
      <c r="Y222" s="9" t="n">
        <v>678.48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797</v>
      </c>
      <c r="B223" s="3" t="s">
        <v>798</v>
      </c>
      <c r="C223" s="3" t="s">
        <v>274</v>
      </c>
      <c r="D223" s="3" t="s">
        <v>275</v>
      </c>
      <c r="E223" s="3" t="n">
        <v>1983</v>
      </c>
      <c r="F223" s="3" t="s">
        <v>53</v>
      </c>
      <c r="G223" s="3" t="s">
        <v>54</v>
      </c>
      <c r="H223" s="3" t="s">
        <v>799</v>
      </c>
      <c r="I223" s="3" t="s">
        <v>47</v>
      </c>
      <c r="J223" s="7" t="n">
        <v>345000</v>
      </c>
      <c r="K223" s="3" t="s">
        <v>460</v>
      </c>
      <c r="L223" s="7" t="n">
        <v>6059.58</v>
      </c>
      <c r="M223" s="7" t="n">
        <v>757.45</v>
      </c>
      <c r="N223" s="7" t="n">
        <v>757.45</v>
      </c>
      <c r="O223" s="7" t="n">
        <v>4544.7</v>
      </c>
      <c r="P223" s="7" t="n">
        <v>454.47</v>
      </c>
      <c r="Q223" s="7" t="n">
        <v>454.47</v>
      </c>
      <c r="R223" s="7" t="n">
        <v>454.47</v>
      </c>
      <c r="S223" s="7" t="n">
        <v>454.47</v>
      </c>
      <c r="T223" s="7" t="n">
        <v>454.47</v>
      </c>
      <c r="U223" s="7" t="n">
        <v>454.47</v>
      </c>
      <c r="V223" s="7" t="n">
        <v>454.47</v>
      </c>
      <c r="W223" s="7" t="n">
        <v>454.47</v>
      </c>
      <c r="X223" s="7" t="n">
        <v>454.47</v>
      </c>
      <c r="Y223" s="7" t="n">
        <v>454.47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800</v>
      </c>
      <c r="B224" s="8" t="s">
        <v>801</v>
      </c>
      <c r="C224" s="8" t="s">
        <v>51</v>
      </c>
      <c r="D224" s="8" t="s">
        <v>52</v>
      </c>
      <c r="E224" s="8" t="n">
        <v>1997</v>
      </c>
      <c r="F224" s="8" t="s">
        <v>437</v>
      </c>
      <c r="G224" s="8" t="s">
        <v>438</v>
      </c>
      <c r="H224" s="8" t="s">
        <v>802</v>
      </c>
      <c r="I224" s="8" t="s">
        <v>89</v>
      </c>
      <c r="J224" s="9" t="n">
        <v>560000</v>
      </c>
      <c r="K224" s="8" t="s">
        <v>183</v>
      </c>
      <c r="L224" s="9" t="n">
        <v>11443.58</v>
      </c>
      <c r="M224" s="9" t="n">
        <v>1430.45</v>
      </c>
      <c r="N224" s="9" t="n">
        <v>1430.45</v>
      </c>
      <c r="O224" s="9" t="n">
        <v>8582.7</v>
      </c>
      <c r="P224" s="9" t="n">
        <v>858.27</v>
      </c>
      <c r="Q224" s="9" t="n">
        <v>858.27</v>
      </c>
      <c r="R224" s="9" t="n">
        <v>858.27</v>
      </c>
      <c r="S224" s="9" t="n">
        <v>858.27</v>
      </c>
      <c r="T224" s="9" t="n">
        <v>858.27</v>
      </c>
      <c r="U224" s="9" t="n">
        <v>858.27</v>
      </c>
      <c r="V224" s="9" t="n">
        <v>858.27</v>
      </c>
      <c r="W224" s="9" t="n">
        <v>858.27</v>
      </c>
      <c r="X224" s="9" t="n">
        <v>858.27</v>
      </c>
      <c r="Y224" s="9" t="n">
        <v>858.27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803</v>
      </c>
      <c r="B225" s="3" t="s">
        <v>407</v>
      </c>
      <c r="C225" s="3" t="s">
        <v>283</v>
      </c>
      <c r="D225" s="3" t="s">
        <v>284</v>
      </c>
      <c r="E225" s="3" t="n">
        <v>1965</v>
      </c>
      <c r="F225" s="3" t="s">
        <v>44</v>
      </c>
      <c r="G225" s="3" t="s">
        <v>45</v>
      </c>
      <c r="H225" s="3" t="s">
        <v>804</v>
      </c>
      <c r="I225" s="3" t="s">
        <v>47</v>
      </c>
      <c r="J225" s="7" t="n">
        <v>1120000</v>
      </c>
      <c r="K225" s="3" t="s">
        <v>171</v>
      </c>
      <c r="L225" s="7" t="n">
        <v>14425.91</v>
      </c>
      <c r="M225" s="7" t="n">
        <v>1803.24</v>
      </c>
      <c r="N225" s="7" t="n">
        <v>1803.24</v>
      </c>
      <c r="O225" s="7" t="n">
        <v>10819.4</v>
      </c>
      <c r="P225" s="7" t="n">
        <v>1081.94</v>
      </c>
      <c r="Q225" s="7" t="n">
        <v>1081.94</v>
      </c>
      <c r="R225" s="7" t="n">
        <v>1081.94</v>
      </c>
      <c r="S225" s="7" t="n">
        <v>1081.94</v>
      </c>
      <c r="T225" s="7" t="n">
        <v>1081.94</v>
      </c>
      <c r="U225" s="7" t="n">
        <v>1081.94</v>
      </c>
      <c r="V225" s="7" t="n">
        <v>1081.94</v>
      </c>
      <c r="W225" s="7" t="n">
        <v>1081.94</v>
      </c>
      <c r="X225" s="7" t="n">
        <v>1081.94</v>
      </c>
      <c r="Y225" s="7" t="n">
        <v>1081.94</v>
      </c>
      <c r="Z225" s="7" t="n">
        <v>350</v>
      </c>
      <c r="AA225" s="7" t="n">
        <v>250</v>
      </c>
      <c r="AB225" s="7" t="n">
        <v>600</v>
      </c>
    </row>
    <row r="226" customFormat="false" ht="15" hidden="false" customHeight="false" outlineLevel="0" collapsed="false">
      <c r="A226" s="8" t="s">
        <v>805</v>
      </c>
      <c r="B226" s="8" t="s">
        <v>806</v>
      </c>
      <c r="C226" s="8" t="s">
        <v>186</v>
      </c>
      <c r="D226" s="8" t="s">
        <v>187</v>
      </c>
      <c r="E226" s="8" t="n">
        <v>2009</v>
      </c>
      <c r="F226" s="8" t="s">
        <v>53</v>
      </c>
      <c r="G226" s="8" t="s">
        <v>174</v>
      </c>
      <c r="H226" s="8" t="s">
        <v>807</v>
      </c>
      <c r="I226" s="8" t="s">
        <v>96</v>
      </c>
      <c r="J226" s="9" t="n">
        <v>475000</v>
      </c>
      <c r="K226" s="8" t="s">
        <v>193</v>
      </c>
      <c r="L226" s="9" t="n">
        <v>5458.11</v>
      </c>
      <c r="M226" s="9" t="n">
        <v>682.26</v>
      </c>
      <c r="N226" s="9" t="n">
        <v>682.26</v>
      </c>
      <c r="O226" s="9" t="n">
        <v>4093.6</v>
      </c>
      <c r="P226" s="9" t="n">
        <v>409.36</v>
      </c>
      <c r="Q226" s="9" t="n">
        <v>409.36</v>
      </c>
      <c r="R226" s="9" t="n">
        <v>409.36</v>
      </c>
      <c r="S226" s="9" t="n">
        <v>409.36</v>
      </c>
      <c r="T226" s="9" t="n">
        <v>409.36</v>
      </c>
      <c r="U226" s="9" t="n">
        <v>409.36</v>
      </c>
      <c r="V226" s="9" t="n">
        <v>409.36</v>
      </c>
      <c r="W226" s="9" t="n">
        <v>409.36</v>
      </c>
      <c r="X226" s="9" t="n">
        <v>409.36</v>
      </c>
      <c r="Y226" s="9" t="n">
        <v>409.36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808</v>
      </c>
      <c r="B227" s="3" t="s">
        <v>362</v>
      </c>
      <c r="C227" s="3" t="s">
        <v>141</v>
      </c>
      <c r="D227" s="3" t="s">
        <v>142</v>
      </c>
      <c r="E227" s="3" t="n">
        <v>1982</v>
      </c>
      <c r="F227" s="3" t="s">
        <v>231</v>
      </c>
      <c r="G227" s="3" t="s">
        <v>232</v>
      </c>
      <c r="H227" s="3" t="s">
        <v>809</v>
      </c>
      <c r="I227" s="3" t="s">
        <v>89</v>
      </c>
      <c r="J227" s="7" t="n">
        <v>825000</v>
      </c>
      <c r="K227" s="3" t="s">
        <v>294</v>
      </c>
      <c r="L227" s="7" t="n">
        <v>13459.89</v>
      </c>
      <c r="M227" s="7" t="n">
        <v>1682.49</v>
      </c>
      <c r="N227" s="7" t="n">
        <v>1682.49</v>
      </c>
      <c r="O227" s="7" t="n">
        <v>10094.9</v>
      </c>
      <c r="P227" s="7" t="n">
        <v>1009.49</v>
      </c>
      <c r="Q227" s="7" t="n">
        <v>1009.49</v>
      </c>
      <c r="R227" s="7" t="n">
        <v>1009.49</v>
      </c>
      <c r="S227" s="7" t="n">
        <v>1009.49</v>
      </c>
      <c r="T227" s="7" t="n">
        <v>1009.49</v>
      </c>
      <c r="U227" s="7" t="n">
        <v>1009.49</v>
      </c>
      <c r="V227" s="7" t="n">
        <v>1009.49</v>
      </c>
      <c r="W227" s="7" t="n">
        <v>1009.49</v>
      </c>
      <c r="X227" s="7" t="n">
        <v>1009.49</v>
      </c>
      <c r="Y227" s="7" t="n">
        <v>1009.49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810</v>
      </c>
      <c r="B228" s="8" t="s">
        <v>77</v>
      </c>
      <c r="C228" s="8" t="s">
        <v>148</v>
      </c>
      <c r="D228" s="8" t="s">
        <v>149</v>
      </c>
      <c r="E228" s="8" t="n">
        <v>1977</v>
      </c>
      <c r="F228" s="8" t="s">
        <v>122</v>
      </c>
      <c r="G228" s="8" t="s">
        <v>130</v>
      </c>
      <c r="H228" s="8" t="s">
        <v>811</v>
      </c>
      <c r="I228" s="8" t="s">
        <v>96</v>
      </c>
      <c r="J228" s="9" t="n">
        <v>425000</v>
      </c>
      <c r="K228" s="8" t="s">
        <v>216</v>
      </c>
      <c r="L228" s="9" t="n">
        <v>3397.27</v>
      </c>
      <c r="M228" s="9" t="n">
        <v>424.66</v>
      </c>
      <c r="N228" s="9" t="n">
        <v>424.66</v>
      </c>
      <c r="O228" s="9" t="n">
        <v>2548</v>
      </c>
      <c r="P228" s="9" t="n">
        <v>254.8</v>
      </c>
      <c r="Q228" s="9" t="n">
        <v>254.8</v>
      </c>
      <c r="R228" s="9" t="n">
        <v>254.8</v>
      </c>
      <c r="S228" s="9" t="n">
        <v>254.8</v>
      </c>
      <c r="T228" s="9" t="n">
        <v>254.8</v>
      </c>
      <c r="U228" s="9" t="n">
        <v>254.8</v>
      </c>
      <c r="V228" s="9" t="n">
        <v>254.8</v>
      </c>
      <c r="W228" s="9" t="n">
        <v>254.8</v>
      </c>
      <c r="X228" s="9" t="n">
        <v>254.8</v>
      </c>
      <c r="Y228" s="9" t="n">
        <v>254.8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812</v>
      </c>
      <c r="B229" s="3" t="s">
        <v>813</v>
      </c>
      <c r="C229" s="3" t="s">
        <v>66</v>
      </c>
      <c r="D229" s="3" t="s">
        <v>67</v>
      </c>
      <c r="E229" s="3" t="n">
        <v>2002</v>
      </c>
      <c r="F229" s="3" t="s">
        <v>122</v>
      </c>
      <c r="G229" s="3" t="s">
        <v>123</v>
      </c>
      <c r="H229" s="3" t="s">
        <v>814</v>
      </c>
      <c r="I229" s="3" t="s">
        <v>47</v>
      </c>
      <c r="J229" s="7" t="n">
        <v>215000</v>
      </c>
      <c r="K229" s="3" t="s">
        <v>357</v>
      </c>
      <c r="L229" s="7" t="n">
        <v>3191.08</v>
      </c>
      <c r="M229" s="7" t="n">
        <v>398.88</v>
      </c>
      <c r="N229" s="7" t="n">
        <v>398.88</v>
      </c>
      <c r="O229" s="7" t="n">
        <v>2393.3</v>
      </c>
      <c r="P229" s="7" t="n">
        <v>239.33</v>
      </c>
      <c r="Q229" s="7" t="n">
        <v>239.33</v>
      </c>
      <c r="R229" s="7" t="n">
        <v>239.33</v>
      </c>
      <c r="S229" s="7" t="n">
        <v>239.33</v>
      </c>
      <c r="T229" s="7" t="n">
        <v>239.33</v>
      </c>
      <c r="U229" s="7" t="n">
        <v>239.33</v>
      </c>
      <c r="V229" s="7" t="n">
        <v>239.33</v>
      </c>
      <c r="W229" s="7" t="n">
        <v>239.33</v>
      </c>
      <c r="X229" s="7" t="n">
        <v>239.33</v>
      </c>
      <c r="Y229" s="7" t="n">
        <v>239.33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815</v>
      </c>
      <c r="B230" s="8" t="s">
        <v>816</v>
      </c>
      <c r="C230" s="8" t="s">
        <v>354</v>
      </c>
      <c r="D230" s="8" t="s">
        <v>355</v>
      </c>
      <c r="E230" s="8" t="n">
        <v>1992</v>
      </c>
      <c r="F230" s="8" t="s">
        <v>86</v>
      </c>
      <c r="G230" s="8" t="s">
        <v>181</v>
      </c>
      <c r="H230" s="8" t="s">
        <v>817</v>
      </c>
      <c r="I230" s="8" t="s">
        <v>96</v>
      </c>
      <c r="J230" s="9" t="n">
        <v>750000</v>
      </c>
      <c r="K230" s="8" t="s">
        <v>443</v>
      </c>
      <c r="L230" s="9" t="n">
        <v>6097.97</v>
      </c>
      <c r="M230" s="9" t="n">
        <v>762.25</v>
      </c>
      <c r="N230" s="9" t="n">
        <v>762.25</v>
      </c>
      <c r="O230" s="9" t="n">
        <v>4573.5</v>
      </c>
      <c r="P230" s="9" t="n">
        <v>457.35</v>
      </c>
      <c r="Q230" s="9" t="n">
        <v>457.35</v>
      </c>
      <c r="R230" s="9" t="n">
        <v>457.35</v>
      </c>
      <c r="S230" s="9" t="n">
        <v>457.35</v>
      </c>
      <c r="T230" s="9" t="n">
        <v>457.35</v>
      </c>
      <c r="U230" s="9" t="n">
        <v>457.35</v>
      </c>
      <c r="V230" s="9" t="n">
        <v>457.35</v>
      </c>
      <c r="W230" s="9" t="n">
        <v>457.35</v>
      </c>
      <c r="X230" s="9" t="n">
        <v>457.35</v>
      </c>
      <c r="Y230" s="9" t="n">
        <v>457.35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818</v>
      </c>
      <c r="B231" s="3" t="s">
        <v>819</v>
      </c>
      <c r="C231" s="3" t="s">
        <v>465</v>
      </c>
      <c r="D231" s="3" t="s">
        <v>466</v>
      </c>
      <c r="E231" s="3" t="n">
        <v>2014</v>
      </c>
      <c r="F231" s="3" t="s">
        <v>68</v>
      </c>
      <c r="G231" s="3" t="s">
        <v>69</v>
      </c>
      <c r="H231" s="3" t="s">
        <v>820</v>
      </c>
      <c r="I231" s="3" t="s">
        <v>47</v>
      </c>
      <c r="J231" s="7" t="n">
        <v>380000</v>
      </c>
      <c r="K231" s="3" t="s">
        <v>254</v>
      </c>
      <c r="L231" s="7" t="n">
        <v>6526</v>
      </c>
      <c r="M231" s="7" t="n">
        <v>815.75</v>
      </c>
      <c r="N231" s="7" t="n">
        <v>815.75</v>
      </c>
      <c r="O231" s="7" t="n">
        <v>4894.5</v>
      </c>
      <c r="P231" s="7" t="n">
        <v>489.45</v>
      </c>
      <c r="Q231" s="7" t="n">
        <v>489.45</v>
      </c>
      <c r="R231" s="7" t="n">
        <v>489.45</v>
      </c>
      <c r="S231" s="7" t="n">
        <v>489.45</v>
      </c>
      <c r="T231" s="7" t="n">
        <v>489.45</v>
      </c>
      <c r="U231" s="7" t="n">
        <v>489.45</v>
      </c>
      <c r="V231" s="7" t="n">
        <v>489.45</v>
      </c>
      <c r="W231" s="7" t="n">
        <v>489.45</v>
      </c>
      <c r="X231" s="7" t="n">
        <v>489.45</v>
      </c>
      <c r="Y231" s="7" t="n">
        <v>489.45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821</v>
      </c>
      <c r="B232" s="8" t="s">
        <v>822</v>
      </c>
      <c r="C232" s="8" t="s">
        <v>78</v>
      </c>
      <c r="D232" s="8" t="s">
        <v>79</v>
      </c>
      <c r="E232" s="8" t="n">
        <v>2009</v>
      </c>
      <c r="F232" s="8" t="s">
        <v>122</v>
      </c>
      <c r="G232" s="8" t="s">
        <v>130</v>
      </c>
      <c r="H232" s="8" t="s">
        <v>823</v>
      </c>
      <c r="I232" s="8" t="s">
        <v>96</v>
      </c>
      <c r="J232" s="9" t="n">
        <v>890000</v>
      </c>
      <c r="K232" s="8" t="s">
        <v>226</v>
      </c>
      <c r="L232" s="9" t="n">
        <v>7169.87</v>
      </c>
      <c r="M232" s="9" t="n">
        <v>896.23</v>
      </c>
      <c r="N232" s="9" t="n">
        <v>896.23</v>
      </c>
      <c r="O232" s="9" t="n">
        <v>5377.4</v>
      </c>
      <c r="P232" s="9" t="n">
        <v>537.74</v>
      </c>
      <c r="Q232" s="9" t="n">
        <v>537.74</v>
      </c>
      <c r="R232" s="9" t="n">
        <v>537.74</v>
      </c>
      <c r="S232" s="9" t="n">
        <v>537.74</v>
      </c>
      <c r="T232" s="9" t="n">
        <v>537.74</v>
      </c>
      <c r="U232" s="9" t="n">
        <v>537.74</v>
      </c>
      <c r="V232" s="9" t="n">
        <v>537.74</v>
      </c>
      <c r="W232" s="9" t="n">
        <v>537.74</v>
      </c>
      <c r="X232" s="9" t="n">
        <v>537.74</v>
      </c>
      <c r="Y232" s="9" t="n">
        <v>537.74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824</v>
      </c>
      <c r="B233" s="3" t="s">
        <v>825</v>
      </c>
      <c r="C233" s="3" t="s">
        <v>84</v>
      </c>
      <c r="D233" s="3" t="s">
        <v>85</v>
      </c>
      <c r="E233" s="3" t="n">
        <v>1964</v>
      </c>
      <c r="F233" s="3" t="s">
        <v>231</v>
      </c>
      <c r="G233" s="3" t="s">
        <v>232</v>
      </c>
      <c r="H233" s="3" t="s">
        <v>826</v>
      </c>
      <c r="I233" s="3" t="s">
        <v>89</v>
      </c>
      <c r="J233" s="7" t="n">
        <v>1090000</v>
      </c>
      <c r="K233" s="3" t="s">
        <v>258</v>
      </c>
      <c r="L233" s="7" t="n">
        <v>14672.93</v>
      </c>
      <c r="M233" s="7" t="n">
        <v>1834.12</v>
      </c>
      <c r="N233" s="7" t="n">
        <v>1834.12</v>
      </c>
      <c r="O233" s="7" t="n">
        <v>11004.7</v>
      </c>
      <c r="P233" s="7" t="n">
        <v>1100.47</v>
      </c>
      <c r="Q233" s="7" t="n">
        <v>1100.47</v>
      </c>
      <c r="R233" s="7" t="n">
        <v>1100.47</v>
      </c>
      <c r="S233" s="7" t="n">
        <v>1100.47</v>
      </c>
      <c r="T233" s="7" t="n">
        <v>1100.47</v>
      </c>
      <c r="U233" s="7" t="n">
        <v>1100.47</v>
      </c>
      <c r="V233" s="7" t="n">
        <v>1100.47</v>
      </c>
      <c r="W233" s="7" t="n">
        <v>1100.47</v>
      </c>
      <c r="X233" s="7" t="n">
        <v>1100.47</v>
      </c>
      <c r="Y233" s="7" t="n">
        <v>1100.47</v>
      </c>
      <c r="Z233" s="7" t="n">
        <v>350</v>
      </c>
      <c r="AA233" s="7" t="n">
        <v>250</v>
      </c>
      <c r="AB233" s="7" t="n">
        <v>600</v>
      </c>
    </row>
    <row r="234" customFormat="false" ht="15" hidden="false" customHeight="false" outlineLevel="0" collapsed="false">
      <c r="A234" s="8" t="s">
        <v>827</v>
      </c>
      <c r="B234" s="8" t="s">
        <v>828</v>
      </c>
      <c r="C234" s="8" t="s">
        <v>432</v>
      </c>
      <c r="D234" s="8" t="s">
        <v>433</v>
      </c>
      <c r="E234" s="8" t="n">
        <v>1978</v>
      </c>
      <c r="F234" s="8" t="s">
        <v>68</v>
      </c>
      <c r="G234" s="8" t="s">
        <v>69</v>
      </c>
      <c r="H234" s="8" t="s">
        <v>829</v>
      </c>
      <c r="I234" s="8" t="s">
        <v>47</v>
      </c>
      <c r="J234" s="9" t="n">
        <v>400000</v>
      </c>
      <c r="K234" s="8" t="s">
        <v>234</v>
      </c>
      <c r="L234" s="9" t="n">
        <v>4735.77</v>
      </c>
      <c r="M234" s="9" t="n">
        <v>591.97</v>
      </c>
      <c r="N234" s="9" t="n">
        <v>591.97</v>
      </c>
      <c r="O234" s="9" t="n">
        <v>3551.8</v>
      </c>
      <c r="P234" s="9" t="n">
        <v>355.18</v>
      </c>
      <c r="Q234" s="9" t="n">
        <v>355.18</v>
      </c>
      <c r="R234" s="9" t="n">
        <v>355.18</v>
      </c>
      <c r="S234" s="9" t="n">
        <v>355.18</v>
      </c>
      <c r="T234" s="9" t="n">
        <v>355.18</v>
      </c>
      <c r="U234" s="9" t="n">
        <v>355.18</v>
      </c>
      <c r="V234" s="9" t="n">
        <v>355.18</v>
      </c>
      <c r="W234" s="9" t="n">
        <v>355.18</v>
      </c>
      <c r="X234" s="9" t="n">
        <v>355.18</v>
      </c>
      <c r="Y234" s="9" t="n">
        <v>355.18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830</v>
      </c>
      <c r="B235" s="3" t="s">
        <v>831</v>
      </c>
      <c r="C235" s="3" t="s">
        <v>134</v>
      </c>
      <c r="D235" s="3" t="s">
        <v>135</v>
      </c>
      <c r="E235" s="3" t="n">
        <v>2012</v>
      </c>
      <c r="F235" s="3" t="s">
        <v>53</v>
      </c>
      <c r="G235" s="3" t="s">
        <v>174</v>
      </c>
      <c r="H235" s="3" t="s">
        <v>832</v>
      </c>
      <c r="I235" s="3" t="s">
        <v>96</v>
      </c>
      <c r="J235" s="7" t="n">
        <v>1450000</v>
      </c>
      <c r="K235" s="3" t="s">
        <v>510</v>
      </c>
      <c r="L235" s="7" t="n">
        <v>10131.79</v>
      </c>
      <c r="M235" s="7" t="n">
        <v>1266.47</v>
      </c>
      <c r="N235" s="7" t="n">
        <v>1266.47</v>
      </c>
      <c r="O235" s="7" t="n">
        <v>7598.8</v>
      </c>
      <c r="P235" s="7" t="n">
        <v>759.88</v>
      </c>
      <c r="Q235" s="7" t="n">
        <v>759.88</v>
      </c>
      <c r="R235" s="7" t="n">
        <v>759.88</v>
      </c>
      <c r="S235" s="7" t="n">
        <v>759.88</v>
      </c>
      <c r="T235" s="7" t="n">
        <v>759.88</v>
      </c>
      <c r="U235" s="7" t="n">
        <v>759.88</v>
      </c>
      <c r="V235" s="7" t="n">
        <v>759.88</v>
      </c>
      <c r="W235" s="7" t="n">
        <v>759.88</v>
      </c>
      <c r="X235" s="7" t="n">
        <v>759.88</v>
      </c>
      <c r="Y235" s="7" t="n">
        <v>759.88</v>
      </c>
      <c r="Z235" s="7" t="n">
        <v>350</v>
      </c>
      <c r="AA235" s="7" t="n">
        <v>250</v>
      </c>
      <c r="AB235" s="7" t="n">
        <v>600</v>
      </c>
    </row>
    <row r="236" customFormat="false" ht="15" hidden="false" customHeight="false" outlineLevel="0" collapsed="false">
      <c r="A236" s="8" t="s">
        <v>833</v>
      </c>
      <c r="B236" s="8" t="s">
        <v>834</v>
      </c>
      <c r="C236" s="8" t="s">
        <v>42</v>
      </c>
      <c r="D236" s="8" t="s">
        <v>43</v>
      </c>
      <c r="E236" s="8" t="n">
        <v>1994</v>
      </c>
      <c r="F236" s="8" t="s">
        <v>53</v>
      </c>
      <c r="G236" s="8" t="s">
        <v>54</v>
      </c>
      <c r="H236" s="8" t="s">
        <v>835</v>
      </c>
      <c r="I236" s="8" t="s">
        <v>47</v>
      </c>
      <c r="J236" s="9" t="n">
        <v>430000</v>
      </c>
      <c r="K236" s="8" t="s">
        <v>487</v>
      </c>
      <c r="L236" s="9" t="n">
        <v>6657.41</v>
      </c>
      <c r="M236" s="9" t="n">
        <v>832.18</v>
      </c>
      <c r="N236" s="9" t="n">
        <v>832.18</v>
      </c>
      <c r="O236" s="9" t="n">
        <v>4993.1</v>
      </c>
      <c r="P236" s="9" t="n">
        <v>499.31</v>
      </c>
      <c r="Q236" s="9" t="n">
        <v>499.31</v>
      </c>
      <c r="R236" s="9" t="n">
        <v>499.31</v>
      </c>
      <c r="S236" s="9" t="n">
        <v>499.31</v>
      </c>
      <c r="T236" s="9" t="n">
        <v>499.31</v>
      </c>
      <c r="U236" s="9" t="n">
        <v>499.31</v>
      </c>
      <c r="V236" s="9" t="n">
        <v>499.31</v>
      </c>
      <c r="W236" s="9" t="n">
        <v>499.31</v>
      </c>
      <c r="X236" s="9" t="n">
        <v>499.31</v>
      </c>
      <c r="Y236" s="9" t="n">
        <v>499.31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836</v>
      </c>
      <c r="B237" s="3" t="s">
        <v>837</v>
      </c>
      <c r="C237" s="3" t="s">
        <v>78</v>
      </c>
      <c r="D237" s="3" t="s">
        <v>79</v>
      </c>
      <c r="E237" s="3" t="n">
        <v>1972</v>
      </c>
      <c r="F237" s="3" t="s">
        <v>86</v>
      </c>
      <c r="G237" s="3" t="s">
        <v>87</v>
      </c>
      <c r="H237" s="3" t="s">
        <v>838</v>
      </c>
      <c r="I237" s="3" t="s">
        <v>89</v>
      </c>
      <c r="J237" s="7" t="n">
        <v>560000</v>
      </c>
      <c r="K237" s="3" t="s">
        <v>117</v>
      </c>
      <c r="L237" s="7" t="n">
        <v>10613</v>
      </c>
      <c r="M237" s="7" t="n">
        <v>1326.62</v>
      </c>
      <c r="N237" s="7" t="n">
        <v>1326.62</v>
      </c>
      <c r="O237" s="7" t="n">
        <v>7959.8</v>
      </c>
      <c r="P237" s="7" t="n">
        <v>795.98</v>
      </c>
      <c r="Q237" s="7" t="n">
        <v>795.98</v>
      </c>
      <c r="R237" s="7" t="n">
        <v>795.98</v>
      </c>
      <c r="S237" s="7" t="n">
        <v>795.98</v>
      </c>
      <c r="T237" s="7" t="n">
        <v>795.98</v>
      </c>
      <c r="U237" s="7" t="n">
        <v>795.98</v>
      </c>
      <c r="V237" s="7" t="n">
        <v>795.98</v>
      </c>
      <c r="W237" s="7" t="n">
        <v>795.98</v>
      </c>
      <c r="X237" s="7" t="n">
        <v>795.98</v>
      </c>
      <c r="Y237" s="7" t="n">
        <v>795.98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839</v>
      </c>
      <c r="B238" s="8" t="s">
        <v>840</v>
      </c>
      <c r="C238" s="8" t="s">
        <v>66</v>
      </c>
      <c r="D238" s="8" t="s">
        <v>67</v>
      </c>
      <c r="E238" s="8" t="n">
        <v>1971</v>
      </c>
      <c r="F238" s="8" t="s">
        <v>478</v>
      </c>
      <c r="G238" s="8" t="s">
        <v>479</v>
      </c>
      <c r="H238" s="8" t="s">
        <v>841</v>
      </c>
      <c r="I238" s="8" t="s">
        <v>103</v>
      </c>
      <c r="J238" s="9" t="n">
        <v>505000</v>
      </c>
      <c r="K238" s="8" t="s">
        <v>420</v>
      </c>
      <c r="L238" s="9" t="n">
        <v>8541.31</v>
      </c>
      <c r="M238" s="9" t="n">
        <v>1067.66</v>
      </c>
      <c r="N238" s="9" t="n">
        <v>1067.66</v>
      </c>
      <c r="O238" s="9" t="n">
        <v>6406</v>
      </c>
      <c r="P238" s="9" t="n">
        <v>640.6</v>
      </c>
      <c r="Q238" s="9" t="n">
        <v>640.6</v>
      </c>
      <c r="R238" s="9" t="n">
        <v>640.6</v>
      </c>
      <c r="S238" s="9" t="n">
        <v>640.6</v>
      </c>
      <c r="T238" s="9" t="n">
        <v>640.6</v>
      </c>
      <c r="U238" s="9" t="n">
        <v>640.6</v>
      </c>
      <c r="V238" s="9" t="n">
        <v>640.6</v>
      </c>
      <c r="W238" s="9" t="n">
        <v>640.6</v>
      </c>
      <c r="X238" s="9" t="n">
        <v>640.6</v>
      </c>
      <c r="Y238" s="9" t="n">
        <v>640.6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842</v>
      </c>
      <c r="B239" s="3" t="s">
        <v>843</v>
      </c>
      <c r="C239" s="3" t="s">
        <v>168</v>
      </c>
      <c r="D239" s="3" t="s">
        <v>169</v>
      </c>
      <c r="E239" s="3" t="n">
        <v>1959</v>
      </c>
      <c r="F239" s="3" t="s">
        <v>68</v>
      </c>
      <c r="G239" s="3" t="s">
        <v>69</v>
      </c>
      <c r="H239" s="3" t="s">
        <v>844</v>
      </c>
      <c r="I239" s="3" t="s">
        <v>47</v>
      </c>
      <c r="J239" s="7" t="n">
        <v>255000</v>
      </c>
      <c r="K239" s="3" t="s">
        <v>453</v>
      </c>
      <c r="L239" s="7" t="n">
        <v>3384</v>
      </c>
      <c r="M239" s="7" t="n">
        <v>423</v>
      </c>
      <c r="N239" s="7" t="n">
        <v>423</v>
      </c>
      <c r="O239" s="7" t="n">
        <v>2538</v>
      </c>
      <c r="P239" s="7" t="n">
        <v>253.8</v>
      </c>
      <c r="Q239" s="7" t="n">
        <v>253.8</v>
      </c>
      <c r="R239" s="7" t="n">
        <v>253.8</v>
      </c>
      <c r="S239" s="7" t="n">
        <v>253.8</v>
      </c>
      <c r="T239" s="7" t="n">
        <v>253.8</v>
      </c>
      <c r="U239" s="7" t="n">
        <v>253.8</v>
      </c>
      <c r="V239" s="7" t="n">
        <v>253.8</v>
      </c>
      <c r="W239" s="7" t="n">
        <v>253.8</v>
      </c>
      <c r="X239" s="7" t="n">
        <v>253.8</v>
      </c>
      <c r="Y239" s="7" t="n">
        <v>253.8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845</v>
      </c>
      <c r="B240" s="8" t="s">
        <v>846</v>
      </c>
      <c r="C240" s="8" t="s">
        <v>84</v>
      </c>
      <c r="D240" s="8" t="s">
        <v>85</v>
      </c>
      <c r="E240" s="8" t="n">
        <v>1998</v>
      </c>
      <c r="F240" s="8" t="s">
        <v>44</v>
      </c>
      <c r="G240" s="8" t="s">
        <v>45</v>
      </c>
      <c r="H240" s="8" t="s">
        <v>847</v>
      </c>
      <c r="I240" s="8" t="s">
        <v>47</v>
      </c>
      <c r="J240" s="9" t="n">
        <v>445000</v>
      </c>
      <c r="K240" s="8" t="s">
        <v>243</v>
      </c>
      <c r="L240" s="9" t="n">
        <v>7410.71</v>
      </c>
      <c r="M240" s="9" t="n">
        <v>926.34</v>
      </c>
      <c r="N240" s="9" t="n">
        <v>926.34</v>
      </c>
      <c r="O240" s="9" t="n">
        <v>5558</v>
      </c>
      <c r="P240" s="9" t="n">
        <v>555.8</v>
      </c>
      <c r="Q240" s="9" t="n">
        <v>555.8</v>
      </c>
      <c r="R240" s="9" t="n">
        <v>555.8</v>
      </c>
      <c r="S240" s="9" t="n">
        <v>555.8</v>
      </c>
      <c r="T240" s="9" t="n">
        <v>555.8</v>
      </c>
      <c r="U240" s="9" t="n">
        <v>555.8</v>
      </c>
      <c r="V240" s="9" t="n">
        <v>555.8</v>
      </c>
      <c r="W240" s="9" t="n">
        <v>555.8</v>
      </c>
      <c r="X240" s="9" t="n">
        <v>555.8</v>
      </c>
      <c r="Y240" s="9" t="n">
        <v>555.8</v>
      </c>
      <c r="Z240" s="9" t="n">
        <v>350</v>
      </c>
      <c r="AA240" s="9" t="n">
        <v>0</v>
      </c>
      <c r="AB240" s="9" t="n">
        <v>350</v>
      </c>
    </row>
    <row r="241" customFormat="false" ht="15" hidden="false" customHeight="false" outlineLevel="0" collapsed="false">
      <c r="A241" s="3" t="s">
        <v>848</v>
      </c>
      <c r="B241" s="3" t="s">
        <v>849</v>
      </c>
      <c r="C241" s="3" t="s">
        <v>229</v>
      </c>
      <c r="D241" s="3" t="s">
        <v>230</v>
      </c>
      <c r="E241" s="3" t="n">
        <v>1975</v>
      </c>
      <c r="F241" s="3" t="s">
        <v>60</v>
      </c>
      <c r="G241" s="3" t="s">
        <v>61</v>
      </c>
      <c r="H241" s="3" t="s">
        <v>850</v>
      </c>
      <c r="I241" s="3" t="s">
        <v>47</v>
      </c>
      <c r="J241" s="7" t="n">
        <v>610000</v>
      </c>
      <c r="K241" s="3" t="s">
        <v>125</v>
      </c>
      <c r="L241" s="7" t="n">
        <v>9766.98</v>
      </c>
      <c r="M241" s="7" t="n">
        <v>1220.87</v>
      </c>
      <c r="N241" s="7" t="n">
        <v>1220.87</v>
      </c>
      <c r="O241" s="7" t="n">
        <v>7325.2</v>
      </c>
      <c r="P241" s="7" t="n">
        <v>732.52</v>
      </c>
      <c r="Q241" s="7" t="n">
        <v>732.52</v>
      </c>
      <c r="R241" s="7" t="n">
        <v>732.52</v>
      </c>
      <c r="S241" s="7" t="n">
        <v>732.52</v>
      </c>
      <c r="T241" s="7" t="n">
        <v>732.52</v>
      </c>
      <c r="U241" s="7" t="n">
        <v>732.52</v>
      </c>
      <c r="V241" s="7" t="n">
        <v>732.52</v>
      </c>
      <c r="W241" s="7" t="n">
        <v>732.52</v>
      </c>
      <c r="X241" s="7" t="n">
        <v>732.52</v>
      </c>
      <c r="Y241" s="7" t="n">
        <v>732.52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851</v>
      </c>
      <c r="B242" s="8" t="s">
        <v>852</v>
      </c>
      <c r="C242" s="8" t="s">
        <v>261</v>
      </c>
      <c r="D242" s="8" t="s">
        <v>262</v>
      </c>
      <c r="E242" s="8" t="n">
        <v>1965</v>
      </c>
      <c r="F242" s="8" t="s">
        <v>53</v>
      </c>
      <c r="G242" s="8" t="s">
        <v>54</v>
      </c>
      <c r="H242" s="8" t="s">
        <v>853</v>
      </c>
      <c r="I242" s="8" t="s">
        <v>47</v>
      </c>
      <c r="J242" s="9" t="n">
        <v>205000</v>
      </c>
      <c r="K242" s="8" t="s">
        <v>794</v>
      </c>
      <c r="L242" s="9" t="n">
        <v>3500.69</v>
      </c>
      <c r="M242" s="9" t="n">
        <v>437.59</v>
      </c>
      <c r="N242" s="9" t="n">
        <v>437.59</v>
      </c>
      <c r="O242" s="9" t="n">
        <v>2625.5</v>
      </c>
      <c r="P242" s="9" t="n">
        <v>262.55</v>
      </c>
      <c r="Q242" s="9" t="n">
        <v>262.55</v>
      </c>
      <c r="R242" s="9" t="n">
        <v>262.55</v>
      </c>
      <c r="S242" s="9" t="n">
        <v>262.55</v>
      </c>
      <c r="T242" s="9" t="n">
        <v>262.55</v>
      </c>
      <c r="U242" s="9" t="n">
        <v>262.55</v>
      </c>
      <c r="V242" s="9" t="n">
        <v>262.55</v>
      </c>
      <c r="W242" s="9" t="n">
        <v>262.55</v>
      </c>
      <c r="X242" s="9" t="n">
        <v>262.55</v>
      </c>
      <c r="Y242" s="9" t="n">
        <v>262.55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854</v>
      </c>
      <c r="B243" s="3" t="s">
        <v>855</v>
      </c>
      <c r="C243" s="3" t="s">
        <v>156</v>
      </c>
      <c r="D243" s="3" t="s">
        <v>157</v>
      </c>
      <c r="E243" s="3" t="n">
        <v>2008</v>
      </c>
      <c r="F243" s="3" t="s">
        <v>60</v>
      </c>
      <c r="G243" s="3" t="s">
        <v>61</v>
      </c>
      <c r="H243" s="3" t="s">
        <v>856</v>
      </c>
      <c r="I243" s="3" t="s">
        <v>47</v>
      </c>
      <c r="J243" s="7" t="n">
        <v>805000</v>
      </c>
      <c r="K243" s="3" t="s">
        <v>138</v>
      </c>
      <c r="L243" s="7" t="n">
        <v>12616.9</v>
      </c>
      <c r="M243" s="7" t="n">
        <v>1577.11</v>
      </c>
      <c r="N243" s="7" t="n">
        <v>1577.11</v>
      </c>
      <c r="O243" s="7" t="n">
        <v>9462.7</v>
      </c>
      <c r="P243" s="7" t="n">
        <v>946.27</v>
      </c>
      <c r="Q243" s="7" t="n">
        <v>946.27</v>
      </c>
      <c r="R243" s="7" t="n">
        <v>946.27</v>
      </c>
      <c r="S243" s="7" t="n">
        <v>946.27</v>
      </c>
      <c r="T243" s="7" t="n">
        <v>946.27</v>
      </c>
      <c r="U243" s="7" t="n">
        <v>946.27</v>
      </c>
      <c r="V243" s="7" t="n">
        <v>946.27</v>
      </c>
      <c r="W243" s="7" t="n">
        <v>946.27</v>
      </c>
      <c r="X243" s="7" t="n">
        <v>946.27</v>
      </c>
      <c r="Y243" s="7" t="n">
        <v>946.27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857</v>
      </c>
      <c r="B244" s="8" t="s">
        <v>858</v>
      </c>
      <c r="C244" s="8" t="s">
        <v>58</v>
      </c>
      <c r="D244" s="8" t="s">
        <v>59</v>
      </c>
      <c r="E244" s="8" t="n">
        <v>2013</v>
      </c>
      <c r="F244" s="8" t="s">
        <v>231</v>
      </c>
      <c r="G244" s="8" t="s">
        <v>232</v>
      </c>
      <c r="H244" s="8" t="s">
        <v>859</v>
      </c>
      <c r="I244" s="8" t="s">
        <v>89</v>
      </c>
      <c r="J244" s="9" t="n">
        <v>660000</v>
      </c>
      <c r="K244" s="8" t="s">
        <v>860</v>
      </c>
      <c r="L244" s="9" t="n">
        <v>12073.11</v>
      </c>
      <c r="M244" s="9" t="n">
        <v>1509.14</v>
      </c>
      <c r="N244" s="9" t="n">
        <v>1509.14</v>
      </c>
      <c r="O244" s="9" t="n">
        <v>9054.8</v>
      </c>
      <c r="P244" s="9" t="n">
        <v>905.48</v>
      </c>
      <c r="Q244" s="9" t="n">
        <v>905.48</v>
      </c>
      <c r="R244" s="9" t="n">
        <v>905.48</v>
      </c>
      <c r="S244" s="9" t="n">
        <v>905.48</v>
      </c>
      <c r="T244" s="9" t="n">
        <v>905.48</v>
      </c>
      <c r="U244" s="9" t="n">
        <v>905.48</v>
      </c>
      <c r="V244" s="9" t="n">
        <v>905.48</v>
      </c>
      <c r="W244" s="9" t="n">
        <v>905.48</v>
      </c>
      <c r="X244" s="9" t="n">
        <v>905.48</v>
      </c>
      <c r="Y244" s="9" t="n">
        <v>905.48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861</v>
      </c>
      <c r="B245" s="3" t="s">
        <v>712</v>
      </c>
      <c r="C245" s="3" t="s">
        <v>58</v>
      </c>
      <c r="D245" s="3" t="s">
        <v>59</v>
      </c>
      <c r="E245" s="3" t="n">
        <v>2019</v>
      </c>
      <c r="F245" s="3" t="s">
        <v>60</v>
      </c>
      <c r="G245" s="3" t="s">
        <v>61</v>
      </c>
      <c r="H245" s="3" t="s">
        <v>862</v>
      </c>
      <c r="I245" s="3" t="s">
        <v>47</v>
      </c>
      <c r="J245" s="7" t="n">
        <v>555000</v>
      </c>
      <c r="K245" s="3" t="s">
        <v>90</v>
      </c>
      <c r="L245" s="7" t="n">
        <v>7196.69</v>
      </c>
      <c r="M245" s="7" t="n">
        <v>899.59</v>
      </c>
      <c r="N245" s="7" t="n">
        <v>899.59</v>
      </c>
      <c r="O245" s="7" t="n">
        <v>5397.5</v>
      </c>
      <c r="P245" s="7" t="n">
        <v>539.75</v>
      </c>
      <c r="Q245" s="7" t="n">
        <v>539.75</v>
      </c>
      <c r="R245" s="7" t="n">
        <v>539.75</v>
      </c>
      <c r="S245" s="7" t="n">
        <v>539.75</v>
      </c>
      <c r="T245" s="7" t="n">
        <v>539.75</v>
      </c>
      <c r="U245" s="7" t="n">
        <v>539.75</v>
      </c>
      <c r="V245" s="7" t="n">
        <v>539.75</v>
      </c>
      <c r="W245" s="7" t="n">
        <v>539.75</v>
      </c>
      <c r="X245" s="7" t="n">
        <v>539.75</v>
      </c>
      <c r="Y245" s="7" t="n">
        <v>539.75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863</v>
      </c>
      <c r="B246" s="8" t="s">
        <v>864</v>
      </c>
      <c r="C246" s="8" t="s">
        <v>168</v>
      </c>
      <c r="D246" s="8" t="s">
        <v>169</v>
      </c>
      <c r="E246" s="8" t="n">
        <v>1969</v>
      </c>
      <c r="F246" s="8" t="s">
        <v>437</v>
      </c>
      <c r="G246" s="8" t="s">
        <v>438</v>
      </c>
      <c r="H246" s="8" t="s">
        <v>865</v>
      </c>
      <c r="I246" s="8" t="s">
        <v>89</v>
      </c>
      <c r="J246" s="9" t="n">
        <v>420000</v>
      </c>
      <c r="K246" s="8" t="s">
        <v>200</v>
      </c>
      <c r="L246" s="9" t="n">
        <v>10305.78</v>
      </c>
      <c r="M246" s="9" t="n">
        <v>1288.22</v>
      </c>
      <c r="N246" s="9" t="n">
        <v>1288.22</v>
      </c>
      <c r="O246" s="9" t="n">
        <v>7729.3</v>
      </c>
      <c r="P246" s="9" t="n">
        <v>772.93</v>
      </c>
      <c r="Q246" s="9" t="n">
        <v>772.93</v>
      </c>
      <c r="R246" s="9" t="n">
        <v>772.93</v>
      </c>
      <c r="S246" s="9" t="n">
        <v>772.93</v>
      </c>
      <c r="T246" s="9" t="n">
        <v>772.93</v>
      </c>
      <c r="U246" s="9" t="n">
        <v>772.93</v>
      </c>
      <c r="V246" s="9" t="n">
        <v>772.93</v>
      </c>
      <c r="W246" s="9" t="n">
        <v>772.93</v>
      </c>
      <c r="X246" s="9" t="n">
        <v>772.93</v>
      </c>
      <c r="Y246" s="9" t="n">
        <v>772.93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866</v>
      </c>
      <c r="B247" s="3" t="s">
        <v>867</v>
      </c>
      <c r="C247" s="3" t="s">
        <v>206</v>
      </c>
      <c r="D247" s="3" t="s">
        <v>207</v>
      </c>
      <c r="E247" s="3" t="n">
        <v>2000</v>
      </c>
      <c r="F247" s="3" t="s">
        <v>68</v>
      </c>
      <c r="G247" s="3" t="s">
        <v>69</v>
      </c>
      <c r="H247" s="3" t="s">
        <v>868</v>
      </c>
      <c r="I247" s="3" t="s">
        <v>47</v>
      </c>
      <c r="J247" s="7" t="n">
        <v>315000</v>
      </c>
      <c r="K247" s="3" t="s">
        <v>351</v>
      </c>
      <c r="L247" s="7" t="n">
        <v>5122.83</v>
      </c>
      <c r="M247" s="7" t="n">
        <v>640.35</v>
      </c>
      <c r="N247" s="7" t="n">
        <v>640.35</v>
      </c>
      <c r="O247" s="7" t="n">
        <v>3842.1</v>
      </c>
      <c r="P247" s="7" t="n">
        <v>384.21</v>
      </c>
      <c r="Q247" s="7" t="n">
        <v>384.21</v>
      </c>
      <c r="R247" s="7" t="n">
        <v>384.21</v>
      </c>
      <c r="S247" s="7" t="n">
        <v>384.21</v>
      </c>
      <c r="T247" s="7" t="n">
        <v>384.21</v>
      </c>
      <c r="U247" s="7" t="n">
        <v>384.21</v>
      </c>
      <c r="V247" s="7" t="n">
        <v>384.21</v>
      </c>
      <c r="W247" s="7" t="n">
        <v>384.21</v>
      </c>
      <c r="X247" s="7" t="n">
        <v>384.21</v>
      </c>
      <c r="Y247" s="7" t="n">
        <v>384.21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869</v>
      </c>
      <c r="B248" s="8" t="s">
        <v>870</v>
      </c>
      <c r="C248" s="8" t="s">
        <v>186</v>
      </c>
      <c r="D248" s="8" t="s">
        <v>187</v>
      </c>
      <c r="E248" s="8" t="n">
        <v>1998</v>
      </c>
      <c r="F248" s="8" t="s">
        <v>437</v>
      </c>
      <c r="G248" s="8" t="s">
        <v>438</v>
      </c>
      <c r="H248" s="8" t="s">
        <v>871</v>
      </c>
      <c r="I248" s="8" t="s">
        <v>89</v>
      </c>
      <c r="J248" s="9" t="n">
        <v>490000</v>
      </c>
      <c r="K248" s="8" t="s">
        <v>234</v>
      </c>
      <c r="L248" s="9" t="n">
        <v>8895.37</v>
      </c>
      <c r="M248" s="9" t="n">
        <v>1111.92</v>
      </c>
      <c r="N248" s="9" t="n">
        <v>1111.92</v>
      </c>
      <c r="O248" s="9" t="n">
        <v>6671.5</v>
      </c>
      <c r="P248" s="9" t="n">
        <v>667.15</v>
      </c>
      <c r="Q248" s="9" t="n">
        <v>667.15</v>
      </c>
      <c r="R248" s="9" t="n">
        <v>667.15</v>
      </c>
      <c r="S248" s="9" t="n">
        <v>667.15</v>
      </c>
      <c r="T248" s="9" t="n">
        <v>667.15</v>
      </c>
      <c r="U248" s="9" t="n">
        <v>667.15</v>
      </c>
      <c r="V248" s="9" t="n">
        <v>667.15</v>
      </c>
      <c r="W248" s="9" t="n">
        <v>667.15</v>
      </c>
      <c r="X248" s="9" t="n">
        <v>667.15</v>
      </c>
      <c r="Y248" s="9" t="n">
        <v>667.15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872</v>
      </c>
      <c r="B249" s="3" t="s">
        <v>873</v>
      </c>
      <c r="C249" s="3" t="s">
        <v>168</v>
      </c>
      <c r="D249" s="3" t="s">
        <v>169</v>
      </c>
      <c r="E249" s="3" t="n">
        <v>1986</v>
      </c>
      <c r="F249" s="3" t="s">
        <v>60</v>
      </c>
      <c r="G249" s="3" t="s">
        <v>61</v>
      </c>
      <c r="H249" s="3" t="s">
        <v>874</v>
      </c>
      <c r="I249" s="3" t="s">
        <v>47</v>
      </c>
      <c r="J249" s="7" t="n">
        <v>1115000</v>
      </c>
      <c r="K249" s="3" t="s">
        <v>222</v>
      </c>
      <c r="L249" s="7" t="n">
        <v>10106.25</v>
      </c>
      <c r="M249" s="7" t="n">
        <v>1263.28</v>
      </c>
      <c r="N249" s="7" t="n">
        <v>1263.28</v>
      </c>
      <c r="O249" s="7" t="n">
        <v>7579.7</v>
      </c>
      <c r="P249" s="7" t="n">
        <v>757.97</v>
      </c>
      <c r="Q249" s="7" t="n">
        <v>757.97</v>
      </c>
      <c r="R249" s="7" t="n">
        <v>757.97</v>
      </c>
      <c r="S249" s="7" t="n">
        <v>757.97</v>
      </c>
      <c r="T249" s="7" t="n">
        <v>757.97</v>
      </c>
      <c r="U249" s="7" t="n">
        <v>757.97</v>
      </c>
      <c r="V249" s="7" t="n">
        <v>757.97</v>
      </c>
      <c r="W249" s="7" t="n">
        <v>757.97</v>
      </c>
      <c r="X249" s="7" t="n">
        <v>757.97</v>
      </c>
      <c r="Y249" s="7" t="n">
        <v>757.97</v>
      </c>
      <c r="Z249" s="7" t="n">
        <v>350</v>
      </c>
      <c r="AA249" s="7" t="n">
        <v>250</v>
      </c>
      <c r="AB249" s="7" t="n">
        <v>600</v>
      </c>
    </row>
    <row r="250" customFormat="false" ht="15" hidden="false" customHeight="false" outlineLevel="0" collapsed="false">
      <c r="A250" s="8" t="s">
        <v>875</v>
      </c>
      <c r="B250" s="8" t="s">
        <v>296</v>
      </c>
      <c r="C250" s="8" t="s">
        <v>432</v>
      </c>
      <c r="D250" s="8" t="s">
        <v>433</v>
      </c>
      <c r="E250" s="8" t="n">
        <v>2016</v>
      </c>
      <c r="F250" s="8" t="s">
        <v>86</v>
      </c>
      <c r="G250" s="8" t="s">
        <v>136</v>
      </c>
      <c r="H250" s="8" t="s">
        <v>876</v>
      </c>
      <c r="I250" s="8" t="s">
        <v>89</v>
      </c>
      <c r="J250" s="9" t="n">
        <v>650000</v>
      </c>
      <c r="K250" s="8" t="s">
        <v>200</v>
      </c>
      <c r="L250" s="9" t="n">
        <v>13175.61</v>
      </c>
      <c r="M250" s="9" t="n">
        <v>1646.95</v>
      </c>
      <c r="N250" s="9" t="n">
        <v>1646.95</v>
      </c>
      <c r="O250" s="9" t="n">
        <v>9881.7</v>
      </c>
      <c r="P250" s="9" t="n">
        <v>988.17</v>
      </c>
      <c r="Q250" s="9" t="n">
        <v>988.17</v>
      </c>
      <c r="R250" s="9" t="n">
        <v>988.17</v>
      </c>
      <c r="S250" s="9" t="n">
        <v>988.17</v>
      </c>
      <c r="T250" s="9" t="n">
        <v>988.17</v>
      </c>
      <c r="U250" s="9" t="n">
        <v>988.17</v>
      </c>
      <c r="V250" s="9" t="n">
        <v>988.17</v>
      </c>
      <c r="W250" s="9" t="n">
        <v>988.17</v>
      </c>
      <c r="X250" s="9" t="n">
        <v>988.17</v>
      </c>
      <c r="Y250" s="9" t="n">
        <v>988.17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877</v>
      </c>
      <c r="B251" s="3" t="s">
        <v>743</v>
      </c>
      <c r="C251" s="3" t="s">
        <v>465</v>
      </c>
      <c r="D251" s="3" t="s">
        <v>466</v>
      </c>
      <c r="E251" s="3" t="n">
        <v>2012</v>
      </c>
      <c r="F251" s="3" t="s">
        <v>53</v>
      </c>
      <c r="G251" s="3" t="s">
        <v>174</v>
      </c>
      <c r="H251" s="3" t="s">
        <v>878</v>
      </c>
      <c r="I251" s="3" t="s">
        <v>96</v>
      </c>
      <c r="J251" s="7" t="n">
        <v>480000</v>
      </c>
      <c r="K251" s="3" t="s">
        <v>71</v>
      </c>
      <c r="L251" s="7" t="n">
        <v>5115.89</v>
      </c>
      <c r="M251" s="7" t="n">
        <v>639.49</v>
      </c>
      <c r="N251" s="7" t="n">
        <v>639.49</v>
      </c>
      <c r="O251" s="7" t="n">
        <v>3836.9</v>
      </c>
      <c r="P251" s="7" t="n">
        <v>383.69</v>
      </c>
      <c r="Q251" s="7" t="n">
        <v>383.69</v>
      </c>
      <c r="R251" s="7" t="n">
        <v>383.69</v>
      </c>
      <c r="S251" s="7" t="n">
        <v>383.69</v>
      </c>
      <c r="T251" s="7" t="n">
        <v>383.69</v>
      </c>
      <c r="U251" s="7" t="n">
        <v>383.69</v>
      </c>
      <c r="V251" s="7" t="n">
        <v>383.69</v>
      </c>
      <c r="W251" s="7" t="n">
        <v>383.69</v>
      </c>
      <c r="X251" s="7" t="n">
        <v>383.69</v>
      </c>
      <c r="Y251" s="7" t="n">
        <v>383.69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879</v>
      </c>
      <c r="B252" s="8" t="s">
        <v>880</v>
      </c>
      <c r="C252" s="8" t="s">
        <v>283</v>
      </c>
      <c r="D252" s="8" t="s">
        <v>284</v>
      </c>
      <c r="E252" s="8" t="n">
        <v>1976</v>
      </c>
      <c r="F252" s="8" t="s">
        <v>231</v>
      </c>
      <c r="G252" s="8" t="s">
        <v>232</v>
      </c>
      <c r="H252" s="8" t="s">
        <v>881</v>
      </c>
      <c r="I252" s="8" t="s">
        <v>89</v>
      </c>
      <c r="J252" s="9" t="n">
        <v>1475000</v>
      </c>
      <c r="K252" s="8" t="s">
        <v>117</v>
      </c>
      <c r="L252" s="9" t="n">
        <v>23540.11</v>
      </c>
      <c r="M252" s="9" t="n">
        <v>2942.51</v>
      </c>
      <c r="N252" s="9" t="n">
        <v>2942.51</v>
      </c>
      <c r="O252" s="9" t="n">
        <v>17655.1</v>
      </c>
      <c r="P252" s="9" t="n">
        <v>1765.51</v>
      </c>
      <c r="Q252" s="9" t="n">
        <v>1765.51</v>
      </c>
      <c r="R252" s="9" t="n">
        <v>1765.51</v>
      </c>
      <c r="S252" s="9" t="n">
        <v>1765.51</v>
      </c>
      <c r="T252" s="9" t="n">
        <v>1765.51</v>
      </c>
      <c r="U252" s="9" t="n">
        <v>1765.51</v>
      </c>
      <c r="V252" s="9" t="n">
        <v>1765.51</v>
      </c>
      <c r="W252" s="9" t="n">
        <v>1765.51</v>
      </c>
      <c r="X252" s="9" t="n">
        <v>1765.51</v>
      </c>
      <c r="Y252" s="9" t="n">
        <v>1765.51</v>
      </c>
      <c r="Z252" s="9" t="n">
        <v>350</v>
      </c>
      <c r="AA252" s="9" t="n">
        <v>250</v>
      </c>
      <c r="AB252" s="9" t="n">
        <v>600</v>
      </c>
    </row>
    <row r="253" customFormat="false" ht="15" hidden="false" customHeight="false" outlineLevel="0" collapsed="false">
      <c r="A253" s="3" t="s">
        <v>882</v>
      </c>
      <c r="B253" s="3" t="s">
        <v>883</v>
      </c>
      <c r="C253" s="3" t="s">
        <v>206</v>
      </c>
      <c r="D253" s="3" t="s">
        <v>207</v>
      </c>
      <c r="E253" s="3" t="n">
        <v>2016</v>
      </c>
      <c r="F253" s="3" t="s">
        <v>478</v>
      </c>
      <c r="G253" s="3" t="s">
        <v>479</v>
      </c>
      <c r="H253" s="3" t="s">
        <v>884</v>
      </c>
      <c r="I253" s="3" t="s">
        <v>103</v>
      </c>
      <c r="J253" s="7" t="n">
        <v>1060000</v>
      </c>
      <c r="K253" s="3" t="s">
        <v>183</v>
      </c>
      <c r="L253" s="7" t="n">
        <v>15504.76</v>
      </c>
      <c r="M253" s="7" t="n">
        <v>1938.1</v>
      </c>
      <c r="N253" s="7" t="n">
        <v>1938.1</v>
      </c>
      <c r="O253" s="7" t="n">
        <v>11628.6</v>
      </c>
      <c r="P253" s="7" t="n">
        <v>1162.86</v>
      </c>
      <c r="Q253" s="7" t="n">
        <v>1162.86</v>
      </c>
      <c r="R253" s="7" t="n">
        <v>1162.86</v>
      </c>
      <c r="S253" s="7" t="n">
        <v>1162.86</v>
      </c>
      <c r="T253" s="7" t="n">
        <v>1162.86</v>
      </c>
      <c r="U253" s="7" t="n">
        <v>1162.86</v>
      </c>
      <c r="V253" s="7" t="n">
        <v>1162.86</v>
      </c>
      <c r="W253" s="7" t="n">
        <v>1162.86</v>
      </c>
      <c r="X253" s="7" t="n">
        <v>1162.86</v>
      </c>
      <c r="Y253" s="7" t="n">
        <v>1162.86</v>
      </c>
      <c r="Z253" s="7" t="n">
        <v>350</v>
      </c>
      <c r="AA253" s="7" t="n">
        <v>250</v>
      </c>
      <c r="AB253" s="7" t="n">
        <v>600</v>
      </c>
    </row>
    <row r="254" customFormat="false" ht="15" hidden="false" customHeight="false" outlineLevel="0" collapsed="false">
      <c r="A254" s="8" t="s">
        <v>885</v>
      </c>
      <c r="B254" s="8" t="s">
        <v>886</v>
      </c>
      <c r="C254" s="8" t="s">
        <v>134</v>
      </c>
      <c r="D254" s="8" t="s">
        <v>135</v>
      </c>
      <c r="E254" s="8" t="n">
        <v>1982</v>
      </c>
      <c r="F254" s="8" t="s">
        <v>53</v>
      </c>
      <c r="G254" s="8" t="s">
        <v>54</v>
      </c>
      <c r="H254" s="8" t="s">
        <v>887</v>
      </c>
      <c r="I254" s="8" t="s">
        <v>47</v>
      </c>
      <c r="J254" s="9" t="n">
        <v>535000</v>
      </c>
      <c r="K254" s="8" t="s">
        <v>453</v>
      </c>
      <c r="L254" s="9" t="n">
        <v>6153.13</v>
      </c>
      <c r="M254" s="9" t="n">
        <v>769.14</v>
      </c>
      <c r="N254" s="9" t="n">
        <v>769.14</v>
      </c>
      <c r="O254" s="9" t="n">
        <v>4614.8</v>
      </c>
      <c r="P254" s="9" t="n">
        <v>461.48</v>
      </c>
      <c r="Q254" s="9" t="n">
        <v>461.48</v>
      </c>
      <c r="R254" s="9" t="n">
        <v>461.48</v>
      </c>
      <c r="S254" s="9" t="n">
        <v>461.48</v>
      </c>
      <c r="T254" s="9" t="n">
        <v>461.48</v>
      </c>
      <c r="U254" s="9" t="n">
        <v>461.48</v>
      </c>
      <c r="V254" s="9" t="n">
        <v>461.48</v>
      </c>
      <c r="W254" s="9" t="n">
        <v>461.48</v>
      </c>
      <c r="X254" s="9" t="n">
        <v>461.48</v>
      </c>
      <c r="Y254" s="9" t="n">
        <v>461.48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888</v>
      </c>
      <c r="B255" s="3" t="s">
        <v>889</v>
      </c>
      <c r="C255" s="3" t="s">
        <v>432</v>
      </c>
      <c r="D255" s="3" t="s">
        <v>433</v>
      </c>
      <c r="E255" s="3" t="n">
        <v>1998</v>
      </c>
      <c r="F255" s="3" t="s">
        <v>437</v>
      </c>
      <c r="G255" s="3" t="s">
        <v>438</v>
      </c>
      <c r="H255" s="3" t="s">
        <v>890</v>
      </c>
      <c r="I255" s="3" t="s">
        <v>89</v>
      </c>
      <c r="J255" s="7" t="n">
        <v>1950000</v>
      </c>
      <c r="K255" s="3" t="s">
        <v>63</v>
      </c>
      <c r="L255" s="7" t="n">
        <v>41945.46</v>
      </c>
      <c r="M255" s="7" t="n">
        <v>5243.18</v>
      </c>
      <c r="N255" s="7" t="n">
        <v>5243.18</v>
      </c>
      <c r="O255" s="7" t="n">
        <v>31459.1</v>
      </c>
      <c r="P255" s="7" t="n">
        <v>3145.91</v>
      </c>
      <c r="Q255" s="7" t="n">
        <v>3145.91</v>
      </c>
      <c r="R255" s="7" t="n">
        <v>3145.91</v>
      </c>
      <c r="S255" s="7" t="n">
        <v>3145.91</v>
      </c>
      <c r="T255" s="7" t="n">
        <v>3145.91</v>
      </c>
      <c r="U255" s="7" t="n">
        <v>3145.91</v>
      </c>
      <c r="V255" s="7" t="n">
        <v>3145.91</v>
      </c>
      <c r="W255" s="7" t="n">
        <v>3145.91</v>
      </c>
      <c r="X255" s="7" t="n">
        <v>3145.91</v>
      </c>
      <c r="Y255" s="7" t="n">
        <v>3145.91</v>
      </c>
      <c r="Z255" s="7" t="n">
        <v>350</v>
      </c>
      <c r="AA255" s="7" t="n">
        <v>250</v>
      </c>
      <c r="AB255" s="7" t="n">
        <v>600</v>
      </c>
    </row>
    <row r="256" customFormat="false" ht="15" hidden="false" customHeight="false" outlineLevel="0" collapsed="false">
      <c r="A256" s="8" t="s">
        <v>891</v>
      </c>
      <c r="B256" s="8" t="s">
        <v>646</v>
      </c>
      <c r="C256" s="8" t="s">
        <v>337</v>
      </c>
      <c r="D256" s="8" t="s">
        <v>338</v>
      </c>
      <c r="E256" s="8" t="n">
        <v>1973</v>
      </c>
      <c r="F256" s="8" t="s">
        <v>437</v>
      </c>
      <c r="G256" s="8" t="s">
        <v>438</v>
      </c>
      <c r="H256" s="8" t="s">
        <v>892</v>
      </c>
      <c r="I256" s="8" t="s">
        <v>89</v>
      </c>
      <c r="J256" s="9" t="n">
        <v>940000</v>
      </c>
      <c r="K256" s="8" t="s">
        <v>370</v>
      </c>
      <c r="L256" s="9" t="n">
        <v>17040.12</v>
      </c>
      <c r="M256" s="9" t="n">
        <v>2130.01</v>
      </c>
      <c r="N256" s="9" t="n">
        <v>2130.01</v>
      </c>
      <c r="O256" s="9" t="n">
        <v>12780.1</v>
      </c>
      <c r="P256" s="9" t="n">
        <v>1278.01</v>
      </c>
      <c r="Q256" s="9" t="n">
        <v>1278.01</v>
      </c>
      <c r="R256" s="9" t="n">
        <v>1278.01</v>
      </c>
      <c r="S256" s="9" t="n">
        <v>1278.01</v>
      </c>
      <c r="T256" s="9" t="n">
        <v>1278.01</v>
      </c>
      <c r="U256" s="9" t="n">
        <v>1278.01</v>
      </c>
      <c r="V256" s="9" t="n">
        <v>1278.01</v>
      </c>
      <c r="W256" s="9" t="n">
        <v>1278.01</v>
      </c>
      <c r="X256" s="9" t="n">
        <v>1278.01</v>
      </c>
      <c r="Y256" s="9" t="n">
        <v>1278.01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893</v>
      </c>
      <c r="B257" s="3" t="s">
        <v>894</v>
      </c>
      <c r="C257" s="3" t="s">
        <v>152</v>
      </c>
      <c r="D257" s="3" t="s">
        <v>153</v>
      </c>
      <c r="E257" s="3" t="n">
        <v>1969</v>
      </c>
      <c r="F257" s="3" t="s">
        <v>44</v>
      </c>
      <c r="G257" s="3" t="s">
        <v>45</v>
      </c>
      <c r="H257" s="3" t="s">
        <v>895</v>
      </c>
      <c r="I257" s="3" t="s">
        <v>47</v>
      </c>
      <c r="J257" s="7" t="n">
        <v>260000</v>
      </c>
      <c r="K257" s="3" t="s">
        <v>189</v>
      </c>
      <c r="L257" s="7" t="n">
        <v>4093.07</v>
      </c>
      <c r="M257" s="7" t="n">
        <v>511.63</v>
      </c>
      <c r="N257" s="7" t="n">
        <v>511.63</v>
      </c>
      <c r="O257" s="7" t="n">
        <v>3069.8</v>
      </c>
      <c r="P257" s="7" t="n">
        <v>306.98</v>
      </c>
      <c r="Q257" s="7" t="n">
        <v>306.98</v>
      </c>
      <c r="R257" s="7" t="n">
        <v>306.98</v>
      </c>
      <c r="S257" s="7" t="n">
        <v>306.98</v>
      </c>
      <c r="T257" s="7" t="n">
        <v>306.98</v>
      </c>
      <c r="U257" s="7" t="n">
        <v>306.98</v>
      </c>
      <c r="V257" s="7" t="n">
        <v>306.98</v>
      </c>
      <c r="W257" s="7" t="n">
        <v>306.98</v>
      </c>
      <c r="X257" s="7" t="n">
        <v>306.98</v>
      </c>
      <c r="Y257" s="7" t="n">
        <v>306.98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896</v>
      </c>
      <c r="B258" s="8" t="s">
        <v>897</v>
      </c>
      <c r="C258" s="8" t="s">
        <v>179</v>
      </c>
      <c r="D258" s="8" t="s">
        <v>180</v>
      </c>
      <c r="E258" s="8" t="n">
        <v>1958</v>
      </c>
      <c r="F258" s="8" t="s">
        <v>68</v>
      </c>
      <c r="G258" s="8" t="s">
        <v>69</v>
      </c>
      <c r="H258" s="8" t="s">
        <v>898</v>
      </c>
      <c r="I258" s="8" t="s">
        <v>47</v>
      </c>
      <c r="J258" s="9" t="n">
        <v>715000</v>
      </c>
      <c r="K258" s="8" t="s">
        <v>254</v>
      </c>
      <c r="L258" s="9" t="n">
        <v>10641.97</v>
      </c>
      <c r="M258" s="9" t="n">
        <v>1330.25</v>
      </c>
      <c r="N258" s="9" t="n">
        <v>1330.25</v>
      </c>
      <c r="O258" s="9" t="n">
        <v>7981.5</v>
      </c>
      <c r="P258" s="9" t="n">
        <v>798.15</v>
      </c>
      <c r="Q258" s="9" t="n">
        <v>798.15</v>
      </c>
      <c r="R258" s="9" t="n">
        <v>798.15</v>
      </c>
      <c r="S258" s="9" t="n">
        <v>798.15</v>
      </c>
      <c r="T258" s="9" t="n">
        <v>798.15</v>
      </c>
      <c r="U258" s="9" t="n">
        <v>798.15</v>
      </c>
      <c r="V258" s="9" t="n">
        <v>798.15</v>
      </c>
      <c r="W258" s="9" t="n">
        <v>798.15</v>
      </c>
      <c r="X258" s="9" t="n">
        <v>798.15</v>
      </c>
      <c r="Y258" s="9" t="n">
        <v>798.15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899</v>
      </c>
      <c r="B259" s="3" t="s">
        <v>83</v>
      </c>
      <c r="C259" s="3" t="s">
        <v>112</v>
      </c>
      <c r="D259" s="3" t="s">
        <v>113</v>
      </c>
      <c r="E259" s="3" t="n">
        <v>1984</v>
      </c>
      <c r="F259" s="3" t="s">
        <v>114</v>
      </c>
      <c r="G259" s="3" t="s">
        <v>115</v>
      </c>
      <c r="H259" s="3" t="s">
        <v>900</v>
      </c>
      <c r="I259" s="3" t="s">
        <v>47</v>
      </c>
      <c r="J259" s="7" t="n">
        <v>1120000</v>
      </c>
      <c r="K259" s="3" t="s">
        <v>357</v>
      </c>
      <c r="L259" s="7" t="n">
        <v>9937.85</v>
      </c>
      <c r="M259" s="7" t="n">
        <v>1242.23</v>
      </c>
      <c r="N259" s="7" t="n">
        <v>1242.23</v>
      </c>
      <c r="O259" s="7" t="n">
        <v>7453.4</v>
      </c>
      <c r="P259" s="7" t="n">
        <v>745.34</v>
      </c>
      <c r="Q259" s="7" t="n">
        <v>745.34</v>
      </c>
      <c r="R259" s="7" t="n">
        <v>745.34</v>
      </c>
      <c r="S259" s="7" t="n">
        <v>745.34</v>
      </c>
      <c r="T259" s="7" t="n">
        <v>745.34</v>
      </c>
      <c r="U259" s="7" t="n">
        <v>745.34</v>
      </c>
      <c r="V259" s="7" t="n">
        <v>745.34</v>
      </c>
      <c r="W259" s="7" t="n">
        <v>745.34</v>
      </c>
      <c r="X259" s="7" t="n">
        <v>745.34</v>
      </c>
      <c r="Y259" s="7" t="n">
        <v>745.34</v>
      </c>
      <c r="Z259" s="7" t="n">
        <v>350</v>
      </c>
      <c r="AA259" s="7" t="n">
        <v>250</v>
      </c>
      <c r="AB259" s="7" t="n">
        <v>600</v>
      </c>
    </row>
    <row r="260" customFormat="false" ht="15" hidden="false" customHeight="false" outlineLevel="0" collapsed="false">
      <c r="A260" s="8" t="s">
        <v>901</v>
      </c>
      <c r="B260" s="8" t="s">
        <v>902</v>
      </c>
      <c r="C260" s="8" t="s">
        <v>261</v>
      </c>
      <c r="D260" s="8" t="s">
        <v>262</v>
      </c>
      <c r="E260" s="8" t="n">
        <v>1965</v>
      </c>
      <c r="F260" s="8" t="s">
        <v>86</v>
      </c>
      <c r="G260" s="8" t="s">
        <v>136</v>
      </c>
      <c r="H260" s="8" t="s">
        <v>903</v>
      </c>
      <c r="I260" s="8" t="s">
        <v>89</v>
      </c>
      <c r="J260" s="9" t="n">
        <v>1055000</v>
      </c>
      <c r="K260" s="8" t="s">
        <v>171</v>
      </c>
      <c r="L260" s="9" t="n">
        <v>19765.36</v>
      </c>
      <c r="M260" s="9" t="n">
        <v>2470.67</v>
      </c>
      <c r="N260" s="9" t="n">
        <v>2470.67</v>
      </c>
      <c r="O260" s="9" t="n">
        <v>14824</v>
      </c>
      <c r="P260" s="9" t="n">
        <v>1482.4</v>
      </c>
      <c r="Q260" s="9" t="n">
        <v>1482.4</v>
      </c>
      <c r="R260" s="9" t="n">
        <v>1482.4</v>
      </c>
      <c r="S260" s="9" t="n">
        <v>1482.4</v>
      </c>
      <c r="T260" s="9" t="n">
        <v>1482.4</v>
      </c>
      <c r="U260" s="9" t="n">
        <v>1482.4</v>
      </c>
      <c r="V260" s="9" t="n">
        <v>1482.4</v>
      </c>
      <c r="W260" s="9" t="n">
        <v>1482.4</v>
      </c>
      <c r="X260" s="9" t="n">
        <v>1482.4</v>
      </c>
      <c r="Y260" s="9" t="n">
        <v>1482.4</v>
      </c>
      <c r="Z260" s="9" t="n">
        <v>350</v>
      </c>
      <c r="AA260" s="9" t="n">
        <v>250</v>
      </c>
      <c r="AB260" s="9" t="n">
        <v>600</v>
      </c>
    </row>
    <row r="261" customFormat="false" ht="15" hidden="false" customHeight="false" outlineLevel="0" collapsed="false">
      <c r="A261" s="3" t="s">
        <v>904</v>
      </c>
      <c r="B261" s="3" t="s">
        <v>270</v>
      </c>
      <c r="C261" s="3" t="s">
        <v>465</v>
      </c>
      <c r="D261" s="3" t="s">
        <v>466</v>
      </c>
      <c r="E261" s="3" t="n">
        <v>2008</v>
      </c>
      <c r="F261" s="3" t="s">
        <v>86</v>
      </c>
      <c r="G261" s="3" t="s">
        <v>87</v>
      </c>
      <c r="H261" s="3" t="s">
        <v>905</v>
      </c>
      <c r="I261" s="3" t="s">
        <v>89</v>
      </c>
      <c r="J261" s="7" t="n">
        <v>640000</v>
      </c>
      <c r="K261" s="3" t="s">
        <v>117</v>
      </c>
      <c r="L261" s="7" t="n">
        <v>12129.14</v>
      </c>
      <c r="M261" s="7" t="n">
        <v>1516.14</v>
      </c>
      <c r="N261" s="7" t="n">
        <v>1516.14</v>
      </c>
      <c r="O261" s="7" t="n">
        <v>9096.9</v>
      </c>
      <c r="P261" s="7" t="n">
        <v>909.69</v>
      </c>
      <c r="Q261" s="7" t="n">
        <v>909.69</v>
      </c>
      <c r="R261" s="7" t="n">
        <v>909.69</v>
      </c>
      <c r="S261" s="7" t="n">
        <v>909.69</v>
      </c>
      <c r="T261" s="7" t="n">
        <v>909.69</v>
      </c>
      <c r="U261" s="7" t="n">
        <v>909.69</v>
      </c>
      <c r="V261" s="7" t="n">
        <v>909.69</v>
      </c>
      <c r="W261" s="7" t="n">
        <v>909.69</v>
      </c>
      <c r="X261" s="7" t="n">
        <v>909.69</v>
      </c>
      <c r="Y261" s="7" t="n">
        <v>909.69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906</v>
      </c>
      <c r="B262" s="8" t="s">
        <v>902</v>
      </c>
      <c r="C262" s="8" t="s">
        <v>141</v>
      </c>
      <c r="D262" s="8" t="s">
        <v>142</v>
      </c>
      <c r="E262" s="8" t="n">
        <v>1961</v>
      </c>
      <c r="F262" s="8" t="s">
        <v>60</v>
      </c>
      <c r="G262" s="8" t="s">
        <v>143</v>
      </c>
      <c r="H262" s="8" t="s">
        <v>907</v>
      </c>
      <c r="I262" s="8" t="s">
        <v>145</v>
      </c>
      <c r="J262" s="9" t="n">
        <v>385000</v>
      </c>
      <c r="K262" s="8" t="s">
        <v>109</v>
      </c>
      <c r="L262" s="9" t="n">
        <v>2805.03</v>
      </c>
      <c r="M262" s="9" t="n">
        <v>350.63</v>
      </c>
      <c r="N262" s="9" t="n">
        <v>350.63</v>
      </c>
      <c r="O262" s="9" t="n">
        <v>2103.8</v>
      </c>
      <c r="P262" s="9" t="n">
        <v>210.38</v>
      </c>
      <c r="Q262" s="9" t="n">
        <v>210.38</v>
      </c>
      <c r="R262" s="9" t="n">
        <v>210.38</v>
      </c>
      <c r="S262" s="9" t="n">
        <v>210.38</v>
      </c>
      <c r="T262" s="9" t="n">
        <v>210.38</v>
      </c>
      <c r="U262" s="9" t="n">
        <v>210.38</v>
      </c>
      <c r="V262" s="9" t="n">
        <v>210.38</v>
      </c>
      <c r="W262" s="9" t="n">
        <v>210.38</v>
      </c>
      <c r="X262" s="9" t="n">
        <v>210.38</v>
      </c>
      <c r="Y262" s="9" t="n">
        <v>210.38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908</v>
      </c>
      <c r="B263" s="3" t="s">
        <v>712</v>
      </c>
      <c r="C263" s="3" t="s">
        <v>42</v>
      </c>
      <c r="D263" s="3" t="s">
        <v>43</v>
      </c>
      <c r="E263" s="3" t="n">
        <v>1956</v>
      </c>
      <c r="F263" s="3" t="s">
        <v>114</v>
      </c>
      <c r="G263" s="3" t="s">
        <v>115</v>
      </c>
      <c r="H263" s="3" t="s">
        <v>909</v>
      </c>
      <c r="I263" s="3" t="s">
        <v>47</v>
      </c>
      <c r="J263" s="7" t="n">
        <v>460000</v>
      </c>
      <c r="K263" s="3" t="s">
        <v>216</v>
      </c>
      <c r="L263" s="7" t="n">
        <v>5745.39</v>
      </c>
      <c r="M263" s="7" t="n">
        <v>718.17</v>
      </c>
      <c r="N263" s="7" t="n">
        <v>718.17</v>
      </c>
      <c r="O263" s="7" t="n">
        <v>4309</v>
      </c>
      <c r="P263" s="7" t="n">
        <v>430.9</v>
      </c>
      <c r="Q263" s="7" t="n">
        <v>430.9</v>
      </c>
      <c r="R263" s="7" t="n">
        <v>430.9</v>
      </c>
      <c r="S263" s="7" t="n">
        <v>430.9</v>
      </c>
      <c r="T263" s="7" t="n">
        <v>430.9</v>
      </c>
      <c r="U263" s="7" t="n">
        <v>430.9</v>
      </c>
      <c r="V263" s="7" t="n">
        <v>430.9</v>
      </c>
      <c r="W263" s="7" t="n">
        <v>430.9</v>
      </c>
      <c r="X263" s="7" t="n">
        <v>430.9</v>
      </c>
      <c r="Y263" s="7" t="n">
        <v>430.9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910</v>
      </c>
      <c r="B264" s="8" t="s">
        <v>911</v>
      </c>
      <c r="C264" s="8" t="s">
        <v>134</v>
      </c>
      <c r="D264" s="8" t="s">
        <v>135</v>
      </c>
      <c r="E264" s="8" t="n">
        <v>1955</v>
      </c>
      <c r="F264" s="8" t="s">
        <v>53</v>
      </c>
      <c r="G264" s="8" t="s">
        <v>54</v>
      </c>
      <c r="H264" s="8" t="s">
        <v>912</v>
      </c>
      <c r="I264" s="8" t="s">
        <v>47</v>
      </c>
      <c r="J264" s="9" t="n">
        <v>645000</v>
      </c>
      <c r="K264" s="8" t="s">
        <v>193</v>
      </c>
      <c r="L264" s="9" t="n">
        <v>10036.46</v>
      </c>
      <c r="M264" s="9" t="n">
        <v>1254.56</v>
      </c>
      <c r="N264" s="9" t="n">
        <v>1254.56</v>
      </c>
      <c r="O264" s="9" t="n">
        <v>7527.3</v>
      </c>
      <c r="P264" s="9" t="n">
        <v>752.73</v>
      </c>
      <c r="Q264" s="9" t="n">
        <v>752.73</v>
      </c>
      <c r="R264" s="9" t="n">
        <v>752.73</v>
      </c>
      <c r="S264" s="9" t="n">
        <v>752.73</v>
      </c>
      <c r="T264" s="9" t="n">
        <v>752.73</v>
      </c>
      <c r="U264" s="9" t="n">
        <v>752.73</v>
      </c>
      <c r="V264" s="9" t="n">
        <v>752.73</v>
      </c>
      <c r="W264" s="9" t="n">
        <v>752.73</v>
      </c>
      <c r="X264" s="9" t="n">
        <v>752.73</v>
      </c>
      <c r="Y264" s="9" t="n">
        <v>752.73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913</v>
      </c>
      <c r="B265" s="3" t="s">
        <v>914</v>
      </c>
      <c r="C265" s="3" t="s">
        <v>84</v>
      </c>
      <c r="D265" s="3" t="s">
        <v>85</v>
      </c>
      <c r="E265" s="3" t="n">
        <v>1998</v>
      </c>
      <c r="F265" s="3" t="s">
        <v>231</v>
      </c>
      <c r="G265" s="3" t="s">
        <v>232</v>
      </c>
      <c r="H265" s="3" t="s">
        <v>915</v>
      </c>
      <c r="I265" s="3" t="s">
        <v>89</v>
      </c>
      <c r="J265" s="7" t="n">
        <v>1205000</v>
      </c>
      <c r="K265" s="3" t="s">
        <v>216</v>
      </c>
      <c r="L265" s="7" t="n">
        <v>16053.76</v>
      </c>
      <c r="M265" s="7" t="n">
        <v>2006.72</v>
      </c>
      <c r="N265" s="7" t="n">
        <v>2006.72</v>
      </c>
      <c r="O265" s="7" t="n">
        <v>12040.3</v>
      </c>
      <c r="P265" s="7" t="n">
        <v>1204.03</v>
      </c>
      <c r="Q265" s="7" t="n">
        <v>1204.03</v>
      </c>
      <c r="R265" s="7" t="n">
        <v>1204.03</v>
      </c>
      <c r="S265" s="7" t="n">
        <v>1204.03</v>
      </c>
      <c r="T265" s="7" t="n">
        <v>1204.03</v>
      </c>
      <c r="U265" s="7" t="n">
        <v>1204.03</v>
      </c>
      <c r="V265" s="7" t="n">
        <v>1204.03</v>
      </c>
      <c r="W265" s="7" t="n">
        <v>1204.03</v>
      </c>
      <c r="X265" s="7" t="n">
        <v>1204.03</v>
      </c>
      <c r="Y265" s="7" t="n">
        <v>1204.03</v>
      </c>
      <c r="Z265" s="7" t="n">
        <v>350</v>
      </c>
      <c r="AA265" s="7" t="n">
        <v>250</v>
      </c>
      <c r="AB265" s="7" t="n">
        <v>600</v>
      </c>
    </row>
    <row r="266" customFormat="false" ht="15" hidden="false" customHeight="false" outlineLevel="0" collapsed="false">
      <c r="A266" s="8" t="s">
        <v>916</v>
      </c>
      <c r="B266" s="8" t="s">
        <v>917</v>
      </c>
      <c r="C266" s="8" t="s">
        <v>274</v>
      </c>
      <c r="D266" s="8" t="s">
        <v>275</v>
      </c>
      <c r="E266" s="8" t="n">
        <v>2013</v>
      </c>
      <c r="F266" s="8" t="s">
        <v>86</v>
      </c>
      <c r="G266" s="8" t="s">
        <v>181</v>
      </c>
      <c r="H266" s="8" t="s">
        <v>918</v>
      </c>
      <c r="I266" s="8" t="s">
        <v>96</v>
      </c>
      <c r="J266" s="9" t="n">
        <v>500000</v>
      </c>
      <c r="K266" s="8" t="s">
        <v>81</v>
      </c>
      <c r="L266" s="9" t="n">
        <v>4736.65</v>
      </c>
      <c r="M266" s="9" t="n">
        <v>592.08</v>
      </c>
      <c r="N266" s="9" t="n">
        <v>592.08</v>
      </c>
      <c r="O266" s="9" t="n">
        <v>3552.5</v>
      </c>
      <c r="P266" s="9" t="n">
        <v>355.25</v>
      </c>
      <c r="Q266" s="9" t="n">
        <v>355.25</v>
      </c>
      <c r="R266" s="9" t="n">
        <v>355.25</v>
      </c>
      <c r="S266" s="9" t="n">
        <v>355.25</v>
      </c>
      <c r="T266" s="9" t="n">
        <v>355.25</v>
      </c>
      <c r="U266" s="9" t="n">
        <v>355.25</v>
      </c>
      <c r="V266" s="9" t="n">
        <v>355.25</v>
      </c>
      <c r="W266" s="9" t="n">
        <v>355.25</v>
      </c>
      <c r="X266" s="9" t="n">
        <v>355.25</v>
      </c>
      <c r="Y266" s="9" t="n">
        <v>355.25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919</v>
      </c>
      <c r="B267" s="3" t="s">
        <v>920</v>
      </c>
      <c r="C267" s="3" t="s">
        <v>78</v>
      </c>
      <c r="D267" s="3" t="s">
        <v>79</v>
      </c>
      <c r="E267" s="3" t="n">
        <v>2002</v>
      </c>
      <c r="F267" s="3" t="s">
        <v>68</v>
      </c>
      <c r="G267" s="3" t="s">
        <v>69</v>
      </c>
      <c r="H267" s="3" t="s">
        <v>921</v>
      </c>
      <c r="I267" s="3" t="s">
        <v>47</v>
      </c>
      <c r="J267" s="7" t="n">
        <v>635000</v>
      </c>
      <c r="K267" s="3" t="s">
        <v>860</v>
      </c>
      <c r="L267" s="7" t="n">
        <v>7947.65</v>
      </c>
      <c r="M267" s="7" t="n">
        <v>993.46</v>
      </c>
      <c r="N267" s="7" t="n">
        <v>993.46</v>
      </c>
      <c r="O267" s="7" t="n">
        <v>5960.7</v>
      </c>
      <c r="P267" s="7" t="n">
        <v>596.07</v>
      </c>
      <c r="Q267" s="7" t="n">
        <v>596.07</v>
      </c>
      <c r="R267" s="7" t="n">
        <v>596.07</v>
      </c>
      <c r="S267" s="7" t="n">
        <v>596.07</v>
      </c>
      <c r="T267" s="7" t="n">
        <v>596.07</v>
      </c>
      <c r="U267" s="7" t="n">
        <v>596.07</v>
      </c>
      <c r="V267" s="7" t="n">
        <v>596.07</v>
      </c>
      <c r="W267" s="7" t="n">
        <v>596.07</v>
      </c>
      <c r="X267" s="7" t="n">
        <v>596.07</v>
      </c>
      <c r="Y267" s="7" t="n">
        <v>596.07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922</v>
      </c>
      <c r="B268" s="8" t="s">
        <v>549</v>
      </c>
      <c r="C268" s="8" t="s">
        <v>78</v>
      </c>
      <c r="D268" s="8" t="s">
        <v>79</v>
      </c>
      <c r="E268" s="8" t="n">
        <v>1981</v>
      </c>
      <c r="F268" s="8" t="s">
        <v>122</v>
      </c>
      <c r="G268" s="8" t="s">
        <v>123</v>
      </c>
      <c r="H268" s="8" t="s">
        <v>923</v>
      </c>
      <c r="I268" s="8" t="s">
        <v>47</v>
      </c>
      <c r="J268" s="9" t="n">
        <v>255000</v>
      </c>
      <c r="K268" s="8" t="s">
        <v>250</v>
      </c>
      <c r="L268" s="9" t="n">
        <v>4412.47</v>
      </c>
      <c r="M268" s="9" t="n">
        <v>551.56</v>
      </c>
      <c r="N268" s="9" t="n">
        <v>551.56</v>
      </c>
      <c r="O268" s="9" t="n">
        <v>3309.4</v>
      </c>
      <c r="P268" s="9" t="n">
        <v>330.94</v>
      </c>
      <c r="Q268" s="9" t="n">
        <v>330.94</v>
      </c>
      <c r="R268" s="9" t="n">
        <v>330.94</v>
      </c>
      <c r="S268" s="9" t="n">
        <v>330.94</v>
      </c>
      <c r="T268" s="9" t="n">
        <v>330.94</v>
      </c>
      <c r="U268" s="9" t="n">
        <v>330.94</v>
      </c>
      <c r="V268" s="9" t="n">
        <v>330.94</v>
      </c>
      <c r="W268" s="9" t="n">
        <v>330.94</v>
      </c>
      <c r="X268" s="9" t="n">
        <v>330.94</v>
      </c>
      <c r="Y268" s="9" t="n">
        <v>330.94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924</v>
      </c>
      <c r="B269" s="3" t="s">
        <v>385</v>
      </c>
      <c r="C269" s="3" t="s">
        <v>84</v>
      </c>
      <c r="D269" s="3" t="s">
        <v>85</v>
      </c>
      <c r="E269" s="3" t="n">
        <v>2004</v>
      </c>
      <c r="F269" s="3" t="s">
        <v>86</v>
      </c>
      <c r="G269" s="3" t="s">
        <v>181</v>
      </c>
      <c r="H269" s="3" t="s">
        <v>925</v>
      </c>
      <c r="I269" s="3" t="s">
        <v>96</v>
      </c>
      <c r="J269" s="7" t="n">
        <v>1170000</v>
      </c>
      <c r="K269" s="3" t="s">
        <v>370</v>
      </c>
      <c r="L269" s="7" t="n">
        <v>8483.81</v>
      </c>
      <c r="M269" s="7" t="n">
        <v>1060.48</v>
      </c>
      <c r="N269" s="7" t="n">
        <v>1060.48</v>
      </c>
      <c r="O269" s="7" t="n">
        <v>6362.9</v>
      </c>
      <c r="P269" s="7" t="n">
        <v>636.29</v>
      </c>
      <c r="Q269" s="7" t="n">
        <v>636.29</v>
      </c>
      <c r="R269" s="7" t="n">
        <v>636.29</v>
      </c>
      <c r="S269" s="7" t="n">
        <v>636.29</v>
      </c>
      <c r="T269" s="7" t="n">
        <v>636.29</v>
      </c>
      <c r="U269" s="7" t="n">
        <v>636.29</v>
      </c>
      <c r="V269" s="7" t="n">
        <v>636.29</v>
      </c>
      <c r="W269" s="7" t="n">
        <v>636.29</v>
      </c>
      <c r="X269" s="7" t="n">
        <v>636.29</v>
      </c>
      <c r="Y269" s="7" t="n">
        <v>636.29</v>
      </c>
      <c r="Z269" s="7" t="n">
        <v>350</v>
      </c>
      <c r="AA269" s="7" t="n">
        <v>250</v>
      </c>
      <c r="AB269" s="7" t="n">
        <v>600</v>
      </c>
    </row>
    <row r="270" customFormat="false" ht="15" hidden="false" customHeight="false" outlineLevel="0" collapsed="false">
      <c r="A270" s="8" t="s">
        <v>926</v>
      </c>
      <c r="B270" s="8" t="s">
        <v>927</v>
      </c>
      <c r="C270" s="8" t="s">
        <v>465</v>
      </c>
      <c r="D270" s="8" t="s">
        <v>466</v>
      </c>
      <c r="E270" s="8" t="n">
        <v>1981</v>
      </c>
      <c r="F270" s="8" t="s">
        <v>231</v>
      </c>
      <c r="G270" s="8" t="s">
        <v>232</v>
      </c>
      <c r="H270" s="8" t="s">
        <v>928</v>
      </c>
      <c r="I270" s="8" t="s">
        <v>89</v>
      </c>
      <c r="J270" s="9" t="n">
        <v>850000</v>
      </c>
      <c r="K270" s="8" t="s">
        <v>125</v>
      </c>
      <c r="L270" s="9" t="n">
        <v>19891.14</v>
      </c>
      <c r="M270" s="9" t="n">
        <v>2486.39</v>
      </c>
      <c r="N270" s="9" t="n">
        <v>2486.39</v>
      </c>
      <c r="O270" s="9" t="n">
        <v>14918.4</v>
      </c>
      <c r="P270" s="9" t="n">
        <v>1491.84</v>
      </c>
      <c r="Q270" s="9" t="n">
        <v>1491.84</v>
      </c>
      <c r="R270" s="9" t="n">
        <v>1491.84</v>
      </c>
      <c r="S270" s="9" t="n">
        <v>1491.84</v>
      </c>
      <c r="T270" s="9" t="n">
        <v>1491.84</v>
      </c>
      <c r="U270" s="9" t="n">
        <v>1491.84</v>
      </c>
      <c r="V270" s="9" t="n">
        <v>1491.84</v>
      </c>
      <c r="W270" s="9" t="n">
        <v>1491.84</v>
      </c>
      <c r="X270" s="9" t="n">
        <v>1491.84</v>
      </c>
      <c r="Y270" s="9" t="n">
        <v>1491.84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929</v>
      </c>
      <c r="B271" s="3" t="s">
        <v>930</v>
      </c>
      <c r="C271" s="3" t="s">
        <v>58</v>
      </c>
      <c r="D271" s="3" t="s">
        <v>59</v>
      </c>
      <c r="E271" s="3" t="n">
        <v>2001</v>
      </c>
      <c r="F271" s="3" t="s">
        <v>122</v>
      </c>
      <c r="G271" s="3" t="s">
        <v>130</v>
      </c>
      <c r="H271" s="3" t="s">
        <v>931</v>
      </c>
      <c r="I271" s="3" t="s">
        <v>96</v>
      </c>
      <c r="J271" s="7" t="n">
        <v>645000</v>
      </c>
      <c r="K271" s="3" t="s">
        <v>138</v>
      </c>
      <c r="L271" s="7" t="n">
        <v>6687.62</v>
      </c>
      <c r="M271" s="7" t="n">
        <v>835.95</v>
      </c>
      <c r="N271" s="7" t="n">
        <v>835.95</v>
      </c>
      <c r="O271" s="7" t="n">
        <v>5015.7</v>
      </c>
      <c r="P271" s="7" t="n">
        <v>501.57</v>
      </c>
      <c r="Q271" s="7" t="n">
        <v>501.57</v>
      </c>
      <c r="R271" s="7" t="n">
        <v>501.57</v>
      </c>
      <c r="S271" s="7" t="n">
        <v>501.57</v>
      </c>
      <c r="T271" s="7" t="n">
        <v>501.57</v>
      </c>
      <c r="U271" s="7" t="n">
        <v>501.57</v>
      </c>
      <c r="V271" s="7" t="n">
        <v>501.57</v>
      </c>
      <c r="W271" s="7" t="n">
        <v>501.57</v>
      </c>
      <c r="X271" s="7" t="n">
        <v>501.57</v>
      </c>
      <c r="Y271" s="7" t="n">
        <v>501.57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932</v>
      </c>
      <c r="B272" s="8" t="s">
        <v>933</v>
      </c>
      <c r="C272" s="8" t="s">
        <v>337</v>
      </c>
      <c r="D272" s="8" t="s">
        <v>338</v>
      </c>
      <c r="E272" s="8" t="n">
        <v>1976</v>
      </c>
      <c r="F272" s="8" t="s">
        <v>53</v>
      </c>
      <c r="G272" s="8" t="s">
        <v>54</v>
      </c>
      <c r="H272" s="8" t="s">
        <v>934</v>
      </c>
      <c r="I272" s="8" t="s">
        <v>47</v>
      </c>
      <c r="J272" s="9" t="n">
        <v>335000</v>
      </c>
      <c r="K272" s="8" t="s">
        <v>212</v>
      </c>
      <c r="L272" s="9" t="n">
        <v>5666.02</v>
      </c>
      <c r="M272" s="9" t="n">
        <v>708.25</v>
      </c>
      <c r="N272" s="9" t="n">
        <v>708.25</v>
      </c>
      <c r="O272" s="9" t="n">
        <v>4249.5</v>
      </c>
      <c r="P272" s="9" t="n">
        <v>424.95</v>
      </c>
      <c r="Q272" s="9" t="n">
        <v>424.95</v>
      </c>
      <c r="R272" s="9" t="n">
        <v>424.95</v>
      </c>
      <c r="S272" s="9" t="n">
        <v>424.95</v>
      </c>
      <c r="T272" s="9" t="n">
        <v>424.95</v>
      </c>
      <c r="U272" s="9" t="n">
        <v>424.95</v>
      </c>
      <c r="V272" s="9" t="n">
        <v>424.95</v>
      </c>
      <c r="W272" s="9" t="n">
        <v>424.95</v>
      </c>
      <c r="X272" s="9" t="n">
        <v>424.95</v>
      </c>
      <c r="Y272" s="9" t="n">
        <v>424.95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935</v>
      </c>
      <c r="B273" s="3" t="s">
        <v>936</v>
      </c>
      <c r="C273" s="3" t="s">
        <v>288</v>
      </c>
      <c r="D273" s="3" t="s">
        <v>289</v>
      </c>
      <c r="E273" s="3" t="n">
        <v>1986</v>
      </c>
      <c r="F273" s="3" t="s">
        <v>44</v>
      </c>
      <c r="G273" s="3" t="s">
        <v>45</v>
      </c>
      <c r="H273" s="3" t="s">
        <v>937</v>
      </c>
      <c r="I273" s="3" t="s">
        <v>47</v>
      </c>
      <c r="J273" s="7" t="n">
        <v>425000</v>
      </c>
      <c r="K273" s="3" t="s">
        <v>254</v>
      </c>
      <c r="L273" s="7" t="n">
        <v>7298.82</v>
      </c>
      <c r="M273" s="7" t="n">
        <v>912.35</v>
      </c>
      <c r="N273" s="7" t="n">
        <v>912.35</v>
      </c>
      <c r="O273" s="7" t="n">
        <v>5474.1</v>
      </c>
      <c r="P273" s="7" t="n">
        <v>547.41</v>
      </c>
      <c r="Q273" s="7" t="n">
        <v>547.41</v>
      </c>
      <c r="R273" s="7" t="n">
        <v>547.41</v>
      </c>
      <c r="S273" s="7" t="n">
        <v>547.41</v>
      </c>
      <c r="T273" s="7" t="n">
        <v>547.41</v>
      </c>
      <c r="U273" s="7" t="n">
        <v>547.41</v>
      </c>
      <c r="V273" s="7" t="n">
        <v>547.41</v>
      </c>
      <c r="W273" s="7" t="n">
        <v>547.41</v>
      </c>
      <c r="X273" s="7" t="n">
        <v>547.41</v>
      </c>
      <c r="Y273" s="7" t="n">
        <v>547.41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938</v>
      </c>
      <c r="B274" s="8" t="s">
        <v>205</v>
      </c>
      <c r="C274" s="8" t="s">
        <v>112</v>
      </c>
      <c r="D274" s="8" t="s">
        <v>113</v>
      </c>
      <c r="E274" s="8" t="n">
        <v>2018</v>
      </c>
      <c r="F274" s="8" t="s">
        <v>60</v>
      </c>
      <c r="G274" s="8" t="s">
        <v>61</v>
      </c>
      <c r="H274" s="8" t="s">
        <v>939</v>
      </c>
      <c r="I274" s="8" t="s">
        <v>47</v>
      </c>
      <c r="J274" s="9" t="n">
        <v>535000</v>
      </c>
      <c r="K274" s="8" t="s">
        <v>303</v>
      </c>
      <c r="L274" s="9" t="n">
        <v>8083.52</v>
      </c>
      <c r="M274" s="9" t="n">
        <v>1010.44</v>
      </c>
      <c r="N274" s="9" t="n">
        <v>1010.44</v>
      </c>
      <c r="O274" s="9" t="n">
        <v>6062.6</v>
      </c>
      <c r="P274" s="9" t="n">
        <v>606.26</v>
      </c>
      <c r="Q274" s="9" t="n">
        <v>606.26</v>
      </c>
      <c r="R274" s="9" t="n">
        <v>606.26</v>
      </c>
      <c r="S274" s="9" t="n">
        <v>606.26</v>
      </c>
      <c r="T274" s="9" t="n">
        <v>606.26</v>
      </c>
      <c r="U274" s="9" t="n">
        <v>606.26</v>
      </c>
      <c r="V274" s="9" t="n">
        <v>606.26</v>
      </c>
      <c r="W274" s="9" t="n">
        <v>606.26</v>
      </c>
      <c r="X274" s="9" t="n">
        <v>606.26</v>
      </c>
      <c r="Y274" s="9" t="n">
        <v>606.26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940</v>
      </c>
      <c r="B275" s="3" t="s">
        <v>256</v>
      </c>
      <c r="C275" s="3" t="s">
        <v>106</v>
      </c>
      <c r="D275" s="3" t="s">
        <v>107</v>
      </c>
      <c r="E275" s="3" t="n">
        <v>2001</v>
      </c>
      <c r="F275" s="3" t="s">
        <v>60</v>
      </c>
      <c r="G275" s="3" t="s">
        <v>61</v>
      </c>
      <c r="H275" s="3" t="s">
        <v>941</v>
      </c>
      <c r="I275" s="3" t="s">
        <v>47</v>
      </c>
      <c r="J275" s="7" t="n">
        <v>480000</v>
      </c>
      <c r="K275" s="3" t="s">
        <v>212</v>
      </c>
      <c r="L275" s="7" t="n">
        <v>8118.48</v>
      </c>
      <c r="M275" s="7" t="n">
        <v>1014.81</v>
      </c>
      <c r="N275" s="7" t="n">
        <v>1014.81</v>
      </c>
      <c r="O275" s="7" t="n">
        <v>6088.9</v>
      </c>
      <c r="P275" s="7" t="n">
        <v>608.89</v>
      </c>
      <c r="Q275" s="7" t="n">
        <v>608.89</v>
      </c>
      <c r="R275" s="7" t="n">
        <v>608.89</v>
      </c>
      <c r="S275" s="7" t="n">
        <v>608.89</v>
      </c>
      <c r="T275" s="7" t="n">
        <v>608.89</v>
      </c>
      <c r="U275" s="7" t="n">
        <v>608.89</v>
      </c>
      <c r="V275" s="7" t="n">
        <v>608.89</v>
      </c>
      <c r="W275" s="7" t="n">
        <v>608.89</v>
      </c>
      <c r="X275" s="7" t="n">
        <v>608.89</v>
      </c>
      <c r="Y275" s="7" t="n">
        <v>608.89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942</v>
      </c>
      <c r="B276" s="8" t="s">
        <v>943</v>
      </c>
      <c r="C276" s="8" t="s">
        <v>274</v>
      </c>
      <c r="D276" s="8" t="s">
        <v>275</v>
      </c>
      <c r="E276" s="8" t="n">
        <v>2004</v>
      </c>
      <c r="F276" s="8" t="s">
        <v>944</v>
      </c>
      <c r="G276" s="8" t="s">
        <v>945</v>
      </c>
      <c r="H276" s="8" t="s">
        <v>946</v>
      </c>
      <c r="I276" s="8" t="s">
        <v>145</v>
      </c>
      <c r="J276" s="9" t="n">
        <v>1950000</v>
      </c>
      <c r="K276" s="8" t="s">
        <v>373</v>
      </c>
      <c r="L276" s="9" t="n">
        <v>13801.41</v>
      </c>
      <c r="M276" s="9" t="n">
        <v>1725.18</v>
      </c>
      <c r="N276" s="9" t="n">
        <v>1725.18</v>
      </c>
      <c r="O276" s="9" t="n">
        <v>10351.1</v>
      </c>
      <c r="P276" s="9" t="n">
        <v>1035.11</v>
      </c>
      <c r="Q276" s="9" t="n">
        <v>1035.11</v>
      </c>
      <c r="R276" s="9" t="n">
        <v>1035.11</v>
      </c>
      <c r="S276" s="9" t="n">
        <v>1035.11</v>
      </c>
      <c r="T276" s="9" t="n">
        <v>1035.11</v>
      </c>
      <c r="U276" s="9" t="n">
        <v>1035.11</v>
      </c>
      <c r="V276" s="9" t="n">
        <v>1035.11</v>
      </c>
      <c r="W276" s="9" t="n">
        <v>1035.11</v>
      </c>
      <c r="X276" s="9" t="n">
        <v>1035.11</v>
      </c>
      <c r="Y276" s="9" t="n">
        <v>1035.11</v>
      </c>
      <c r="Z276" s="9" t="n">
        <v>350</v>
      </c>
      <c r="AA276" s="9" t="n">
        <v>250</v>
      </c>
      <c r="AB276" s="9" t="n">
        <v>600</v>
      </c>
    </row>
    <row r="277" customFormat="false" ht="15" hidden="false" customHeight="false" outlineLevel="0" collapsed="false">
      <c r="A277" s="3" t="s">
        <v>947</v>
      </c>
      <c r="B277" s="3" t="s">
        <v>948</v>
      </c>
      <c r="C277" s="3" t="s">
        <v>84</v>
      </c>
      <c r="D277" s="3" t="s">
        <v>85</v>
      </c>
      <c r="E277" s="3" t="n">
        <v>2009</v>
      </c>
      <c r="F277" s="3" t="s">
        <v>122</v>
      </c>
      <c r="G277" s="3" t="s">
        <v>123</v>
      </c>
      <c r="H277" s="3" t="s">
        <v>949</v>
      </c>
      <c r="I277" s="3" t="s">
        <v>47</v>
      </c>
      <c r="J277" s="7" t="n">
        <v>240000</v>
      </c>
      <c r="K277" s="3" t="s">
        <v>334</v>
      </c>
      <c r="L277" s="7" t="n">
        <v>3983.47</v>
      </c>
      <c r="M277" s="7" t="n">
        <v>497.93</v>
      </c>
      <c r="N277" s="7" t="n">
        <v>497.93</v>
      </c>
      <c r="O277" s="7" t="n">
        <v>2987.6</v>
      </c>
      <c r="P277" s="7" t="n">
        <v>298.76</v>
      </c>
      <c r="Q277" s="7" t="n">
        <v>298.76</v>
      </c>
      <c r="R277" s="7" t="n">
        <v>298.76</v>
      </c>
      <c r="S277" s="7" t="n">
        <v>298.76</v>
      </c>
      <c r="T277" s="7" t="n">
        <v>298.76</v>
      </c>
      <c r="U277" s="7" t="n">
        <v>298.76</v>
      </c>
      <c r="V277" s="7" t="n">
        <v>298.76</v>
      </c>
      <c r="W277" s="7" t="n">
        <v>298.76</v>
      </c>
      <c r="X277" s="7" t="n">
        <v>298.76</v>
      </c>
      <c r="Y277" s="7" t="n">
        <v>298.76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950</v>
      </c>
      <c r="B278" s="8" t="s">
        <v>951</v>
      </c>
      <c r="C278" s="8" t="s">
        <v>106</v>
      </c>
      <c r="D278" s="8" t="s">
        <v>107</v>
      </c>
      <c r="E278" s="8" t="n">
        <v>2020</v>
      </c>
      <c r="F278" s="8" t="s">
        <v>68</v>
      </c>
      <c r="G278" s="8" t="s">
        <v>69</v>
      </c>
      <c r="H278" s="8" t="s">
        <v>952</v>
      </c>
      <c r="I278" s="8" t="s">
        <v>47</v>
      </c>
      <c r="J278" s="9" t="n">
        <v>815000</v>
      </c>
      <c r="K278" s="8" t="s">
        <v>138</v>
      </c>
      <c r="L278" s="9" t="n">
        <v>12773.63</v>
      </c>
      <c r="M278" s="9" t="n">
        <v>1596.7</v>
      </c>
      <c r="N278" s="9" t="n">
        <v>1596.7</v>
      </c>
      <c r="O278" s="9" t="n">
        <v>9580.2</v>
      </c>
      <c r="P278" s="9" t="n">
        <v>958.02</v>
      </c>
      <c r="Q278" s="9" t="n">
        <v>958.02</v>
      </c>
      <c r="R278" s="9" t="n">
        <v>958.02</v>
      </c>
      <c r="S278" s="9" t="n">
        <v>958.02</v>
      </c>
      <c r="T278" s="9" t="n">
        <v>958.02</v>
      </c>
      <c r="U278" s="9" t="n">
        <v>958.02</v>
      </c>
      <c r="V278" s="9" t="n">
        <v>958.02</v>
      </c>
      <c r="W278" s="9" t="n">
        <v>958.02</v>
      </c>
      <c r="X278" s="9" t="n">
        <v>958.02</v>
      </c>
      <c r="Y278" s="9" t="n">
        <v>958.02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953</v>
      </c>
      <c r="B279" s="3" t="s">
        <v>954</v>
      </c>
      <c r="C279" s="3" t="s">
        <v>354</v>
      </c>
      <c r="D279" s="3" t="s">
        <v>355</v>
      </c>
      <c r="E279" s="3" t="n">
        <v>1977</v>
      </c>
      <c r="F279" s="3" t="s">
        <v>44</v>
      </c>
      <c r="G279" s="3" t="s">
        <v>45</v>
      </c>
      <c r="H279" s="3" t="s">
        <v>955</v>
      </c>
      <c r="I279" s="3" t="s">
        <v>47</v>
      </c>
      <c r="J279" s="7" t="n">
        <v>480000</v>
      </c>
      <c r="K279" s="3" t="s">
        <v>321</v>
      </c>
      <c r="L279" s="7" t="n">
        <v>6307.43</v>
      </c>
      <c r="M279" s="7" t="n">
        <v>788.43</v>
      </c>
      <c r="N279" s="7" t="n">
        <v>788.43</v>
      </c>
      <c r="O279" s="7" t="n">
        <v>4730.6</v>
      </c>
      <c r="P279" s="7" t="n">
        <v>473.06</v>
      </c>
      <c r="Q279" s="7" t="n">
        <v>473.06</v>
      </c>
      <c r="R279" s="7" t="n">
        <v>473.06</v>
      </c>
      <c r="S279" s="7" t="n">
        <v>473.06</v>
      </c>
      <c r="T279" s="7" t="n">
        <v>473.06</v>
      </c>
      <c r="U279" s="7" t="n">
        <v>473.06</v>
      </c>
      <c r="V279" s="7" t="n">
        <v>473.06</v>
      </c>
      <c r="W279" s="7" t="n">
        <v>473.06</v>
      </c>
      <c r="X279" s="7" t="n">
        <v>473.06</v>
      </c>
      <c r="Y279" s="7" t="n">
        <v>473.06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956</v>
      </c>
      <c r="B280" s="8" t="s">
        <v>957</v>
      </c>
      <c r="C280" s="8" t="s">
        <v>274</v>
      </c>
      <c r="D280" s="8" t="s">
        <v>275</v>
      </c>
      <c r="E280" s="8" t="n">
        <v>1976</v>
      </c>
      <c r="F280" s="8" t="s">
        <v>122</v>
      </c>
      <c r="G280" s="8" t="s">
        <v>130</v>
      </c>
      <c r="H280" s="8" t="s">
        <v>958</v>
      </c>
      <c r="I280" s="8" t="s">
        <v>96</v>
      </c>
      <c r="J280" s="9" t="n">
        <v>325000</v>
      </c>
      <c r="K280" s="8" t="s">
        <v>81</v>
      </c>
      <c r="L280" s="9" t="n">
        <v>3436.82</v>
      </c>
      <c r="M280" s="9" t="n">
        <v>429.6</v>
      </c>
      <c r="N280" s="9" t="n">
        <v>429.6</v>
      </c>
      <c r="O280" s="9" t="n">
        <v>2577.6</v>
      </c>
      <c r="P280" s="9" t="n">
        <v>257.76</v>
      </c>
      <c r="Q280" s="9" t="n">
        <v>257.76</v>
      </c>
      <c r="R280" s="9" t="n">
        <v>257.76</v>
      </c>
      <c r="S280" s="9" t="n">
        <v>257.76</v>
      </c>
      <c r="T280" s="9" t="n">
        <v>257.76</v>
      </c>
      <c r="U280" s="9" t="n">
        <v>257.76</v>
      </c>
      <c r="V280" s="9" t="n">
        <v>257.76</v>
      </c>
      <c r="W280" s="9" t="n">
        <v>257.76</v>
      </c>
      <c r="X280" s="9" t="n">
        <v>257.76</v>
      </c>
      <c r="Y280" s="9" t="n">
        <v>257.76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959</v>
      </c>
      <c r="B281" s="3" t="s">
        <v>960</v>
      </c>
      <c r="C281" s="3" t="s">
        <v>66</v>
      </c>
      <c r="D281" s="3" t="s">
        <v>67</v>
      </c>
      <c r="E281" s="3" t="n">
        <v>1984</v>
      </c>
      <c r="F281" s="3" t="s">
        <v>53</v>
      </c>
      <c r="G281" s="3" t="s">
        <v>174</v>
      </c>
      <c r="H281" s="3" t="s">
        <v>961</v>
      </c>
      <c r="I281" s="3" t="s">
        <v>96</v>
      </c>
      <c r="J281" s="7" t="n">
        <v>355000</v>
      </c>
      <c r="K281" s="3" t="s">
        <v>294</v>
      </c>
      <c r="L281" s="7" t="n">
        <v>2926.4</v>
      </c>
      <c r="M281" s="7" t="n">
        <v>365.8</v>
      </c>
      <c r="N281" s="7" t="n">
        <v>365.8</v>
      </c>
      <c r="O281" s="7" t="n">
        <v>2194.8</v>
      </c>
      <c r="P281" s="7" t="n">
        <v>219.48</v>
      </c>
      <c r="Q281" s="7" t="n">
        <v>219.48</v>
      </c>
      <c r="R281" s="7" t="n">
        <v>219.48</v>
      </c>
      <c r="S281" s="7" t="n">
        <v>219.48</v>
      </c>
      <c r="T281" s="7" t="n">
        <v>219.48</v>
      </c>
      <c r="U281" s="7" t="n">
        <v>219.48</v>
      </c>
      <c r="V281" s="7" t="n">
        <v>219.48</v>
      </c>
      <c r="W281" s="7" t="n">
        <v>219.48</v>
      </c>
      <c r="X281" s="7" t="n">
        <v>219.48</v>
      </c>
      <c r="Y281" s="7" t="n">
        <v>219.48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962</v>
      </c>
      <c r="B282" s="8" t="s">
        <v>963</v>
      </c>
      <c r="C282" s="8" t="s">
        <v>354</v>
      </c>
      <c r="D282" s="8" t="s">
        <v>355</v>
      </c>
      <c r="E282" s="8" t="n">
        <v>1998</v>
      </c>
      <c r="F282" s="8" t="s">
        <v>53</v>
      </c>
      <c r="G282" s="8" t="s">
        <v>54</v>
      </c>
      <c r="H282" s="8" t="s">
        <v>964</v>
      </c>
      <c r="I282" s="8" t="s">
        <v>47</v>
      </c>
      <c r="J282" s="9" t="n">
        <v>350000</v>
      </c>
      <c r="K282" s="8" t="s">
        <v>138</v>
      </c>
      <c r="L282" s="9" t="n">
        <v>6329.54</v>
      </c>
      <c r="M282" s="9" t="n">
        <v>791.19</v>
      </c>
      <c r="N282" s="9" t="n">
        <v>791.19</v>
      </c>
      <c r="O282" s="9" t="n">
        <v>4747.2</v>
      </c>
      <c r="P282" s="9" t="n">
        <v>474.72</v>
      </c>
      <c r="Q282" s="9" t="n">
        <v>474.72</v>
      </c>
      <c r="R282" s="9" t="n">
        <v>474.72</v>
      </c>
      <c r="S282" s="9" t="n">
        <v>474.72</v>
      </c>
      <c r="T282" s="9" t="n">
        <v>474.72</v>
      </c>
      <c r="U282" s="9" t="n">
        <v>474.72</v>
      </c>
      <c r="V282" s="9" t="n">
        <v>474.72</v>
      </c>
      <c r="W282" s="9" t="n">
        <v>474.72</v>
      </c>
      <c r="X282" s="9" t="n">
        <v>474.72</v>
      </c>
      <c r="Y282" s="9" t="n">
        <v>474.72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965</v>
      </c>
      <c r="B283" s="3" t="s">
        <v>966</v>
      </c>
      <c r="C283" s="3" t="s">
        <v>283</v>
      </c>
      <c r="D283" s="3" t="s">
        <v>284</v>
      </c>
      <c r="E283" s="3" t="n">
        <v>1998</v>
      </c>
      <c r="F283" s="3" t="s">
        <v>44</v>
      </c>
      <c r="G283" s="3" t="s">
        <v>45</v>
      </c>
      <c r="H283" s="3" t="s">
        <v>967</v>
      </c>
      <c r="I283" s="3" t="s">
        <v>47</v>
      </c>
      <c r="J283" s="7" t="n">
        <v>535000</v>
      </c>
      <c r="K283" s="3" t="s">
        <v>373</v>
      </c>
      <c r="L283" s="7" t="n">
        <v>7238.97</v>
      </c>
      <c r="M283" s="7" t="n">
        <v>904.87</v>
      </c>
      <c r="N283" s="7" t="n">
        <v>904.87</v>
      </c>
      <c r="O283" s="7" t="n">
        <v>5429.2</v>
      </c>
      <c r="P283" s="7" t="n">
        <v>542.92</v>
      </c>
      <c r="Q283" s="7" t="n">
        <v>542.92</v>
      </c>
      <c r="R283" s="7" t="n">
        <v>542.92</v>
      </c>
      <c r="S283" s="7" t="n">
        <v>542.92</v>
      </c>
      <c r="T283" s="7" t="n">
        <v>542.92</v>
      </c>
      <c r="U283" s="7" t="n">
        <v>542.92</v>
      </c>
      <c r="V283" s="7" t="n">
        <v>542.92</v>
      </c>
      <c r="W283" s="7" t="n">
        <v>542.92</v>
      </c>
      <c r="X283" s="7" t="n">
        <v>542.92</v>
      </c>
      <c r="Y283" s="7" t="n">
        <v>542.92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968</v>
      </c>
      <c r="B284" s="8" t="s">
        <v>969</v>
      </c>
      <c r="C284" s="8" t="s">
        <v>66</v>
      </c>
      <c r="D284" s="8" t="s">
        <v>67</v>
      </c>
      <c r="E284" s="8" t="n">
        <v>2022</v>
      </c>
      <c r="F284" s="8" t="s">
        <v>114</v>
      </c>
      <c r="G284" s="8" t="s">
        <v>115</v>
      </c>
      <c r="H284" s="8" t="s">
        <v>970</v>
      </c>
      <c r="I284" s="8" t="s">
        <v>47</v>
      </c>
      <c r="J284" s="9" t="n">
        <v>765000</v>
      </c>
      <c r="K284" s="8" t="s">
        <v>138</v>
      </c>
      <c r="L284" s="9" t="n">
        <v>11989.97</v>
      </c>
      <c r="M284" s="9" t="n">
        <v>1498.75</v>
      </c>
      <c r="N284" s="9" t="n">
        <v>1498.75</v>
      </c>
      <c r="O284" s="9" t="n">
        <v>8992.5</v>
      </c>
      <c r="P284" s="9" t="n">
        <v>899.25</v>
      </c>
      <c r="Q284" s="9" t="n">
        <v>899.25</v>
      </c>
      <c r="R284" s="9" t="n">
        <v>899.25</v>
      </c>
      <c r="S284" s="9" t="n">
        <v>899.25</v>
      </c>
      <c r="T284" s="9" t="n">
        <v>899.25</v>
      </c>
      <c r="U284" s="9" t="n">
        <v>899.25</v>
      </c>
      <c r="V284" s="9" t="n">
        <v>899.25</v>
      </c>
      <c r="W284" s="9" t="n">
        <v>899.25</v>
      </c>
      <c r="X284" s="9" t="n">
        <v>899.25</v>
      </c>
      <c r="Y284" s="9" t="n">
        <v>899.25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971</v>
      </c>
      <c r="B285" s="3" t="s">
        <v>972</v>
      </c>
      <c r="C285" s="3" t="s">
        <v>106</v>
      </c>
      <c r="D285" s="3" t="s">
        <v>107</v>
      </c>
      <c r="E285" s="3" t="n">
        <v>1996</v>
      </c>
      <c r="F285" s="3" t="s">
        <v>114</v>
      </c>
      <c r="G285" s="3" t="s">
        <v>115</v>
      </c>
      <c r="H285" s="3" t="s">
        <v>973</v>
      </c>
      <c r="I285" s="3" t="s">
        <v>47</v>
      </c>
      <c r="J285" s="7" t="n">
        <v>535000</v>
      </c>
      <c r="K285" s="3" t="s">
        <v>222</v>
      </c>
      <c r="L285" s="7" t="n">
        <v>5730.85</v>
      </c>
      <c r="M285" s="7" t="n">
        <v>716.36</v>
      </c>
      <c r="N285" s="7" t="n">
        <v>716.36</v>
      </c>
      <c r="O285" s="7" t="n">
        <v>4298.1</v>
      </c>
      <c r="P285" s="7" t="n">
        <v>429.81</v>
      </c>
      <c r="Q285" s="7" t="n">
        <v>429.81</v>
      </c>
      <c r="R285" s="7" t="n">
        <v>429.81</v>
      </c>
      <c r="S285" s="7" t="n">
        <v>429.81</v>
      </c>
      <c r="T285" s="7" t="n">
        <v>429.81</v>
      </c>
      <c r="U285" s="7" t="n">
        <v>429.81</v>
      </c>
      <c r="V285" s="7" t="n">
        <v>429.81</v>
      </c>
      <c r="W285" s="7" t="n">
        <v>429.81</v>
      </c>
      <c r="X285" s="7" t="n">
        <v>429.81</v>
      </c>
      <c r="Y285" s="7" t="n">
        <v>429.81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974</v>
      </c>
      <c r="B286" s="8" t="s">
        <v>630</v>
      </c>
      <c r="C286" s="8" t="s">
        <v>84</v>
      </c>
      <c r="D286" s="8" t="s">
        <v>85</v>
      </c>
      <c r="E286" s="8" t="n">
        <v>1994</v>
      </c>
      <c r="F286" s="8" t="s">
        <v>114</v>
      </c>
      <c r="G286" s="8" t="s">
        <v>115</v>
      </c>
      <c r="H286" s="8" t="s">
        <v>975</v>
      </c>
      <c r="I286" s="8" t="s">
        <v>47</v>
      </c>
      <c r="J286" s="9" t="n">
        <v>1090000</v>
      </c>
      <c r="K286" s="8" t="s">
        <v>453</v>
      </c>
      <c r="L286" s="9" t="n">
        <v>10607.62</v>
      </c>
      <c r="M286" s="9" t="n">
        <v>1325.95</v>
      </c>
      <c r="N286" s="9" t="n">
        <v>1325.95</v>
      </c>
      <c r="O286" s="9" t="n">
        <v>7955.7</v>
      </c>
      <c r="P286" s="9" t="n">
        <v>795.57</v>
      </c>
      <c r="Q286" s="9" t="n">
        <v>795.57</v>
      </c>
      <c r="R286" s="9" t="n">
        <v>795.57</v>
      </c>
      <c r="S286" s="9" t="n">
        <v>795.57</v>
      </c>
      <c r="T286" s="9" t="n">
        <v>795.57</v>
      </c>
      <c r="U286" s="9" t="n">
        <v>795.57</v>
      </c>
      <c r="V286" s="9" t="n">
        <v>795.57</v>
      </c>
      <c r="W286" s="9" t="n">
        <v>795.57</v>
      </c>
      <c r="X286" s="9" t="n">
        <v>795.57</v>
      </c>
      <c r="Y286" s="9" t="n">
        <v>795.57</v>
      </c>
      <c r="Z286" s="9" t="n">
        <v>350</v>
      </c>
      <c r="AA286" s="9" t="n">
        <v>250</v>
      </c>
      <c r="AB286" s="9" t="n">
        <v>600</v>
      </c>
    </row>
    <row r="287" customFormat="false" ht="15" hidden="false" customHeight="false" outlineLevel="0" collapsed="false">
      <c r="A287" s="3" t="s">
        <v>976</v>
      </c>
      <c r="B287" s="3" t="s">
        <v>911</v>
      </c>
      <c r="C287" s="3" t="s">
        <v>78</v>
      </c>
      <c r="D287" s="3" t="s">
        <v>79</v>
      </c>
      <c r="E287" s="3" t="n">
        <v>1992</v>
      </c>
      <c r="F287" s="3" t="s">
        <v>122</v>
      </c>
      <c r="G287" s="3" t="s">
        <v>123</v>
      </c>
      <c r="H287" s="3" t="s">
        <v>977</v>
      </c>
      <c r="I287" s="3" t="s">
        <v>47</v>
      </c>
      <c r="J287" s="7" t="n">
        <v>590000</v>
      </c>
      <c r="K287" s="3" t="s">
        <v>373</v>
      </c>
      <c r="L287" s="7" t="n">
        <v>7983.17</v>
      </c>
      <c r="M287" s="7" t="n">
        <v>997.9</v>
      </c>
      <c r="N287" s="7" t="n">
        <v>997.9</v>
      </c>
      <c r="O287" s="7" t="n">
        <v>5987.4</v>
      </c>
      <c r="P287" s="7" t="n">
        <v>598.74</v>
      </c>
      <c r="Q287" s="7" t="n">
        <v>598.74</v>
      </c>
      <c r="R287" s="7" t="n">
        <v>598.74</v>
      </c>
      <c r="S287" s="7" t="n">
        <v>598.74</v>
      </c>
      <c r="T287" s="7" t="n">
        <v>598.74</v>
      </c>
      <c r="U287" s="7" t="n">
        <v>598.74</v>
      </c>
      <c r="V287" s="7" t="n">
        <v>598.74</v>
      </c>
      <c r="W287" s="7" t="n">
        <v>598.74</v>
      </c>
      <c r="X287" s="7" t="n">
        <v>598.74</v>
      </c>
      <c r="Y287" s="7" t="n">
        <v>598.74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978</v>
      </c>
      <c r="B288" s="8" t="s">
        <v>979</v>
      </c>
      <c r="C288" s="8" t="s">
        <v>229</v>
      </c>
      <c r="D288" s="8" t="s">
        <v>230</v>
      </c>
      <c r="E288" s="8" t="n">
        <v>1989</v>
      </c>
      <c r="F288" s="8" t="s">
        <v>122</v>
      </c>
      <c r="G288" s="8" t="s">
        <v>123</v>
      </c>
      <c r="H288" s="8" t="s">
        <v>980</v>
      </c>
      <c r="I288" s="8" t="s">
        <v>47</v>
      </c>
      <c r="J288" s="9" t="n">
        <v>915000</v>
      </c>
      <c r="K288" s="8" t="s">
        <v>171</v>
      </c>
      <c r="L288" s="9" t="n">
        <v>13928.26</v>
      </c>
      <c r="M288" s="9" t="n">
        <v>1741.03</v>
      </c>
      <c r="N288" s="9" t="n">
        <v>1741.03</v>
      </c>
      <c r="O288" s="9" t="n">
        <v>10446.2</v>
      </c>
      <c r="P288" s="9" t="n">
        <v>1044.62</v>
      </c>
      <c r="Q288" s="9" t="n">
        <v>1044.62</v>
      </c>
      <c r="R288" s="9" t="n">
        <v>1044.62</v>
      </c>
      <c r="S288" s="9" t="n">
        <v>1044.62</v>
      </c>
      <c r="T288" s="9" t="n">
        <v>1044.62</v>
      </c>
      <c r="U288" s="9" t="n">
        <v>1044.62</v>
      </c>
      <c r="V288" s="9" t="n">
        <v>1044.62</v>
      </c>
      <c r="W288" s="9" t="n">
        <v>1044.62</v>
      </c>
      <c r="X288" s="9" t="n">
        <v>1044.62</v>
      </c>
      <c r="Y288" s="9" t="n">
        <v>1044.62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981</v>
      </c>
      <c r="B289" s="3" t="s">
        <v>239</v>
      </c>
      <c r="C289" s="3" t="s">
        <v>354</v>
      </c>
      <c r="D289" s="3" t="s">
        <v>355</v>
      </c>
      <c r="E289" s="3" t="n">
        <v>2003</v>
      </c>
      <c r="F289" s="3" t="s">
        <v>122</v>
      </c>
      <c r="G289" s="3" t="s">
        <v>130</v>
      </c>
      <c r="H289" s="3" t="s">
        <v>982</v>
      </c>
      <c r="I289" s="3" t="s">
        <v>96</v>
      </c>
      <c r="J289" s="7" t="n">
        <v>1040000</v>
      </c>
      <c r="K289" s="3" t="s">
        <v>63</v>
      </c>
      <c r="L289" s="7" t="n">
        <v>10626.19</v>
      </c>
      <c r="M289" s="7" t="n">
        <v>1328.27</v>
      </c>
      <c r="N289" s="7" t="n">
        <v>1328.27</v>
      </c>
      <c r="O289" s="7" t="n">
        <v>7969.6</v>
      </c>
      <c r="P289" s="7" t="n">
        <v>796.96</v>
      </c>
      <c r="Q289" s="7" t="n">
        <v>796.96</v>
      </c>
      <c r="R289" s="7" t="n">
        <v>796.96</v>
      </c>
      <c r="S289" s="7" t="n">
        <v>796.96</v>
      </c>
      <c r="T289" s="7" t="n">
        <v>796.96</v>
      </c>
      <c r="U289" s="7" t="n">
        <v>796.96</v>
      </c>
      <c r="V289" s="7" t="n">
        <v>796.96</v>
      </c>
      <c r="W289" s="7" t="n">
        <v>796.96</v>
      </c>
      <c r="X289" s="7" t="n">
        <v>796.96</v>
      </c>
      <c r="Y289" s="7" t="n">
        <v>796.96</v>
      </c>
      <c r="Z289" s="7" t="n">
        <v>350</v>
      </c>
      <c r="AA289" s="7" t="n">
        <v>250</v>
      </c>
      <c r="AB289" s="7" t="n">
        <v>600</v>
      </c>
    </row>
    <row r="290" customFormat="false" ht="15" hidden="false" customHeight="false" outlineLevel="0" collapsed="false">
      <c r="A290" s="8" t="s">
        <v>983</v>
      </c>
      <c r="B290" s="8" t="s">
        <v>960</v>
      </c>
      <c r="C290" s="8" t="s">
        <v>432</v>
      </c>
      <c r="D290" s="8" t="s">
        <v>433</v>
      </c>
      <c r="E290" s="8" t="n">
        <v>2023</v>
      </c>
      <c r="F290" s="8" t="s">
        <v>60</v>
      </c>
      <c r="G290" s="8" t="s">
        <v>61</v>
      </c>
      <c r="H290" s="8" t="s">
        <v>984</v>
      </c>
      <c r="I290" s="8" t="s">
        <v>47</v>
      </c>
      <c r="J290" s="9" t="n">
        <v>525000</v>
      </c>
      <c r="K290" s="8" t="s">
        <v>226</v>
      </c>
      <c r="L290" s="9" t="n">
        <v>6393.3</v>
      </c>
      <c r="M290" s="9" t="n">
        <v>799.16</v>
      </c>
      <c r="N290" s="9" t="n">
        <v>799.16</v>
      </c>
      <c r="O290" s="9" t="n">
        <v>4795</v>
      </c>
      <c r="P290" s="9" t="n">
        <v>479.5</v>
      </c>
      <c r="Q290" s="9" t="n">
        <v>479.5</v>
      </c>
      <c r="R290" s="9" t="n">
        <v>479.5</v>
      </c>
      <c r="S290" s="9" t="n">
        <v>479.5</v>
      </c>
      <c r="T290" s="9" t="n">
        <v>479.5</v>
      </c>
      <c r="U290" s="9" t="n">
        <v>479.5</v>
      </c>
      <c r="V290" s="9" t="n">
        <v>479.5</v>
      </c>
      <c r="W290" s="9" t="n">
        <v>479.5</v>
      </c>
      <c r="X290" s="9" t="n">
        <v>479.5</v>
      </c>
      <c r="Y290" s="9" t="n">
        <v>479.5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985</v>
      </c>
      <c r="B291" s="3" t="s">
        <v>986</v>
      </c>
      <c r="C291" s="3" t="s">
        <v>51</v>
      </c>
      <c r="D291" s="3" t="s">
        <v>52</v>
      </c>
      <c r="E291" s="3" t="n">
        <v>2007</v>
      </c>
      <c r="F291" s="3" t="s">
        <v>100</v>
      </c>
      <c r="G291" s="3" t="s">
        <v>101</v>
      </c>
      <c r="H291" s="3" t="s">
        <v>987</v>
      </c>
      <c r="I291" s="3" t="s">
        <v>103</v>
      </c>
      <c r="J291" s="7" t="n">
        <v>670000</v>
      </c>
      <c r="K291" s="3" t="s">
        <v>212</v>
      </c>
      <c r="L291" s="7" t="n">
        <v>11785.32</v>
      </c>
      <c r="M291" s="7" t="n">
        <v>1473.16</v>
      </c>
      <c r="N291" s="7" t="n">
        <v>1473.16</v>
      </c>
      <c r="O291" s="7" t="n">
        <v>8839</v>
      </c>
      <c r="P291" s="7" t="n">
        <v>883.9</v>
      </c>
      <c r="Q291" s="7" t="n">
        <v>883.9</v>
      </c>
      <c r="R291" s="7" t="n">
        <v>883.9</v>
      </c>
      <c r="S291" s="7" t="n">
        <v>883.9</v>
      </c>
      <c r="T291" s="7" t="n">
        <v>883.9</v>
      </c>
      <c r="U291" s="7" t="n">
        <v>883.9</v>
      </c>
      <c r="V291" s="7" t="n">
        <v>883.9</v>
      </c>
      <c r="W291" s="7" t="n">
        <v>883.9</v>
      </c>
      <c r="X291" s="7" t="n">
        <v>883.9</v>
      </c>
      <c r="Y291" s="7" t="n">
        <v>883.9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988</v>
      </c>
      <c r="B292" s="8" t="s">
        <v>989</v>
      </c>
      <c r="C292" s="8" t="s">
        <v>432</v>
      </c>
      <c r="D292" s="8" t="s">
        <v>433</v>
      </c>
      <c r="E292" s="8" t="n">
        <v>1958</v>
      </c>
      <c r="F292" s="8" t="s">
        <v>53</v>
      </c>
      <c r="G292" s="8" t="s">
        <v>174</v>
      </c>
      <c r="H292" s="8" t="s">
        <v>990</v>
      </c>
      <c r="I292" s="8" t="s">
        <v>96</v>
      </c>
      <c r="J292" s="9" t="n">
        <v>425000</v>
      </c>
      <c r="K292" s="8" t="s">
        <v>48</v>
      </c>
      <c r="L292" s="9" t="n">
        <v>4600.47</v>
      </c>
      <c r="M292" s="9" t="n">
        <v>575.06</v>
      </c>
      <c r="N292" s="9" t="n">
        <v>575.06</v>
      </c>
      <c r="O292" s="9" t="n">
        <v>3450.4</v>
      </c>
      <c r="P292" s="9" t="n">
        <v>345.04</v>
      </c>
      <c r="Q292" s="9" t="n">
        <v>345.04</v>
      </c>
      <c r="R292" s="9" t="n">
        <v>345.04</v>
      </c>
      <c r="S292" s="9" t="n">
        <v>345.04</v>
      </c>
      <c r="T292" s="9" t="n">
        <v>345.04</v>
      </c>
      <c r="U292" s="9" t="n">
        <v>345.04</v>
      </c>
      <c r="V292" s="9" t="n">
        <v>345.04</v>
      </c>
      <c r="W292" s="9" t="n">
        <v>345.04</v>
      </c>
      <c r="X292" s="9" t="n">
        <v>345.04</v>
      </c>
      <c r="Y292" s="9" t="n">
        <v>345.04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991</v>
      </c>
      <c r="B293" s="3" t="s">
        <v>992</v>
      </c>
      <c r="C293" s="3" t="s">
        <v>168</v>
      </c>
      <c r="D293" s="3" t="s">
        <v>169</v>
      </c>
      <c r="E293" s="3" t="n">
        <v>1964</v>
      </c>
      <c r="F293" s="3" t="s">
        <v>44</v>
      </c>
      <c r="G293" s="3" t="s">
        <v>45</v>
      </c>
      <c r="H293" s="3" t="s">
        <v>993</v>
      </c>
      <c r="I293" s="3" t="s">
        <v>47</v>
      </c>
      <c r="J293" s="7" t="n">
        <v>300000</v>
      </c>
      <c r="K293" s="3" t="s">
        <v>420</v>
      </c>
      <c r="L293" s="7" t="n">
        <v>4878.89</v>
      </c>
      <c r="M293" s="7" t="n">
        <v>609.86</v>
      </c>
      <c r="N293" s="7" t="n">
        <v>609.86</v>
      </c>
      <c r="O293" s="7" t="n">
        <v>3659.2</v>
      </c>
      <c r="P293" s="7" t="n">
        <v>365.92</v>
      </c>
      <c r="Q293" s="7" t="n">
        <v>365.92</v>
      </c>
      <c r="R293" s="7" t="n">
        <v>365.92</v>
      </c>
      <c r="S293" s="7" t="n">
        <v>365.92</v>
      </c>
      <c r="T293" s="7" t="n">
        <v>365.92</v>
      </c>
      <c r="U293" s="7" t="n">
        <v>365.92</v>
      </c>
      <c r="V293" s="7" t="n">
        <v>365.92</v>
      </c>
      <c r="W293" s="7" t="n">
        <v>365.92</v>
      </c>
      <c r="X293" s="7" t="n">
        <v>365.92</v>
      </c>
      <c r="Y293" s="7" t="n">
        <v>365.92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994</v>
      </c>
      <c r="B294" s="8" t="s">
        <v>995</v>
      </c>
      <c r="C294" s="8" t="s">
        <v>156</v>
      </c>
      <c r="D294" s="8" t="s">
        <v>157</v>
      </c>
      <c r="E294" s="8" t="n">
        <v>2017</v>
      </c>
      <c r="F294" s="8" t="s">
        <v>231</v>
      </c>
      <c r="G294" s="8" t="s">
        <v>232</v>
      </c>
      <c r="H294" s="8" t="s">
        <v>996</v>
      </c>
      <c r="I294" s="8" t="s">
        <v>89</v>
      </c>
      <c r="J294" s="9" t="n">
        <v>1380000</v>
      </c>
      <c r="K294" s="8" t="s">
        <v>222</v>
      </c>
      <c r="L294" s="9" t="n">
        <v>18193.71</v>
      </c>
      <c r="M294" s="9" t="n">
        <v>2274.21</v>
      </c>
      <c r="N294" s="9" t="n">
        <v>2274.21</v>
      </c>
      <c r="O294" s="9" t="n">
        <v>13645.3</v>
      </c>
      <c r="P294" s="9" t="n">
        <v>1364.53</v>
      </c>
      <c r="Q294" s="9" t="n">
        <v>1364.53</v>
      </c>
      <c r="R294" s="9" t="n">
        <v>1364.53</v>
      </c>
      <c r="S294" s="9" t="n">
        <v>1364.53</v>
      </c>
      <c r="T294" s="9" t="n">
        <v>1364.53</v>
      </c>
      <c r="U294" s="9" t="n">
        <v>1364.53</v>
      </c>
      <c r="V294" s="9" t="n">
        <v>1364.53</v>
      </c>
      <c r="W294" s="9" t="n">
        <v>1364.53</v>
      </c>
      <c r="X294" s="9" t="n">
        <v>1364.53</v>
      </c>
      <c r="Y294" s="9" t="n">
        <v>1364.53</v>
      </c>
      <c r="Z294" s="9" t="n">
        <v>350</v>
      </c>
      <c r="AA294" s="9" t="n">
        <v>250</v>
      </c>
      <c r="AB294" s="9" t="n">
        <v>600</v>
      </c>
    </row>
    <row r="295" customFormat="false" ht="15" hidden="false" customHeight="false" outlineLevel="0" collapsed="false">
      <c r="A295" s="3" t="s">
        <v>997</v>
      </c>
      <c r="B295" s="3" t="s">
        <v>998</v>
      </c>
      <c r="C295" s="3" t="s">
        <v>42</v>
      </c>
      <c r="D295" s="3" t="s">
        <v>43</v>
      </c>
      <c r="E295" s="3" t="n">
        <v>1987</v>
      </c>
      <c r="F295" s="3" t="s">
        <v>86</v>
      </c>
      <c r="G295" s="3" t="s">
        <v>136</v>
      </c>
      <c r="H295" s="3" t="s">
        <v>999</v>
      </c>
      <c r="I295" s="3" t="s">
        <v>89</v>
      </c>
      <c r="J295" s="7" t="n">
        <v>1075000</v>
      </c>
      <c r="K295" s="3" t="s">
        <v>258</v>
      </c>
      <c r="L295" s="7" t="n">
        <v>14471.01</v>
      </c>
      <c r="M295" s="7" t="n">
        <v>1808.88</v>
      </c>
      <c r="N295" s="7" t="n">
        <v>1808.88</v>
      </c>
      <c r="O295" s="7" t="n">
        <v>10853.3</v>
      </c>
      <c r="P295" s="7" t="n">
        <v>1085.33</v>
      </c>
      <c r="Q295" s="7" t="n">
        <v>1085.33</v>
      </c>
      <c r="R295" s="7" t="n">
        <v>1085.33</v>
      </c>
      <c r="S295" s="7" t="n">
        <v>1085.33</v>
      </c>
      <c r="T295" s="7" t="n">
        <v>1085.33</v>
      </c>
      <c r="U295" s="7" t="n">
        <v>1085.33</v>
      </c>
      <c r="V295" s="7" t="n">
        <v>1085.33</v>
      </c>
      <c r="W295" s="7" t="n">
        <v>1085.33</v>
      </c>
      <c r="X295" s="7" t="n">
        <v>1085.33</v>
      </c>
      <c r="Y295" s="7" t="n">
        <v>1085.33</v>
      </c>
      <c r="Z295" s="7" t="n">
        <v>350</v>
      </c>
      <c r="AA295" s="7" t="n">
        <v>250</v>
      </c>
      <c r="AB295" s="7" t="n">
        <v>600</v>
      </c>
    </row>
    <row r="296" customFormat="false" ht="15" hidden="false" customHeight="false" outlineLevel="0" collapsed="false">
      <c r="A296" s="8" t="s">
        <v>1000</v>
      </c>
      <c r="B296" s="8" t="s">
        <v>353</v>
      </c>
      <c r="C296" s="8" t="s">
        <v>261</v>
      </c>
      <c r="D296" s="8" t="s">
        <v>262</v>
      </c>
      <c r="E296" s="8" t="n">
        <v>1960</v>
      </c>
      <c r="F296" s="8" t="s">
        <v>122</v>
      </c>
      <c r="G296" s="8" t="s">
        <v>123</v>
      </c>
      <c r="H296" s="8" t="s">
        <v>1001</v>
      </c>
      <c r="I296" s="8" t="s">
        <v>47</v>
      </c>
      <c r="J296" s="9" t="n">
        <v>885000</v>
      </c>
      <c r="K296" s="8" t="s">
        <v>373</v>
      </c>
      <c r="L296" s="9" t="n">
        <v>11974.75</v>
      </c>
      <c r="M296" s="9" t="n">
        <v>1496.84</v>
      </c>
      <c r="N296" s="9" t="n">
        <v>1496.84</v>
      </c>
      <c r="O296" s="9" t="n">
        <v>8981.1</v>
      </c>
      <c r="P296" s="9" t="n">
        <v>898.11</v>
      </c>
      <c r="Q296" s="9" t="n">
        <v>898.11</v>
      </c>
      <c r="R296" s="9" t="n">
        <v>898.11</v>
      </c>
      <c r="S296" s="9" t="n">
        <v>898.11</v>
      </c>
      <c r="T296" s="9" t="n">
        <v>898.11</v>
      </c>
      <c r="U296" s="9" t="n">
        <v>898.11</v>
      </c>
      <c r="V296" s="9" t="n">
        <v>898.11</v>
      </c>
      <c r="W296" s="9" t="n">
        <v>898.11</v>
      </c>
      <c r="X296" s="9" t="n">
        <v>898.11</v>
      </c>
      <c r="Y296" s="9" t="n">
        <v>898.11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1002</v>
      </c>
      <c r="B297" s="3" t="s">
        <v>1003</v>
      </c>
      <c r="C297" s="3" t="s">
        <v>141</v>
      </c>
      <c r="D297" s="3" t="s">
        <v>142</v>
      </c>
      <c r="E297" s="3" t="n">
        <v>2005</v>
      </c>
      <c r="F297" s="3" t="s">
        <v>114</v>
      </c>
      <c r="G297" s="3" t="s">
        <v>115</v>
      </c>
      <c r="H297" s="3" t="s">
        <v>1004</v>
      </c>
      <c r="I297" s="3" t="s">
        <v>47</v>
      </c>
      <c r="J297" s="7" t="n">
        <v>340000</v>
      </c>
      <c r="K297" s="3" t="s">
        <v>373</v>
      </c>
      <c r="L297" s="7" t="n">
        <v>5308.23</v>
      </c>
      <c r="M297" s="7" t="n">
        <v>663.53</v>
      </c>
      <c r="N297" s="7" t="n">
        <v>663.53</v>
      </c>
      <c r="O297" s="7" t="n">
        <v>3981.2</v>
      </c>
      <c r="P297" s="7" t="n">
        <v>398.12</v>
      </c>
      <c r="Q297" s="7" t="n">
        <v>398.12</v>
      </c>
      <c r="R297" s="7" t="n">
        <v>398.12</v>
      </c>
      <c r="S297" s="7" t="n">
        <v>398.12</v>
      </c>
      <c r="T297" s="7" t="n">
        <v>398.12</v>
      </c>
      <c r="U297" s="7" t="n">
        <v>398.12</v>
      </c>
      <c r="V297" s="7" t="n">
        <v>398.12</v>
      </c>
      <c r="W297" s="7" t="n">
        <v>398.12</v>
      </c>
      <c r="X297" s="7" t="n">
        <v>398.12</v>
      </c>
      <c r="Y297" s="7" t="n">
        <v>398.12</v>
      </c>
      <c r="Z297" s="7" t="n">
        <v>350</v>
      </c>
      <c r="AA297" s="7" t="n">
        <v>0</v>
      </c>
      <c r="AB297" s="7" t="n">
        <v>350</v>
      </c>
    </row>
    <row r="298" customFormat="false" ht="15" hidden="false" customHeight="false" outlineLevel="0" collapsed="false">
      <c r="A298" s="8" t="s">
        <v>1005</v>
      </c>
      <c r="B298" s="8" t="s">
        <v>462</v>
      </c>
      <c r="C298" s="8" t="s">
        <v>128</v>
      </c>
      <c r="D298" s="8" t="s">
        <v>129</v>
      </c>
      <c r="E298" s="8" t="n">
        <v>2009</v>
      </c>
      <c r="F298" s="8" t="s">
        <v>231</v>
      </c>
      <c r="G298" s="8" t="s">
        <v>232</v>
      </c>
      <c r="H298" s="8" t="s">
        <v>1006</v>
      </c>
      <c r="I298" s="8" t="s">
        <v>89</v>
      </c>
      <c r="J298" s="9" t="n">
        <v>680000</v>
      </c>
      <c r="K298" s="8" t="s">
        <v>171</v>
      </c>
      <c r="L298" s="9" t="n">
        <v>15128.47</v>
      </c>
      <c r="M298" s="9" t="n">
        <v>1891.06</v>
      </c>
      <c r="N298" s="9" t="n">
        <v>1891.06</v>
      </c>
      <c r="O298" s="9" t="n">
        <v>11346.4</v>
      </c>
      <c r="P298" s="9" t="n">
        <v>1134.64</v>
      </c>
      <c r="Q298" s="9" t="n">
        <v>1134.64</v>
      </c>
      <c r="R298" s="9" t="n">
        <v>1134.64</v>
      </c>
      <c r="S298" s="9" t="n">
        <v>1134.64</v>
      </c>
      <c r="T298" s="9" t="n">
        <v>1134.64</v>
      </c>
      <c r="U298" s="9" t="n">
        <v>1134.64</v>
      </c>
      <c r="V298" s="9" t="n">
        <v>1134.64</v>
      </c>
      <c r="W298" s="9" t="n">
        <v>1134.64</v>
      </c>
      <c r="X298" s="9" t="n">
        <v>1134.64</v>
      </c>
      <c r="Y298" s="9" t="n">
        <v>1134.64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1007</v>
      </c>
      <c r="B299" s="3" t="s">
        <v>50</v>
      </c>
      <c r="C299" s="3" t="s">
        <v>134</v>
      </c>
      <c r="D299" s="3" t="s">
        <v>135</v>
      </c>
      <c r="E299" s="3" t="n">
        <v>2013</v>
      </c>
      <c r="F299" s="3" t="s">
        <v>231</v>
      </c>
      <c r="G299" s="3" t="s">
        <v>232</v>
      </c>
      <c r="H299" s="3" t="s">
        <v>1008</v>
      </c>
      <c r="I299" s="3" t="s">
        <v>89</v>
      </c>
      <c r="J299" s="7" t="n">
        <v>1040000</v>
      </c>
      <c r="K299" s="3" t="s">
        <v>90</v>
      </c>
      <c r="L299" s="7" t="n">
        <v>16597.77</v>
      </c>
      <c r="M299" s="7" t="n">
        <v>2074.72</v>
      </c>
      <c r="N299" s="7" t="n">
        <v>2074.72</v>
      </c>
      <c r="O299" s="7" t="n">
        <v>12448.3</v>
      </c>
      <c r="P299" s="7" t="n">
        <v>1244.83</v>
      </c>
      <c r="Q299" s="7" t="n">
        <v>1244.83</v>
      </c>
      <c r="R299" s="7" t="n">
        <v>1244.83</v>
      </c>
      <c r="S299" s="7" t="n">
        <v>1244.83</v>
      </c>
      <c r="T299" s="7" t="n">
        <v>1244.83</v>
      </c>
      <c r="U299" s="7" t="n">
        <v>1244.83</v>
      </c>
      <c r="V299" s="7" t="n">
        <v>1244.83</v>
      </c>
      <c r="W299" s="7" t="n">
        <v>1244.83</v>
      </c>
      <c r="X299" s="7" t="n">
        <v>1244.83</v>
      </c>
      <c r="Y299" s="7" t="n">
        <v>1244.83</v>
      </c>
      <c r="Z299" s="7" t="n">
        <v>350</v>
      </c>
      <c r="AA299" s="7" t="n">
        <v>250</v>
      </c>
      <c r="AB299" s="7" t="n">
        <v>600</v>
      </c>
    </row>
    <row r="300" customFormat="false" ht="15" hidden="false" customHeight="false" outlineLevel="0" collapsed="false">
      <c r="A300" s="8" t="s">
        <v>1009</v>
      </c>
      <c r="B300" s="8" t="s">
        <v>1010</v>
      </c>
      <c r="C300" s="8" t="s">
        <v>206</v>
      </c>
      <c r="D300" s="8" t="s">
        <v>207</v>
      </c>
      <c r="E300" s="8" t="n">
        <v>1958</v>
      </c>
      <c r="F300" s="8" t="s">
        <v>44</v>
      </c>
      <c r="G300" s="8" t="s">
        <v>45</v>
      </c>
      <c r="H300" s="8" t="s">
        <v>1011</v>
      </c>
      <c r="I300" s="8" t="s">
        <v>47</v>
      </c>
      <c r="J300" s="9" t="n">
        <v>1785000</v>
      </c>
      <c r="K300" s="8" t="s">
        <v>193</v>
      </c>
      <c r="L300" s="9" t="n">
        <v>23502.21</v>
      </c>
      <c r="M300" s="9" t="n">
        <v>2937.78</v>
      </c>
      <c r="N300" s="9" t="n">
        <v>2937.78</v>
      </c>
      <c r="O300" s="9" t="n">
        <v>17626.7</v>
      </c>
      <c r="P300" s="9" t="n">
        <v>1762.67</v>
      </c>
      <c r="Q300" s="9" t="n">
        <v>1762.67</v>
      </c>
      <c r="R300" s="9" t="n">
        <v>1762.67</v>
      </c>
      <c r="S300" s="9" t="n">
        <v>1762.67</v>
      </c>
      <c r="T300" s="9" t="n">
        <v>1762.67</v>
      </c>
      <c r="U300" s="9" t="n">
        <v>1762.67</v>
      </c>
      <c r="V300" s="9" t="n">
        <v>1762.67</v>
      </c>
      <c r="W300" s="9" t="n">
        <v>1762.67</v>
      </c>
      <c r="X300" s="9" t="n">
        <v>1762.67</v>
      </c>
      <c r="Y300" s="9" t="n">
        <v>1762.67</v>
      </c>
      <c r="Z300" s="9" t="n">
        <v>350</v>
      </c>
      <c r="AA300" s="9" t="n">
        <v>250</v>
      </c>
      <c r="AB300" s="9" t="n">
        <v>600</v>
      </c>
    </row>
    <row r="301" customFormat="false" ht="15" hidden="false" customHeight="false" outlineLevel="0" collapsed="false">
      <c r="A301" s="3" t="s">
        <v>1012</v>
      </c>
      <c r="B301" s="3" t="s">
        <v>662</v>
      </c>
      <c r="C301" s="3" t="s">
        <v>141</v>
      </c>
      <c r="D301" s="3" t="s">
        <v>142</v>
      </c>
      <c r="E301" s="3" t="n">
        <v>1991</v>
      </c>
      <c r="F301" s="3" t="s">
        <v>437</v>
      </c>
      <c r="G301" s="3" t="s">
        <v>438</v>
      </c>
      <c r="H301" s="3" t="s">
        <v>1013</v>
      </c>
      <c r="I301" s="3" t="s">
        <v>89</v>
      </c>
      <c r="J301" s="7" t="n">
        <v>1855000</v>
      </c>
      <c r="K301" s="3" t="s">
        <v>200</v>
      </c>
      <c r="L301" s="7" t="n">
        <v>31664.14</v>
      </c>
      <c r="M301" s="7" t="n">
        <v>3958.02</v>
      </c>
      <c r="N301" s="7" t="n">
        <v>3958.02</v>
      </c>
      <c r="O301" s="7" t="n">
        <v>23748.1</v>
      </c>
      <c r="P301" s="7" t="n">
        <v>2374.81</v>
      </c>
      <c r="Q301" s="7" t="n">
        <v>2374.81</v>
      </c>
      <c r="R301" s="7" t="n">
        <v>2374.81</v>
      </c>
      <c r="S301" s="7" t="n">
        <v>2374.81</v>
      </c>
      <c r="T301" s="7" t="n">
        <v>2374.81</v>
      </c>
      <c r="U301" s="7" t="n">
        <v>2374.81</v>
      </c>
      <c r="V301" s="7" t="n">
        <v>2374.81</v>
      </c>
      <c r="W301" s="7" t="n">
        <v>2374.81</v>
      </c>
      <c r="X301" s="7" t="n">
        <v>2374.81</v>
      </c>
      <c r="Y301" s="7" t="n">
        <v>2374.81</v>
      </c>
      <c r="Z301" s="7" t="n">
        <v>350</v>
      </c>
      <c r="AA301" s="7" t="n">
        <v>250</v>
      </c>
      <c r="AB301" s="7" t="n">
        <v>600</v>
      </c>
    </row>
    <row r="302" customFormat="false" ht="15" hidden="false" customHeight="false" outlineLevel="0" collapsed="false">
      <c r="A302" s="8" t="s">
        <v>1014</v>
      </c>
      <c r="B302" s="8" t="s">
        <v>1015</v>
      </c>
      <c r="C302" s="8" t="s">
        <v>106</v>
      </c>
      <c r="D302" s="8" t="s">
        <v>107</v>
      </c>
      <c r="E302" s="8" t="n">
        <v>2019</v>
      </c>
      <c r="F302" s="8" t="s">
        <v>437</v>
      </c>
      <c r="G302" s="8" t="s">
        <v>438</v>
      </c>
      <c r="H302" s="8" t="s">
        <v>1016</v>
      </c>
      <c r="I302" s="8" t="s">
        <v>89</v>
      </c>
      <c r="J302" s="9" t="n">
        <v>1655000</v>
      </c>
      <c r="K302" s="8" t="s">
        <v>325</v>
      </c>
      <c r="L302" s="9" t="n">
        <v>28020.54</v>
      </c>
      <c r="M302" s="9" t="n">
        <v>3502.57</v>
      </c>
      <c r="N302" s="9" t="n">
        <v>3502.57</v>
      </c>
      <c r="O302" s="9" t="n">
        <v>21015.4</v>
      </c>
      <c r="P302" s="9" t="n">
        <v>2101.54</v>
      </c>
      <c r="Q302" s="9" t="n">
        <v>2101.54</v>
      </c>
      <c r="R302" s="9" t="n">
        <v>2101.54</v>
      </c>
      <c r="S302" s="9" t="n">
        <v>2101.54</v>
      </c>
      <c r="T302" s="9" t="n">
        <v>2101.54</v>
      </c>
      <c r="U302" s="9" t="n">
        <v>2101.54</v>
      </c>
      <c r="V302" s="9" t="n">
        <v>2101.54</v>
      </c>
      <c r="W302" s="9" t="n">
        <v>2101.54</v>
      </c>
      <c r="X302" s="9" t="n">
        <v>2101.54</v>
      </c>
      <c r="Y302" s="9" t="n">
        <v>2101.54</v>
      </c>
      <c r="Z302" s="9" t="n">
        <v>350</v>
      </c>
      <c r="AA302" s="9" t="n">
        <v>250</v>
      </c>
      <c r="AB302" s="9" t="n">
        <v>600</v>
      </c>
    </row>
    <row r="303" customFormat="false" ht="15" hidden="false" customHeight="false" outlineLevel="0" collapsed="false">
      <c r="A303" s="3" t="s">
        <v>1017</v>
      </c>
      <c r="B303" s="3" t="s">
        <v>1018</v>
      </c>
      <c r="C303" s="3" t="s">
        <v>156</v>
      </c>
      <c r="D303" s="3" t="s">
        <v>157</v>
      </c>
      <c r="E303" s="3" t="n">
        <v>1964</v>
      </c>
      <c r="F303" s="3" t="s">
        <v>60</v>
      </c>
      <c r="G303" s="3" t="s">
        <v>61</v>
      </c>
      <c r="H303" s="3" t="s">
        <v>1019</v>
      </c>
      <c r="I303" s="3" t="s">
        <v>47</v>
      </c>
      <c r="J303" s="7" t="n">
        <v>1185000</v>
      </c>
      <c r="K303" s="3" t="s">
        <v>171</v>
      </c>
      <c r="L303" s="7" t="n">
        <v>15263.12</v>
      </c>
      <c r="M303" s="7" t="n">
        <v>1907.89</v>
      </c>
      <c r="N303" s="7" t="n">
        <v>1907.89</v>
      </c>
      <c r="O303" s="7" t="n">
        <v>11447.3</v>
      </c>
      <c r="P303" s="7" t="n">
        <v>1144.73</v>
      </c>
      <c r="Q303" s="7" t="n">
        <v>1144.73</v>
      </c>
      <c r="R303" s="7" t="n">
        <v>1144.73</v>
      </c>
      <c r="S303" s="7" t="n">
        <v>1144.73</v>
      </c>
      <c r="T303" s="7" t="n">
        <v>1144.73</v>
      </c>
      <c r="U303" s="7" t="n">
        <v>1144.73</v>
      </c>
      <c r="V303" s="7" t="n">
        <v>1144.73</v>
      </c>
      <c r="W303" s="7" t="n">
        <v>1144.73</v>
      </c>
      <c r="X303" s="7" t="n">
        <v>1144.73</v>
      </c>
      <c r="Y303" s="7" t="n">
        <v>1144.73</v>
      </c>
      <c r="Z303" s="7" t="n">
        <v>350</v>
      </c>
      <c r="AA303" s="7" t="n">
        <v>250</v>
      </c>
      <c r="AB303" s="7" t="n">
        <v>600</v>
      </c>
    </row>
    <row r="304" customFormat="false" ht="15" hidden="false" customHeight="false" outlineLevel="0" collapsed="false">
      <c r="A304" s="8" t="s">
        <v>1020</v>
      </c>
      <c r="B304" s="8" t="s">
        <v>1021</v>
      </c>
      <c r="C304" s="8" t="s">
        <v>42</v>
      </c>
      <c r="D304" s="8" t="s">
        <v>43</v>
      </c>
      <c r="E304" s="8" t="n">
        <v>2020</v>
      </c>
      <c r="F304" s="8" t="s">
        <v>60</v>
      </c>
      <c r="G304" s="8" t="s">
        <v>61</v>
      </c>
      <c r="H304" s="8" t="s">
        <v>1022</v>
      </c>
      <c r="I304" s="8" t="s">
        <v>47</v>
      </c>
      <c r="J304" s="9" t="n">
        <v>405000</v>
      </c>
      <c r="K304" s="8" t="s">
        <v>303</v>
      </c>
      <c r="L304" s="9" t="n">
        <v>7060.73</v>
      </c>
      <c r="M304" s="9" t="n">
        <v>882.59</v>
      </c>
      <c r="N304" s="9" t="n">
        <v>882.59</v>
      </c>
      <c r="O304" s="9" t="n">
        <v>5295.5</v>
      </c>
      <c r="P304" s="9" t="n">
        <v>529.55</v>
      </c>
      <c r="Q304" s="9" t="n">
        <v>529.55</v>
      </c>
      <c r="R304" s="9" t="n">
        <v>529.55</v>
      </c>
      <c r="S304" s="9" t="n">
        <v>529.55</v>
      </c>
      <c r="T304" s="9" t="n">
        <v>529.55</v>
      </c>
      <c r="U304" s="9" t="n">
        <v>529.55</v>
      </c>
      <c r="V304" s="9" t="n">
        <v>529.55</v>
      </c>
      <c r="W304" s="9" t="n">
        <v>529.55</v>
      </c>
      <c r="X304" s="9" t="n">
        <v>529.55</v>
      </c>
      <c r="Y304" s="9" t="n">
        <v>529.55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1023</v>
      </c>
      <c r="B305" s="3" t="s">
        <v>883</v>
      </c>
      <c r="C305" s="3" t="s">
        <v>432</v>
      </c>
      <c r="D305" s="3" t="s">
        <v>433</v>
      </c>
      <c r="E305" s="3" t="n">
        <v>1957</v>
      </c>
      <c r="F305" s="3" t="s">
        <v>114</v>
      </c>
      <c r="G305" s="3" t="s">
        <v>115</v>
      </c>
      <c r="H305" s="3" t="s">
        <v>1024</v>
      </c>
      <c r="I305" s="3" t="s">
        <v>47</v>
      </c>
      <c r="J305" s="7" t="n">
        <v>1070000</v>
      </c>
      <c r="K305" s="3" t="s">
        <v>117</v>
      </c>
      <c r="L305" s="7" t="n">
        <v>11740.13</v>
      </c>
      <c r="M305" s="7" t="n">
        <v>1467.52</v>
      </c>
      <c r="N305" s="7" t="n">
        <v>1467.52</v>
      </c>
      <c r="O305" s="7" t="n">
        <v>8805.1</v>
      </c>
      <c r="P305" s="7" t="n">
        <v>880.51</v>
      </c>
      <c r="Q305" s="7" t="n">
        <v>880.51</v>
      </c>
      <c r="R305" s="7" t="n">
        <v>880.51</v>
      </c>
      <c r="S305" s="7" t="n">
        <v>880.51</v>
      </c>
      <c r="T305" s="7" t="n">
        <v>880.51</v>
      </c>
      <c r="U305" s="7" t="n">
        <v>880.51</v>
      </c>
      <c r="V305" s="7" t="n">
        <v>880.51</v>
      </c>
      <c r="W305" s="7" t="n">
        <v>880.51</v>
      </c>
      <c r="X305" s="7" t="n">
        <v>880.51</v>
      </c>
      <c r="Y305" s="7" t="n">
        <v>880.51</v>
      </c>
      <c r="Z305" s="7" t="n">
        <v>350</v>
      </c>
      <c r="AA305" s="7" t="n">
        <v>250</v>
      </c>
      <c r="AB305" s="7" t="n">
        <v>600</v>
      </c>
    </row>
    <row r="306" customFormat="false" ht="15" hidden="false" customHeight="false" outlineLevel="0" collapsed="false">
      <c r="A306" s="8" t="s">
        <v>1025</v>
      </c>
      <c r="B306" s="8" t="s">
        <v>618</v>
      </c>
      <c r="C306" s="8" t="s">
        <v>288</v>
      </c>
      <c r="D306" s="8" t="s">
        <v>289</v>
      </c>
      <c r="E306" s="8" t="n">
        <v>1988</v>
      </c>
      <c r="F306" s="8" t="s">
        <v>496</v>
      </c>
      <c r="G306" s="8" t="s">
        <v>497</v>
      </c>
      <c r="H306" s="8" t="s">
        <v>1026</v>
      </c>
      <c r="I306" s="8" t="s">
        <v>145</v>
      </c>
      <c r="J306" s="9" t="n">
        <v>560000</v>
      </c>
      <c r="K306" s="8" t="s">
        <v>405</v>
      </c>
      <c r="L306" s="9" t="n">
        <v>4060.62</v>
      </c>
      <c r="M306" s="9" t="n">
        <v>507.58</v>
      </c>
      <c r="N306" s="9" t="n">
        <v>507.58</v>
      </c>
      <c r="O306" s="9" t="n">
        <v>3045.5</v>
      </c>
      <c r="P306" s="9" t="n">
        <v>304.55</v>
      </c>
      <c r="Q306" s="9" t="n">
        <v>304.55</v>
      </c>
      <c r="R306" s="9" t="n">
        <v>304.55</v>
      </c>
      <c r="S306" s="9" t="n">
        <v>304.55</v>
      </c>
      <c r="T306" s="9" t="n">
        <v>304.55</v>
      </c>
      <c r="U306" s="9" t="n">
        <v>304.55</v>
      </c>
      <c r="V306" s="9" t="n">
        <v>304.55</v>
      </c>
      <c r="W306" s="9" t="n">
        <v>304.55</v>
      </c>
      <c r="X306" s="9" t="n">
        <v>304.55</v>
      </c>
      <c r="Y306" s="9" t="n">
        <v>304.55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1027</v>
      </c>
      <c r="B307" s="3" t="s">
        <v>825</v>
      </c>
      <c r="C307" s="3" t="s">
        <v>78</v>
      </c>
      <c r="D307" s="3" t="s">
        <v>79</v>
      </c>
      <c r="E307" s="3" t="n">
        <v>2005</v>
      </c>
      <c r="F307" s="3" t="s">
        <v>44</v>
      </c>
      <c r="G307" s="3" t="s">
        <v>45</v>
      </c>
      <c r="H307" s="3" t="s">
        <v>1028</v>
      </c>
      <c r="I307" s="3" t="s">
        <v>47</v>
      </c>
      <c r="J307" s="7" t="n">
        <v>715000</v>
      </c>
      <c r="K307" s="3" t="s">
        <v>117</v>
      </c>
      <c r="L307" s="7" t="n">
        <v>9271.41</v>
      </c>
      <c r="M307" s="7" t="n">
        <v>1158.93</v>
      </c>
      <c r="N307" s="7" t="n">
        <v>1158.93</v>
      </c>
      <c r="O307" s="7" t="n">
        <v>6953.6</v>
      </c>
      <c r="P307" s="7" t="n">
        <v>695.36</v>
      </c>
      <c r="Q307" s="7" t="n">
        <v>695.36</v>
      </c>
      <c r="R307" s="7" t="n">
        <v>695.36</v>
      </c>
      <c r="S307" s="7" t="n">
        <v>695.36</v>
      </c>
      <c r="T307" s="7" t="n">
        <v>695.36</v>
      </c>
      <c r="U307" s="7" t="n">
        <v>695.36</v>
      </c>
      <c r="V307" s="7" t="n">
        <v>695.36</v>
      </c>
      <c r="W307" s="7" t="n">
        <v>695.36</v>
      </c>
      <c r="X307" s="7" t="n">
        <v>695.36</v>
      </c>
      <c r="Y307" s="7" t="n">
        <v>695.36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1029</v>
      </c>
      <c r="B308" s="8" t="s">
        <v>920</v>
      </c>
      <c r="C308" s="8" t="s">
        <v>112</v>
      </c>
      <c r="D308" s="8" t="s">
        <v>113</v>
      </c>
      <c r="E308" s="8" t="n">
        <v>2013</v>
      </c>
      <c r="F308" s="8" t="s">
        <v>86</v>
      </c>
      <c r="G308" s="8" t="s">
        <v>181</v>
      </c>
      <c r="H308" s="8" t="s">
        <v>1030</v>
      </c>
      <c r="I308" s="8" t="s">
        <v>96</v>
      </c>
      <c r="J308" s="9" t="n">
        <v>895000</v>
      </c>
      <c r="K308" s="8" t="s">
        <v>357</v>
      </c>
      <c r="L308" s="9" t="n">
        <v>6208.74</v>
      </c>
      <c r="M308" s="9" t="n">
        <v>776.09</v>
      </c>
      <c r="N308" s="9" t="n">
        <v>776.09</v>
      </c>
      <c r="O308" s="9" t="n">
        <v>4656.6</v>
      </c>
      <c r="P308" s="9" t="n">
        <v>465.66</v>
      </c>
      <c r="Q308" s="9" t="n">
        <v>465.66</v>
      </c>
      <c r="R308" s="9" t="n">
        <v>465.66</v>
      </c>
      <c r="S308" s="9" t="n">
        <v>465.66</v>
      </c>
      <c r="T308" s="9" t="n">
        <v>465.66</v>
      </c>
      <c r="U308" s="9" t="n">
        <v>465.66</v>
      </c>
      <c r="V308" s="9" t="n">
        <v>465.66</v>
      </c>
      <c r="W308" s="9" t="n">
        <v>465.66</v>
      </c>
      <c r="X308" s="9" t="n">
        <v>465.66</v>
      </c>
      <c r="Y308" s="9" t="n">
        <v>465.66</v>
      </c>
      <c r="Z308" s="9" t="n">
        <v>350</v>
      </c>
      <c r="AA308" s="9" t="n">
        <v>0</v>
      </c>
      <c r="AB308" s="9" t="n">
        <v>350</v>
      </c>
    </row>
    <row r="309" customFormat="false" ht="15" hidden="false" customHeight="false" outlineLevel="0" collapsed="false">
      <c r="A309" s="3" t="s">
        <v>1031</v>
      </c>
      <c r="B309" s="3" t="s">
        <v>1032</v>
      </c>
      <c r="C309" s="3" t="s">
        <v>354</v>
      </c>
      <c r="D309" s="3" t="s">
        <v>355</v>
      </c>
      <c r="E309" s="3" t="n">
        <v>1976</v>
      </c>
      <c r="F309" s="3" t="s">
        <v>122</v>
      </c>
      <c r="G309" s="3" t="s">
        <v>123</v>
      </c>
      <c r="H309" s="3" t="s">
        <v>1033</v>
      </c>
      <c r="I309" s="3" t="s">
        <v>47</v>
      </c>
      <c r="J309" s="7" t="n">
        <v>690000</v>
      </c>
      <c r="K309" s="3" t="s">
        <v>125</v>
      </c>
      <c r="L309" s="7" t="n">
        <v>11047.9</v>
      </c>
      <c r="M309" s="7" t="n">
        <v>1380.99</v>
      </c>
      <c r="N309" s="7" t="n">
        <v>1380.99</v>
      </c>
      <c r="O309" s="7" t="n">
        <v>8285.9</v>
      </c>
      <c r="P309" s="7" t="n">
        <v>828.59</v>
      </c>
      <c r="Q309" s="7" t="n">
        <v>828.59</v>
      </c>
      <c r="R309" s="7" t="n">
        <v>828.59</v>
      </c>
      <c r="S309" s="7" t="n">
        <v>828.59</v>
      </c>
      <c r="T309" s="7" t="n">
        <v>828.59</v>
      </c>
      <c r="U309" s="7" t="n">
        <v>828.59</v>
      </c>
      <c r="V309" s="7" t="n">
        <v>828.59</v>
      </c>
      <c r="W309" s="7" t="n">
        <v>828.59</v>
      </c>
      <c r="X309" s="7" t="n">
        <v>828.59</v>
      </c>
      <c r="Y309" s="7" t="n">
        <v>828.59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1034</v>
      </c>
      <c r="B310" s="8" t="s">
        <v>717</v>
      </c>
      <c r="C310" s="8" t="s">
        <v>152</v>
      </c>
      <c r="D310" s="8" t="s">
        <v>153</v>
      </c>
      <c r="E310" s="8" t="n">
        <v>2006</v>
      </c>
      <c r="F310" s="8" t="s">
        <v>68</v>
      </c>
      <c r="G310" s="8" t="s">
        <v>69</v>
      </c>
      <c r="H310" s="8" t="s">
        <v>1035</v>
      </c>
      <c r="I310" s="8" t="s">
        <v>47</v>
      </c>
      <c r="J310" s="9" t="n">
        <v>285000</v>
      </c>
      <c r="K310" s="8" t="s">
        <v>138</v>
      </c>
      <c r="L310" s="9" t="n">
        <v>5154.06</v>
      </c>
      <c r="M310" s="9" t="n">
        <v>644.26</v>
      </c>
      <c r="N310" s="9" t="n">
        <v>644.26</v>
      </c>
      <c r="O310" s="9" t="n">
        <v>3865.5</v>
      </c>
      <c r="P310" s="9" t="n">
        <v>386.55</v>
      </c>
      <c r="Q310" s="9" t="n">
        <v>386.55</v>
      </c>
      <c r="R310" s="9" t="n">
        <v>386.55</v>
      </c>
      <c r="S310" s="9" t="n">
        <v>386.55</v>
      </c>
      <c r="T310" s="9" t="n">
        <v>386.55</v>
      </c>
      <c r="U310" s="9" t="n">
        <v>386.55</v>
      </c>
      <c r="V310" s="9" t="n">
        <v>386.55</v>
      </c>
      <c r="W310" s="9" t="n">
        <v>386.55</v>
      </c>
      <c r="X310" s="9" t="n">
        <v>386.55</v>
      </c>
      <c r="Y310" s="9" t="n">
        <v>386.55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1036</v>
      </c>
      <c r="B311" s="3" t="s">
        <v>308</v>
      </c>
      <c r="C311" s="3" t="s">
        <v>283</v>
      </c>
      <c r="D311" s="3" t="s">
        <v>284</v>
      </c>
      <c r="E311" s="3" t="n">
        <v>1995</v>
      </c>
      <c r="F311" s="3" t="s">
        <v>60</v>
      </c>
      <c r="G311" s="3" t="s">
        <v>61</v>
      </c>
      <c r="H311" s="3" t="s">
        <v>1037</v>
      </c>
      <c r="I311" s="3" t="s">
        <v>47</v>
      </c>
      <c r="J311" s="7" t="n">
        <v>385000</v>
      </c>
      <c r="K311" s="3" t="s">
        <v>250</v>
      </c>
      <c r="L311" s="7" t="n">
        <v>6661.96</v>
      </c>
      <c r="M311" s="7" t="n">
        <v>832.75</v>
      </c>
      <c r="N311" s="7" t="n">
        <v>832.75</v>
      </c>
      <c r="O311" s="7" t="n">
        <v>4996.5</v>
      </c>
      <c r="P311" s="7" t="n">
        <v>499.65</v>
      </c>
      <c r="Q311" s="7" t="n">
        <v>499.65</v>
      </c>
      <c r="R311" s="7" t="n">
        <v>499.65</v>
      </c>
      <c r="S311" s="7" t="n">
        <v>499.65</v>
      </c>
      <c r="T311" s="7" t="n">
        <v>499.65</v>
      </c>
      <c r="U311" s="7" t="n">
        <v>499.65</v>
      </c>
      <c r="V311" s="7" t="n">
        <v>499.65</v>
      </c>
      <c r="W311" s="7" t="n">
        <v>499.65</v>
      </c>
      <c r="X311" s="7" t="n">
        <v>499.65</v>
      </c>
      <c r="Y311" s="7" t="n">
        <v>499.65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1038</v>
      </c>
      <c r="B312" s="8" t="s">
        <v>140</v>
      </c>
      <c r="C312" s="8" t="s">
        <v>42</v>
      </c>
      <c r="D312" s="8" t="s">
        <v>43</v>
      </c>
      <c r="E312" s="8" t="n">
        <v>1964</v>
      </c>
      <c r="F312" s="8" t="s">
        <v>122</v>
      </c>
      <c r="G312" s="8" t="s">
        <v>130</v>
      </c>
      <c r="H312" s="8" t="s">
        <v>1039</v>
      </c>
      <c r="I312" s="8" t="s">
        <v>96</v>
      </c>
      <c r="J312" s="9" t="n">
        <v>760000</v>
      </c>
      <c r="K312" s="8" t="s">
        <v>254</v>
      </c>
      <c r="L312" s="9" t="n">
        <v>7483.15</v>
      </c>
      <c r="M312" s="9" t="n">
        <v>935.39</v>
      </c>
      <c r="N312" s="9" t="n">
        <v>935.39</v>
      </c>
      <c r="O312" s="9" t="n">
        <v>5612.4</v>
      </c>
      <c r="P312" s="9" t="n">
        <v>561.24</v>
      </c>
      <c r="Q312" s="9" t="n">
        <v>561.24</v>
      </c>
      <c r="R312" s="9" t="n">
        <v>561.24</v>
      </c>
      <c r="S312" s="9" t="n">
        <v>561.24</v>
      </c>
      <c r="T312" s="9" t="n">
        <v>561.24</v>
      </c>
      <c r="U312" s="9" t="n">
        <v>561.24</v>
      </c>
      <c r="V312" s="9" t="n">
        <v>561.24</v>
      </c>
      <c r="W312" s="9" t="n">
        <v>561.24</v>
      </c>
      <c r="X312" s="9" t="n">
        <v>561.24</v>
      </c>
      <c r="Y312" s="9" t="n">
        <v>561.24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1040</v>
      </c>
      <c r="B313" s="3" t="s">
        <v>624</v>
      </c>
      <c r="C313" s="3" t="s">
        <v>120</v>
      </c>
      <c r="D313" s="3" t="s">
        <v>121</v>
      </c>
      <c r="E313" s="3" t="n">
        <v>1997</v>
      </c>
      <c r="F313" s="3" t="s">
        <v>68</v>
      </c>
      <c r="G313" s="3" t="s">
        <v>69</v>
      </c>
      <c r="H313" s="3" t="s">
        <v>1041</v>
      </c>
      <c r="I313" s="3" t="s">
        <v>47</v>
      </c>
      <c r="J313" s="7" t="n">
        <v>705000</v>
      </c>
      <c r="K313" s="3" t="s">
        <v>90</v>
      </c>
      <c r="L313" s="7" t="n">
        <v>9141.74</v>
      </c>
      <c r="M313" s="7" t="n">
        <v>1142.72</v>
      </c>
      <c r="N313" s="7" t="n">
        <v>1142.72</v>
      </c>
      <c r="O313" s="7" t="n">
        <v>6856.3</v>
      </c>
      <c r="P313" s="7" t="n">
        <v>685.63</v>
      </c>
      <c r="Q313" s="7" t="n">
        <v>685.63</v>
      </c>
      <c r="R313" s="7" t="n">
        <v>685.63</v>
      </c>
      <c r="S313" s="7" t="n">
        <v>685.63</v>
      </c>
      <c r="T313" s="7" t="n">
        <v>685.63</v>
      </c>
      <c r="U313" s="7" t="n">
        <v>685.63</v>
      </c>
      <c r="V313" s="7" t="n">
        <v>685.63</v>
      </c>
      <c r="W313" s="7" t="n">
        <v>685.63</v>
      </c>
      <c r="X313" s="7" t="n">
        <v>685.63</v>
      </c>
      <c r="Y313" s="7" t="n">
        <v>685.63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1042</v>
      </c>
      <c r="B314" s="8" t="s">
        <v>474</v>
      </c>
      <c r="C314" s="8" t="s">
        <v>120</v>
      </c>
      <c r="D314" s="8" t="s">
        <v>121</v>
      </c>
      <c r="E314" s="8" t="n">
        <v>2001</v>
      </c>
      <c r="F314" s="8" t="s">
        <v>231</v>
      </c>
      <c r="G314" s="8" t="s">
        <v>232</v>
      </c>
      <c r="H314" s="8" t="s">
        <v>1043</v>
      </c>
      <c r="I314" s="8" t="s">
        <v>89</v>
      </c>
      <c r="J314" s="9" t="n">
        <v>505000</v>
      </c>
      <c r="K314" s="8" t="s">
        <v>226</v>
      </c>
      <c r="L314" s="9" t="n">
        <v>8988.09</v>
      </c>
      <c r="M314" s="9" t="n">
        <v>1123.51</v>
      </c>
      <c r="N314" s="9" t="n">
        <v>1123.51</v>
      </c>
      <c r="O314" s="9" t="n">
        <v>6741.1</v>
      </c>
      <c r="P314" s="9" t="n">
        <v>674.11</v>
      </c>
      <c r="Q314" s="9" t="n">
        <v>674.11</v>
      </c>
      <c r="R314" s="9" t="n">
        <v>674.11</v>
      </c>
      <c r="S314" s="9" t="n">
        <v>674.11</v>
      </c>
      <c r="T314" s="9" t="n">
        <v>674.11</v>
      </c>
      <c r="U314" s="9" t="n">
        <v>674.11</v>
      </c>
      <c r="V314" s="9" t="n">
        <v>674.11</v>
      </c>
      <c r="W314" s="9" t="n">
        <v>674.11</v>
      </c>
      <c r="X314" s="9" t="n">
        <v>674.11</v>
      </c>
      <c r="Y314" s="9" t="n">
        <v>674.11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1044</v>
      </c>
      <c r="B315" s="3" t="s">
        <v>979</v>
      </c>
      <c r="C315" s="3" t="s">
        <v>106</v>
      </c>
      <c r="D315" s="3" t="s">
        <v>107</v>
      </c>
      <c r="E315" s="3" t="n">
        <v>1977</v>
      </c>
      <c r="F315" s="3" t="s">
        <v>231</v>
      </c>
      <c r="G315" s="3" t="s">
        <v>232</v>
      </c>
      <c r="H315" s="3" t="s">
        <v>1045</v>
      </c>
      <c r="I315" s="3" t="s">
        <v>89</v>
      </c>
      <c r="J315" s="7" t="n">
        <v>905000</v>
      </c>
      <c r="K315" s="3" t="s">
        <v>138</v>
      </c>
      <c r="L315" s="7" t="n">
        <v>20730.78</v>
      </c>
      <c r="M315" s="7" t="n">
        <v>2591.35</v>
      </c>
      <c r="N315" s="7" t="n">
        <v>2591.35</v>
      </c>
      <c r="O315" s="7" t="n">
        <v>15548.1</v>
      </c>
      <c r="P315" s="7" t="n">
        <v>1554.81</v>
      </c>
      <c r="Q315" s="7" t="n">
        <v>1554.81</v>
      </c>
      <c r="R315" s="7" t="n">
        <v>1554.81</v>
      </c>
      <c r="S315" s="7" t="n">
        <v>1554.81</v>
      </c>
      <c r="T315" s="7" t="n">
        <v>1554.81</v>
      </c>
      <c r="U315" s="7" t="n">
        <v>1554.81</v>
      </c>
      <c r="V315" s="7" t="n">
        <v>1554.81</v>
      </c>
      <c r="W315" s="7" t="n">
        <v>1554.81</v>
      </c>
      <c r="X315" s="7" t="n">
        <v>1554.81</v>
      </c>
      <c r="Y315" s="7" t="n">
        <v>1554.81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1046</v>
      </c>
      <c r="B316" s="8" t="s">
        <v>1047</v>
      </c>
      <c r="C316" s="8" t="s">
        <v>84</v>
      </c>
      <c r="D316" s="8" t="s">
        <v>85</v>
      </c>
      <c r="E316" s="8" t="n">
        <v>1965</v>
      </c>
      <c r="F316" s="8" t="s">
        <v>93</v>
      </c>
      <c r="G316" s="8" t="s">
        <v>94</v>
      </c>
      <c r="H316" s="8" t="s">
        <v>1048</v>
      </c>
      <c r="I316" s="8" t="s">
        <v>96</v>
      </c>
      <c r="J316" s="9" t="n">
        <v>1950000</v>
      </c>
      <c r="K316" s="8" t="s">
        <v>226</v>
      </c>
      <c r="L316" s="9" t="n">
        <v>13882.59</v>
      </c>
      <c r="M316" s="9" t="n">
        <v>1735.32</v>
      </c>
      <c r="N316" s="9" t="n">
        <v>1735.32</v>
      </c>
      <c r="O316" s="9" t="n">
        <v>10411.9</v>
      </c>
      <c r="P316" s="9" t="n">
        <v>1041.19</v>
      </c>
      <c r="Q316" s="9" t="n">
        <v>1041.19</v>
      </c>
      <c r="R316" s="9" t="n">
        <v>1041.19</v>
      </c>
      <c r="S316" s="9" t="n">
        <v>1041.19</v>
      </c>
      <c r="T316" s="9" t="n">
        <v>1041.19</v>
      </c>
      <c r="U316" s="9" t="n">
        <v>1041.19</v>
      </c>
      <c r="V316" s="9" t="n">
        <v>1041.19</v>
      </c>
      <c r="W316" s="9" t="n">
        <v>1041.19</v>
      </c>
      <c r="X316" s="9" t="n">
        <v>1041.19</v>
      </c>
      <c r="Y316" s="9" t="n">
        <v>1041.19</v>
      </c>
      <c r="Z316" s="9" t="n">
        <v>350</v>
      </c>
      <c r="AA316" s="9" t="n">
        <v>250</v>
      </c>
      <c r="AB316" s="9" t="n">
        <v>600</v>
      </c>
    </row>
    <row r="317" customFormat="false" ht="15" hidden="false" customHeight="false" outlineLevel="0" collapsed="false">
      <c r="A317" s="3" t="s">
        <v>1049</v>
      </c>
      <c r="B317" s="3" t="s">
        <v>458</v>
      </c>
      <c r="C317" s="3" t="s">
        <v>66</v>
      </c>
      <c r="D317" s="3" t="s">
        <v>67</v>
      </c>
      <c r="E317" s="3" t="n">
        <v>2014</v>
      </c>
      <c r="F317" s="3" t="s">
        <v>86</v>
      </c>
      <c r="G317" s="3" t="s">
        <v>87</v>
      </c>
      <c r="H317" s="3" t="s">
        <v>1050</v>
      </c>
      <c r="I317" s="3" t="s">
        <v>89</v>
      </c>
      <c r="J317" s="7" t="n">
        <v>380000</v>
      </c>
      <c r="K317" s="3" t="s">
        <v>370</v>
      </c>
      <c r="L317" s="7" t="n">
        <v>8338.78</v>
      </c>
      <c r="M317" s="7" t="n">
        <v>1042.35</v>
      </c>
      <c r="N317" s="7" t="n">
        <v>1042.35</v>
      </c>
      <c r="O317" s="7" t="n">
        <v>6254.1</v>
      </c>
      <c r="P317" s="7" t="n">
        <v>625.41</v>
      </c>
      <c r="Q317" s="7" t="n">
        <v>625.41</v>
      </c>
      <c r="R317" s="7" t="n">
        <v>625.41</v>
      </c>
      <c r="S317" s="7" t="n">
        <v>625.41</v>
      </c>
      <c r="T317" s="7" t="n">
        <v>625.41</v>
      </c>
      <c r="U317" s="7" t="n">
        <v>625.41</v>
      </c>
      <c r="V317" s="7" t="n">
        <v>625.41</v>
      </c>
      <c r="W317" s="7" t="n">
        <v>625.41</v>
      </c>
      <c r="X317" s="7" t="n">
        <v>625.41</v>
      </c>
      <c r="Y317" s="7" t="n">
        <v>625.41</v>
      </c>
      <c r="Z317" s="7" t="n">
        <v>350</v>
      </c>
      <c r="AA317" s="7" t="n">
        <v>0</v>
      </c>
      <c r="AB317" s="7" t="n">
        <v>350</v>
      </c>
    </row>
    <row r="318" customFormat="false" ht="15" hidden="false" customHeight="false" outlineLevel="0" collapsed="false">
      <c r="A318" s="8" t="s">
        <v>1051</v>
      </c>
      <c r="B318" s="8" t="s">
        <v>1052</v>
      </c>
      <c r="C318" s="8" t="s">
        <v>106</v>
      </c>
      <c r="D318" s="8" t="s">
        <v>107</v>
      </c>
      <c r="E318" s="8" t="n">
        <v>1969</v>
      </c>
      <c r="F318" s="8" t="s">
        <v>44</v>
      </c>
      <c r="G318" s="8" t="s">
        <v>45</v>
      </c>
      <c r="H318" s="8" t="s">
        <v>1053</v>
      </c>
      <c r="I318" s="8" t="s">
        <v>47</v>
      </c>
      <c r="J318" s="9" t="n">
        <v>950000</v>
      </c>
      <c r="K318" s="8" t="s">
        <v>725</v>
      </c>
      <c r="L318" s="9" t="n">
        <v>12532.89</v>
      </c>
      <c r="M318" s="9" t="n">
        <v>1566.61</v>
      </c>
      <c r="N318" s="9" t="n">
        <v>1566.61</v>
      </c>
      <c r="O318" s="9" t="n">
        <v>9399.7</v>
      </c>
      <c r="P318" s="9" t="n">
        <v>939.97</v>
      </c>
      <c r="Q318" s="9" t="n">
        <v>939.97</v>
      </c>
      <c r="R318" s="9" t="n">
        <v>939.97</v>
      </c>
      <c r="S318" s="9" t="n">
        <v>939.97</v>
      </c>
      <c r="T318" s="9" t="n">
        <v>939.97</v>
      </c>
      <c r="U318" s="9" t="n">
        <v>939.97</v>
      </c>
      <c r="V318" s="9" t="n">
        <v>939.97</v>
      </c>
      <c r="W318" s="9" t="n">
        <v>939.97</v>
      </c>
      <c r="X318" s="9" t="n">
        <v>939.97</v>
      </c>
      <c r="Y318" s="9" t="n">
        <v>939.97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1054</v>
      </c>
      <c r="B319" s="3" t="s">
        <v>1055</v>
      </c>
      <c r="C319" s="3" t="s">
        <v>128</v>
      </c>
      <c r="D319" s="3" t="s">
        <v>129</v>
      </c>
      <c r="E319" s="3" t="n">
        <v>2000</v>
      </c>
      <c r="F319" s="3" t="s">
        <v>114</v>
      </c>
      <c r="G319" s="3" t="s">
        <v>115</v>
      </c>
      <c r="H319" s="3" t="s">
        <v>1056</v>
      </c>
      <c r="I319" s="3" t="s">
        <v>47</v>
      </c>
      <c r="J319" s="7" t="n">
        <v>485000</v>
      </c>
      <c r="K319" s="3" t="s">
        <v>212</v>
      </c>
      <c r="L319" s="7" t="n">
        <v>8203.04</v>
      </c>
      <c r="M319" s="7" t="n">
        <v>1025.38</v>
      </c>
      <c r="N319" s="7" t="n">
        <v>1025.38</v>
      </c>
      <c r="O319" s="7" t="n">
        <v>6152.3</v>
      </c>
      <c r="P319" s="7" t="n">
        <v>615.23</v>
      </c>
      <c r="Q319" s="7" t="n">
        <v>615.23</v>
      </c>
      <c r="R319" s="7" t="n">
        <v>615.23</v>
      </c>
      <c r="S319" s="7" t="n">
        <v>615.23</v>
      </c>
      <c r="T319" s="7" t="n">
        <v>615.23</v>
      </c>
      <c r="U319" s="7" t="n">
        <v>615.23</v>
      </c>
      <c r="V319" s="7" t="n">
        <v>615.23</v>
      </c>
      <c r="W319" s="7" t="n">
        <v>615.23</v>
      </c>
      <c r="X319" s="7" t="n">
        <v>615.23</v>
      </c>
      <c r="Y319" s="7" t="n">
        <v>615.23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1057</v>
      </c>
      <c r="B320" s="8" t="s">
        <v>77</v>
      </c>
      <c r="C320" s="8" t="s">
        <v>128</v>
      </c>
      <c r="D320" s="8" t="s">
        <v>129</v>
      </c>
      <c r="E320" s="8" t="n">
        <v>2023</v>
      </c>
      <c r="F320" s="8" t="s">
        <v>53</v>
      </c>
      <c r="G320" s="8" t="s">
        <v>54</v>
      </c>
      <c r="H320" s="8" t="s">
        <v>1058</v>
      </c>
      <c r="I320" s="8" t="s">
        <v>47</v>
      </c>
      <c r="J320" s="9" t="n">
        <v>640000</v>
      </c>
      <c r="K320" s="8" t="s">
        <v>212</v>
      </c>
      <c r="L320" s="9" t="n">
        <v>9381.35</v>
      </c>
      <c r="M320" s="9" t="n">
        <v>1172.67</v>
      </c>
      <c r="N320" s="9" t="n">
        <v>1172.67</v>
      </c>
      <c r="O320" s="9" t="n">
        <v>7036</v>
      </c>
      <c r="P320" s="9" t="n">
        <v>703.6</v>
      </c>
      <c r="Q320" s="9" t="n">
        <v>703.6</v>
      </c>
      <c r="R320" s="9" t="n">
        <v>703.6</v>
      </c>
      <c r="S320" s="9" t="n">
        <v>703.6</v>
      </c>
      <c r="T320" s="9" t="n">
        <v>703.6</v>
      </c>
      <c r="U320" s="9" t="n">
        <v>703.6</v>
      </c>
      <c r="V320" s="9" t="n">
        <v>703.6</v>
      </c>
      <c r="W320" s="9" t="n">
        <v>703.6</v>
      </c>
      <c r="X320" s="9" t="n">
        <v>703.6</v>
      </c>
      <c r="Y320" s="9" t="n">
        <v>703.6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1059</v>
      </c>
      <c r="B321" s="3" t="s">
        <v>1060</v>
      </c>
      <c r="C321" s="3" t="s">
        <v>120</v>
      </c>
      <c r="D321" s="3" t="s">
        <v>121</v>
      </c>
      <c r="E321" s="3" t="n">
        <v>1959</v>
      </c>
      <c r="F321" s="3" t="s">
        <v>68</v>
      </c>
      <c r="G321" s="3" t="s">
        <v>69</v>
      </c>
      <c r="H321" s="3" t="s">
        <v>1061</v>
      </c>
      <c r="I321" s="3" t="s">
        <v>47</v>
      </c>
      <c r="J321" s="7" t="n">
        <v>890000</v>
      </c>
      <c r="K321" s="3" t="s">
        <v>63</v>
      </c>
      <c r="L321" s="7" t="n">
        <v>15554.78</v>
      </c>
      <c r="M321" s="7" t="n">
        <v>1944.35</v>
      </c>
      <c r="N321" s="7" t="n">
        <v>1944.35</v>
      </c>
      <c r="O321" s="7" t="n">
        <v>11666.1</v>
      </c>
      <c r="P321" s="7" t="n">
        <v>1166.61</v>
      </c>
      <c r="Q321" s="7" t="n">
        <v>1166.61</v>
      </c>
      <c r="R321" s="7" t="n">
        <v>1166.61</v>
      </c>
      <c r="S321" s="7" t="n">
        <v>1166.61</v>
      </c>
      <c r="T321" s="7" t="n">
        <v>1166.61</v>
      </c>
      <c r="U321" s="7" t="n">
        <v>1166.61</v>
      </c>
      <c r="V321" s="7" t="n">
        <v>1166.61</v>
      </c>
      <c r="W321" s="7" t="n">
        <v>1166.61</v>
      </c>
      <c r="X321" s="7" t="n">
        <v>1166.61</v>
      </c>
      <c r="Y321" s="7" t="n">
        <v>1166.61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1062</v>
      </c>
      <c r="B322" s="8" t="s">
        <v>1063</v>
      </c>
      <c r="C322" s="8" t="s">
        <v>106</v>
      </c>
      <c r="D322" s="8" t="s">
        <v>107</v>
      </c>
      <c r="E322" s="8" t="n">
        <v>1999</v>
      </c>
      <c r="F322" s="8" t="s">
        <v>122</v>
      </c>
      <c r="G322" s="8" t="s">
        <v>123</v>
      </c>
      <c r="H322" s="8" t="s">
        <v>1064</v>
      </c>
      <c r="I322" s="8" t="s">
        <v>47</v>
      </c>
      <c r="J322" s="9" t="n">
        <v>710000</v>
      </c>
      <c r="K322" s="8" t="s">
        <v>1065</v>
      </c>
      <c r="L322" s="9" t="n">
        <v>8966.4</v>
      </c>
      <c r="M322" s="9" t="n">
        <v>1120.8</v>
      </c>
      <c r="N322" s="9" t="n">
        <v>1120.8</v>
      </c>
      <c r="O322" s="9" t="n">
        <v>6724.8</v>
      </c>
      <c r="P322" s="9" t="n">
        <v>672.48</v>
      </c>
      <c r="Q322" s="9" t="n">
        <v>672.48</v>
      </c>
      <c r="R322" s="9" t="n">
        <v>672.48</v>
      </c>
      <c r="S322" s="9" t="n">
        <v>672.48</v>
      </c>
      <c r="T322" s="9" t="n">
        <v>672.48</v>
      </c>
      <c r="U322" s="9" t="n">
        <v>672.48</v>
      </c>
      <c r="V322" s="9" t="n">
        <v>672.48</v>
      </c>
      <c r="W322" s="9" t="n">
        <v>672.48</v>
      </c>
      <c r="X322" s="9" t="n">
        <v>672.48</v>
      </c>
      <c r="Y322" s="9" t="n">
        <v>672.48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1066</v>
      </c>
      <c r="B323" s="3" t="s">
        <v>1067</v>
      </c>
      <c r="C323" s="3" t="s">
        <v>78</v>
      </c>
      <c r="D323" s="3" t="s">
        <v>79</v>
      </c>
      <c r="E323" s="3" t="n">
        <v>1968</v>
      </c>
      <c r="F323" s="3" t="s">
        <v>114</v>
      </c>
      <c r="G323" s="3" t="s">
        <v>115</v>
      </c>
      <c r="H323" s="3" t="s">
        <v>1068</v>
      </c>
      <c r="I323" s="3" t="s">
        <v>47</v>
      </c>
      <c r="J323" s="7" t="n">
        <v>875000</v>
      </c>
      <c r="K323" s="3" t="s">
        <v>189</v>
      </c>
      <c r="L323" s="7" t="n">
        <v>11938.11</v>
      </c>
      <c r="M323" s="7" t="n">
        <v>1492.26</v>
      </c>
      <c r="N323" s="7" t="n">
        <v>1492.26</v>
      </c>
      <c r="O323" s="7" t="n">
        <v>8953.6</v>
      </c>
      <c r="P323" s="7" t="n">
        <v>895.36</v>
      </c>
      <c r="Q323" s="7" t="n">
        <v>895.36</v>
      </c>
      <c r="R323" s="7" t="n">
        <v>895.36</v>
      </c>
      <c r="S323" s="7" t="n">
        <v>895.36</v>
      </c>
      <c r="T323" s="7" t="n">
        <v>895.36</v>
      </c>
      <c r="U323" s="7" t="n">
        <v>895.36</v>
      </c>
      <c r="V323" s="7" t="n">
        <v>895.36</v>
      </c>
      <c r="W323" s="7" t="n">
        <v>895.36</v>
      </c>
      <c r="X323" s="7" t="n">
        <v>895.36</v>
      </c>
      <c r="Y323" s="7" t="n">
        <v>895.36</v>
      </c>
      <c r="Z323" s="7" t="n">
        <v>350</v>
      </c>
      <c r="AA323" s="7" t="n">
        <v>0</v>
      </c>
      <c r="AB323" s="7" t="n">
        <v>350</v>
      </c>
    </row>
    <row r="324" customFormat="false" ht="15" hidden="false" customHeight="false" outlineLevel="0" collapsed="false">
      <c r="A324" s="8" t="s">
        <v>1069</v>
      </c>
      <c r="B324" s="8" t="s">
        <v>1070</v>
      </c>
      <c r="C324" s="8" t="s">
        <v>134</v>
      </c>
      <c r="D324" s="8" t="s">
        <v>135</v>
      </c>
      <c r="E324" s="8" t="n">
        <v>2009</v>
      </c>
      <c r="F324" s="8" t="s">
        <v>122</v>
      </c>
      <c r="G324" s="8" t="s">
        <v>130</v>
      </c>
      <c r="H324" s="8" t="s">
        <v>1071</v>
      </c>
      <c r="I324" s="8" t="s">
        <v>96</v>
      </c>
      <c r="J324" s="9" t="n">
        <v>1015000</v>
      </c>
      <c r="K324" s="8" t="s">
        <v>189</v>
      </c>
      <c r="L324" s="9" t="n">
        <v>8095.87</v>
      </c>
      <c r="M324" s="9" t="n">
        <v>1011.98</v>
      </c>
      <c r="N324" s="9" t="n">
        <v>1011.98</v>
      </c>
      <c r="O324" s="9" t="n">
        <v>6071.9</v>
      </c>
      <c r="P324" s="9" t="n">
        <v>607.19</v>
      </c>
      <c r="Q324" s="9" t="n">
        <v>607.19</v>
      </c>
      <c r="R324" s="9" t="n">
        <v>607.19</v>
      </c>
      <c r="S324" s="9" t="n">
        <v>607.19</v>
      </c>
      <c r="T324" s="9" t="n">
        <v>607.19</v>
      </c>
      <c r="U324" s="9" t="n">
        <v>607.19</v>
      </c>
      <c r="V324" s="9" t="n">
        <v>607.19</v>
      </c>
      <c r="W324" s="9" t="n">
        <v>607.19</v>
      </c>
      <c r="X324" s="9" t="n">
        <v>607.19</v>
      </c>
      <c r="Y324" s="9" t="n">
        <v>607.19</v>
      </c>
      <c r="Z324" s="9" t="n">
        <v>350</v>
      </c>
      <c r="AA324" s="9" t="n">
        <v>250</v>
      </c>
      <c r="AB324" s="9" t="n">
        <v>600</v>
      </c>
    </row>
    <row r="325" customFormat="false" ht="15" hidden="false" customHeight="false" outlineLevel="0" collapsed="false">
      <c r="A325" s="3" t="s">
        <v>1072</v>
      </c>
      <c r="B325" s="3" t="s">
        <v>485</v>
      </c>
      <c r="C325" s="3" t="s">
        <v>354</v>
      </c>
      <c r="D325" s="3" t="s">
        <v>355</v>
      </c>
      <c r="E325" s="3" t="n">
        <v>2023</v>
      </c>
      <c r="F325" s="3" t="s">
        <v>68</v>
      </c>
      <c r="G325" s="3" t="s">
        <v>69</v>
      </c>
      <c r="H325" s="3" t="s">
        <v>1073</v>
      </c>
      <c r="I325" s="3" t="s">
        <v>47</v>
      </c>
      <c r="J325" s="7" t="n">
        <v>805000</v>
      </c>
      <c r="K325" s="3" t="s">
        <v>234</v>
      </c>
      <c r="L325" s="7" t="n">
        <v>8259.98</v>
      </c>
      <c r="M325" s="7" t="n">
        <v>1032.5</v>
      </c>
      <c r="N325" s="7" t="n">
        <v>1032.5</v>
      </c>
      <c r="O325" s="7" t="n">
        <v>6195</v>
      </c>
      <c r="P325" s="7" t="n">
        <v>619.5</v>
      </c>
      <c r="Q325" s="7" t="n">
        <v>619.5</v>
      </c>
      <c r="R325" s="7" t="n">
        <v>619.5</v>
      </c>
      <c r="S325" s="7" t="n">
        <v>619.5</v>
      </c>
      <c r="T325" s="7" t="n">
        <v>619.5</v>
      </c>
      <c r="U325" s="7" t="n">
        <v>619.5</v>
      </c>
      <c r="V325" s="7" t="n">
        <v>619.5</v>
      </c>
      <c r="W325" s="7" t="n">
        <v>619.5</v>
      </c>
      <c r="X325" s="7" t="n">
        <v>619.5</v>
      </c>
      <c r="Y325" s="7" t="n">
        <v>619.5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1074</v>
      </c>
      <c r="B326" s="8" t="s">
        <v>1075</v>
      </c>
      <c r="C326" s="8" t="s">
        <v>274</v>
      </c>
      <c r="D326" s="8" t="s">
        <v>275</v>
      </c>
      <c r="E326" s="8" t="n">
        <v>1966</v>
      </c>
      <c r="F326" s="8" t="s">
        <v>53</v>
      </c>
      <c r="G326" s="8" t="s">
        <v>54</v>
      </c>
      <c r="H326" s="8" t="s">
        <v>1076</v>
      </c>
      <c r="I326" s="8" t="s">
        <v>47</v>
      </c>
      <c r="J326" s="9" t="n">
        <v>805000</v>
      </c>
      <c r="K326" s="8" t="s">
        <v>453</v>
      </c>
      <c r="L326" s="9" t="n">
        <v>9258.44</v>
      </c>
      <c r="M326" s="9" t="n">
        <v>1157.31</v>
      </c>
      <c r="N326" s="9" t="n">
        <v>1157.31</v>
      </c>
      <c r="O326" s="9" t="n">
        <v>6943.8</v>
      </c>
      <c r="P326" s="9" t="n">
        <v>694.38</v>
      </c>
      <c r="Q326" s="9" t="n">
        <v>694.38</v>
      </c>
      <c r="R326" s="9" t="n">
        <v>694.38</v>
      </c>
      <c r="S326" s="9" t="n">
        <v>694.38</v>
      </c>
      <c r="T326" s="9" t="n">
        <v>694.38</v>
      </c>
      <c r="U326" s="9" t="n">
        <v>694.38</v>
      </c>
      <c r="V326" s="9" t="n">
        <v>694.38</v>
      </c>
      <c r="W326" s="9" t="n">
        <v>694.38</v>
      </c>
      <c r="X326" s="9" t="n">
        <v>694.38</v>
      </c>
      <c r="Y326" s="9" t="n">
        <v>694.38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1077</v>
      </c>
      <c r="B327" s="3" t="s">
        <v>732</v>
      </c>
      <c r="C327" s="3" t="s">
        <v>112</v>
      </c>
      <c r="D327" s="3" t="s">
        <v>113</v>
      </c>
      <c r="E327" s="3" t="n">
        <v>2019</v>
      </c>
      <c r="F327" s="3" t="s">
        <v>122</v>
      </c>
      <c r="G327" s="3" t="s">
        <v>123</v>
      </c>
      <c r="H327" s="3" t="s">
        <v>1078</v>
      </c>
      <c r="I327" s="3" t="s">
        <v>47</v>
      </c>
      <c r="J327" s="7" t="n">
        <v>850000</v>
      </c>
      <c r="K327" s="3" t="s">
        <v>117</v>
      </c>
      <c r="L327" s="7" t="n">
        <v>11021.96</v>
      </c>
      <c r="M327" s="7" t="n">
        <v>1377.74</v>
      </c>
      <c r="N327" s="7" t="n">
        <v>1377.74</v>
      </c>
      <c r="O327" s="7" t="n">
        <v>8266.5</v>
      </c>
      <c r="P327" s="7" t="n">
        <v>826.65</v>
      </c>
      <c r="Q327" s="7" t="n">
        <v>826.65</v>
      </c>
      <c r="R327" s="7" t="n">
        <v>826.65</v>
      </c>
      <c r="S327" s="7" t="n">
        <v>826.65</v>
      </c>
      <c r="T327" s="7" t="n">
        <v>826.65</v>
      </c>
      <c r="U327" s="7" t="n">
        <v>826.65</v>
      </c>
      <c r="V327" s="7" t="n">
        <v>826.65</v>
      </c>
      <c r="W327" s="7" t="n">
        <v>826.65</v>
      </c>
      <c r="X327" s="7" t="n">
        <v>826.65</v>
      </c>
      <c r="Y327" s="7" t="n">
        <v>826.65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1079</v>
      </c>
      <c r="B328" s="8" t="s">
        <v>1080</v>
      </c>
      <c r="C328" s="8" t="s">
        <v>337</v>
      </c>
      <c r="D328" s="8" t="s">
        <v>338</v>
      </c>
      <c r="E328" s="8" t="n">
        <v>1983</v>
      </c>
      <c r="F328" s="8" t="s">
        <v>53</v>
      </c>
      <c r="G328" s="8" t="s">
        <v>54</v>
      </c>
      <c r="H328" s="8" t="s">
        <v>1081</v>
      </c>
      <c r="I328" s="8" t="s">
        <v>47</v>
      </c>
      <c r="J328" s="9" t="n">
        <v>340000</v>
      </c>
      <c r="K328" s="8" t="s">
        <v>117</v>
      </c>
      <c r="L328" s="9" t="n">
        <v>5087.06</v>
      </c>
      <c r="M328" s="9" t="n">
        <v>635.88</v>
      </c>
      <c r="N328" s="9" t="n">
        <v>635.88</v>
      </c>
      <c r="O328" s="9" t="n">
        <v>3815.3</v>
      </c>
      <c r="P328" s="9" t="n">
        <v>381.53</v>
      </c>
      <c r="Q328" s="9" t="n">
        <v>381.53</v>
      </c>
      <c r="R328" s="9" t="n">
        <v>381.53</v>
      </c>
      <c r="S328" s="9" t="n">
        <v>381.53</v>
      </c>
      <c r="T328" s="9" t="n">
        <v>381.53</v>
      </c>
      <c r="U328" s="9" t="n">
        <v>381.53</v>
      </c>
      <c r="V328" s="9" t="n">
        <v>381.53</v>
      </c>
      <c r="W328" s="9" t="n">
        <v>381.53</v>
      </c>
      <c r="X328" s="9" t="n">
        <v>381.53</v>
      </c>
      <c r="Y328" s="9" t="n">
        <v>381.53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1082</v>
      </c>
      <c r="B329" s="3" t="s">
        <v>1083</v>
      </c>
      <c r="C329" s="3" t="s">
        <v>128</v>
      </c>
      <c r="D329" s="3" t="s">
        <v>129</v>
      </c>
      <c r="E329" s="3" t="n">
        <v>2005</v>
      </c>
      <c r="F329" s="3" t="s">
        <v>231</v>
      </c>
      <c r="G329" s="3" t="s">
        <v>232</v>
      </c>
      <c r="H329" s="3" t="s">
        <v>1084</v>
      </c>
      <c r="I329" s="3" t="s">
        <v>89</v>
      </c>
      <c r="J329" s="7" t="n">
        <v>1210000</v>
      </c>
      <c r="K329" s="3" t="s">
        <v>226</v>
      </c>
      <c r="L329" s="7" t="n">
        <v>18135.42</v>
      </c>
      <c r="M329" s="7" t="n">
        <v>2266.93</v>
      </c>
      <c r="N329" s="7" t="n">
        <v>2266.93</v>
      </c>
      <c r="O329" s="7" t="n">
        <v>13601.6</v>
      </c>
      <c r="P329" s="7" t="n">
        <v>1360.16</v>
      </c>
      <c r="Q329" s="7" t="n">
        <v>1360.16</v>
      </c>
      <c r="R329" s="7" t="n">
        <v>1360.16</v>
      </c>
      <c r="S329" s="7" t="n">
        <v>1360.16</v>
      </c>
      <c r="T329" s="7" t="n">
        <v>1360.16</v>
      </c>
      <c r="U329" s="7" t="n">
        <v>1360.16</v>
      </c>
      <c r="V329" s="7" t="n">
        <v>1360.16</v>
      </c>
      <c r="W329" s="7" t="n">
        <v>1360.16</v>
      </c>
      <c r="X329" s="7" t="n">
        <v>1360.16</v>
      </c>
      <c r="Y329" s="7" t="n">
        <v>1360.16</v>
      </c>
      <c r="Z329" s="7" t="n">
        <v>350</v>
      </c>
      <c r="AA329" s="7" t="n">
        <v>250</v>
      </c>
      <c r="AB329" s="7" t="n">
        <v>600</v>
      </c>
    </row>
    <row r="330" customFormat="false" ht="15" hidden="false" customHeight="false" outlineLevel="0" collapsed="false">
      <c r="A330" s="8" t="s">
        <v>1085</v>
      </c>
      <c r="B330" s="8" t="s">
        <v>1086</v>
      </c>
      <c r="C330" s="8" t="s">
        <v>128</v>
      </c>
      <c r="D330" s="8" t="s">
        <v>129</v>
      </c>
      <c r="E330" s="8" t="n">
        <v>1996</v>
      </c>
      <c r="F330" s="8" t="s">
        <v>53</v>
      </c>
      <c r="G330" s="8" t="s">
        <v>54</v>
      </c>
      <c r="H330" s="8" t="s">
        <v>1087</v>
      </c>
      <c r="I330" s="8" t="s">
        <v>47</v>
      </c>
      <c r="J330" s="9" t="n">
        <v>305000</v>
      </c>
      <c r="K330" s="8" t="s">
        <v>200</v>
      </c>
      <c r="L330" s="9" t="n">
        <v>4880.85</v>
      </c>
      <c r="M330" s="9" t="n">
        <v>610.11</v>
      </c>
      <c r="N330" s="9" t="n">
        <v>610.11</v>
      </c>
      <c r="O330" s="9" t="n">
        <v>3660.6</v>
      </c>
      <c r="P330" s="9" t="n">
        <v>366.06</v>
      </c>
      <c r="Q330" s="9" t="n">
        <v>366.06</v>
      </c>
      <c r="R330" s="9" t="n">
        <v>366.06</v>
      </c>
      <c r="S330" s="9" t="n">
        <v>366.06</v>
      </c>
      <c r="T330" s="9" t="n">
        <v>366.06</v>
      </c>
      <c r="U330" s="9" t="n">
        <v>366.06</v>
      </c>
      <c r="V330" s="9" t="n">
        <v>366.06</v>
      </c>
      <c r="W330" s="9" t="n">
        <v>366.06</v>
      </c>
      <c r="X330" s="9" t="n">
        <v>366.06</v>
      </c>
      <c r="Y330" s="9" t="n">
        <v>366.06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1088</v>
      </c>
      <c r="B331" s="3" t="s">
        <v>825</v>
      </c>
      <c r="C331" s="3" t="s">
        <v>315</v>
      </c>
      <c r="D331" s="3" t="s">
        <v>316</v>
      </c>
      <c r="E331" s="3" t="n">
        <v>1985</v>
      </c>
      <c r="F331" s="3" t="s">
        <v>114</v>
      </c>
      <c r="G331" s="3" t="s">
        <v>115</v>
      </c>
      <c r="H331" s="3" t="s">
        <v>1089</v>
      </c>
      <c r="I331" s="3" t="s">
        <v>47</v>
      </c>
      <c r="J331" s="7" t="n">
        <v>195000</v>
      </c>
      <c r="K331" s="3" t="s">
        <v>370</v>
      </c>
      <c r="L331" s="7" t="n">
        <v>3423.29</v>
      </c>
      <c r="M331" s="7" t="n">
        <v>427.91</v>
      </c>
      <c r="N331" s="7" t="n">
        <v>427.91</v>
      </c>
      <c r="O331" s="7" t="n">
        <v>2567.5</v>
      </c>
      <c r="P331" s="7" t="n">
        <v>256.75</v>
      </c>
      <c r="Q331" s="7" t="n">
        <v>256.75</v>
      </c>
      <c r="R331" s="7" t="n">
        <v>256.75</v>
      </c>
      <c r="S331" s="7" t="n">
        <v>256.75</v>
      </c>
      <c r="T331" s="7" t="n">
        <v>256.75</v>
      </c>
      <c r="U331" s="7" t="n">
        <v>256.75</v>
      </c>
      <c r="V331" s="7" t="n">
        <v>256.75</v>
      </c>
      <c r="W331" s="7" t="n">
        <v>256.75</v>
      </c>
      <c r="X331" s="7" t="n">
        <v>256.75</v>
      </c>
      <c r="Y331" s="7" t="n">
        <v>256.75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1090</v>
      </c>
      <c r="B332" s="8" t="s">
        <v>308</v>
      </c>
      <c r="C332" s="8" t="s">
        <v>337</v>
      </c>
      <c r="D332" s="8" t="s">
        <v>338</v>
      </c>
      <c r="E332" s="8" t="n">
        <v>1983</v>
      </c>
      <c r="F332" s="8" t="s">
        <v>60</v>
      </c>
      <c r="G332" s="8" t="s">
        <v>61</v>
      </c>
      <c r="H332" s="8" t="s">
        <v>1091</v>
      </c>
      <c r="I332" s="8" t="s">
        <v>47</v>
      </c>
      <c r="J332" s="9" t="n">
        <v>310000</v>
      </c>
      <c r="K332" s="8" t="s">
        <v>405</v>
      </c>
      <c r="L332" s="9" t="n">
        <v>4436.54</v>
      </c>
      <c r="M332" s="9" t="n">
        <v>554.57</v>
      </c>
      <c r="N332" s="9" t="n">
        <v>554.57</v>
      </c>
      <c r="O332" s="9" t="n">
        <v>3327.4</v>
      </c>
      <c r="P332" s="9" t="n">
        <v>332.74</v>
      </c>
      <c r="Q332" s="9" t="n">
        <v>332.74</v>
      </c>
      <c r="R332" s="9" t="n">
        <v>332.74</v>
      </c>
      <c r="S332" s="9" t="n">
        <v>332.74</v>
      </c>
      <c r="T332" s="9" t="n">
        <v>332.74</v>
      </c>
      <c r="U332" s="9" t="n">
        <v>332.74</v>
      </c>
      <c r="V332" s="9" t="n">
        <v>332.74</v>
      </c>
      <c r="W332" s="9" t="n">
        <v>332.74</v>
      </c>
      <c r="X332" s="9" t="n">
        <v>332.74</v>
      </c>
      <c r="Y332" s="9" t="n">
        <v>332.74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1092</v>
      </c>
      <c r="B333" s="3" t="s">
        <v>1093</v>
      </c>
      <c r="C333" s="3" t="s">
        <v>51</v>
      </c>
      <c r="D333" s="3" t="s">
        <v>52</v>
      </c>
      <c r="E333" s="3" t="n">
        <v>2008</v>
      </c>
      <c r="F333" s="3" t="s">
        <v>122</v>
      </c>
      <c r="G333" s="3" t="s">
        <v>123</v>
      </c>
      <c r="H333" s="3" t="s">
        <v>1094</v>
      </c>
      <c r="I333" s="3" t="s">
        <v>47</v>
      </c>
      <c r="J333" s="7" t="n">
        <v>1025000</v>
      </c>
      <c r="K333" s="3" t="s">
        <v>117</v>
      </c>
      <c r="L333" s="7" t="n">
        <v>11246.39</v>
      </c>
      <c r="M333" s="7" t="n">
        <v>1405.8</v>
      </c>
      <c r="N333" s="7" t="n">
        <v>1405.8</v>
      </c>
      <c r="O333" s="7" t="n">
        <v>8434.8</v>
      </c>
      <c r="P333" s="7" t="n">
        <v>843.48</v>
      </c>
      <c r="Q333" s="7" t="n">
        <v>843.48</v>
      </c>
      <c r="R333" s="7" t="n">
        <v>843.48</v>
      </c>
      <c r="S333" s="7" t="n">
        <v>843.48</v>
      </c>
      <c r="T333" s="7" t="n">
        <v>843.48</v>
      </c>
      <c r="U333" s="7" t="n">
        <v>843.48</v>
      </c>
      <c r="V333" s="7" t="n">
        <v>843.48</v>
      </c>
      <c r="W333" s="7" t="n">
        <v>843.48</v>
      </c>
      <c r="X333" s="7" t="n">
        <v>843.48</v>
      </c>
      <c r="Y333" s="7" t="n">
        <v>843.48</v>
      </c>
      <c r="Z333" s="7" t="n">
        <v>350</v>
      </c>
      <c r="AA333" s="7" t="n">
        <v>250</v>
      </c>
      <c r="AB333" s="7" t="n">
        <v>600</v>
      </c>
    </row>
    <row r="334" customFormat="false" ht="15" hidden="false" customHeight="false" outlineLevel="0" collapsed="false">
      <c r="A334" s="8" t="s">
        <v>1095</v>
      </c>
      <c r="B334" s="8" t="s">
        <v>1096</v>
      </c>
      <c r="C334" s="8" t="s">
        <v>283</v>
      </c>
      <c r="D334" s="8" t="s">
        <v>284</v>
      </c>
      <c r="E334" s="8" t="n">
        <v>1994</v>
      </c>
      <c r="F334" s="8" t="s">
        <v>53</v>
      </c>
      <c r="G334" s="8" t="s">
        <v>54</v>
      </c>
      <c r="H334" s="8" t="s">
        <v>1097</v>
      </c>
      <c r="I334" s="8" t="s">
        <v>47</v>
      </c>
      <c r="J334" s="9" t="n">
        <v>720000</v>
      </c>
      <c r="K334" s="8" t="s">
        <v>171</v>
      </c>
      <c r="L334" s="9" t="n">
        <v>10959.94</v>
      </c>
      <c r="M334" s="9" t="n">
        <v>1369.99</v>
      </c>
      <c r="N334" s="9" t="n">
        <v>1369.99</v>
      </c>
      <c r="O334" s="9" t="n">
        <v>8220</v>
      </c>
      <c r="P334" s="9" t="n">
        <v>822</v>
      </c>
      <c r="Q334" s="9" t="n">
        <v>822</v>
      </c>
      <c r="R334" s="9" t="n">
        <v>822</v>
      </c>
      <c r="S334" s="9" t="n">
        <v>822</v>
      </c>
      <c r="T334" s="9" t="n">
        <v>822</v>
      </c>
      <c r="U334" s="9" t="n">
        <v>822</v>
      </c>
      <c r="V334" s="9" t="n">
        <v>822</v>
      </c>
      <c r="W334" s="9" t="n">
        <v>822</v>
      </c>
      <c r="X334" s="9" t="n">
        <v>822</v>
      </c>
      <c r="Y334" s="9" t="n">
        <v>822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1098</v>
      </c>
      <c r="B335" s="3" t="s">
        <v>743</v>
      </c>
      <c r="C335" s="3" t="s">
        <v>156</v>
      </c>
      <c r="D335" s="3" t="s">
        <v>157</v>
      </c>
      <c r="E335" s="3" t="n">
        <v>1972</v>
      </c>
      <c r="F335" s="3" t="s">
        <v>60</v>
      </c>
      <c r="G335" s="3" t="s">
        <v>61</v>
      </c>
      <c r="H335" s="3" t="s">
        <v>1099</v>
      </c>
      <c r="I335" s="3" t="s">
        <v>47</v>
      </c>
      <c r="J335" s="7" t="n">
        <v>350000</v>
      </c>
      <c r="K335" s="3" t="s">
        <v>1065</v>
      </c>
      <c r="L335" s="7" t="n">
        <v>5100.07</v>
      </c>
      <c r="M335" s="7" t="n">
        <v>637.51</v>
      </c>
      <c r="N335" s="7" t="n">
        <v>637.51</v>
      </c>
      <c r="O335" s="7" t="n">
        <v>3825.1</v>
      </c>
      <c r="P335" s="7" t="n">
        <v>382.51</v>
      </c>
      <c r="Q335" s="7" t="n">
        <v>382.51</v>
      </c>
      <c r="R335" s="7" t="n">
        <v>382.51</v>
      </c>
      <c r="S335" s="7" t="n">
        <v>382.51</v>
      </c>
      <c r="T335" s="7" t="n">
        <v>382.51</v>
      </c>
      <c r="U335" s="7" t="n">
        <v>382.51</v>
      </c>
      <c r="V335" s="7" t="n">
        <v>382.51</v>
      </c>
      <c r="W335" s="7" t="n">
        <v>382.51</v>
      </c>
      <c r="X335" s="7" t="n">
        <v>382.51</v>
      </c>
      <c r="Y335" s="7" t="n">
        <v>382.51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1100</v>
      </c>
      <c r="B336" s="8" t="s">
        <v>1101</v>
      </c>
      <c r="C336" s="8" t="s">
        <v>141</v>
      </c>
      <c r="D336" s="8" t="s">
        <v>142</v>
      </c>
      <c r="E336" s="8" t="n">
        <v>2012</v>
      </c>
      <c r="F336" s="8" t="s">
        <v>122</v>
      </c>
      <c r="G336" s="8" t="s">
        <v>130</v>
      </c>
      <c r="H336" s="8" t="s">
        <v>1102</v>
      </c>
      <c r="I336" s="8" t="s">
        <v>96</v>
      </c>
      <c r="J336" s="9" t="n">
        <v>390000</v>
      </c>
      <c r="K336" s="8" t="s">
        <v>171</v>
      </c>
      <c r="L336" s="9" t="n">
        <v>4383.98</v>
      </c>
      <c r="M336" s="9" t="n">
        <v>548</v>
      </c>
      <c r="N336" s="9" t="n">
        <v>548</v>
      </c>
      <c r="O336" s="9" t="n">
        <v>3288</v>
      </c>
      <c r="P336" s="9" t="n">
        <v>328.8</v>
      </c>
      <c r="Q336" s="9" t="n">
        <v>328.8</v>
      </c>
      <c r="R336" s="9" t="n">
        <v>328.8</v>
      </c>
      <c r="S336" s="9" t="n">
        <v>328.8</v>
      </c>
      <c r="T336" s="9" t="n">
        <v>328.8</v>
      </c>
      <c r="U336" s="9" t="n">
        <v>328.8</v>
      </c>
      <c r="V336" s="9" t="n">
        <v>328.8</v>
      </c>
      <c r="W336" s="9" t="n">
        <v>328.8</v>
      </c>
      <c r="X336" s="9" t="n">
        <v>328.8</v>
      </c>
      <c r="Y336" s="9" t="n">
        <v>328.8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1103</v>
      </c>
      <c r="B337" s="3" t="s">
        <v>512</v>
      </c>
      <c r="C337" s="3" t="s">
        <v>283</v>
      </c>
      <c r="D337" s="3" t="s">
        <v>284</v>
      </c>
      <c r="E337" s="3" t="n">
        <v>1963</v>
      </c>
      <c r="F337" s="3" t="s">
        <v>44</v>
      </c>
      <c r="G337" s="3" t="s">
        <v>45</v>
      </c>
      <c r="H337" s="3" t="s">
        <v>1104</v>
      </c>
      <c r="I337" s="3" t="s">
        <v>47</v>
      </c>
      <c r="J337" s="7" t="n">
        <v>1500000</v>
      </c>
      <c r="K337" s="3" t="s">
        <v>71</v>
      </c>
      <c r="L337" s="7" t="n">
        <v>18318.61</v>
      </c>
      <c r="M337" s="7" t="n">
        <v>2289.83</v>
      </c>
      <c r="N337" s="7" t="n">
        <v>2289.83</v>
      </c>
      <c r="O337" s="7" t="n">
        <v>13739</v>
      </c>
      <c r="P337" s="7" t="n">
        <v>1373.9</v>
      </c>
      <c r="Q337" s="7" t="n">
        <v>1373.9</v>
      </c>
      <c r="R337" s="7" t="n">
        <v>1373.9</v>
      </c>
      <c r="S337" s="7" t="n">
        <v>1373.9</v>
      </c>
      <c r="T337" s="7" t="n">
        <v>1373.9</v>
      </c>
      <c r="U337" s="7" t="n">
        <v>1373.9</v>
      </c>
      <c r="V337" s="7" t="n">
        <v>1373.9</v>
      </c>
      <c r="W337" s="7" t="n">
        <v>1373.9</v>
      </c>
      <c r="X337" s="7" t="n">
        <v>1373.9</v>
      </c>
      <c r="Y337" s="7" t="n">
        <v>1373.9</v>
      </c>
      <c r="Z337" s="7" t="n">
        <v>350</v>
      </c>
      <c r="AA337" s="7" t="n">
        <v>250</v>
      </c>
      <c r="AB337" s="7" t="n">
        <v>600</v>
      </c>
    </row>
    <row r="338" customFormat="false" ht="15" hidden="false" customHeight="false" outlineLevel="0" collapsed="false">
      <c r="A338" s="8" t="s">
        <v>1105</v>
      </c>
      <c r="B338" s="8" t="s">
        <v>577</v>
      </c>
      <c r="C338" s="8" t="s">
        <v>337</v>
      </c>
      <c r="D338" s="8" t="s">
        <v>338</v>
      </c>
      <c r="E338" s="8" t="n">
        <v>1982</v>
      </c>
      <c r="F338" s="8" t="s">
        <v>86</v>
      </c>
      <c r="G338" s="8" t="s">
        <v>181</v>
      </c>
      <c r="H338" s="8" t="s">
        <v>1106</v>
      </c>
      <c r="I338" s="8" t="s">
        <v>96</v>
      </c>
      <c r="J338" s="9" t="n">
        <v>560000</v>
      </c>
      <c r="K338" s="8" t="s">
        <v>860</v>
      </c>
      <c r="L338" s="9" t="n">
        <v>4636.69</v>
      </c>
      <c r="M338" s="9" t="n">
        <v>579.59</v>
      </c>
      <c r="N338" s="9" t="n">
        <v>579.59</v>
      </c>
      <c r="O338" s="9" t="n">
        <v>3477.5</v>
      </c>
      <c r="P338" s="9" t="n">
        <v>347.75</v>
      </c>
      <c r="Q338" s="9" t="n">
        <v>347.75</v>
      </c>
      <c r="R338" s="9" t="n">
        <v>347.75</v>
      </c>
      <c r="S338" s="9" t="n">
        <v>347.75</v>
      </c>
      <c r="T338" s="9" t="n">
        <v>347.75</v>
      </c>
      <c r="U338" s="9" t="n">
        <v>347.75</v>
      </c>
      <c r="V338" s="9" t="n">
        <v>347.75</v>
      </c>
      <c r="W338" s="9" t="n">
        <v>347.75</v>
      </c>
      <c r="X338" s="9" t="n">
        <v>347.75</v>
      </c>
      <c r="Y338" s="9" t="n">
        <v>347.75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1107</v>
      </c>
      <c r="B339" s="3" t="s">
        <v>1108</v>
      </c>
      <c r="C339" s="3" t="s">
        <v>78</v>
      </c>
      <c r="D339" s="3" t="s">
        <v>79</v>
      </c>
      <c r="E339" s="3" t="n">
        <v>2015</v>
      </c>
      <c r="F339" s="3" t="s">
        <v>60</v>
      </c>
      <c r="G339" s="3" t="s">
        <v>61</v>
      </c>
      <c r="H339" s="3" t="s">
        <v>1109</v>
      </c>
      <c r="I339" s="3" t="s">
        <v>47</v>
      </c>
      <c r="J339" s="7" t="n">
        <v>445000</v>
      </c>
      <c r="K339" s="3" t="s">
        <v>258</v>
      </c>
      <c r="L339" s="7" t="n">
        <v>5615.93</v>
      </c>
      <c r="M339" s="7" t="n">
        <v>701.99</v>
      </c>
      <c r="N339" s="7" t="n">
        <v>701.99</v>
      </c>
      <c r="O339" s="7" t="n">
        <v>4211.9</v>
      </c>
      <c r="P339" s="7" t="n">
        <v>421.19</v>
      </c>
      <c r="Q339" s="7" t="n">
        <v>421.19</v>
      </c>
      <c r="R339" s="7" t="n">
        <v>421.19</v>
      </c>
      <c r="S339" s="7" t="n">
        <v>421.19</v>
      </c>
      <c r="T339" s="7" t="n">
        <v>421.19</v>
      </c>
      <c r="U339" s="7" t="n">
        <v>421.19</v>
      </c>
      <c r="V339" s="7" t="n">
        <v>421.19</v>
      </c>
      <c r="W339" s="7" t="n">
        <v>421.19</v>
      </c>
      <c r="X339" s="7" t="n">
        <v>421.19</v>
      </c>
      <c r="Y339" s="7" t="n">
        <v>421.19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1110</v>
      </c>
      <c r="B340" s="8" t="s">
        <v>1111</v>
      </c>
      <c r="C340" s="8" t="s">
        <v>288</v>
      </c>
      <c r="D340" s="8" t="s">
        <v>289</v>
      </c>
      <c r="E340" s="8" t="n">
        <v>1977</v>
      </c>
      <c r="F340" s="8" t="s">
        <v>437</v>
      </c>
      <c r="G340" s="8" t="s">
        <v>438</v>
      </c>
      <c r="H340" s="8" t="s">
        <v>1112</v>
      </c>
      <c r="I340" s="8" t="s">
        <v>89</v>
      </c>
      <c r="J340" s="9" t="n">
        <v>1045000</v>
      </c>
      <c r="K340" s="8" t="s">
        <v>860</v>
      </c>
      <c r="L340" s="9" t="n">
        <v>16097.48</v>
      </c>
      <c r="M340" s="9" t="n">
        <v>2012.18</v>
      </c>
      <c r="N340" s="9" t="n">
        <v>2012.18</v>
      </c>
      <c r="O340" s="9" t="n">
        <v>12073.1</v>
      </c>
      <c r="P340" s="9" t="n">
        <v>1207.31</v>
      </c>
      <c r="Q340" s="9" t="n">
        <v>1207.31</v>
      </c>
      <c r="R340" s="9" t="n">
        <v>1207.31</v>
      </c>
      <c r="S340" s="9" t="n">
        <v>1207.31</v>
      </c>
      <c r="T340" s="9" t="n">
        <v>1207.31</v>
      </c>
      <c r="U340" s="9" t="n">
        <v>1207.31</v>
      </c>
      <c r="V340" s="9" t="n">
        <v>1207.31</v>
      </c>
      <c r="W340" s="9" t="n">
        <v>1207.31</v>
      </c>
      <c r="X340" s="9" t="n">
        <v>1207.31</v>
      </c>
      <c r="Y340" s="9" t="n">
        <v>1207.31</v>
      </c>
      <c r="Z340" s="9" t="n">
        <v>350</v>
      </c>
      <c r="AA340" s="9" t="n">
        <v>250</v>
      </c>
      <c r="AB340" s="9" t="n">
        <v>600</v>
      </c>
    </row>
    <row r="341" customFormat="false" ht="15" hidden="false" customHeight="false" outlineLevel="0" collapsed="false">
      <c r="A341" s="3" t="s">
        <v>1113</v>
      </c>
      <c r="B341" s="3" t="s">
        <v>933</v>
      </c>
      <c r="C341" s="3" t="s">
        <v>283</v>
      </c>
      <c r="D341" s="3" t="s">
        <v>284</v>
      </c>
      <c r="E341" s="3" t="n">
        <v>1975</v>
      </c>
      <c r="F341" s="3" t="s">
        <v>231</v>
      </c>
      <c r="G341" s="3" t="s">
        <v>232</v>
      </c>
      <c r="H341" s="3" t="s">
        <v>1114</v>
      </c>
      <c r="I341" s="3" t="s">
        <v>89</v>
      </c>
      <c r="J341" s="7" t="n">
        <v>585000</v>
      </c>
      <c r="K341" s="3" t="s">
        <v>234</v>
      </c>
      <c r="L341" s="7" t="n">
        <v>8773.03</v>
      </c>
      <c r="M341" s="7" t="n">
        <v>1096.63</v>
      </c>
      <c r="N341" s="7" t="n">
        <v>1096.63</v>
      </c>
      <c r="O341" s="7" t="n">
        <v>6579.8</v>
      </c>
      <c r="P341" s="7" t="n">
        <v>657.98</v>
      </c>
      <c r="Q341" s="7" t="n">
        <v>657.98</v>
      </c>
      <c r="R341" s="7" t="n">
        <v>657.98</v>
      </c>
      <c r="S341" s="7" t="n">
        <v>657.98</v>
      </c>
      <c r="T341" s="7" t="n">
        <v>657.98</v>
      </c>
      <c r="U341" s="7" t="n">
        <v>657.98</v>
      </c>
      <c r="V341" s="7" t="n">
        <v>657.98</v>
      </c>
      <c r="W341" s="7" t="n">
        <v>657.98</v>
      </c>
      <c r="X341" s="7" t="n">
        <v>657.98</v>
      </c>
      <c r="Y341" s="7" t="n">
        <v>657.98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1115</v>
      </c>
      <c r="B342" s="8" t="s">
        <v>1116</v>
      </c>
      <c r="C342" s="8" t="s">
        <v>66</v>
      </c>
      <c r="D342" s="8" t="s">
        <v>67</v>
      </c>
      <c r="E342" s="8" t="n">
        <v>1993</v>
      </c>
      <c r="F342" s="8" t="s">
        <v>68</v>
      </c>
      <c r="G342" s="8" t="s">
        <v>69</v>
      </c>
      <c r="H342" s="8" t="s">
        <v>1117</v>
      </c>
      <c r="I342" s="8" t="s">
        <v>47</v>
      </c>
      <c r="J342" s="9" t="n">
        <v>455000</v>
      </c>
      <c r="K342" s="8" t="s">
        <v>648</v>
      </c>
      <c r="L342" s="9" t="n">
        <v>5801.33</v>
      </c>
      <c r="M342" s="9" t="n">
        <v>725.17</v>
      </c>
      <c r="N342" s="9" t="n">
        <v>725.17</v>
      </c>
      <c r="O342" s="9" t="n">
        <v>4351</v>
      </c>
      <c r="P342" s="9" t="n">
        <v>435.1</v>
      </c>
      <c r="Q342" s="9" t="n">
        <v>435.1</v>
      </c>
      <c r="R342" s="9" t="n">
        <v>435.1</v>
      </c>
      <c r="S342" s="9" t="n">
        <v>435.1</v>
      </c>
      <c r="T342" s="9" t="n">
        <v>435.1</v>
      </c>
      <c r="U342" s="9" t="n">
        <v>435.1</v>
      </c>
      <c r="V342" s="9" t="n">
        <v>435.1</v>
      </c>
      <c r="W342" s="9" t="n">
        <v>435.1</v>
      </c>
      <c r="X342" s="9" t="n">
        <v>435.1</v>
      </c>
      <c r="Y342" s="9" t="n">
        <v>435.1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1118</v>
      </c>
      <c r="B343" s="3" t="s">
        <v>1119</v>
      </c>
      <c r="C343" s="3" t="s">
        <v>432</v>
      </c>
      <c r="D343" s="3" t="s">
        <v>433</v>
      </c>
      <c r="E343" s="3" t="n">
        <v>1992</v>
      </c>
      <c r="F343" s="3" t="s">
        <v>44</v>
      </c>
      <c r="G343" s="3" t="s">
        <v>45</v>
      </c>
      <c r="H343" s="3" t="s">
        <v>1120</v>
      </c>
      <c r="I343" s="3" t="s">
        <v>47</v>
      </c>
      <c r="J343" s="7" t="n">
        <v>545000</v>
      </c>
      <c r="K343" s="3" t="s">
        <v>487</v>
      </c>
      <c r="L343" s="7" t="n">
        <v>7312.83</v>
      </c>
      <c r="M343" s="7" t="n">
        <v>914.1</v>
      </c>
      <c r="N343" s="7" t="n">
        <v>914.1</v>
      </c>
      <c r="O343" s="7" t="n">
        <v>5484.6</v>
      </c>
      <c r="P343" s="7" t="n">
        <v>548.46</v>
      </c>
      <c r="Q343" s="7" t="n">
        <v>548.46</v>
      </c>
      <c r="R343" s="7" t="n">
        <v>548.46</v>
      </c>
      <c r="S343" s="7" t="n">
        <v>548.46</v>
      </c>
      <c r="T343" s="7" t="n">
        <v>548.46</v>
      </c>
      <c r="U343" s="7" t="n">
        <v>548.46</v>
      </c>
      <c r="V343" s="7" t="n">
        <v>548.46</v>
      </c>
      <c r="W343" s="7" t="n">
        <v>548.46</v>
      </c>
      <c r="X343" s="7" t="n">
        <v>548.46</v>
      </c>
      <c r="Y343" s="7" t="n">
        <v>548.46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1121</v>
      </c>
      <c r="B344" s="8" t="s">
        <v>605</v>
      </c>
      <c r="C344" s="8" t="s">
        <v>206</v>
      </c>
      <c r="D344" s="8" t="s">
        <v>207</v>
      </c>
      <c r="E344" s="8" t="n">
        <v>2011</v>
      </c>
      <c r="F344" s="8" t="s">
        <v>122</v>
      </c>
      <c r="G344" s="8" t="s">
        <v>123</v>
      </c>
      <c r="H344" s="8" t="s">
        <v>1122</v>
      </c>
      <c r="I344" s="8" t="s">
        <v>47</v>
      </c>
      <c r="J344" s="9" t="n">
        <v>355000</v>
      </c>
      <c r="K344" s="8" t="s">
        <v>373</v>
      </c>
      <c r="L344" s="9" t="n">
        <v>5542.42</v>
      </c>
      <c r="M344" s="9" t="n">
        <v>692.8</v>
      </c>
      <c r="N344" s="9" t="n">
        <v>692.8</v>
      </c>
      <c r="O344" s="9" t="n">
        <v>4156.8</v>
      </c>
      <c r="P344" s="9" t="n">
        <v>415.68</v>
      </c>
      <c r="Q344" s="9" t="n">
        <v>415.68</v>
      </c>
      <c r="R344" s="9" t="n">
        <v>415.68</v>
      </c>
      <c r="S344" s="9" t="n">
        <v>415.68</v>
      </c>
      <c r="T344" s="9" t="n">
        <v>415.68</v>
      </c>
      <c r="U344" s="9" t="n">
        <v>415.68</v>
      </c>
      <c r="V344" s="9" t="n">
        <v>415.68</v>
      </c>
      <c r="W344" s="9" t="n">
        <v>415.68</v>
      </c>
      <c r="X344" s="9" t="n">
        <v>415.68</v>
      </c>
      <c r="Y344" s="9" t="n">
        <v>415.68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1123</v>
      </c>
      <c r="B345" s="3" t="s">
        <v>1124</v>
      </c>
      <c r="C345" s="3" t="s">
        <v>156</v>
      </c>
      <c r="D345" s="3" t="s">
        <v>157</v>
      </c>
      <c r="E345" s="3" t="n">
        <v>2000</v>
      </c>
      <c r="F345" s="3" t="s">
        <v>122</v>
      </c>
      <c r="G345" s="3" t="s">
        <v>123</v>
      </c>
      <c r="H345" s="3" t="s">
        <v>1125</v>
      </c>
      <c r="I345" s="3" t="s">
        <v>47</v>
      </c>
      <c r="J345" s="7" t="n">
        <v>610000</v>
      </c>
      <c r="K345" s="3" t="s">
        <v>357</v>
      </c>
      <c r="L345" s="7" t="n">
        <v>6396.68</v>
      </c>
      <c r="M345" s="7" t="n">
        <v>799.59</v>
      </c>
      <c r="N345" s="7" t="n">
        <v>799.59</v>
      </c>
      <c r="O345" s="7" t="n">
        <v>4797.5</v>
      </c>
      <c r="P345" s="7" t="n">
        <v>479.75</v>
      </c>
      <c r="Q345" s="7" t="n">
        <v>479.75</v>
      </c>
      <c r="R345" s="7" t="n">
        <v>479.75</v>
      </c>
      <c r="S345" s="7" t="n">
        <v>479.75</v>
      </c>
      <c r="T345" s="7" t="n">
        <v>479.75</v>
      </c>
      <c r="U345" s="7" t="n">
        <v>479.75</v>
      </c>
      <c r="V345" s="7" t="n">
        <v>479.75</v>
      </c>
      <c r="W345" s="7" t="n">
        <v>479.75</v>
      </c>
      <c r="X345" s="7" t="n">
        <v>479.75</v>
      </c>
      <c r="Y345" s="7" t="n">
        <v>479.75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1126</v>
      </c>
      <c r="B346" s="8" t="s">
        <v>1127</v>
      </c>
      <c r="C346" s="8" t="s">
        <v>283</v>
      </c>
      <c r="D346" s="8" t="s">
        <v>284</v>
      </c>
      <c r="E346" s="8" t="n">
        <v>1959</v>
      </c>
      <c r="F346" s="8" t="s">
        <v>437</v>
      </c>
      <c r="G346" s="8" t="s">
        <v>438</v>
      </c>
      <c r="H346" s="8" t="s">
        <v>1128</v>
      </c>
      <c r="I346" s="8" t="s">
        <v>89</v>
      </c>
      <c r="J346" s="9" t="n">
        <v>1305000</v>
      </c>
      <c r="K346" s="8" t="s">
        <v>258</v>
      </c>
      <c r="L346" s="9" t="n">
        <v>17567.13</v>
      </c>
      <c r="M346" s="9" t="n">
        <v>2195.89</v>
      </c>
      <c r="N346" s="9" t="n">
        <v>2195.89</v>
      </c>
      <c r="O346" s="9" t="n">
        <v>13175.3</v>
      </c>
      <c r="P346" s="9" t="n">
        <v>1317.53</v>
      </c>
      <c r="Q346" s="9" t="n">
        <v>1317.53</v>
      </c>
      <c r="R346" s="9" t="n">
        <v>1317.53</v>
      </c>
      <c r="S346" s="9" t="n">
        <v>1317.53</v>
      </c>
      <c r="T346" s="9" t="n">
        <v>1317.53</v>
      </c>
      <c r="U346" s="9" t="n">
        <v>1317.53</v>
      </c>
      <c r="V346" s="9" t="n">
        <v>1317.53</v>
      </c>
      <c r="W346" s="9" t="n">
        <v>1317.53</v>
      </c>
      <c r="X346" s="9" t="n">
        <v>1317.53</v>
      </c>
      <c r="Y346" s="9" t="n">
        <v>1317.53</v>
      </c>
      <c r="Z346" s="9" t="n">
        <v>350</v>
      </c>
      <c r="AA346" s="9" t="n">
        <v>250</v>
      </c>
      <c r="AB346" s="9" t="n">
        <v>600</v>
      </c>
    </row>
    <row r="347" customFormat="false" ht="15" hidden="false" customHeight="false" outlineLevel="0" collapsed="false">
      <c r="A347" s="3" t="s">
        <v>1129</v>
      </c>
      <c r="B347" s="3" t="s">
        <v>686</v>
      </c>
      <c r="C347" s="3" t="s">
        <v>148</v>
      </c>
      <c r="D347" s="3" t="s">
        <v>149</v>
      </c>
      <c r="E347" s="3" t="n">
        <v>2000</v>
      </c>
      <c r="F347" s="3" t="s">
        <v>86</v>
      </c>
      <c r="G347" s="3" t="s">
        <v>87</v>
      </c>
      <c r="H347" s="3" t="s">
        <v>1130</v>
      </c>
      <c r="I347" s="3" t="s">
        <v>89</v>
      </c>
      <c r="J347" s="7" t="n">
        <v>520000</v>
      </c>
      <c r="K347" s="3" t="s">
        <v>325</v>
      </c>
      <c r="L347" s="7" t="n">
        <v>10454.79</v>
      </c>
      <c r="M347" s="7" t="n">
        <v>1306.85</v>
      </c>
      <c r="N347" s="7" t="n">
        <v>1306.85</v>
      </c>
      <c r="O347" s="7" t="n">
        <v>7841.1</v>
      </c>
      <c r="P347" s="7" t="n">
        <v>784.11</v>
      </c>
      <c r="Q347" s="7" t="n">
        <v>784.11</v>
      </c>
      <c r="R347" s="7" t="n">
        <v>784.11</v>
      </c>
      <c r="S347" s="7" t="n">
        <v>784.11</v>
      </c>
      <c r="T347" s="7" t="n">
        <v>784.11</v>
      </c>
      <c r="U347" s="7" t="n">
        <v>784.11</v>
      </c>
      <c r="V347" s="7" t="n">
        <v>784.11</v>
      </c>
      <c r="W347" s="7" t="n">
        <v>784.11</v>
      </c>
      <c r="X347" s="7" t="n">
        <v>784.11</v>
      </c>
      <c r="Y347" s="7" t="n">
        <v>784.11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1131</v>
      </c>
      <c r="B348" s="8" t="s">
        <v>1132</v>
      </c>
      <c r="C348" s="8" t="s">
        <v>58</v>
      </c>
      <c r="D348" s="8" t="s">
        <v>59</v>
      </c>
      <c r="E348" s="8" t="n">
        <v>1957</v>
      </c>
      <c r="F348" s="8" t="s">
        <v>53</v>
      </c>
      <c r="G348" s="8" t="s">
        <v>54</v>
      </c>
      <c r="H348" s="8" t="s">
        <v>1133</v>
      </c>
      <c r="I348" s="8" t="s">
        <v>47</v>
      </c>
      <c r="J348" s="9" t="n">
        <v>350000</v>
      </c>
      <c r="K348" s="8" t="s">
        <v>321</v>
      </c>
      <c r="L348" s="9" t="n">
        <v>4599.17</v>
      </c>
      <c r="M348" s="9" t="n">
        <v>574.9</v>
      </c>
      <c r="N348" s="9" t="n">
        <v>574.9</v>
      </c>
      <c r="O348" s="9" t="n">
        <v>3449.4</v>
      </c>
      <c r="P348" s="9" t="n">
        <v>344.94</v>
      </c>
      <c r="Q348" s="9" t="n">
        <v>344.94</v>
      </c>
      <c r="R348" s="9" t="n">
        <v>344.94</v>
      </c>
      <c r="S348" s="9" t="n">
        <v>344.94</v>
      </c>
      <c r="T348" s="9" t="n">
        <v>344.94</v>
      </c>
      <c r="U348" s="9" t="n">
        <v>344.94</v>
      </c>
      <c r="V348" s="9" t="n">
        <v>344.94</v>
      </c>
      <c r="W348" s="9" t="n">
        <v>344.94</v>
      </c>
      <c r="X348" s="9" t="n">
        <v>344.94</v>
      </c>
      <c r="Y348" s="9" t="n">
        <v>344.94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1134</v>
      </c>
      <c r="B349" s="3" t="s">
        <v>1135</v>
      </c>
      <c r="C349" s="3" t="s">
        <v>315</v>
      </c>
      <c r="D349" s="3" t="s">
        <v>316</v>
      </c>
      <c r="E349" s="3" t="n">
        <v>1979</v>
      </c>
      <c r="F349" s="3" t="s">
        <v>68</v>
      </c>
      <c r="G349" s="3" t="s">
        <v>69</v>
      </c>
      <c r="H349" s="3" t="s">
        <v>1136</v>
      </c>
      <c r="I349" s="3" t="s">
        <v>47</v>
      </c>
      <c r="J349" s="7" t="n">
        <v>410000</v>
      </c>
      <c r="K349" s="3" t="s">
        <v>171</v>
      </c>
      <c r="L349" s="7" t="n">
        <v>7201.25</v>
      </c>
      <c r="M349" s="7" t="n">
        <v>900.16</v>
      </c>
      <c r="N349" s="7" t="n">
        <v>900.16</v>
      </c>
      <c r="O349" s="7" t="n">
        <v>5400.9</v>
      </c>
      <c r="P349" s="7" t="n">
        <v>540.09</v>
      </c>
      <c r="Q349" s="7" t="n">
        <v>540.09</v>
      </c>
      <c r="R349" s="7" t="n">
        <v>540.09</v>
      </c>
      <c r="S349" s="7" t="n">
        <v>540.09</v>
      </c>
      <c r="T349" s="7" t="n">
        <v>540.09</v>
      </c>
      <c r="U349" s="7" t="n">
        <v>540.09</v>
      </c>
      <c r="V349" s="7" t="n">
        <v>540.09</v>
      </c>
      <c r="W349" s="7" t="n">
        <v>540.09</v>
      </c>
      <c r="X349" s="7" t="n">
        <v>540.09</v>
      </c>
      <c r="Y349" s="7" t="n">
        <v>540.09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1137</v>
      </c>
      <c r="B350" s="8" t="s">
        <v>858</v>
      </c>
      <c r="C350" s="8" t="s">
        <v>152</v>
      </c>
      <c r="D350" s="8" t="s">
        <v>153</v>
      </c>
      <c r="E350" s="8" t="n">
        <v>2008</v>
      </c>
      <c r="F350" s="8" t="s">
        <v>60</v>
      </c>
      <c r="G350" s="8" t="s">
        <v>61</v>
      </c>
      <c r="H350" s="8" t="s">
        <v>1138</v>
      </c>
      <c r="I350" s="8" t="s">
        <v>47</v>
      </c>
      <c r="J350" s="9" t="n">
        <v>255000</v>
      </c>
      <c r="K350" s="8" t="s">
        <v>794</v>
      </c>
      <c r="L350" s="9" t="n">
        <v>3549.88</v>
      </c>
      <c r="M350" s="9" t="n">
        <v>443.74</v>
      </c>
      <c r="N350" s="9" t="n">
        <v>443.74</v>
      </c>
      <c r="O350" s="9" t="n">
        <v>2662.4</v>
      </c>
      <c r="P350" s="9" t="n">
        <v>266.24</v>
      </c>
      <c r="Q350" s="9" t="n">
        <v>266.24</v>
      </c>
      <c r="R350" s="9" t="n">
        <v>266.24</v>
      </c>
      <c r="S350" s="9" t="n">
        <v>266.24</v>
      </c>
      <c r="T350" s="9" t="n">
        <v>266.24</v>
      </c>
      <c r="U350" s="9" t="n">
        <v>266.24</v>
      </c>
      <c r="V350" s="9" t="n">
        <v>266.24</v>
      </c>
      <c r="W350" s="9" t="n">
        <v>266.24</v>
      </c>
      <c r="X350" s="9" t="n">
        <v>266.24</v>
      </c>
      <c r="Y350" s="9" t="n">
        <v>266.24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1139</v>
      </c>
      <c r="B351" s="3" t="s">
        <v>224</v>
      </c>
      <c r="C351" s="3" t="s">
        <v>84</v>
      </c>
      <c r="D351" s="3" t="s">
        <v>85</v>
      </c>
      <c r="E351" s="3" t="n">
        <v>1958</v>
      </c>
      <c r="F351" s="3" t="s">
        <v>68</v>
      </c>
      <c r="G351" s="3" t="s">
        <v>69</v>
      </c>
      <c r="H351" s="3" t="s">
        <v>1140</v>
      </c>
      <c r="I351" s="3" t="s">
        <v>47</v>
      </c>
      <c r="J351" s="7" t="n">
        <v>485000</v>
      </c>
      <c r="K351" s="3" t="s">
        <v>370</v>
      </c>
      <c r="L351" s="7" t="n">
        <v>6941.04</v>
      </c>
      <c r="M351" s="7" t="n">
        <v>867.63</v>
      </c>
      <c r="N351" s="7" t="n">
        <v>867.63</v>
      </c>
      <c r="O351" s="7" t="n">
        <v>5205.8</v>
      </c>
      <c r="P351" s="7" t="n">
        <v>520.58</v>
      </c>
      <c r="Q351" s="7" t="n">
        <v>520.58</v>
      </c>
      <c r="R351" s="7" t="n">
        <v>520.58</v>
      </c>
      <c r="S351" s="7" t="n">
        <v>520.58</v>
      </c>
      <c r="T351" s="7" t="n">
        <v>520.58</v>
      </c>
      <c r="U351" s="7" t="n">
        <v>520.58</v>
      </c>
      <c r="V351" s="7" t="n">
        <v>520.58</v>
      </c>
      <c r="W351" s="7" t="n">
        <v>520.58</v>
      </c>
      <c r="X351" s="7" t="n">
        <v>520.58</v>
      </c>
      <c r="Y351" s="7" t="n">
        <v>520.58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1141</v>
      </c>
      <c r="B352" s="8" t="s">
        <v>1142</v>
      </c>
      <c r="C352" s="8" t="s">
        <v>152</v>
      </c>
      <c r="D352" s="8" t="s">
        <v>153</v>
      </c>
      <c r="E352" s="8" t="n">
        <v>1979</v>
      </c>
      <c r="F352" s="8" t="s">
        <v>68</v>
      </c>
      <c r="G352" s="8" t="s">
        <v>69</v>
      </c>
      <c r="H352" s="8" t="s">
        <v>1143</v>
      </c>
      <c r="I352" s="8" t="s">
        <v>47</v>
      </c>
      <c r="J352" s="9" t="n">
        <v>1950000</v>
      </c>
      <c r="K352" s="8" t="s">
        <v>648</v>
      </c>
      <c r="L352" s="9" t="n">
        <v>18232.74</v>
      </c>
      <c r="M352" s="9" t="n">
        <v>2279.09</v>
      </c>
      <c r="N352" s="9" t="n">
        <v>2279.09</v>
      </c>
      <c r="O352" s="9" t="n">
        <v>13674.6</v>
      </c>
      <c r="P352" s="9" t="n">
        <v>1367.46</v>
      </c>
      <c r="Q352" s="9" t="n">
        <v>1367.46</v>
      </c>
      <c r="R352" s="9" t="n">
        <v>1367.46</v>
      </c>
      <c r="S352" s="9" t="n">
        <v>1367.46</v>
      </c>
      <c r="T352" s="9" t="n">
        <v>1367.46</v>
      </c>
      <c r="U352" s="9" t="n">
        <v>1367.46</v>
      </c>
      <c r="V352" s="9" t="n">
        <v>1367.46</v>
      </c>
      <c r="W352" s="9" t="n">
        <v>1367.46</v>
      </c>
      <c r="X352" s="9" t="n">
        <v>1367.46</v>
      </c>
      <c r="Y352" s="9" t="n">
        <v>1367.46</v>
      </c>
      <c r="Z352" s="9" t="n">
        <v>350</v>
      </c>
      <c r="AA352" s="9" t="n">
        <v>250</v>
      </c>
      <c r="AB352" s="9" t="n">
        <v>600</v>
      </c>
    </row>
    <row r="353" customFormat="false" ht="15" hidden="false" customHeight="false" outlineLevel="0" collapsed="false">
      <c r="A353" s="3" t="s">
        <v>1144</v>
      </c>
      <c r="B353" s="3" t="s">
        <v>529</v>
      </c>
      <c r="C353" s="3" t="s">
        <v>112</v>
      </c>
      <c r="D353" s="3" t="s">
        <v>113</v>
      </c>
      <c r="E353" s="3" t="n">
        <v>2018</v>
      </c>
      <c r="F353" s="3" t="s">
        <v>93</v>
      </c>
      <c r="G353" s="3" t="s">
        <v>94</v>
      </c>
      <c r="H353" s="3" t="s">
        <v>1145</v>
      </c>
      <c r="I353" s="3" t="s">
        <v>96</v>
      </c>
      <c r="J353" s="7" t="n">
        <v>1120000</v>
      </c>
      <c r="K353" s="3" t="s">
        <v>277</v>
      </c>
      <c r="L353" s="7" t="n">
        <v>8342.74</v>
      </c>
      <c r="M353" s="7" t="n">
        <v>1042.84</v>
      </c>
      <c r="N353" s="7" t="n">
        <v>1042.84</v>
      </c>
      <c r="O353" s="7" t="n">
        <v>6257.1</v>
      </c>
      <c r="P353" s="7" t="n">
        <v>625.71</v>
      </c>
      <c r="Q353" s="7" t="n">
        <v>625.71</v>
      </c>
      <c r="R353" s="7" t="n">
        <v>625.71</v>
      </c>
      <c r="S353" s="7" t="n">
        <v>625.71</v>
      </c>
      <c r="T353" s="7" t="n">
        <v>625.71</v>
      </c>
      <c r="U353" s="7" t="n">
        <v>625.71</v>
      </c>
      <c r="V353" s="7" t="n">
        <v>625.71</v>
      </c>
      <c r="W353" s="7" t="n">
        <v>625.71</v>
      </c>
      <c r="X353" s="7" t="n">
        <v>625.71</v>
      </c>
      <c r="Y353" s="7" t="n">
        <v>625.71</v>
      </c>
      <c r="Z353" s="7" t="n">
        <v>350</v>
      </c>
      <c r="AA353" s="7" t="n">
        <v>250</v>
      </c>
      <c r="AB353" s="7" t="n">
        <v>600</v>
      </c>
    </row>
    <row r="354" customFormat="false" ht="15" hidden="false" customHeight="false" outlineLevel="0" collapsed="false">
      <c r="A354" s="8" t="s">
        <v>1146</v>
      </c>
      <c r="B354" s="8" t="s">
        <v>914</v>
      </c>
      <c r="C354" s="8" t="s">
        <v>84</v>
      </c>
      <c r="D354" s="8" t="s">
        <v>85</v>
      </c>
      <c r="E354" s="8" t="n">
        <v>1996</v>
      </c>
      <c r="F354" s="8" t="s">
        <v>86</v>
      </c>
      <c r="G354" s="8" t="s">
        <v>181</v>
      </c>
      <c r="H354" s="8" t="s">
        <v>1147</v>
      </c>
      <c r="I354" s="8" t="s">
        <v>96</v>
      </c>
      <c r="J354" s="9" t="n">
        <v>350000</v>
      </c>
      <c r="K354" s="8" t="s">
        <v>860</v>
      </c>
      <c r="L354" s="9" t="n">
        <v>3234.9</v>
      </c>
      <c r="M354" s="9" t="n">
        <v>404.36</v>
      </c>
      <c r="N354" s="9" t="n">
        <v>404.36</v>
      </c>
      <c r="O354" s="9" t="n">
        <v>2426.2</v>
      </c>
      <c r="P354" s="9" t="n">
        <v>242.62</v>
      </c>
      <c r="Q354" s="9" t="n">
        <v>242.62</v>
      </c>
      <c r="R354" s="9" t="n">
        <v>242.62</v>
      </c>
      <c r="S354" s="9" t="n">
        <v>242.62</v>
      </c>
      <c r="T354" s="9" t="n">
        <v>242.62</v>
      </c>
      <c r="U354" s="9" t="n">
        <v>242.62</v>
      </c>
      <c r="V354" s="9" t="n">
        <v>242.62</v>
      </c>
      <c r="W354" s="9" t="n">
        <v>242.62</v>
      </c>
      <c r="X354" s="9" t="n">
        <v>242.62</v>
      </c>
      <c r="Y354" s="9" t="n">
        <v>242.62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1148</v>
      </c>
      <c r="B355" s="3" t="s">
        <v>1149</v>
      </c>
      <c r="C355" s="3" t="s">
        <v>112</v>
      </c>
      <c r="D355" s="3" t="s">
        <v>113</v>
      </c>
      <c r="E355" s="3" t="n">
        <v>2020</v>
      </c>
      <c r="F355" s="3" t="s">
        <v>114</v>
      </c>
      <c r="G355" s="3" t="s">
        <v>115</v>
      </c>
      <c r="H355" s="3" t="s">
        <v>1150</v>
      </c>
      <c r="I355" s="3" t="s">
        <v>47</v>
      </c>
      <c r="J355" s="7" t="n">
        <v>460000</v>
      </c>
      <c r="K355" s="3" t="s">
        <v>109</v>
      </c>
      <c r="L355" s="7" t="n">
        <v>5984.77</v>
      </c>
      <c r="M355" s="7" t="n">
        <v>748.1</v>
      </c>
      <c r="N355" s="7" t="n">
        <v>748.1</v>
      </c>
      <c r="O355" s="7" t="n">
        <v>4488.6</v>
      </c>
      <c r="P355" s="7" t="n">
        <v>448.86</v>
      </c>
      <c r="Q355" s="7" t="n">
        <v>448.86</v>
      </c>
      <c r="R355" s="7" t="n">
        <v>448.86</v>
      </c>
      <c r="S355" s="7" t="n">
        <v>448.86</v>
      </c>
      <c r="T355" s="7" t="n">
        <v>448.86</v>
      </c>
      <c r="U355" s="7" t="n">
        <v>448.86</v>
      </c>
      <c r="V355" s="7" t="n">
        <v>448.86</v>
      </c>
      <c r="W355" s="7" t="n">
        <v>448.86</v>
      </c>
      <c r="X355" s="7" t="n">
        <v>448.86</v>
      </c>
      <c r="Y355" s="7" t="n">
        <v>448.86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1151</v>
      </c>
      <c r="B356" s="8" t="s">
        <v>1152</v>
      </c>
      <c r="C356" s="8" t="s">
        <v>186</v>
      </c>
      <c r="D356" s="8" t="s">
        <v>187</v>
      </c>
      <c r="E356" s="8" t="n">
        <v>2007</v>
      </c>
      <c r="F356" s="8" t="s">
        <v>53</v>
      </c>
      <c r="G356" s="8" t="s">
        <v>54</v>
      </c>
      <c r="H356" s="8" t="s">
        <v>1153</v>
      </c>
      <c r="I356" s="8" t="s">
        <v>47</v>
      </c>
      <c r="J356" s="9" t="n">
        <v>330000</v>
      </c>
      <c r="K356" s="8" t="s">
        <v>453</v>
      </c>
      <c r="L356" s="9" t="n">
        <v>4379.3</v>
      </c>
      <c r="M356" s="9" t="n">
        <v>547.41</v>
      </c>
      <c r="N356" s="9" t="n">
        <v>547.41</v>
      </c>
      <c r="O356" s="9" t="n">
        <v>3284.5</v>
      </c>
      <c r="P356" s="9" t="n">
        <v>328.45</v>
      </c>
      <c r="Q356" s="9" t="n">
        <v>328.45</v>
      </c>
      <c r="R356" s="9" t="n">
        <v>328.45</v>
      </c>
      <c r="S356" s="9" t="n">
        <v>328.45</v>
      </c>
      <c r="T356" s="9" t="n">
        <v>328.45</v>
      </c>
      <c r="U356" s="9" t="n">
        <v>328.45</v>
      </c>
      <c r="V356" s="9" t="n">
        <v>328.45</v>
      </c>
      <c r="W356" s="9" t="n">
        <v>328.45</v>
      </c>
      <c r="X356" s="9" t="n">
        <v>328.45</v>
      </c>
      <c r="Y356" s="9" t="n">
        <v>328.45</v>
      </c>
      <c r="Z356" s="9" t="n">
        <v>350</v>
      </c>
      <c r="AA356" s="9" t="n">
        <v>0</v>
      </c>
      <c r="AB356" s="9" t="n">
        <v>350</v>
      </c>
    </row>
    <row r="357" customFormat="false" ht="15" hidden="false" customHeight="false" outlineLevel="0" collapsed="false">
      <c r="A357" s="3" t="s">
        <v>1154</v>
      </c>
      <c r="B357" s="3" t="s">
        <v>1155</v>
      </c>
      <c r="C357" s="3" t="s">
        <v>179</v>
      </c>
      <c r="D357" s="3" t="s">
        <v>180</v>
      </c>
      <c r="E357" s="3" t="n">
        <v>1958</v>
      </c>
      <c r="F357" s="3" t="s">
        <v>86</v>
      </c>
      <c r="G357" s="3" t="s">
        <v>181</v>
      </c>
      <c r="H357" s="3" t="s">
        <v>1156</v>
      </c>
      <c r="I357" s="3" t="s">
        <v>96</v>
      </c>
      <c r="J357" s="7" t="n">
        <v>470000</v>
      </c>
      <c r="K357" s="3" t="s">
        <v>234</v>
      </c>
      <c r="L357" s="7" t="n">
        <v>3561.31</v>
      </c>
      <c r="M357" s="7" t="n">
        <v>445.16</v>
      </c>
      <c r="N357" s="7" t="n">
        <v>445.16</v>
      </c>
      <c r="O357" s="7" t="n">
        <v>2671</v>
      </c>
      <c r="P357" s="7" t="n">
        <v>267.1</v>
      </c>
      <c r="Q357" s="7" t="n">
        <v>267.1</v>
      </c>
      <c r="R357" s="7" t="n">
        <v>267.1</v>
      </c>
      <c r="S357" s="7" t="n">
        <v>267.1</v>
      </c>
      <c r="T357" s="7" t="n">
        <v>267.1</v>
      </c>
      <c r="U357" s="7" t="n">
        <v>267.1</v>
      </c>
      <c r="V357" s="7" t="n">
        <v>267.1</v>
      </c>
      <c r="W357" s="7" t="n">
        <v>267.1</v>
      </c>
      <c r="X357" s="7" t="n">
        <v>267.1</v>
      </c>
      <c r="Y357" s="7" t="n">
        <v>267.1</v>
      </c>
      <c r="Z357" s="7" t="n">
        <v>350</v>
      </c>
      <c r="AA357" s="7" t="n">
        <v>0</v>
      </c>
      <c r="AB357" s="7" t="n">
        <v>350</v>
      </c>
    </row>
    <row r="358" customFormat="false" ht="15" hidden="false" customHeight="false" outlineLevel="0" collapsed="false">
      <c r="A358" s="8" t="s">
        <v>1157</v>
      </c>
      <c r="B358" s="8" t="s">
        <v>828</v>
      </c>
      <c r="C358" s="8" t="s">
        <v>432</v>
      </c>
      <c r="D358" s="8" t="s">
        <v>433</v>
      </c>
      <c r="E358" s="8" t="n">
        <v>2016</v>
      </c>
      <c r="F358" s="8" t="s">
        <v>122</v>
      </c>
      <c r="G358" s="8" t="s">
        <v>123</v>
      </c>
      <c r="H358" s="8" t="s">
        <v>1158</v>
      </c>
      <c r="I358" s="8" t="s">
        <v>47</v>
      </c>
      <c r="J358" s="9" t="n">
        <v>710000</v>
      </c>
      <c r="K358" s="8" t="s">
        <v>117</v>
      </c>
      <c r="L358" s="9" t="n">
        <v>9206.58</v>
      </c>
      <c r="M358" s="9" t="n">
        <v>1150.82</v>
      </c>
      <c r="N358" s="9" t="n">
        <v>1150.82</v>
      </c>
      <c r="O358" s="9" t="n">
        <v>6904.9</v>
      </c>
      <c r="P358" s="9" t="n">
        <v>690.49</v>
      </c>
      <c r="Q358" s="9" t="n">
        <v>690.49</v>
      </c>
      <c r="R358" s="9" t="n">
        <v>690.49</v>
      </c>
      <c r="S358" s="9" t="n">
        <v>690.49</v>
      </c>
      <c r="T358" s="9" t="n">
        <v>690.49</v>
      </c>
      <c r="U358" s="9" t="n">
        <v>690.49</v>
      </c>
      <c r="V358" s="9" t="n">
        <v>690.49</v>
      </c>
      <c r="W358" s="9" t="n">
        <v>690.49</v>
      </c>
      <c r="X358" s="9" t="n">
        <v>690.49</v>
      </c>
      <c r="Y358" s="9" t="n">
        <v>690.49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1159</v>
      </c>
      <c r="B359" s="3" t="s">
        <v>615</v>
      </c>
      <c r="C359" s="3" t="s">
        <v>84</v>
      </c>
      <c r="D359" s="3" t="s">
        <v>85</v>
      </c>
      <c r="E359" s="3" t="n">
        <v>1997</v>
      </c>
      <c r="F359" s="3" t="s">
        <v>44</v>
      </c>
      <c r="G359" s="3" t="s">
        <v>45</v>
      </c>
      <c r="H359" s="3" t="s">
        <v>1160</v>
      </c>
      <c r="I359" s="3" t="s">
        <v>47</v>
      </c>
      <c r="J359" s="7" t="n">
        <v>195000</v>
      </c>
      <c r="K359" s="3" t="s">
        <v>234</v>
      </c>
      <c r="L359" s="7" t="n">
        <v>2831.99</v>
      </c>
      <c r="M359" s="7" t="n">
        <v>354</v>
      </c>
      <c r="N359" s="7" t="n">
        <v>354</v>
      </c>
      <c r="O359" s="7" t="n">
        <v>2124</v>
      </c>
      <c r="P359" s="7" t="n">
        <v>212.4</v>
      </c>
      <c r="Q359" s="7" t="n">
        <v>212.4</v>
      </c>
      <c r="R359" s="7" t="n">
        <v>212.4</v>
      </c>
      <c r="S359" s="7" t="n">
        <v>212.4</v>
      </c>
      <c r="T359" s="7" t="n">
        <v>212.4</v>
      </c>
      <c r="U359" s="7" t="n">
        <v>212.4</v>
      </c>
      <c r="V359" s="7" t="n">
        <v>212.4</v>
      </c>
      <c r="W359" s="7" t="n">
        <v>212.4</v>
      </c>
      <c r="X359" s="7" t="n">
        <v>212.4</v>
      </c>
      <c r="Y359" s="7" t="n">
        <v>212.4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1161</v>
      </c>
      <c r="B360" s="8" t="s">
        <v>1162</v>
      </c>
      <c r="C360" s="8" t="s">
        <v>58</v>
      </c>
      <c r="D360" s="8" t="s">
        <v>59</v>
      </c>
      <c r="E360" s="8" t="n">
        <v>1991</v>
      </c>
      <c r="F360" s="8" t="s">
        <v>60</v>
      </c>
      <c r="G360" s="8" t="s">
        <v>61</v>
      </c>
      <c r="H360" s="8" t="s">
        <v>1163</v>
      </c>
      <c r="I360" s="8" t="s">
        <v>47</v>
      </c>
      <c r="J360" s="9" t="n">
        <v>230000</v>
      </c>
      <c r="K360" s="8" t="s">
        <v>176</v>
      </c>
      <c r="L360" s="9" t="n">
        <v>4625.03</v>
      </c>
      <c r="M360" s="9" t="n">
        <v>578.13</v>
      </c>
      <c r="N360" s="9" t="n">
        <v>578.13</v>
      </c>
      <c r="O360" s="9" t="n">
        <v>3468.8</v>
      </c>
      <c r="P360" s="9" t="n">
        <v>346.88</v>
      </c>
      <c r="Q360" s="9" t="n">
        <v>346.88</v>
      </c>
      <c r="R360" s="9" t="n">
        <v>346.88</v>
      </c>
      <c r="S360" s="9" t="n">
        <v>346.88</v>
      </c>
      <c r="T360" s="9" t="n">
        <v>346.88</v>
      </c>
      <c r="U360" s="9" t="n">
        <v>346.88</v>
      </c>
      <c r="V360" s="9" t="n">
        <v>346.88</v>
      </c>
      <c r="W360" s="9" t="n">
        <v>346.88</v>
      </c>
      <c r="X360" s="9" t="n">
        <v>346.88</v>
      </c>
      <c r="Y360" s="9" t="n">
        <v>346.88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1164</v>
      </c>
      <c r="B361" s="3" t="s">
        <v>400</v>
      </c>
      <c r="C361" s="3" t="s">
        <v>148</v>
      </c>
      <c r="D361" s="3" t="s">
        <v>149</v>
      </c>
      <c r="E361" s="3" t="n">
        <v>1957</v>
      </c>
      <c r="F361" s="3" t="s">
        <v>114</v>
      </c>
      <c r="G361" s="3" t="s">
        <v>115</v>
      </c>
      <c r="H361" s="3" t="s">
        <v>1165</v>
      </c>
      <c r="I361" s="3" t="s">
        <v>47</v>
      </c>
      <c r="J361" s="7" t="n">
        <v>555000</v>
      </c>
      <c r="K361" s="3" t="s">
        <v>212</v>
      </c>
      <c r="L361" s="7" t="n">
        <v>8135.38</v>
      </c>
      <c r="M361" s="7" t="n">
        <v>1016.92</v>
      </c>
      <c r="N361" s="7" t="n">
        <v>1016.92</v>
      </c>
      <c r="O361" s="7" t="n">
        <v>6101.5</v>
      </c>
      <c r="P361" s="7" t="n">
        <v>610.15</v>
      </c>
      <c r="Q361" s="7" t="n">
        <v>610.15</v>
      </c>
      <c r="R361" s="7" t="n">
        <v>610.15</v>
      </c>
      <c r="S361" s="7" t="n">
        <v>610.15</v>
      </c>
      <c r="T361" s="7" t="n">
        <v>610.15</v>
      </c>
      <c r="U361" s="7" t="n">
        <v>610.15</v>
      </c>
      <c r="V361" s="7" t="n">
        <v>610.15</v>
      </c>
      <c r="W361" s="7" t="n">
        <v>610.15</v>
      </c>
      <c r="X361" s="7" t="n">
        <v>610.15</v>
      </c>
      <c r="Y361" s="7" t="n">
        <v>610.15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1166</v>
      </c>
      <c r="B362" s="8" t="s">
        <v>1167</v>
      </c>
      <c r="C362" s="8" t="s">
        <v>134</v>
      </c>
      <c r="D362" s="8" t="s">
        <v>135</v>
      </c>
      <c r="E362" s="8" t="n">
        <v>1981</v>
      </c>
      <c r="F362" s="8" t="s">
        <v>44</v>
      </c>
      <c r="G362" s="8" t="s">
        <v>45</v>
      </c>
      <c r="H362" s="8" t="s">
        <v>1168</v>
      </c>
      <c r="I362" s="8" t="s">
        <v>47</v>
      </c>
      <c r="J362" s="9" t="n">
        <v>470000</v>
      </c>
      <c r="K362" s="8" t="s">
        <v>453</v>
      </c>
      <c r="L362" s="9" t="n">
        <v>6237.17</v>
      </c>
      <c r="M362" s="9" t="n">
        <v>779.65</v>
      </c>
      <c r="N362" s="9" t="n">
        <v>779.65</v>
      </c>
      <c r="O362" s="9" t="n">
        <v>4677.9</v>
      </c>
      <c r="P362" s="9" t="n">
        <v>467.79</v>
      </c>
      <c r="Q362" s="9" t="n">
        <v>467.79</v>
      </c>
      <c r="R362" s="9" t="n">
        <v>467.79</v>
      </c>
      <c r="S362" s="9" t="n">
        <v>467.79</v>
      </c>
      <c r="T362" s="9" t="n">
        <v>467.79</v>
      </c>
      <c r="U362" s="9" t="n">
        <v>467.79</v>
      </c>
      <c r="V362" s="9" t="n">
        <v>467.79</v>
      </c>
      <c r="W362" s="9" t="n">
        <v>467.79</v>
      </c>
      <c r="X362" s="9" t="n">
        <v>467.79</v>
      </c>
      <c r="Y362" s="9" t="n">
        <v>467.79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1169</v>
      </c>
      <c r="B363" s="3" t="s">
        <v>1170</v>
      </c>
      <c r="C363" s="3" t="s">
        <v>120</v>
      </c>
      <c r="D363" s="3" t="s">
        <v>121</v>
      </c>
      <c r="E363" s="3" t="n">
        <v>1980</v>
      </c>
      <c r="F363" s="3" t="s">
        <v>944</v>
      </c>
      <c r="G363" s="3" t="s">
        <v>945</v>
      </c>
      <c r="H363" s="3" t="s">
        <v>1171</v>
      </c>
      <c r="I363" s="3" t="s">
        <v>145</v>
      </c>
      <c r="J363" s="7" t="n">
        <v>415000</v>
      </c>
      <c r="K363" s="3" t="s">
        <v>71</v>
      </c>
      <c r="L363" s="7" t="n">
        <v>3870.22</v>
      </c>
      <c r="M363" s="7" t="n">
        <v>483.78</v>
      </c>
      <c r="N363" s="7" t="n">
        <v>483.78</v>
      </c>
      <c r="O363" s="7" t="n">
        <v>2902.7</v>
      </c>
      <c r="P363" s="7" t="n">
        <v>290.27</v>
      </c>
      <c r="Q363" s="7" t="n">
        <v>290.27</v>
      </c>
      <c r="R363" s="7" t="n">
        <v>290.27</v>
      </c>
      <c r="S363" s="7" t="n">
        <v>290.27</v>
      </c>
      <c r="T363" s="7" t="n">
        <v>290.27</v>
      </c>
      <c r="U363" s="7" t="n">
        <v>290.27</v>
      </c>
      <c r="V363" s="7" t="n">
        <v>290.27</v>
      </c>
      <c r="W363" s="7" t="n">
        <v>290.27</v>
      </c>
      <c r="X363" s="7" t="n">
        <v>290.27</v>
      </c>
      <c r="Y363" s="7" t="n">
        <v>290.27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1172</v>
      </c>
      <c r="B364" s="8" t="s">
        <v>902</v>
      </c>
      <c r="C364" s="8" t="s">
        <v>168</v>
      </c>
      <c r="D364" s="8" t="s">
        <v>169</v>
      </c>
      <c r="E364" s="8" t="n">
        <v>1965</v>
      </c>
      <c r="F364" s="8" t="s">
        <v>93</v>
      </c>
      <c r="G364" s="8" t="s">
        <v>94</v>
      </c>
      <c r="H364" s="8" t="s">
        <v>1173</v>
      </c>
      <c r="I364" s="8" t="s">
        <v>96</v>
      </c>
      <c r="J364" s="9" t="n">
        <v>515000</v>
      </c>
      <c r="K364" s="8" t="s">
        <v>71</v>
      </c>
      <c r="L364" s="9" t="n">
        <v>4917.16</v>
      </c>
      <c r="M364" s="9" t="n">
        <v>614.64</v>
      </c>
      <c r="N364" s="9" t="n">
        <v>614.64</v>
      </c>
      <c r="O364" s="9" t="n">
        <v>3687.9</v>
      </c>
      <c r="P364" s="9" t="n">
        <v>368.79</v>
      </c>
      <c r="Q364" s="9" t="n">
        <v>368.79</v>
      </c>
      <c r="R364" s="9" t="n">
        <v>368.79</v>
      </c>
      <c r="S364" s="9" t="n">
        <v>368.79</v>
      </c>
      <c r="T364" s="9" t="n">
        <v>368.79</v>
      </c>
      <c r="U364" s="9" t="n">
        <v>368.79</v>
      </c>
      <c r="V364" s="9" t="n">
        <v>368.79</v>
      </c>
      <c r="W364" s="9" t="n">
        <v>368.79</v>
      </c>
      <c r="X364" s="9" t="n">
        <v>368.79</v>
      </c>
      <c r="Y364" s="9" t="n">
        <v>368.79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1174</v>
      </c>
      <c r="B365" s="3" t="s">
        <v>256</v>
      </c>
      <c r="C365" s="3" t="s">
        <v>58</v>
      </c>
      <c r="D365" s="3" t="s">
        <v>59</v>
      </c>
      <c r="E365" s="3" t="n">
        <v>1981</v>
      </c>
      <c r="F365" s="3" t="s">
        <v>53</v>
      </c>
      <c r="G365" s="3" t="s">
        <v>54</v>
      </c>
      <c r="H365" s="3" t="s">
        <v>1175</v>
      </c>
      <c r="I365" s="3" t="s">
        <v>47</v>
      </c>
      <c r="J365" s="7" t="n">
        <v>715000</v>
      </c>
      <c r="K365" s="3" t="s">
        <v>405</v>
      </c>
      <c r="L365" s="7" t="n">
        <v>8868.3</v>
      </c>
      <c r="M365" s="7" t="n">
        <v>1108.54</v>
      </c>
      <c r="N365" s="7" t="n">
        <v>1108.54</v>
      </c>
      <c r="O365" s="7" t="n">
        <v>6651.2</v>
      </c>
      <c r="P365" s="7" t="n">
        <v>665.12</v>
      </c>
      <c r="Q365" s="7" t="n">
        <v>665.12</v>
      </c>
      <c r="R365" s="7" t="n">
        <v>665.12</v>
      </c>
      <c r="S365" s="7" t="n">
        <v>665.12</v>
      </c>
      <c r="T365" s="7" t="n">
        <v>665.12</v>
      </c>
      <c r="U365" s="7" t="n">
        <v>665.12</v>
      </c>
      <c r="V365" s="7" t="n">
        <v>665.12</v>
      </c>
      <c r="W365" s="7" t="n">
        <v>665.12</v>
      </c>
      <c r="X365" s="7" t="n">
        <v>665.12</v>
      </c>
      <c r="Y365" s="7" t="n">
        <v>665.12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1176</v>
      </c>
      <c r="B366" s="8" t="s">
        <v>410</v>
      </c>
      <c r="C366" s="8" t="s">
        <v>42</v>
      </c>
      <c r="D366" s="8" t="s">
        <v>43</v>
      </c>
      <c r="E366" s="8" t="n">
        <v>1958</v>
      </c>
      <c r="F366" s="8" t="s">
        <v>86</v>
      </c>
      <c r="G366" s="8" t="s">
        <v>87</v>
      </c>
      <c r="H366" s="8" t="s">
        <v>1177</v>
      </c>
      <c r="I366" s="8" t="s">
        <v>89</v>
      </c>
      <c r="J366" s="9" t="n">
        <v>520000</v>
      </c>
      <c r="K366" s="8" t="s">
        <v>370</v>
      </c>
      <c r="L366" s="9" t="n">
        <v>9426.45</v>
      </c>
      <c r="M366" s="9" t="n">
        <v>1178.31</v>
      </c>
      <c r="N366" s="9" t="n">
        <v>1178.31</v>
      </c>
      <c r="O366" s="9" t="n">
        <v>7069.8</v>
      </c>
      <c r="P366" s="9" t="n">
        <v>706.98</v>
      </c>
      <c r="Q366" s="9" t="n">
        <v>706.98</v>
      </c>
      <c r="R366" s="9" t="n">
        <v>706.98</v>
      </c>
      <c r="S366" s="9" t="n">
        <v>706.98</v>
      </c>
      <c r="T366" s="9" t="n">
        <v>706.98</v>
      </c>
      <c r="U366" s="9" t="n">
        <v>706.98</v>
      </c>
      <c r="V366" s="9" t="n">
        <v>706.98</v>
      </c>
      <c r="W366" s="9" t="n">
        <v>706.98</v>
      </c>
      <c r="X366" s="9" t="n">
        <v>706.98</v>
      </c>
      <c r="Y366" s="9" t="n">
        <v>706.98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1178</v>
      </c>
      <c r="B367" s="3" t="s">
        <v>1179</v>
      </c>
      <c r="C367" s="3" t="s">
        <v>120</v>
      </c>
      <c r="D367" s="3" t="s">
        <v>121</v>
      </c>
      <c r="E367" s="3" t="n">
        <v>2018</v>
      </c>
      <c r="F367" s="3" t="s">
        <v>68</v>
      </c>
      <c r="G367" s="3" t="s">
        <v>69</v>
      </c>
      <c r="H367" s="3" t="s">
        <v>1180</v>
      </c>
      <c r="I367" s="3" t="s">
        <v>47</v>
      </c>
      <c r="J367" s="7" t="n">
        <v>300000</v>
      </c>
      <c r="K367" s="3" t="s">
        <v>370</v>
      </c>
      <c r="L367" s="7" t="n">
        <v>4293.42</v>
      </c>
      <c r="M367" s="7" t="n">
        <v>536.68</v>
      </c>
      <c r="N367" s="7" t="n">
        <v>536.68</v>
      </c>
      <c r="O367" s="7" t="n">
        <v>3220.1</v>
      </c>
      <c r="P367" s="7" t="n">
        <v>322.01</v>
      </c>
      <c r="Q367" s="7" t="n">
        <v>322.01</v>
      </c>
      <c r="R367" s="7" t="n">
        <v>322.01</v>
      </c>
      <c r="S367" s="7" t="n">
        <v>322.01</v>
      </c>
      <c r="T367" s="7" t="n">
        <v>322.01</v>
      </c>
      <c r="U367" s="7" t="n">
        <v>322.01</v>
      </c>
      <c r="V367" s="7" t="n">
        <v>322.01</v>
      </c>
      <c r="W367" s="7" t="n">
        <v>322.01</v>
      </c>
      <c r="X367" s="7" t="n">
        <v>322.01</v>
      </c>
      <c r="Y367" s="7" t="n">
        <v>322.01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1181</v>
      </c>
      <c r="B368" s="8" t="s">
        <v>1182</v>
      </c>
      <c r="C368" s="8" t="s">
        <v>274</v>
      </c>
      <c r="D368" s="8" t="s">
        <v>275</v>
      </c>
      <c r="E368" s="8" t="n">
        <v>1987</v>
      </c>
      <c r="F368" s="8" t="s">
        <v>93</v>
      </c>
      <c r="G368" s="8" t="s">
        <v>94</v>
      </c>
      <c r="H368" s="8" t="s">
        <v>1183</v>
      </c>
      <c r="I368" s="8" t="s">
        <v>96</v>
      </c>
      <c r="J368" s="9" t="n">
        <v>295000</v>
      </c>
      <c r="K368" s="8" t="s">
        <v>405</v>
      </c>
      <c r="L368" s="9" t="n">
        <v>2702</v>
      </c>
      <c r="M368" s="9" t="n">
        <v>337.75</v>
      </c>
      <c r="N368" s="9" t="n">
        <v>337.75</v>
      </c>
      <c r="O368" s="9" t="n">
        <v>2026.5</v>
      </c>
      <c r="P368" s="9" t="n">
        <v>202.65</v>
      </c>
      <c r="Q368" s="9" t="n">
        <v>202.65</v>
      </c>
      <c r="R368" s="9" t="n">
        <v>202.65</v>
      </c>
      <c r="S368" s="9" t="n">
        <v>202.65</v>
      </c>
      <c r="T368" s="9" t="n">
        <v>202.65</v>
      </c>
      <c r="U368" s="9" t="n">
        <v>202.65</v>
      </c>
      <c r="V368" s="9" t="n">
        <v>202.65</v>
      </c>
      <c r="W368" s="9" t="n">
        <v>202.65</v>
      </c>
      <c r="X368" s="9" t="n">
        <v>202.65</v>
      </c>
      <c r="Y368" s="9" t="n">
        <v>202.65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1184</v>
      </c>
      <c r="B369" s="3" t="s">
        <v>1185</v>
      </c>
      <c r="C369" s="3" t="s">
        <v>156</v>
      </c>
      <c r="D369" s="3" t="s">
        <v>157</v>
      </c>
      <c r="E369" s="3" t="n">
        <v>2014</v>
      </c>
      <c r="F369" s="3" t="s">
        <v>122</v>
      </c>
      <c r="G369" s="3" t="s">
        <v>123</v>
      </c>
      <c r="H369" s="3" t="s">
        <v>1186</v>
      </c>
      <c r="I369" s="3" t="s">
        <v>47</v>
      </c>
      <c r="J369" s="7" t="n">
        <v>265000</v>
      </c>
      <c r="K369" s="3" t="s">
        <v>117</v>
      </c>
      <c r="L369" s="7" t="n">
        <v>3964.91</v>
      </c>
      <c r="M369" s="7" t="n">
        <v>495.61</v>
      </c>
      <c r="N369" s="7" t="n">
        <v>495.61</v>
      </c>
      <c r="O369" s="7" t="n">
        <v>2973.7</v>
      </c>
      <c r="P369" s="7" t="n">
        <v>297.37</v>
      </c>
      <c r="Q369" s="7" t="n">
        <v>297.37</v>
      </c>
      <c r="R369" s="7" t="n">
        <v>297.37</v>
      </c>
      <c r="S369" s="7" t="n">
        <v>297.37</v>
      </c>
      <c r="T369" s="7" t="n">
        <v>297.37</v>
      </c>
      <c r="U369" s="7" t="n">
        <v>297.37</v>
      </c>
      <c r="V369" s="7" t="n">
        <v>297.37</v>
      </c>
      <c r="W369" s="7" t="n">
        <v>297.37</v>
      </c>
      <c r="X369" s="7" t="n">
        <v>297.37</v>
      </c>
      <c r="Y369" s="7" t="n">
        <v>297.37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1187</v>
      </c>
      <c r="B370" s="8" t="s">
        <v>1188</v>
      </c>
      <c r="C370" s="8" t="s">
        <v>148</v>
      </c>
      <c r="D370" s="8" t="s">
        <v>149</v>
      </c>
      <c r="E370" s="8" t="n">
        <v>1978</v>
      </c>
      <c r="F370" s="8" t="s">
        <v>53</v>
      </c>
      <c r="G370" s="8" t="s">
        <v>54</v>
      </c>
      <c r="H370" s="8" t="s">
        <v>1189</v>
      </c>
      <c r="I370" s="8" t="s">
        <v>47</v>
      </c>
      <c r="J370" s="9" t="n">
        <v>540000</v>
      </c>
      <c r="K370" s="8" t="s">
        <v>351</v>
      </c>
      <c r="L370" s="9" t="n">
        <v>7611.07</v>
      </c>
      <c r="M370" s="9" t="n">
        <v>951.38</v>
      </c>
      <c r="N370" s="9" t="n">
        <v>951.38</v>
      </c>
      <c r="O370" s="9" t="n">
        <v>5708.3</v>
      </c>
      <c r="P370" s="9" t="n">
        <v>570.83</v>
      </c>
      <c r="Q370" s="9" t="n">
        <v>570.83</v>
      </c>
      <c r="R370" s="9" t="n">
        <v>570.83</v>
      </c>
      <c r="S370" s="9" t="n">
        <v>570.83</v>
      </c>
      <c r="T370" s="9" t="n">
        <v>570.83</v>
      </c>
      <c r="U370" s="9" t="n">
        <v>570.83</v>
      </c>
      <c r="V370" s="9" t="n">
        <v>570.83</v>
      </c>
      <c r="W370" s="9" t="n">
        <v>570.83</v>
      </c>
      <c r="X370" s="9" t="n">
        <v>570.83</v>
      </c>
      <c r="Y370" s="9" t="n">
        <v>570.83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1190</v>
      </c>
      <c r="B371" s="3" t="s">
        <v>1191</v>
      </c>
      <c r="C371" s="3" t="s">
        <v>163</v>
      </c>
      <c r="D371" s="3" t="s">
        <v>164</v>
      </c>
      <c r="E371" s="3" t="n">
        <v>2022</v>
      </c>
      <c r="F371" s="3" t="s">
        <v>231</v>
      </c>
      <c r="G371" s="3" t="s">
        <v>232</v>
      </c>
      <c r="H371" s="3" t="s">
        <v>1192</v>
      </c>
      <c r="I371" s="3" t="s">
        <v>89</v>
      </c>
      <c r="J371" s="7" t="n">
        <v>720000</v>
      </c>
      <c r="K371" s="3" t="s">
        <v>117</v>
      </c>
      <c r="L371" s="7" t="n">
        <v>13645.28</v>
      </c>
      <c r="M371" s="7" t="n">
        <v>1705.66</v>
      </c>
      <c r="N371" s="7" t="n">
        <v>1705.66</v>
      </c>
      <c r="O371" s="7" t="n">
        <v>10234</v>
      </c>
      <c r="P371" s="7" t="n">
        <v>1023.4</v>
      </c>
      <c r="Q371" s="7" t="n">
        <v>1023.4</v>
      </c>
      <c r="R371" s="7" t="n">
        <v>1023.4</v>
      </c>
      <c r="S371" s="7" t="n">
        <v>1023.4</v>
      </c>
      <c r="T371" s="7" t="n">
        <v>1023.4</v>
      </c>
      <c r="U371" s="7" t="n">
        <v>1023.4</v>
      </c>
      <c r="V371" s="7" t="n">
        <v>1023.4</v>
      </c>
      <c r="W371" s="7" t="n">
        <v>1023.4</v>
      </c>
      <c r="X371" s="7" t="n">
        <v>1023.4</v>
      </c>
      <c r="Y371" s="7" t="n">
        <v>1023.4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1193</v>
      </c>
      <c r="B372" s="8" t="s">
        <v>1194</v>
      </c>
      <c r="C372" s="8" t="s">
        <v>288</v>
      </c>
      <c r="D372" s="8" t="s">
        <v>289</v>
      </c>
      <c r="E372" s="8" t="n">
        <v>2004</v>
      </c>
      <c r="F372" s="8" t="s">
        <v>44</v>
      </c>
      <c r="G372" s="8" t="s">
        <v>45</v>
      </c>
      <c r="H372" s="8" t="s">
        <v>1195</v>
      </c>
      <c r="I372" s="8" t="s">
        <v>47</v>
      </c>
      <c r="J372" s="9" t="n">
        <v>925000</v>
      </c>
      <c r="K372" s="8" t="s">
        <v>48</v>
      </c>
      <c r="L372" s="9" t="n">
        <v>13558.98</v>
      </c>
      <c r="M372" s="9" t="n">
        <v>1694.87</v>
      </c>
      <c r="N372" s="9" t="n">
        <v>1694.87</v>
      </c>
      <c r="O372" s="9" t="n">
        <v>10169.2</v>
      </c>
      <c r="P372" s="9" t="n">
        <v>1016.92</v>
      </c>
      <c r="Q372" s="9" t="n">
        <v>1016.92</v>
      </c>
      <c r="R372" s="9" t="n">
        <v>1016.92</v>
      </c>
      <c r="S372" s="9" t="n">
        <v>1016.92</v>
      </c>
      <c r="T372" s="9" t="n">
        <v>1016.92</v>
      </c>
      <c r="U372" s="9" t="n">
        <v>1016.92</v>
      </c>
      <c r="V372" s="9" t="n">
        <v>1016.92</v>
      </c>
      <c r="W372" s="9" t="n">
        <v>1016.92</v>
      </c>
      <c r="X372" s="9" t="n">
        <v>1016.92</v>
      </c>
      <c r="Y372" s="9" t="n">
        <v>1016.92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1196</v>
      </c>
      <c r="B373" s="3" t="s">
        <v>1197</v>
      </c>
      <c r="C373" s="3" t="s">
        <v>261</v>
      </c>
      <c r="D373" s="3" t="s">
        <v>262</v>
      </c>
      <c r="E373" s="3" t="n">
        <v>1983</v>
      </c>
      <c r="F373" s="3" t="s">
        <v>44</v>
      </c>
      <c r="G373" s="3" t="s">
        <v>45</v>
      </c>
      <c r="H373" s="3" t="s">
        <v>1198</v>
      </c>
      <c r="I373" s="3" t="s">
        <v>47</v>
      </c>
      <c r="J373" s="7" t="n">
        <v>895000</v>
      </c>
      <c r="K373" s="3" t="s">
        <v>171</v>
      </c>
      <c r="L373" s="7" t="n">
        <v>13623.82</v>
      </c>
      <c r="M373" s="7" t="n">
        <v>1702.98</v>
      </c>
      <c r="N373" s="7" t="n">
        <v>1702.98</v>
      </c>
      <c r="O373" s="7" t="n">
        <v>10217.9</v>
      </c>
      <c r="P373" s="7" t="n">
        <v>1021.79</v>
      </c>
      <c r="Q373" s="7" t="n">
        <v>1021.79</v>
      </c>
      <c r="R373" s="7" t="n">
        <v>1021.79</v>
      </c>
      <c r="S373" s="7" t="n">
        <v>1021.79</v>
      </c>
      <c r="T373" s="7" t="n">
        <v>1021.79</v>
      </c>
      <c r="U373" s="7" t="n">
        <v>1021.79</v>
      </c>
      <c r="V373" s="7" t="n">
        <v>1021.79</v>
      </c>
      <c r="W373" s="7" t="n">
        <v>1021.79</v>
      </c>
      <c r="X373" s="7" t="n">
        <v>1021.79</v>
      </c>
      <c r="Y373" s="7" t="n">
        <v>1021.79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1199</v>
      </c>
      <c r="B374" s="8" t="s">
        <v>1200</v>
      </c>
      <c r="C374" s="8" t="s">
        <v>186</v>
      </c>
      <c r="D374" s="8" t="s">
        <v>187</v>
      </c>
      <c r="E374" s="8" t="n">
        <v>1995</v>
      </c>
      <c r="F374" s="8" t="s">
        <v>60</v>
      </c>
      <c r="G374" s="8" t="s">
        <v>143</v>
      </c>
      <c r="H374" s="8" t="s">
        <v>1201</v>
      </c>
      <c r="I374" s="8" t="s">
        <v>145</v>
      </c>
      <c r="J374" s="9" t="n">
        <v>525000</v>
      </c>
      <c r="K374" s="8" t="s">
        <v>226</v>
      </c>
      <c r="L374" s="9" t="n">
        <v>3737.62</v>
      </c>
      <c r="M374" s="9" t="n">
        <v>467.2</v>
      </c>
      <c r="N374" s="9" t="n">
        <v>467.2</v>
      </c>
      <c r="O374" s="9" t="n">
        <v>2803.2</v>
      </c>
      <c r="P374" s="9" t="n">
        <v>280.32</v>
      </c>
      <c r="Q374" s="9" t="n">
        <v>280.32</v>
      </c>
      <c r="R374" s="9" t="n">
        <v>280.32</v>
      </c>
      <c r="S374" s="9" t="n">
        <v>280.32</v>
      </c>
      <c r="T374" s="9" t="n">
        <v>280.32</v>
      </c>
      <c r="U374" s="9" t="n">
        <v>280.32</v>
      </c>
      <c r="V374" s="9" t="n">
        <v>280.32</v>
      </c>
      <c r="W374" s="9" t="n">
        <v>280.32</v>
      </c>
      <c r="X374" s="9" t="n">
        <v>280.32</v>
      </c>
      <c r="Y374" s="9" t="n">
        <v>280.32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1202</v>
      </c>
      <c r="B375" s="3" t="s">
        <v>1188</v>
      </c>
      <c r="C375" s="3" t="s">
        <v>106</v>
      </c>
      <c r="D375" s="3" t="s">
        <v>107</v>
      </c>
      <c r="E375" s="3" t="n">
        <v>1967</v>
      </c>
      <c r="F375" s="3" t="s">
        <v>100</v>
      </c>
      <c r="G375" s="3" t="s">
        <v>101</v>
      </c>
      <c r="H375" s="3" t="s">
        <v>1203</v>
      </c>
      <c r="I375" s="3" t="s">
        <v>103</v>
      </c>
      <c r="J375" s="7" t="n">
        <v>560000</v>
      </c>
      <c r="K375" s="3" t="s">
        <v>294</v>
      </c>
      <c r="L375" s="7" t="n">
        <v>7501.47</v>
      </c>
      <c r="M375" s="7" t="n">
        <v>937.68</v>
      </c>
      <c r="N375" s="7" t="n">
        <v>937.68</v>
      </c>
      <c r="O375" s="7" t="n">
        <v>5626.1</v>
      </c>
      <c r="P375" s="7" t="n">
        <v>562.61</v>
      </c>
      <c r="Q375" s="7" t="n">
        <v>562.61</v>
      </c>
      <c r="R375" s="7" t="n">
        <v>562.61</v>
      </c>
      <c r="S375" s="7" t="n">
        <v>562.61</v>
      </c>
      <c r="T375" s="7" t="n">
        <v>562.61</v>
      </c>
      <c r="U375" s="7" t="n">
        <v>562.61</v>
      </c>
      <c r="V375" s="7" t="n">
        <v>562.61</v>
      </c>
      <c r="W375" s="7" t="n">
        <v>562.61</v>
      </c>
      <c r="X375" s="7" t="n">
        <v>562.61</v>
      </c>
      <c r="Y375" s="7" t="n">
        <v>562.61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1204</v>
      </c>
      <c r="B376" s="8" t="s">
        <v>624</v>
      </c>
      <c r="C376" s="8" t="s">
        <v>78</v>
      </c>
      <c r="D376" s="8" t="s">
        <v>79</v>
      </c>
      <c r="E376" s="8" t="n">
        <v>1992</v>
      </c>
      <c r="F376" s="8" t="s">
        <v>53</v>
      </c>
      <c r="G376" s="8" t="s">
        <v>174</v>
      </c>
      <c r="H376" s="8" t="s">
        <v>1205</v>
      </c>
      <c r="I376" s="8" t="s">
        <v>96</v>
      </c>
      <c r="J376" s="9" t="n">
        <v>730000</v>
      </c>
      <c r="K376" s="8" t="s">
        <v>212</v>
      </c>
      <c r="L376" s="9" t="n">
        <v>7078.86</v>
      </c>
      <c r="M376" s="9" t="n">
        <v>884.86</v>
      </c>
      <c r="N376" s="9" t="n">
        <v>884.86</v>
      </c>
      <c r="O376" s="9" t="n">
        <v>5309.1</v>
      </c>
      <c r="P376" s="9" t="n">
        <v>530.91</v>
      </c>
      <c r="Q376" s="9" t="n">
        <v>530.91</v>
      </c>
      <c r="R376" s="9" t="n">
        <v>530.91</v>
      </c>
      <c r="S376" s="9" t="n">
        <v>530.91</v>
      </c>
      <c r="T376" s="9" t="n">
        <v>530.91</v>
      </c>
      <c r="U376" s="9" t="n">
        <v>530.91</v>
      </c>
      <c r="V376" s="9" t="n">
        <v>530.91</v>
      </c>
      <c r="W376" s="9" t="n">
        <v>530.91</v>
      </c>
      <c r="X376" s="9" t="n">
        <v>530.91</v>
      </c>
      <c r="Y376" s="9" t="n">
        <v>530.91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1206</v>
      </c>
      <c r="B377" s="3" t="s">
        <v>1207</v>
      </c>
      <c r="C377" s="3" t="s">
        <v>354</v>
      </c>
      <c r="D377" s="3" t="s">
        <v>355</v>
      </c>
      <c r="E377" s="3" t="n">
        <v>1998</v>
      </c>
      <c r="F377" s="3" t="s">
        <v>86</v>
      </c>
      <c r="G377" s="3" t="s">
        <v>87</v>
      </c>
      <c r="H377" s="3" t="s">
        <v>1208</v>
      </c>
      <c r="I377" s="3" t="s">
        <v>89</v>
      </c>
      <c r="J377" s="7" t="n">
        <v>730000</v>
      </c>
      <c r="K377" s="3" t="s">
        <v>460</v>
      </c>
      <c r="L377" s="7" t="n">
        <v>16240.85</v>
      </c>
      <c r="M377" s="7" t="n">
        <v>2030.11</v>
      </c>
      <c r="N377" s="7" t="n">
        <v>2030.11</v>
      </c>
      <c r="O377" s="7" t="n">
        <v>12180.6</v>
      </c>
      <c r="P377" s="7" t="n">
        <v>1218.06</v>
      </c>
      <c r="Q377" s="7" t="n">
        <v>1218.06</v>
      </c>
      <c r="R377" s="7" t="n">
        <v>1218.06</v>
      </c>
      <c r="S377" s="7" t="n">
        <v>1218.06</v>
      </c>
      <c r="T377" s="7" t="n">
        <v>1218.06</v>
      </c>
      <c r="U377" s="7" t="n">
        <v>1218.06</v>
      </c>
      <c r="V377" s="7" t="n">
        <v>1218.06</v>
      </c>
      <c r="W377" s="7" t="n">
        <v>1218.06</v>
      </c>
      <c r="X377" s="7" t="n">
        <v>1218.06</v>
      </c>
      <c r="Y377" s="7" t="n">
        <v>1218.06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1209</v>
      </c>
      <c r="B378" s="8" t="s">
        <v>1210</v>
      </c>
      <c r="C378" s="8" t="s">
        <v>128</v>
      </c>
      <c r="D378" s="8" t="s">
        <v>129</v>
      </c>
      <c r="E378" s="8" t="n">
        <v>2014</v>
      </c>
      <c r="F378" s="8" t="s">
        <v>44</v>
      </c>
      <c r="G378" s="8" t="s">
        <v>45</v>
      </c>
      <c r="H378" s="8" t="s">
        <v>1211</v>
      </c>
      <c r="I378" s="8" t="s">
        <v>47</v>
      </c>
      <c r="J378" s="9" t="n">
        <v>245000</v>
      </c>
      <c r="K378" s="8" t="s">
        <v>90</v>
      </c>
      <c r="L378" s="9" t="n">
        <v>4496.56</v>
      </c>
      <c r="M378" s="9" t="n">
        <v>562.07</v>
      </c>
      <c r="N378" s="9" t="n">
        <v>562.07</v>
      </c>
      <c r="O378" s="9" t="n">
        <v>3372.4</v>
      </c>
      <c r="P378" s="9" t="n">
        <v>337.24</v>
      </c>
      <c r="Q378" s="9" t="n">
        <v>337.24</v>
      </c>
      <c r="R378" s="9" t="n">
        <v>337.24</v>
      </c>
      <c r="S378" s="9" t="n">
        <v>337.24</v>
      </c>
      <c r="T378" s="9" t="n">
        <v>337.24</v>
      </c>
      <c r="U378" s="9" t="n">
        <v>337.24</v>
      </c>
      <c r="V378" s="9" t="n">
        <v>337.24</v>
      </c>
      <c r="W378" s="9" t="n">
        <v>337.24</v>
      </c>
      <c r="X378" s="9" t="n">
        <v>337.24</v>
      </c>
      <c r="Y378" s="9" t="n">
        <v>337.24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1212</v>
      </c>
      <c r="B379" s="3" t="s">
        <v>523</v>
      </c>
      <c r="C379" s="3" t="s">
        <v>112</v>
      </c>
      <c r="D379" s="3" t="s">
        <v>113</v>
      </c>
      <c r="E379" s="3" t="n">
        <v>2016</v>
      </c>
      <c r="F379" s="3" t="s">
        <v>114</v>
      </c>
      <c r="G379" s="3" t="s">
        <v>115</v>
      </c>
      <c r="H379" s="3" t="s">
        <v>1213</v>
      </c>
      <c r="I379" s="3" t="s">
        <v>47</v>
      </c>
      <c r="J379" s="7" t="n">
        <v>330000</v>
      </c>
      <c r="K379" s="3" t="s">
        <v>171</v>
      </c>
      <c r="L379" s="7" t="n">
        <v>5796.13</v>
      </c>
      <c r="M379" s="7" t="n">
        <v>724.52</v>
      </c>
      <c r="N379" s="7" t="n">
        <v>724.52</v>
      </c>
      <c r="O379" s="7" t="n">
        <v>4347.1</v>
      </c>
      <c r="P379" s="7" t="n">
        <v>434.71</v>
      </c>
      <c r="Q379" s="7" t="n">
        <v>434.71</v>
      </c>
      <c r="R379" s="7" t="n">
        <v>434.71</v>
      </c>
      <c r="S379" s="7" t="n">
        <v>434.71</v>
      </c>
      <c r="T379" s="7" t="n">
        <v>434.71</v>
      </c>
      <c r="U379" s="7" t="n">
        <v>434.71</v>
      </c>
      <c r="V379" s="7" t="n">
        <v>434.71</v>
      </c>
      <c r="W379" s="7" t="n">
        <v>434.71</v>
      </c>
      <c r="X379" s="7" t="n">
        <v>434.71</v>
      </c>
      <c r="Y379" s="7" t="n">
        <v>434.71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1214</v>
      </c>
      <c r="B380" s="8" t="s">
        <v>503</v>
      </c>
      <c r="C380" s="8" t="s">
        <v>261</v>
      </c>
      <c r="D380" s="8" t="s">
        <v>262</v>
      </c>
      <c r="E380" s="8" t="n">
        <v>2004</v>
      </c>
      <c r="F380" s="8" t="s">
        <v>437</v>
      </c>
      <c r="G380" s="8" t="s">
        <v>438</v>
      </c>
      <c r="H380" s="8" t="s">
        <v>1215</v>
      </c>
      <c r="I380" s="8" t="s">
        <v>89</v>
      </c>
      <c r="J380" s="9" t="n">
        <v>1040000</v>
      </c>
      <c r="K380" s="8" t="s">
        <v>380</v>
      </c>
      <c r="L380" s="9" t="n">
        <v>16164.79</v>
      </c>
      <c r="M380" s="9" t="n">
        <v>2020.6</v>
      </c>
      <c r="N380" s="9" t="n">
        <v>2020.6</v>
      </c>
      <c r="O380" s="9" t="n">
        <v>12123.6</v>
      </c>
      <c r="P380" s="9" t="n">
        <v>1212.36</v>
      </c>
      <c r="Q380" s="9" t="n">
        <v>1212.36</v>
      </c>
      <c r="R380" s="9" t="n">
        <v>1212.36</v>
      </c>
      <c r="S380" s="9" t="n">
        <v>1212.36</v>
      </c>
      <c r="T380" s="9" t="n">
        <v>1212.36</v>
      </c>
      <c r="U380" s="9" t="n">
        <v>1212.36</v>
      </c>
      <c r="V380" s="9" t="n">
        <v>1212.36</v>
      </c>
      <c r="W380" s="9" t="n">
        <v>1212.36</v>
      </c>
      <c r="X380" s="9" t="n">
        <v>1212.36</v>
      </c>
      <c r="Y380" s="9" t="n">
        <v>1212.36</v>
      </c>
      <c r="Z380" s="9" t="n">
        <v>350</v>
      </c>
      <c r="AA380" s="9" t="n">
        <v>250</v>
      </c>
      <c r="AB380" s="9" t="n">
        <v>600</v>
      </c>
    </row>
    <row r="381" customFormat="false" ht="15" hidden="false" customHeight="false" outlineLevel="0" collapsed="false">
      <c r="A381" s="3" t="s">
        <v>1216</v>
      </c>
      <c r="B381" s="3" t="s">
        <v>1217</v>
      </c>
      <c r="C381" s="3" t="s">
        <v>179</v>
      </c>
      <c r="D381" s="3" t="s">
        <v>180</v>
      </c>
      <c r="E381" s="3" t="n">
        <v>2011</v>
      </c>
      <c r="F381" s="3" t="s">
        <v>44</v>
      </c>
      <c r="G381" s="3" t="s">
        <v>45</v>
      </c>
      <c r="H381" s="3" t="s">
        <v>1218</v>
      </c>
      <c r="I381" s="3" t="s">
        <v>47</v>
      </c>
      <c r="J381" s="7" t="n">
        <v>360000</v>
      </c>
      <c r="K381" s="3" t="s">
        <v>234</v>
      </c>
      <c r="L381" s="7" t="n">
        <v>4262.2</v>
      </c>
      <c r="M381" s="7" t="n">
        <v>532.77</v>
      </c>
      <c r="N381" s="7" t="n">
        <v>532.77</v>
      </c>
      <c r="O381" s="7" t="n">
        <v>3196.6</v>
      </c>
      <c r="P381" s="7" t="n">
        <v>319.66</v>
      </c>
      <c r="Q381" s="7" t="n">
        <v>319.66</v>
      </c>
      <c r="R381" s="7" t="n">
        <v>319.66</v>
      </c>
      <c r="S381" s="7" t="n">
        <v>319.66</v>
      </c>
      <c r="T381" s="7" t="n">
        <v>319.66</v>
      </c>
      <c r="U381" s="7" t="n">
        <v>319.66</v>
      </c>
      <c r="V381" s="7" t="n">
        <v>319.66</v>
      </c>
      <c r="W381" s="7" t="n">
        <v>319.66</v>
      </c>
      <c r="X381" s="7" t="n">
        <v>319.66</v>
      </c>
      <c r="Y381" s="7" t="n">
        <v>319.66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1219</v>
      </c>
      <c r="B382" s="8" t="s">
        <v>1220</v>
      </c>
      <c r="C382" s="8" t="s">
        <v>78</v>
      </c>
      <c r="D382" s="8" t="s">
        <v>79</v>
      </c>
      <c r="E382" s="8" t="n">
        <v>2002</v>
      </c>
      <c r="F382" s="8" t="s">
        <v>231</v>
      </c>
      <c r="G382" s="8" t="s">
        <v>232</v>
      </c>
      <c r="H382" s="8" t="s">
        <v>1221</v>
      </c>
      <c r="I382" s="8" t="s">
        <v>89</v>
      </c>
      <c r="J382" s="9" t="n">
        <v>305000</v>
      </c>
      <c r="K382" s="8" t="s">
        <v>97</v>
      </c>
      <c r="L382" s="9" t="n">
        <v>8274.95</v>
      </c>
      <c r="M382" s="9" t="n">
        <v>1034.37</v>
      </c>
      <c r="N382" s="9" t="n">
        <v>1034.37</v>
      </c>
      <c r="O382" s="9" t="n">
        <v>6206.2</v>
      </c>
      <c r="P382" s="9" t="n">
        <v>620.62</v>
      </c>
      <c r="Q382" s="9" t="n">
        <v>620.62</v>
      </c>
      <c r="R382" s="9" t="n">
        <v>620.62</v>
      </c>
      <c r="S382" s="9" t="n">
        <v>620.62</v>
      </c>
      <c r="T382" s="9" t="n">
        <v>620.62</v>
      </c>
      <c r="U382" s="9" t="n">
        <v>620.62</v>
      </c>
      <c r="V382" s="9" t="n">
        <v>620.62</v>
      </c>
      <c r="W382" s="9" t="n">
        <v>620.62</v>
      </c>
      <c r="X382" s="9" t="n">
        <v>620.62</v>
      </c>
      <c r="Y382" s="9" t="n">
        <v>620.62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1222</v>
      </c>
      <c r="B383" s="3" t="s">
        <v>1223</v>
      </c>
      <c r="C383" s="3" t="s">
        <v>179</v>
      </c>
      <c r="D383" s="3" t="s">
        <v>180</v>
      </c>
      <c r="E383" s="3" t="n">
        <v>2007</v>
      </c>
      <c r="F383" s="3" t="s">
        <v>44</v>
      </c>
      <c r="G383" s="3" t="s">
        <v>45</v>
      </c>
      <c r="H383" s="3" t="s">
        <v>1224</v>
      </c>
      <c r="I383" s="3" t="s">
        <v>47</v>
      </c>
      <c r="J383" s="7" t="n">
        <v>1120000</v>
      </c>
      <c r="K383" s="3" t="s">
        <v>277</v>
      </c>
      <c r="L383" s="7" t="n">
        <v>12075.01</v>
      </c>
      <c r="M383" s="7" t="n">
        <v>1509.38</v>
      </c>
      <c r="N383" s="7" t="n">
        <v>1509.38</v>
      </c>
      <c r="O383" s="7" t="n">
        <v>9056.3</v>
      </c>
      <c r="P383" s="7" t="n">
        <v>905.63</v>
      </c>
      <c r="Q383" s="7" t="n">
        <v>905.63</v>
      </c>
      <c r="R383" s="7" t="n">
        <v>905.63</v>
      </c>
      <c r="S383" s="7" t="n">
        <v>905.63</v>
      </c>
      <c r="T383" s="7" t="n">
        <v>905.63</v>
      </c>
      <c r="U383" s="7" t="n">
        <v>905.63</v>
      </c>
      <c r="V383" s="7" t="n">
        <v>905.63</v>
      </c>
      <c r="W383" s="7" t="n">
        <v>905.63</v>
      </c>
      <c r="X383" s="7" t="n">
        <v>905.63</v>
      </c>
      <c r="Y383" s="7" t="n">
        <v>905.63</v>
      </c>
      <c r="Z383" s="7" t="n">
        <v>350</v>
      </c>
      <c r="AA383" s="7" t="n">
        <v>250</v>
      </c>
      <c r="AB383" s="7" t="n">
        <v>600</v>
      </c>
    </row>
    <row r="384" customFormat="false" ht="15" hidden="false" customHeight="false" outlineLevel="0" collapsed="false">
      <c r="A384" s="8" t="s">
        <v>1225</v>
      </c>
      <c r="B384" s="8" t="s">
        <v>1226</v>
      </c>
      <c r="C384" s="8" t="s">
        <v>186</v>
      </c>
      <c r="D384" s="8" t="s">
        <v>187</v>
      </c>
      <c r="E384" s="8" t="n">
        <v>1984</v>
      </c>
      <c r="F384" s="8" t="s">
        <v>53</v>
      </c>
      <c r="G384" s="8" t="s">
        <v>54</v>
      </c>
      <c r="H384" s="8" t="s">
        <v>1227</v>
      </c>
      <c r="I384" s="8" t="s">
        <v>47</v>
      </c>
      <c r="J384" s="9" t="n">
        <v>895000</v>
      </c>
      <c r="K384" s="8" t="s">
        <v>250</v>
      </c>
      <c r="L384" s="9" t="n">
        <v>13421.98</v>
      </c>
      <c r="M384" s="9" t="n">
        <v>1677.75</v>
      </c>
      <c r="N384" s="9" t="n">
        <v>1677.75</v>
      </c>
      <c r="O384" s="9" t="n">
        <v>10066.5</v>
      </c>
      <c r="P384" s="9" t="n">
        <v>1006.65</v>
      </c>
      <c r="Q384" s="9" t="n">
        <v>1006.65</v>
      </c>
      <c r="R384" s="9" t="n">
        <v>1006.65</v>
      </c>
      <c r="S384" s="9" t="n">
        <v>1006.65</v>
      </c>
      <c r="T384" s="9" t="n">
        <v>1006.65</v>
      </c>
      <c r="U384" s="9" t="n">
        <v>1006.65</v>
      </c>
      <c r="V384" s="9" t="n">
        <v>1006.65</v>
      </c>
      <c r="W384" s="9" t="n">
        <v>1006.65</v>
      </c>
      <c r="X384" s="9" t="n">
        <v>1006.65</v>
      </c>
      <c r="Y384" s="9" t="n">
        <v>1006.65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1228</v>
      </c>
      <c r="B385" s="3" t="s">
        <v>99</v>
      </c>
      <c r="C385" s="3" t="s">
        <v>120</v>
      </c>
      <c r="D385" s="3" t="s">
        <v>121</v>
      </c>
      <c r="E385" s="3" t="n">
        <v>1963</v>
      </c>
      <c r="F385" s="3" t="s">
        <v>53</v>
      </c>
      <c r="G385" s="3" t="s">
        <v>54</v>
      </c>
      <c r="H385" s="3" t="s">
        <v>1229</v>
      </c>
      <c r="I385" s="3" t="s">
        <v>47</v>
      </c>
      <c r="J385" s="7" t="n">
        <v>175000</v>
      </c>
      <c r="K385" s="3" t="s">
        <v>63</v>
      </c>
      <c r="L385" s="7" t="n">
        <v>4328.99</v>
      </c>
      <c r="M385" s="7" t="n">
        <v>541.12</v>
      </c>
      <c r="N385" s="7" t="n">
        <v>541.12</v>
      </c>
      <c r="O385" s="7" t="n">
        <v>3246.7</v>
      </c>
      <c r="P385" s="7" t="n">
        <v>324.67</v>
      </c>
      <c r="Q385" s="7" t="n">
        <v>324.67</v>
      </c>
      <c r="R385" s="7" t="n">
        <v>324.67</v>
      </c>
      <c r="S385" s="7" t="n">
        <v>324.67</v>
      </c>
      <c r="T385" s="7" t="n">
        <v>324.67</v>
      </c>
      <c r="U385" s="7" t="n">
        <v>324.67</v>
      </c>
      <c r="V385" s="7" t="n">
        <v>324.67</v>
      </c>
      <c r="W385" s="7" t="n">
        <v>324.67</v>
      </c>
      <c r="X385" s="7" t="n">
        <v>324.67</v>
      </c>
      <c r="Y385" s="7" t="n">
        <v>324.67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1230</v>
      </c>
      <c r="B386" s="8" t="s">
        <v>552</v>
      </c>
      <c r="C386" s="8" t="s">
        <v>179</v>
      </c>
      <c r="D386" s="8" t="s">
        <v>180</v>
      </c>
      <c r="E386" s="8" t="n">
        <v>2006</v>
      </c>
      <c r="F386" s="8" t="s">
        <v>122</v>
      </c>
      <c r="G386" s="8" t="s">
        <v>123</v>
      </c>
      <c r="H386" s="8" t="s">
        <v>1231</v>
      </c>
      <c r="I386" s="8" t="s">
        <v>47</v>
      </c>
      <c r="J386" s="9" t="n">
        <v>1635000</v>
      </c>
      <c r="K386" s="8" t="s">
        <v>63</v>
      </c>
      <c r="L386" s="9" t="n">
        <v>24179.14</v>
      </c>
      <c r="M386" s="9" t="n">
        <v>3022.39</v>
      </c>
      <c r="N386" s="9" t="n">
        <v>3022.39</v>
      </c>
      <c r="O386" s="9" t="n">
        <v>18134.4</v>
      </c>
      <c r="P386" s="9" t="n">
        <v>1813.44</v>
      </c>
      <c r="Q386" s="9" t="n">
        <v>1813.44</v>
      </c>
      <c r="R386" s="9" t="n">
        <v>1813.44</v>
      </c>
      <c r="S386" s="9" t="n">
        <v>1813.44</v>
      </c>
      <c r="T386" s="9" t="n">
        <v>1813.44</v>
      </c>
      <c r="U386" s="9" t="n">
        <v>1813.44</v>
      </c>
      <c r="V386" s="9" t="n">
        <v>1813.44</v>
      </c>
      <c r="W386" s="9" t="n">
        <v>1813.44</v>
      </c>
      <c r="X386" s="9" t="n">
        <v>1813.44</v>
      </c>
      <c r="Y386" s="9" t="n">
        <v>1813.44</v>
      </c>
      <c r="Z386" s="9" t="n">
        <v>350</v>
      </c>
      <c r="AA386" s="9" t="n">
        <v>250</v>
      </c>
      <c r="AB386" s="9" t="n">
        <v>600</v>
      </c>
    </row>
    <row r="387" customFormat="false" ht="15" hidden="false" customHeight="false" outlineLevel="0" collapsed="false">
      <c r="A387" s="3" t="s">
        <v>1232</v>
      </c>
      <c r="B387" s="3" t="s">
        <v>512</v>
      </c>
      <c r="C387" s="3" t="s">
        <v>179</v>
      </c>
      <c r="D387" s="3" t="s">
        <v>180</v>
      </c>
      <c r="E387" s="3" t="n">
        <v>1991</v>
      </c>
      <c r="F387" s="3" t="s">
        <v>86</v>
      </c>
      <c r="G387" s="3" t="s">
        <v>136</v>
      </c>
      <c r="H387" s="3" t="s">
        <v>1233</v>
      </c>
      <c r="I387" s="3" t="s">
        <v>89</v>
      </c>
      <c r="J387" s="7" t="n">
        <v>430000</v>
      </c>
      <c r="K387" s="3" t="s">
        <v>234</v>
      </c>
      <c r="L387" s="7" t="n">
        <v>7806.14</v>
      </c>
      <c r="M387" s="7" t="n">
        <v>975.77</v>
      </c>
      <c r="N387" s="7" t="n">
        <v>975.77</v>
      </c>
      <c r="O387" s="7" t="n">
        <v>5854.6</v>
      </c>
      <c r="P387" s="7" t="n">
        <v>585.46</v>
      </c>
      <c r="Q387" s="7" t="n">
        <v>585.46</v>
      </c>
      <c r="R387" s="7" t="n">
        <v>585.46</v>
      </c>
      <c r="S387" s="7" t="n">
        <v>585.46</v>
      </c>
      <c r="T387" s="7" t="n">
        <v>585.46</v>
      </c>
      <c r="U387" s="7" t="n">
        <v>585.46</v>
      </c>
      <c r="V387" s="7" t="n">
        <v>585.46</v>
      </c>
      <c r="W387" s="7" t="n">
        <v>585.46</v>
      </c>
      <c r="X387" s="7" t="n">
        <v>585.46</v>
      </c>
      <c r="Y387" s="7" t="n">
        <v>585.46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1234</v>
      </c>
      <c r="B388" s="8" t="s">
        <v>410</v>
      </c>
      <c r="C388" s="8" t="s">
        <v>229</v>
      </c>
      <c r="D388" s="8" t="s">
        <v>230</v>
      </c>
      <c r="E388" s="8" t="n">
        <v>1965</v>
      </c>
      <c r="F388" s="8" t="s">
        <v>231</v>
      </c>
      <c r="G388" s="8" t="s">
        <v>232</v>
      </c>
      <c r="H388" s="8" t="s">
        <v>1235</v>
      </c>
      <c r="I388" s="8" t="s">
        <v>89</v>
      </c>
      <c r="J388" s="9" t="n">
        <v>1205000</v>
      </c>
      <c r="K388" s="8" t="s">
        <v>453</v>
      </c>
      <c r="L388" s="9" t="n">
        <v>17057.12</v>
      </c>
      <c r="M388" s="9" t="n">
        <v>2132.14</v>
      </c>
      <c r="N388" s="9" t="n">
        <v>2132.14</v>
      </c>
      <c r="O388" s="9" t="n">
        <v>12792.8</v>
      </c>
      <c r="P388" s="9" t="n">
        <v>1279.28</v>
      </c>
      <c r="Q388" s="9" t="n">
        <v>1279.28</v>
      </c>
      <c r="R388" s="9" t="n">
        <v>1279.28</v>
      </c>
      <c r="S388" s="9" t="n">
        <v>1279.28</v>
      </c>
      <c r="T388" s="9" t="n">
        <v>1279.28</v>
      </c>
      <c r="U388" s="9" t="n">
        <v>1279.28</v>
      </c>
      <c r="V388" s="9" t="n">
        <v>1279.28</v>
      </c>
      <c r="W388" s="9" t="n">
        <v>1279.28</v>
      </c>
      <c r="X388" s="9" t="n">
        <v>1279.28</v>
      </c>
      <c r="Y388" s="9" t="n">
        <v>1279.28</v>
      </c>
      <c r="Z388" s="9" t="n">
        <v>350</v>
      </c>
      <c r="AA388" s="9" t="n">
        <v>250</v>
      </c>
      <c r="AB388" s="9" t="n">
        <v>600</v>
      </c>
    </row>
    <row r="389" customFormat="false" ht="15" hidden="false" customHeight="false" outlineLevel="0" collapsed="false">
      <c r="A389" s="3" t="s">
        <v>1236</v>
      </c>
      <c r="B389" s="3" t="s">
        <v>624</v>
      </c>
      <c r="C389" s="3" t="s">
        <v>78</v>
      </c>
      <c r="D389" s="3" t="s">
        <v>79</v>
      </c>
      <c r="E389" s="3" t="n">
        <v>2009</v>
      </c>
      <c r="F389" s="3" t="s">
        <v>68</v>
      </c>
      <c r="G389" s="3" t="s">
        <v>69</v>
      </c>
      <c r="H389" s="3" t="s">
        <v>1237</v>
      </c>
      <c r="I389" s="3" t="s">
        <v>47</v>
      </c>
      <c r="J389" s="7" t="n">
        <v>875000</v>
      </c>
      <c r="K389" s="3" t="s">
        <v>193</v>
      </c>
      <c r="L389" s="7" t="n">
        <v>13615.36</v>
      </c>
      <c r="M389" s="7" t="n">
        <v>1701.92</v>
      </c>
      <c r="N389" s="7" t="n">
        <v>1701.92</v>
      </c>
      <c r="O389" s="7" t="n">
        <v>10211.5</v>
      </c>
      <c r="P389" s="7" t="n">
        <v>1021.15</v>
      </c>
      <c r="Q389" s="7" t="n">
        <v>1021.15</v>
      </c>
      <c r="R389" s="7" t="n">
        <v>1021.15</v>
      </c>
      <c r="S389" s="7" t="n">
        <v>1021.15</v>
      </c>
      <c r="T389" s="7" t="n">
        <v>1021.15</v>
      </c>
      <c r="U389" s="7" t="n">
        <v>1021.15</v>
      </c>
      <c r="V389" s="7" t="n">
        <v>1021.15</v>
      </c>
      <c r="W389" s="7" t="n">
        <v>1021.15</v>
      </c>
      <c r="X389" s="7" t="n">
        <v>1021.15</v>
      </c>
      <c r="Y389" s="7" t="n">
        <v>1021.15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1238</v>
      </c>
      <c r="B390" s="8" t="s">
        <v>858</v>
      </c>
      <c r="C390" s="8" t="s">
        <v>337</v>
      </c>
      <c r="D390" s="8" t="s">
        <v>338</v>
      </c>
      <c r="E390" s="8" t="n">
        <v>1988</v>
      </c>
      <c r="F390" s="8" t="s">
        <v>114</v>
      </c>
      <c r="G390" s="8" t="s">
        <v>115</v>
      </c>
      <c r="H390" s="8" t="s">
        <v>1239</v>
      </c>
      <c r="I390" s="8" t="s">
        <v>47</v>
      </c>
      <c r="J390" s="9" t="n">
        <v>620000</v>
      </c>
      <c r="K390" s="8" t="s">
        <v>373</v>
      </c>
      <c r="L390" s="9" t="n">
        <v>8389.09</v>
      </c>
      <c r="M390" s="9" t="n">
        <v>1048.64</v>
      </c>
      <c r="N390" s="9" t="n">
        <v>1048.64</v>
      </c>
      <c r="O390" s="9" t="n">
        <v>6291.8</v>
      </c>
      <c r="P390" s="9" t="n">
        <v>629.18</v>
      </c>
      <c r="Q390" s="9" t="n">
        <v>629.18</v>
      </c>
      <c r="R390" s="9" t="n">
        <v>629.18</v>
      </c>
      <c r="S390" s="9" t="n">
        <v>629.18</v>
      </c>
      <c r="T390" s="9" t="n">
        <v>629.18</v>
      </c>
      <c r="U390" s="9" t="n">
        <v>629.18</v>
      </c>
      <c r="V390" s="9" t="n">
        <v>629.18</v>
      </c>
      <c r="W390" s="9" t="n">
        <v>629.18</v>
      </c>
      <c r="X390" s="9" t="n">
        <v>629.18</v>
      </c>
      <c r="Y390" s="9" t="n">
        <v>629.18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1240</v>
      </c>
      <c r="B391" s="3" t="s">
        <v>653</v>
      </c>
      <c r="C391" s="3" t="s">
        <v>78</v>
      </c>
      <c r="D391" s="3" t="s">
        <v>79</v>
      </c>
      <c r="E391" s="3" t="n">
        <v>1995</v>
      </c>
      <c r="F391" s="3" t="s">
        <v>478</v>
      </c>
      <c r="G391" s="3" t="s">
        <v>479</v>
      </c>
      <c r="H391" s="3" t="s">
        <v>1241</v>
      </c>
      <c r="I391" s="3" t="s">
        <v>103</v>
      </c>
      <c r="J391" s="7" t="n">
        <v>1120000</v>
      </c>
      <c r="K391" s="3" t="s">
        <v>189</v>
      </c>
      <c r="L391" s="7" t="n">
        <v>15986.04</v>
      </c>
      <c r="M391" s="7" t="n">
        <v>1998.26</v>
      </c>
      <c r="N391" s="7" t="n">
        <v>1998.26</v>
      </c>
      <c r="O391" s="7" t="n">
        <v>11989.5</v>
      </c>
      <c r="P391" s="7" t="n">
        <v>1198.95</v>
      </c>
      <c r="Q391" s="7" t="n">
        <v>1198.95</v>
      </c>
      <c r="R391" s="7" t="n">
        <v>1198.95</v>
      </c>
      <c r="S391" s="7" t="n">
        <v>1198.95</v>
      </c>
      <c r="T391" s="7" t="n">
        <v>1198.95</v>
      </c>
      <c r="U391" s="7" t="n">
        <v>1198.95</v>
      </c>
      <c r="V391" s="7" t="n">
        <v>1198.95</v>
      </c>
      <c r="W391" s="7" t="n">
        <v>1198.95</v>
      </c>
      <c r="X391" s="7" t="n">
        <v>1198.95</v>
      </c>
      <c r="Y391" s="7" t="n">
        <v>1198.95</v>
      </c>
      <c r="Z391" s="7" t="n">
        <v>350</v>
      </c>
      <c r="AA391" s="7" t="n">
        <v>250</v>
      </c>
      <c r="AB391" s="7" t="n">
        <v>600</v>
      </c>
    </row>
    <row r="392" customFormat="false" ht="15" hidden="false" customHeight="false" outlineLevel="0" collapsed="false">
      <c r="A392" s="8" t="s">
        <v>1242</v>
      </c>
      <c r="B392" s="8" t="s">
        <v>1243</v>
      </c>
      <c r="C392" s="8" t="s">
        <v>179</v>
      </c>
      <c r="D392" s="8" t="s">
        <v>180</v>
      </c>
      <c r="E392" s="8" t="n">
        <v>1976</v>
      </c>
      <c r="F392" s="8" t="s">
        <v>44</v>
      </c>
      <c r="G392" s="8" t="s">
        <v>45</v>
      </c>
      <c r="H392" s="8" t="s">
        <v>1244</v>
      </c>
      <c r="I392" s="8" t="s">
        <v>47</v>
      </c>
      <c r="J392" s="9" t="n">
        <v>1345000</v>
      </c>
      <c r="K392" s="8" t="s">
        <v>453</v>
      </c>
      <c r="L392" s="9" t="n">
        <v>13089.22</v>
      </c>
      <c r="M392" s="9" t="n">
        <v>1636.15</v>
      </c>
      <c r="N392" s="9" t="n">
        <v>1636.15</v>
      </c>
      <c r="O392" s="9" t="n">
        <v>9816.9</v>
      </c>
      <c r="P392" s="9" t="n">
        <v>981.69</v>
      </c>
      <c r="Q392" s="9" t="n">
        <v>981.69</v>
      </c>
      <c r="R392" s="9" t="n">
        <v>981.69</v>
      </c>
      <c r="S392" s="9" t="n">
        <v>981.69</v>
      </c>
      <c r="T392" s="9" t="n">
        <v>981.69</v>
      </c>
      <c r="U392" s="9" t="n">
        <v>981.69</v>
      </c>
      <c r="V392" s="9" t="n">
        <v>981.69</v>
      </c>
      <c r="W392" s="9" t="n">
        <v>981.69</v>
      </c>
      <c r="X392" s="9" t="n">
        <v>981.69</v>
      </c>
      <c r="Y392" s="9" t="n">
        <v>981.69</v>
      </c>
      <c r="Z392" s="9" t="n">
        <v>350</v>
      </c>
      <c r="AA392" s="9" t="n">
        <v>250</v>
      </c>
      <c r="AB392" s="9" t="n">
        <v>600</v>
      </c>
    </row>
    <row r="393" customFormat="false" ht="15" hidden="false" customHeight="false" outlineLevel="0" collapsed="false">
      <c r="A393" s="3" t="s">
        <v>1245</v>
      </c>
      <c r="B393" s="3" t="s">
        <v>870</v>
      </c>
      <c r="C393" s="3" t="s">
        <v>206</v>
      </c>
      <c r="D393" s="3" t="s">
        <v>207</v>
      </c>
      <c r="E393" s="3" t="n">
        <v>1960</v>
      </c>
      <c r="F393" s="3" t="s">
        <v>60</v>
      </c>
      <c r="G393" s="3" t="s">
        <v>143</v>
      </c>
      <c r="H393" s="3" t="s">
        <v>1246</v>
      </c>
      <c r="I393" s="3" t="s">
        <v>145</v>
      </c>
      <c r="J393" s="7" t="n">
        <v>645000</v>
      </c>
      <c r="K393" s="3" t="s">
        <v>176</v>
      </c>
      <c r="L393" s="7" t="n">
        <v>5357.26</v>
      </c>
      <c r="M393" s="7" t="n">
        <v>669.66</v>
      </c>
      <c r="N393" s="7" t="n">
        <v>669.66</v>
      </c>
      <c r="O393" s="7" t="n">
        <v>4017.9</v>
      </c>
      <c r="P393" s="7" t="n">
        <v>401.79</v>
      </c>
      <c r="Q393" s="7" t="n">
        <v>401.79</v>
      </c>
      <c r="R393" s="7" t="n">
        <v>401.79</v>
      </c>
      <c r="S393" s="7" t="n">
        <v>401.79</v>
      </c>
      <c r="T393" s="7" t="n">
        <v>401.79</v>
      </c>
      <c r="U393" s="7" t="n">
        <v>401.79</v>
      </c>
      <c r="V393" s="7" t="n">
        <v>401.79</v>
      </c>
      <c r="W393" s="7" t="n">
        <v>401.79</v>
      </c>
      <c r="X393" s="7" t="n">
        <v>401.79</v>
      </c>
      <c r="Y393" s="7" t="n">
        <v>401.79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1247</v>
      </c>
      <c r="B394" s="8" t="s">
        <v>630</v>
      </c>
      <c r="C394" s="8" t="s">
        <v>84</v>
      </c>
      <c r="D394" s="8" t="s">
        <v>85</v>
      </c>
      <c r="E394" s="8" t="n">
        <v>1961</v>
      </c>
      <c r="F394" s="8" t="s">
        <v>122</v>
      </c>
      <c r="G394" s="8" t="s">
        <v>130</v>
      </c>
      <c r="H394" s="8" t="s">
        <v>1248</v>
      </c>
      <c r="I394" s="8" t="s">
        <v>96</v>
      </c>
      <c r="J394" s="9" t="n">
        <v>665000</v>
      </c>
      <c r="K394" s="8" t="s">
        <v>234</v>
      </c>
      <c r="L394" s="9" t="n">
        <v>4513.99</v>
      </c>
      <c r="M394" s="9" t="n">
        <v>564.25</v>
      </c>
      <c r="N394" s="9" t="n">
        <v>564.25</v>
      </c>
      <c r="O394" s="9" t="n">
        <v>3385.5</v>
      </c>
      <c r="P394" s="9" t="n">
        <v>338.55</v>
      </c>
      <c r="Q394" s="9" t="n">
        <v>338.55</v>
      </c>
      <c r="R394" s="9" t="n">
        <v>338.55</v>
      </c>
      <c r="S394" s="9" t="n">
        <v>338.55</v>
      </c>
      <c r="T394" s="9" t="n">
        <v>338.55</v>
      </c>
      <c r="U394" s="9" t="n">
        <v>338.55</v>
      </c>
      <c r="V394" s="9" t="n">
        <v>338.55</v>
      </c>
      <c r="W394" s="9" t="n">
        <v>338.55</v>
      </c>
      <c r="X394" s="9" t="n">
        <v>338.55</v>
      </c>
      <c r="Y394" s="9" t="n">
        <v>338.55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1249</v>
      </c>
      <c r="B395" s="3" t="s">
        <v>1250</v>
      </c>
      <c r="C395" s="3" t="s">
        <v>152</v>
      </c>
      <c r="D395" s="3" t="s">
        <v>153</v>
      </c>
      <c r="E395" s="3" t="n">
        <v>2012</v>
      </c>
      <c r="F395" s="3" t="s">
        <v>60</v>
      </c>
      <c r="G395" s="3" t="s">
        <v>61</v>
      </c>
      <c r="H395" s="3" t="s">
        <v>1251</v>
      </c>
      <c r="I395" s="3" t="s">
        <v>47</v>
      </c>
      <c r="J395" s="7" t="n">
        <v>300000</v>
      </c>
      <c r="K395" s="3" t="s">
        <v>81</v>
      </c>
      <c r="L395" s="7" t="n">
        <v>4956.95</v>
      </c>
      <c r="M395" s="7" t="n">
        <v>619.62</v>
      </c>
      <c r="N395" s="7" t="n">
        <v>619.62</v>
      </c>
      <c r="O395" s="7" t="n">
        <v>3717.7</v>
      </c>
      <c r="P395" s="7" t="n">
        <v>371.77</v>
      </c>
      <c r="Q395" s="7" t="n">
        <v>371.77</v>
      </c>
      <c r="R395" s="7" t="n">
        <v>371.77</v>
      </c>
      <c r="S395" s="7" t="n">
        <v>371.77</v>
      </c>
      <c r="T395" s="7" t="n">
        <v>371.77</v>
      </c>
      <c r="U395" s="7" t="n">
        <v>371.77</v>
      </c>
      <c r="V395" s="7" t="n">
        <v>371.77</v>
      </c>
      <c r="W395" s="7" t="n">
        <v>371.77</v>
      </c>
      <c r="X395" s="7" t="n">
        <v>371.77</v>
      </c>
      <c r="Y395" s="7" t="n">
        <v>371.77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1252</v>
      </c>
      <c r="B396" s="8" t="s">
        <v>727</v>
      </c>
      <c r="C396" s="8" t="s">
        <v>51</v>
      </c>
      <c r="D396" s="8" t="s">
        <v>52</v>
      </c>
      <c r="E396" s="8" t="n">
        <v>1958</v>
      </c>
      <c r="F396" s="8" t="s">
        <v>53</v>
      </c>
      <c r="G396" s="8" t="s">
        <v>54</v>
      </c>
      <c r="H396" s="8" t="s">
        <v>1253</v>
      </c>
      <c r="I396" s="8" t="s">
        <v>47</v>
      </c>
      <c r="J396" s="9" t="n">
        <v>385000</v>
      </c>
      <c r="K396" s="8" t="s">
        <v>420</v>
      </c>
      <c r="L396" s="9" t="n">
        <v>6261.24</v>
      </c>
      <c r="M396" s="9" t="n">
        <v>782.65</v>
      </c>
      <c r="N396" s="9" t="n">
        <v>782.65</v>
      </c>
      <c r="O396" s="9" t="n">
        <v>4695.9</v>
      </c>
      <c r="P396" s="9" t="n">
        <v>469.59</v>
      </c>
      <c r="Q396" s="9" t="n">
        <v>469.59</v>
      </c>
      <c r="R396" s="9" t="n">
        <v>469.59</v>
      </c>
      <c r="S396" s="9" t="n">
        <v>469.59</v>
      </c>
      <c r="T396" s="9" t="n">
        <v>469.59</v>
      </c>
      <c r="U396" s="9" t="n">
        <v>469.59</v>
      </c>
      <c r="V396" s="9" t="n">
        <v>469.59</v>
      </c>
      <c r="W396" s="9" t="n">
        <v>469.59</v>
      </c>
      <c r="X396" s="9" t="n">
        <v>469.59</v>
      </c>
      <c r="Y396" s="9" t="n">
        <v>469.59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1254</v>
      </c>
      <c r="B397" s="3" t="s">
        <v>957</v>
      </c>
      <c r="C397" s="3" t="s">
        <v>354</v>
      </c>
      <c r="D397" s="3" t="s">
        <v>355</v>
      </c>
      <c r="E397" s="3" t="n">
        <v>2004</v>
      </c>
      <c r="F397" s="3" t="s">
        <v>114</v>
      </c>
      <c r="G397" s="3" t="s">
        <v>115</v>
      </c>
      <c r="H397" s="3" t="s">
        <v>1255</v>
      </c>
      <c r="I397" s="3" t="s">
        <v>47</v>
      </c>
      <c r="J397" s="7" t="n">
        <v>205000</v>
      </c>
      <c r="K397" s="3" t="s">
        <v>138</v>
      </c>
      <c r="L397" s="7" t="n">
        <v>4547.63</v>
      </c>
      <c r="M397" s="7" t="n">
        <v>568.45</v>
      </c>
      <c r="N397" s="7" t="n">
        <v>568.45</v>
      </c>
      <c r="O397" s="7" t="n">
        <v>3410.7</v>
      </c>
      <c r="P397" s="7" t="n">
        <v>341.07</v>
      </c>
      <c r="Q397" s="7" t="n">
        <v>341.07</v>
      </c>
      <c r="R397" s="7" t="n">
        <v>341.07</v>
      </c>
      <c r="S397" s="7" t="n">
        <v>341.07</v>
      </c>
      <c r="T397" s="7" t="n">
        <v>341.07</v>
      </c>
      <c r="U397" s="7" t="n">
        <v>341.07</v>
      </c>
      <c r="V397" s="7" t="n">
        <v>341.07</v>
      </c>
      <c r="W397" s="7" t="n">
        <v>341.07</v>
      </c>
      <c r="X397" s="7" t="n">
        <v>341.07</v>
      </c>
      <c r="Y397" s="7" t="n">
        <v>341.07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1256</v>
      </c>
      <c r="B398" s="8" t="s">
        <v>314</v>
      </c>
      <c r="C398" s="8" t="s">
        <v>58</v>
      </c>
      <c r="D398" s="8" t="s">
        <v>59</v>
      </c>
      <c r="E398" s="8" t="n">
        <v>1958</v>
      </c>
      <c r="F398" s="8" t="s">
        <v>86</v>
      </c>
      <c r="G398" s="8" t="s">
        <v>136</v>
      </c>
      <c r="H398" s="8" t="s">
        <v>1257</v>
      </c>
      <c r="I398" s="8" t="s">
        <v>89</v>
      </c>
      <c r="J398" s="9" t="n">
        <v>640000</v>
      </c>
      <c r="K398" s="8" t="s">
        <v>63</v>
      </c>
      <c r="L398" s="9" t="n">
        <v>16347.97</v>
      </c>
      <c r="M398" s="9" t="n">
        <v>2043.5</v>
      </c>
      <c r="N398" s="9" t="n">
        <v>2043.5</v>
      </c>
      <c r="O398" s="9" t="n">
        <v>12261</v>
      </c>
      <c r="P398" s="9" t="n">
        <v>1226.1</v>
      </c>
      <c r="Q398" s="9" t="n">
        <v>1226.1</v>
      </c>
      <c r="R398" s="9" t="n">
        <v>1226.1</v>
      </c>
      <c r="S398" s="9" t="n">
        <v>1226.1</v>
      </c>
      <c r="T398" s="9" t="n">
        <v>1226.1</v>
      </c>
      <c r="U398" s="9" t="n">
        <v>1226.1</v>
      </c>
      <c r="V398" s="9" t="n">
        <v>1226.1</v>
      </c>
      <c r="W398" s="9" t="n">
        <v>1226.1</v>
      </c>
      <c r="X398" s="9" t="n">
        <v>1226.1</v>
      </c>
      <c r="Y398" s="9" t="n">
        <v>1226.1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1258</v>
      </c>
      <c r="B399" s="3" t="s">
        <v>1259</v>
      </c>
      <c r="C399" s="3" t="s">
        <v>141</v>
      </c>
      <c r="D399" s="3" t="s">
        <v>142</v>
      </c>
      <c r="E399" s="3" t="n">
        <v>1985</v>
      </c>
      <c r="F399" s="3" t="s">
        <v>122</v>
      </c>
      <c r="G399" s="3" t="s">
        <v>130</v>
      </c>
      <c r="H399" s="3" t="s">
        <v>1260</v>
      </c>
      <c r="I399" s="3" t="s">
        <v>96</v>
      </c>
      <c r="J399" s="7" t="n">
        <v>215000</v>
      </c>
      <c r="K399" s="3" t="s">
        <v>125</v>
      </c>
      <c r="L399" s="7" t="n">
        <v>3018.78</v>
      </c>
      <c r="M399" s="7" t="n">
        <v>377.35</v>
      </c>
      <c r="N399" s="7" t="n">
        <v>377.35</v>
      </c>
      <c r="O399" s="7" t="n">
        <v>2264.1</v>
      </c>
      <c r="P399" s="7" t="n">
        <v>226.41</v>
      </c>
      <c r="Q399" s="7" t="n">
        <v>226.41</v>
      </c>
      <c r="R399" s="7" t="n">
        <v>226.41</v>
      </c>
      <c r="S399" s="7" t="n">
        <v>226.41</v>
      </c>
      <c r="T399" s="7" t="n">
        <v>226.41</v>
      </c>
      <c r="U399" s="7" t="n">
        <v>226.41</v>
      </c>
      <c r="V399" s="7" t="n">
        <v>226.41</v>
      </c>
      <c r="W399" s="7" t="n">
        <v>226.41</v>
      </c>
      <c r="X399" s="7" t="n">
        <v>226.41</v>
      </c>
      <c r="Y399" s="7" t="n">
        <v>226.41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1261</v>
      </c>
      <c r="B400" s="8" t="s">
        <v>529</v>
      </c>
      <c r="C400" s="8" t="s">
        <v>106</v>
      </c>
      <c r="D400" s="8" t="s">
        <v>107</v>
      </c>
      <c r="E400" s="8" t="n">
        <v>2004</v>
      </c>
      <c r="F400" s="8" t="s">
        <v>496</v>
      </c>
      <c r="G400" s="8" t="s">
        <v>497</v>
      </c>
      <c r="H400" s="8" t="s">
        <v>1262</v>
      </c>
      <c r="I400" s="8" t="s">
        <v>145</v>
      </c>
      <c r="J400" s="9" t="n">
        <v>1010000</v>
      </c>
      <c r="K400" s="8" t="s">
        <v>234</v>
      </c>
      <c r="L400" s="9" t="n">
        <v>5420.88</v>
      </c>
      <c r="M400" s="9" t="n">
        <v>677.61</v>
      </c>
      <c r="N400" s="9" t="n">
        <v>677.61</v>
      </c>
      <c r="O400" s="9" t="n">
        <v>4065.7</v>
      </c>
      <c r="P400" s="9" t="n">
        <v>406.57</v>
      </c>
      <c r="Q400" s="9" t="n">
        <v>406.57</v>
      </c>
      <c r="R400" s="9" t="n">
        <v>406.57</v>
      </c>
      <c r="S400" s="9" t="n">
        <v>406.57</v>
      </c>
      <c r="T400" s="9" t="n">
        <v>406.57</v>
      </c>
      <c r="U400" s="9" t="n">
        <v>406.57</v>
      </c>
      <c r="V400" s="9" t="n">
        <v>406.57</v>
      </c>
      <c r="W400" s="9" t="n">
        <v>406.57</v>
      </c>
      <c r="X400" s="9" t="n">
        <v>406.57</v>
      </c>
      <c r="Y400" s="9" t="n">
        <v>406.57</v>
      </c>
      <c r="Z400" s="9" t="n">
        <v>350</v>
      </c>
      <c r="AA400" s="9" t="n">
        <v>250</v>
      </c>
      <c r="AB400" s="9" t="n">
        <v>600</v>
      </c>
    </row>
    <row r="401" customFormat="false" ht="15" hidden="false" customHeight="false" outlineLevel="0" collapsed="false">
      <c r="A401" s="3" t="s">
        <v>1263</v>
      </c>
      <c r="B401" s="3" t="s">
        <v>1264</v>
      </c>
      <c r="C401" s="3" t="s">
        <v>58</v>
      </c>
      <c r="D401" s="3" t="s">
        <v>59</v>
      </c>
      <c r="E401" s="3" t="n">
        <v>1962</v>
      </c>
      <c r="F401" s="3" t="s">
        <v>100</v>
      </c>
      <c r="G401" s="3" t="s">
        <v>101</v>
      </c>
      <c r="H401" s="3" t="s">
        <v>1265</v>
      </c>
      <c r="I401" s="3" t="s">
        <v>103</v>
      </c>
      <c r="J401" s="7" t="n">
        <v>1045000</v>
      </c>
      <c r="K401" s="3" t="s">
        <v>250</v>
      </c>
      <c r="L401" s="7" t="n">
        <v>16394.78</v>
      </c>
      <c r="M401" s="7" t="n">
        <v>2049.35</v>
      </c>
      <c r="N401" s="7" t="n">
        <v>2049.35</v>
      </c>
      <c r="O401" s="7" t="n">
        <v>12296.1</v>
      </c>
      <c r="P401" s="7" t="n">
        <v>1229.61</v>
      </c>
      <c r="Q401" s="7" t="n">
        <v>1229.61</v>
      </c>
      <c r="R401" s="7" t="n">
        <v>1229.61</v>
      </c>
      <c r="S401" s="7" t="n">
        <v>1229.61</v>
      </c>
      <c r="T401" s="7" t="n">
        <v>1229.61</v>
      </c>
      <c r="U401" s="7" t="n">
        <v>1229.61</v>
      </c>
      <c r="V401" s="7" t="n">
        <v>1229.61</v>
      </c>
      <c r="W401" s="7" t="n">
        <v>1229.61</v>
      </c>
      <c r="X401" s="7" t="n">
        <v>1229.61</v>
      </c>
      <c r="Y401" s="7" t="n">
        <v>1229.61</v>
      </c>
      <c r="Z401" s="7" t="n">
        <v>350</v>
      </c>
      <c r="AA401" s="7" t="n">
        <v>250</v>
      </c>
      <c r="AB401" s="7" t="n">
        <v>600</v>
      </c>
    </row>
    <row r="402" customFormat="false" ht="15" hidden="false" customHeight="false" outlineLevel="0" collapsed="false">
      <c r="A402" s="8" t="s">
        <v>1266</v>
      </c>
      <c r="B402" s="8" t="s">
        <v>1267</v>
      </c>
      <c r="C402" s="8" t="s">
        <v>229</v>
      </c>
      <c r="D402" s="8" t="s">
        <v>230</v>
      </c>
      <c r="E402" s="8" t="n">
        <v>2006</v>
      </c>
      <c r="F402" s="8" t="s">
        <v>44</v>
      </c>
      <c r="G402" s="8" t="s">
        <v>45</v>
      </c>
      <c r="H402" s="8" t="s">
        <v>1268</v>
      </c>
      <c r="I402" s="8" t="s">
        <v>47</v>
      </c>
      <c r="J402" s="9" t="n">
        <v>860000</v>
      </c>
      <c r="K402" s="8" t="s">
        <v>860</v>
      </c>
      <c r="L402" s="9" t="n">
        <v>10763.75</v>
      </c>
      <c r="M402" s="9" t="n">
        <v>1345.47</v>
      </c>
      <c r="N402" s="9" t="n">
        <v>1345.47</v>
      </c>
      <c r="O402" s="9" t="n">
        <v>8072.8</v>
      </c>
      <c r="P402" s="9" t="n">
        <v>807.28</v>
      </c>
      <c r="Q402" s="9" t="n">
        <v>807.28</v>
      </c>
      <c r="R402" s="9" t="n">
        <v>807.28</v>
      </c>
      <c r="S402" s="9" t="n">
        <v>807.28</v>
      </c>
      <c r="T402" s="9" t="n">
        <v>807.28</v>
      </c>
      <c r="U402" s="9" t="n">
        <v>807.28</v>
      </c>
      <c r="V402" s="9" t="n">
        <v>807.28</v>
      </c>
      <c r="W402" s="9" t="n">
        <v>807.28</v>
      </c>
      <c r="X402" s="9" t="n">
        <v>807.28</v>
      </c>
      <c r="Y402" s="9" t="n">
        <v>807.28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1269</v>
      </c>
      <c r="B403" s="3" t="s">
        <v>774</v>
      </c>
      <c r="C403" s="3" t="s">
        <v>179</v>
      </c>
      <c r="D403" s="3" t="s">
        <v>180</v>
      </c>
      <c r="E403" s="3" t="n">
        <v>2006</v>
      </c>
      <c r="F403" s="3" t="s">
        <v>231</v>
      </c>
      <c r="G403" s="3" t="s">
        <v>232</v>
      </c>
      <c r="H403" s="3" t="s">
        <v>1270</v>
      </c>
      <c r="I403" s="3" t="s">
        <v>89</v>
      </c>
      <c r="J403" s="7" t="n">
        <v>1440000</v>
      </c>
      <c r="K403" s="3" t="s">
        <v>860</v>
      </c>
      <c r="L403" s="7" t="n">
        <v>22182.17</v>
      </c>
      <c r="M403" s="7" t="n">
        <v>2772.77</v>
      </c>
      <c r="N403" s="7" t="n">
        <v>2772.77</v>
      </c>
      <c r="O403" s="7" t="n">
        <v>16636.6</v>
      </c>
      <c r="P403" s="7" t="n">
        <v>1663.66</v>
      </c>
      <c r="Q403" s="7" t="n">
        <v>1663.66</v>
      </c>
      <c r="R403" s="7" t="n">
        <v>1663.66</v>
      </c>
      <c r="S403" s="7" t="n">
        <v>1663.66</v>
      </c>
      <c r="T403" s="7" t="n">
        <v>1663.66</v>
      </c>
      <c r="U403" s="7" t="n">
        <v>1663.66</v>
      </c>
      <c r="V403" s="7" t="n">
        <v>1663.66</v>
      </c>
      <c r="W403" s="7" t="n">
        <v>1663.66</v>
      </c>
      <c r="X403" s="7" t="n">
        <v>1663.66</v>
      </c>
      <c r="Y403" s="7" t="n">
        <v>1663.66</v>
      </c>
      <c r="Z403" s="7" t="n">
        <v>350</v>
      </c>
      <c r="AA403" s="7" t="n">
        <v>250</v>
      </c>
      <c r="AB403" s="7" t="n">
        <v>600</v>
      </c>
    </row>
    <row r="404" customFormat="false" ht="15" hidden="false" customHeight="false" outlineLevel="0" collapsed="false">
      <c r="A404" s="8" t="s">
        <v>1271</v>
      </c>
      <c r="B404" s="8" t="s">
        <v>1101</v>
      </c>
      <c r="C404" s="8" t="s">
        <v>51</v>
      </c>
      <c r="D404" s="8" t="s">
        <v>52</v>
      </c>
      <c r="E404" s="8" t="n">
        <v>2020</v>
      </c>
      <c r="F404" s="8" t="s">
        <v>86</v>
      </c>
      <c r="G404" s="8" t="s">
        <v>87</v>
      </c>
      <c r="H404" s="8" t="s">
        <v>1272</v>
      </c>
      <c r="I404" s="8" t="s">
        <v>89</v>
      </c>
      <c r="J404" s="9" t="n">
        <v>375000</v>
      </c>
      <c r="K404" s="8" t="s">
        <v>90</v>
      </c>
      <c r="L404" s="9" t="n">
        <v>8603.11</v>
      </c>
      <c r="M404" s="9" t="n">
        <v>1075.39</v>
      </c>
      <c r="N404" s="9" t="n">
        <v>1075.39</v>
      </c>
      <c r="O404" s="9" t="n">
        <v>6452.3</v>
      </c>
      <c r="P404" s="9" t="n">
        <v>645.23</v>
      </c>
      <c r="Q404" s="9" t="n">
        <v>645.23</v>
      </c>
      <c r="R404" s="9" t="n">
        <v>645.23</v>
      </c>
      <c r="S404" s="9" t="n">
        <v>645.23</v>
      </c>
      <c r="T404" s="9" t="n">
        <v>645.23</v>
      </c>
      <c r="U404" s="9" t="n">
        <v>645.23</v>
      </c>
      <c r="V404" s="9" t="n">
        <v>645.23</v>
      </c>
      <c r="W404" s="9" t="n">
        <v>645.23</v>
      </c>
      <c r="X404" s="9" t="n">
        <v>645.23</v>
      </c>
      <c r="Y404" s="9" t="n">
        <v>645.23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1273</v>
      </c>
      <c r="B405" s="3" t="s">
        <v>1274</v>
      </c>
      <c r="C405" s="3" t="s">
        <v>274</v>
      </c>
      <c r="D405" s="3" t="s">
        <v>275</v>
      </c>
      <c r="E405" s="3" t="n">
        <v>1971</v>
      </c>
      <c r="F405" s="3" t="s">
        <v>60</v>
      </c>
      <c r="G405" s="3" t="s">
        <v>61</v>
      </c>
      <c r="H405" s="3" t="s">
        <v>1275</v>
      </c>
      <c r="I405" s="3" t="s">
        <v>47</v>
      </c>
      <c r="J405" s="7" t="n">
        <v>505000</v>
      </c>
      <c r="K405" s="3" t="s">
        <v>97</v>
      </c>
      <c r="L405" s="7" t="n">
        <v>7744.12</v>
      </c>
      <c r="M405" s="7" t="n">
        <v>968.01</v>
      </c>
      <c r="N405" s="7" t="n">
        <v>968.01</v>
      </c>
      <c r="O405" s="7" t="n">
        <v>5808.1</v>
      </c>
      <c r="P405" s="7" t="n">
        <v>580.81</v>
      </c>
      <c r="Q405" s="7" t="n">
        <v>580.81</v>
      </c>
      <c r="R405" s="7" t="n">
        <v>580.81</v>
      </c>
      <c r="S405" s="7" t="n">
        <v>580.81</v>
      </c>
      <c r="T405" s="7" t="n">
        <v>580.81</v>
      </c>
      <c r="U405" s="7" t="n">
        <v>580.81</v>
      </c>
      <c r="V405" s="7" t="n">
        <v>580.81</v>
      </c>
      <c r="W405" s="7" t="n">
        <v>580.81</v>
      </c>
      <c r="X405" s="7" t="n">
        <v>580.81</v>
      </c>
      <c r="Y405" s="7" t="n">
        <v>580.81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1276</v>
      </c>
      <c r="B406" s="8" t="s">
        <v>1226</v>
      </c>
      <c r="C406" s="8" t="s">
        <v>42</v>
      </c>
      <c r="D406" s="8" t="s">
        <v>43</v>
      </c>
      <c r="E406" s="8" t="n">
        <v>2024</v>
      </c>
      <c r="F406" s="8" t="s">
        <v>122</v>
      </c>
      <c r="G406" s="8" t="s">
        <v>123</v>
      </c>
      <c r="H406" s="8" t="s">
        <v>1277</v>
      </c>
      <c r="I406" s="8" t="s">
        <v>47</v>
      </c>
      <c r="J406" s="9" t="n">
        <v>445000</v>
      </c>
      <c r="K406" s="8" t="s">
        <v>794</v>
      </c>
      <c r="L406" s="9" t="n">
        <v>6194.89</v>
      </c>
      <c r="M406" s="9" t="n">
        <v>774.36</v>
      </c>
      <c r="N406" s="9" t="n">
        <v>774.36</v>
      </c>
      <c r="O406" s="9" t="n">
        <v>4646.2</v>
      </c>
      <c r="P406" s="9" t="n">
        <v>464.62</v>
      </c>
      <c r="Q406" s="9" t="n">
        <v>464.62</v>
      </c>
      <c r="R406" s="9" t="n">
        <v>464.62</v>
      </c>
      <c r="S406" s="9" t="n">
        <v>464.62</v>
      </c>
      <c r="T406" s="9" t="n">
        <v>464.62</v>
      </c>
      <c r="U406" s="9" t="n">
        <v>464.62</v>
      </c>
      <c r="V406" s="9" t="n">
        <v>464.62</v>
      </c>
      <c r="W406" s="9" t="n">
        <v>464.62</v>
      </c>
      <c r="X406" s="9" t="n">
        <v>464.62</v>
      </c>
      <c r="Y406" s="9" t="n">
        <v>464.62</v>
      </c>
      <c r="Z406" s="9" t="n">
        <v>350</v>
      </c>
      <c r="AA406" s="9" t="n">
        <v>0</v>
      </c>
      <c r="AB406" s="9" t="n">
        <v>350</v>
      </c>
    </row>
    <row r="407" customFormat="false" ht="15" hidden="false" customHeight="false" outlineLevel="0" collapsed="false">
      <c r="A407" s="3" t="s">
        <v>1278</v>
      </c>
      <c r="B407" s="3" t="s">
        <v>301</v>
      </c>
      <c r="C407" s="3" t="s">
        <v>315</v>
      </c>
      <c r="D407" s="3" t="s">
        <v>316</v>
      </c>
      <c r="E407" s="3" t="n">
        <v>2015</v>
      </c>
      <c r="F407" s="3" t="s">
        <v>122</v>
      </c>
      <c r="G407" s="3" t="s">
        <v>123</v>
      </c>
      <c r="H407" s="3" t="s">
        <v>1279</v>
      </c>
      <c r="I407" s="3" t="s">
        <v>47</v>
      </c>
      <c r="J407" s="7" t="n">
        <v>625000</v>
      </c>
      <c r="K407" s="3" t="s">
        <v>420</v>
      </c>
      <c r="L407" s="7" t="n">
        <v>8809.11</v>
      </c>
      <c r="M407" s="7" t="n">
        <v>1101.14</v>
      </c>
      <c r="N407" s="7" t="n">
        <v>1101.14</v>
      </c>
      <c r="O407" s="7" t="n">
        <v>6606.8</v>
      </c>
      <c r="P407" s="7" t="n">
        <v>660.68</v>
      </c>
      <c r="Q407" s="7" t="n">
        <v>660.68</v>
      </c>
      <c r="R407" s="7" t="n">
        <v>660.68</v>
      </c>
      <c r="S407" s="7" t="n">
        <v>660.68</v>
      </c>
      <c r="T407" s="7" t="n">
        <v>660.68</v>
      </c>
      <c r="U407" s="7" t="n">
        <v>660.68</v>
      </c>
      <c r="V407" s="7" t="n">
        <v>660.68</v>
      </c>
      <c r="W407" s="7" t="n">
        <v>660.68</v>
      </c>
      <c r="X407" s="7" t="n">
        <v>660.68</v>
      </c>
      <c r="Y407" s="7" t="n">
        <v>660.68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1280</v>
      </c>
      <c r="B408" s="8" t="s">
        <v>1281</v>
      </c>
      <c r="C408" s="8" t="s">
        <v>58</v>
      </c>
      <c r="D408" s="8" t="s">
        <v>59</v>
      </c>
      <c r="E408" s="8" t="n">
        <v>1961</v>
      </c>
      <c r="F408" s="8" t="s">
        <v>158</v>
      </c>
      <c r="G408" s="8" t="s">
        <v>159</v>
      </c>
      <c r="H408" s="8" t="s">
        <v>1282</v>
      </c>
      <c r="I408" s="8" t="s">
        <v>103</v>
      </c>
      <c r="J408" s="9" t="n">
        <v>1200000</v>
      </c>
      <c r="K408" s="8" t="s">
        <v>71</v>
      </c>
      <c r="L408" s="9" t="n">
        <v>18118.77</v>
      </c>
      <c r="M408" s="9" t="n">
        <v>2264.85</v>
      </c>
      <c r="N408" s="9" t="n">
        <v>2264.85</v>
      </c>
      <c r="O408" s="9" t="n">
        <v>13589.1</v>
      </c>
      <c r="P408" s="9" t="n">
        <v>1358.91</v>
      </c>
      <c r="Q408" s="9" t="n">
        <v>1358.91</v>
      </c>
      <c r="R408" s="9" t="n">
        <v>1358.91</v>
      </c>
      <c r="S408" s="9" t="n">
        <v>1358.91</v>
      </c>
      <c r="T408" s="9" t="n">
        <v>1358.91</v>
      </c>
      <c r="U408" s="9" t="n">
        <v>1358.91</v>
      </c>
      <c r="V408" s="9" t="n">
        <v>1358.91</v>
      </c>
      <c r="W408" s="9" t="n">
        <v>1358.91</v>
      </c>
      <c r="X408" s="9" t="n">
        <v>1358.91</v>
      </c>
      <c r="Y408" s="9" t="n">
        <v>1358.91</v>
      </c>
      <c r="Z408" s="9" t="n">
        <v>350</v>
      </c>
      <c r="AA408" s="9" t="n">
        <v>250</v>
      </c>
      <c r="AB408" s="9" t="n">
        <v>600</v>
      </c>
    </row>
    <row r="409" customFormat="false" ht="15" hidden="false" customHeight="false" outlineLevel="0" collapsed="false">
      <c r="A409" s="3" t="s">
        <v>1283</v>
      </c>
      <c r="B409" s="3" t="s">
        <v>1284</v>
      </c>
      <c r="C409" s="3" t="s">
        <v>58</v>
      </c>
      <c r="D409" s="3" t="s">
        <v>59</v>
      </c>
      <c r="E409" s="3" t="n">
        <v>2009</v>
      </c>
      <c r="F409" s="3" t="s">
        <v>478</v>
      </c>
      <c r="G409" s="3" t="s">
        <v>479</v>
      </c>
      <c r="H409" s="3" t="s">
        <v>1285</v>
      </c>
      <c r="I409" s="3" t="s">
        <v>103</v>
      </c>
      <c r="J409" s="7" t="n">
        <v>465000</v>
      </c>
      <c r="K409" s="3" t="s">
        <v>510</v>
      </c>
      <c r="L409" s="7" t="n">
        <v>7524.37</v>
      </c>
      <c r="M409" s="7" t="n">
        <v>940.55</v>
      </c>
      <c r="N409" s="7" t="n">
        <v>940.55</v>
      </c>
      <c r="O409" s="7" t="n">
        <v>5643.3</v>
      </c>
      <c r="P409" s="7" t="n">
        <v>564.33</v>
      </c>
      <c r="Q409" s="7" t="n">
        <v>564.33</v>
      </c>
      <c r="R409" s="7" t="n">
        <v>564.33</v>
      </c>
      <c r="S409" s="7" t="n">
        <v>564.33</v>
      </c>
      <c r="T409" s="7" t="n">
        <v>564.33</v>
      </c>
      <c r="U409" s="7" t="n">
        <v>564.33</v>
      </c>
      <c r="V409" s="7" t="n">
        <v>564.33</v>
      </c>
      <c r="W409" s="7" t="n">
        <v>564.33</v>
      </c>
      <c r="X409" s="7" t="n">
        <v>564.33</v>
      </c>
      <c r="Y409" s="7" t="n">
        <v>564.33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1286</v>
      </c>
      <c r="B410" s="8" t="s">
        <v>1287</v>
      </c>
      <c r="C410" s="8" t="s">
        <v>51</v>
      </c>
      <c r="D410" s="8" t="s">
        <v>52</v>
      </c>
      <c r="E410" s="8" t="n">
        <v>1960</v>
      </c>
      <c r="F410" s="8" t="s">
        <v>86</v>
      </c>
      <c r="G410" s="8" t="s">
        <v>136</v>
      </c>
      <c r="H410" s="8" t="s">
        <v>1288</v>
      </c>
      <c r="I410" s="8" t="s">
        <v>89</v>
      </c>
      <c r="J410" s="9" t="n">
        <v>1445000</v>
      </c>
      <c r="K410" s="8" t="s">
        <v>189</v>
      </c>
      <c r="L410" s="9" t="n">
        <v>24264.53</v>
      </c>
      <c r="M410" s="9" t="n">
        <v>3033.07</v>
      </c>
      <c r="N410" s="9" t="n">
        <v>3033.07</v>
      </c>
      <c r="O410" s="9" t="n">
        <v>18198.4</v>
      </c>
      <c r="P410" s="9" t="n">
        <v>1819.84</v>
      </c>
      <c r="Q410" s="9" t="n">
        <v>1819.84</v>
      </c>
      <c r="R410" s="9" t="n">
        <v>1819.84</v>
      </c>
      <c r="S410" s="9" t="n">
        <v>1819.84</v>
      </c>
      <c r="T410" s="9" t="n">
        <v>1819.84</v>
      </c>
      <c r="U410" s="9" t="n">
        <v>1819.84</v>
      </c>
      <c r="V410" s="9" t="n">
        <v>1819.84</v>
      </c>
      <c r="W410" s="9" t="n">
        <v>1819.84</v>
      </c>
      <c r="X410" s="9" t="n">
        <v>1819.84</v>
      </c>
      <c r="Y410" s="9" t="n">
        <v>1819.84</v>
      </c>
      <c r="Z410" s="9" t="n">
        <v>350</v>
      </c>
      <c r="AA410" s="9" t="n">
        <v>250</v>
      </c>
      <c r="AB410" s="9" t="n">
        <v>600</v>
      </c>
    </row>
    <row r="411" customFormat="false" ht="15" hidden="false" customHeight="false" outlineLevel="0" collapsed="false">
      <c r="A411" s="3" t="s">
        <v>1289</v>
      </c>
      <c r="B411" s="3" t="s">
        <v>1290</v>
      </c>
      <c r="C411" s="3" t="s">
        <v>112</v>
      </c>
      <c r="D411" s="3" t="s">
        <v>113</v>
      </c>
      <c r="E411" s="3" t="n">
        <v>1991</v>
      </c>
      <c r="F411" s="3" t="s">
        <v>68</v>
      </c>
      <c r="G411" s="3" t="s">
        <v>69</v>
      </c>
      <c r="H411" s="3" t="s">
        <v>1291</v>
      </c>
      <c r="I411" s="3" t="s">
        <v>47</v>
      </c>
      <c r="J411" s="7" t="n">
        <v>645000</v>
      </c>
      <c r="K411" s="3" t="s">
        <v>212</v>
      </c>
      <c r="L411" s="7" t="n">
        <v>9454.64</v>
      </c>
      <c r="M411" s="7" t="n">
        <v>1181.83</v>
      </c>
      <c r="N411" s="7" t="n">
        <v>1181.83</v>
      </c>
      <c r="O411" s="7" t="n">
        <v>7091</v>
      </c>
      <c r="P411" s="7" t="n">
        <v>709.1</v>
      </c>
      <c r="Q411" s="7" t="n">
        <v>709.1</v>
      </c>
      <c r="R411" s="7" t="n">
        <v>709.1</v>
      </c>
      <c r="S411" s="7" t="n">
        <v>709.1</v>
      </c>
      <c r="T411" s="7" t="n">
        <v>709.1</v>
      </c>
      <c r="U411" s="7" t="n">
        <v>709.1</v>
      </c>
      <c r="V411" s="7" t="n">
        <v>709.1</v>
      </c>
      <c r="W411" s="7" t="n">
        <v>709.1</v>
      </c>
      <c r="X411" s="7" t="n">
        <v>709.1</v>
      </c>
      <c r="Y411" s="7" t="n">
        <v>709.1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1292</v>
      </c>
      <c r="B412" s="8" t="s">
        <v>1101</v>
      </c>
      <c r="C412" s="8" t="s">
        <v>152</v>
      </c>
      <c r="D412" s="8" t="s">
        <v>153</v>
      </c>
      <c r="E412" s="8" t="n">
        <v>2008</v>
      </c>
      <c r="F412" s="8" t="s">
        <v>122</v>
      </c>
      <c r="G412" s="8" t="s">
        <v>123</v>
      </c>
      <c r="H412" s="8" t="s">
        <v>1293</v>
      </c>
      <c r="I412" s="8" t="s">
        <v>47</v>
      </c>
      <c r="J412" s="9" t="n">
        <v>410000</v>
      </c>
      <c r="K412" s="8" t="s">
        <v>193</v>
      </c>
      <c r="L412" s="9" t="n">
        <v>7361.27</v>
      </c>
      <c r="M412" s="9" t="n">
        <v>920.16</v>
      </c>
      <c r="N412" s="9" t="n">
        <v>920.16</v>
      </c>
      <c r="O412" s="9" t="n">
        <v>5521</v>
      </c>
      <c r="P412" s="9" t="n">
        <v>552.1</v>
      </c>
      <c r="Q412" s="9" t="n">
        <v>552.1</v>
      </c>
      <c r="R412" s="9" t="n">
        <v>552.1</v>
      </c>
      <c r="S412" s="9" t="n">
        <v>552.1</v>
      </c>
      <c r="T412" s="9" t="n">
        <v>552.1</v>
      </c>
      <c r="U412" s="9" t="n">
        <v>552.1</v>
      </c>
      <c r="V412" s="9" t="n">
        <v>552.1</v>
      </c>
      <c r="W412" s="9" t="n">
        <v>552.1</v>
      </c>
      <c r="X412" s="9" t="n">
        <v>552.1</v>
      </c>
      <c r="Y412" s="9" t="n">
        <v>552.1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1294</v>
      </c>
      <c r="B413" s="3" t="s">
        <v>50</v>
      </c>
      <c r="C413" s="3" t="s">
        <v>432</v>
      </c>
      <c r="D413" s="3" t="s">
        <v>433</v>
      </c>
      <c r="E413" s="3" t="n">
        <v>1969</v>
      </c>
      <c r="F413" s="3" t="s">
        <v>114</v>
      </c>
      <c r="G413" s="3" t="s">
        <v>115</v>
      </c>
      <c r="H413" s="3" t="s">
        <v>1295</v>
      </c>
      <c r="I413" s="3" t="s">
        <v>47</v>
      </c>
      <c r="J413" s="7" t="n">
        <v>810000</v>
      </c>
      <c r="K413" s="3" t="s">
        <v>357</v>
      </c>
      <c r="L413" s="7" t="n">
        <v>8493.95</v>
      </c>
      <c r="M413" s="7" t="n">
        <v>1061.74</v>
      </c>
      <c r="N413" s="7" t="n">
        <v>1061.74</v>
      </c>
      <c r="O413" s="7" t="n">
        <v>6370.5</v>
      </c>
      <c r="P413" s="7" t="n">
        <v>637.05</v>
      </c>
      <c r="Q413" s="7" t="n">
        <v>637.05</v>
      </c>
      <c r="R413" s="7" t="n">
        <v>637.05</v>
      </c>
      <c r="S413" s="7" t="n">
        <v>637.05</v>
      </c>
      <c r="T413" s="7" t="n">
        <v>637.05</v>
      </c>
      <c r="U413" s="7" t="n">
        <v>637.05</v>
      </c>
      <c r="V413" s="7" t="n">
        <v>637.05</v>
      </c>
      <c r="W413" s="7" t="n">
        <v>637.05</v>
      </c>
      <c r="X413" s="7" t="n">
        <v>637.05</v>
      </c>
      <c r="Y413" s="7" t="n">
        <v>637.05</v>
      </c>
      <c r="Z413" s="7" t="n">
        <v>350</v>
      </c>
      <c r="AA413" s="7" t="n">
        <v>0</v>
      </c>
      <c r="AB413" s="7" t="n">
        <v>350</v>
      </c>
    </row>
    <row r="414" customFormat="false" ht="15" hidden="false" customHeight="false" outlineLevel="0" collapsed="false">
      <c r="A414" s="8" t="s">
        <v>1296</v>
      </c>
      <c r="B414" s="8" t="s">
        <v>1021</v>
      </c>
      <c r="C414" s="8" t="s">
        <v>128</v>
      </c>
      <c r="D414" s="8" t="s">
        <v>129</v>
      </c>
      <c r="E414" s="8" t="n">
        <v>1961</v>
      </c>
      <c r="F414" s="8" t="s">
        <v>86</v>
      </c>
      <c r="G414" s="8" t="s">
        <v>87</v>
      </c>
      <c r="H414" s="8" t="s">
        <v>1297</v>
      </c>
      <c r="I414" s="8" t="s">
        <v>89</v>
      </c>
      <c r="J414" s="9" t="n">
        <v>1950000</v>
      </c>
      <c r="K414" s="8" t="s">
        <v>234</v>
      </c>
      <c r="L414" s="9" t="n">
        <v>24626.05</v>
      </c>
      <c r="M414" s="9" t="n">
        <v>3078.26</v>
      </c>
      <c r="N414" s="9" t="n">
        <v>3078.26</v>
      </c>
      <c r="O414" s="9" t="n">
        <v>18469.5</v>
      </c>
      <c r="P414" s="9" t="n">
        <v>1846.95</v>
      </c>
      <c r="Q414" s="9" t="n">
        <v>1846.95</v>
      </c>
      <c r="R414" s="9" t="n">
        <v>1846.95</v>
      </c>
      <c r="S414" s="9" t="n">
        <v>1846.95</v>
      </c>
      <c r="T414" s="9" t="n">
        <v>1846.95</v>
      </c>
      <c r="U414" s="9" t="n">
        <v>1846.95</v>
      </c>
      <c r="V414" s="9" t="n">
        <v>1846.95</v>
      </c>
      <c r="W414" s="9" t="n">
        <v>1846.95</v>
      </c>
      <c r="X414" s="9" t="n">
        <v>1846.95</v>
      </c>
      <c r="Y414" s="9" t="n">
        <v>1846.95</v>
      </c>
      <c r="Z414" s="9" t="n">
        <v>350</v>
      </c>
      <c r="AA414" s="9" t="n">
        <v>250</v>
      </c>
      <c r="AB414" s="9" t="n">
        <v>600</v>
      </c>
    </row>
    <row r="415" customFormat="false" ht="15" hidden="false" customHeight="false" outlineLevel="0" collapsed="false">
      <c r="A415" s="3" t="s">
        <v>1298</v>
      </c>
      <c r="B415" s="3" t="s">
        <v>1299</v>
      </c>
      <c r="C415" s="3" t="s">
        <v>229</v>
      </c>
      <c r="D415" s="3" t="s">
        <v>230</v>
      </c>
      <c r="E415" s="3" t="n">
        <v>2008</v>
      </c>
      <c r="F415" s="3" t="s">
        <v>93</v>
      </c>
      <c r="G415" s="3" t="s">
        <v>94</v>
      </c>
      <c r="H415" s="3" t="s">
        <v>1300</v>
      </c>
      <c r="I415" s="3" t="s">
        <v>96</v>
      </c>
      <c r="J415" s="7" t="n">
        <v>885000</v>
      </c>
      <c r="K415" s="3" t="s">
        <v>109</v>
      </c>
      <c r="L415" s="7" t="n">
        <v>6601.47</v>
      </c>
      <c r="M415" s="7" t="n">
        <v>825.18</v>
      </c>
      <c r="N415" s="7" t="n">
        <v>825.18</v>
      </c>
      <c r="O415" s="7" t="n">
        <v>4951.1</v>
      </c>
      <c r="P415" s="7" t="n">
        <v>495.11</v>
      </c>
      <c r="Q415" s="7" t="n">
        <v>495.11</v>
      </c>
      <c r="R415" s="7" t="n">
        <v>495.11</v>
      </c>
      <c r="S415" s="7" t="n">
        <v>495.11</v>
      </c>
      <c r="T415" s="7" t="n">
        <v>495.11</v>
      </c>
      <c r="U415" s="7" t="n">
        <v>495.11</v>
      </c>
      <c r="V415" s="7" t="n">
        <v>495.11</v>
      </c>
      <c r="W415" s="7" t="n">
        <v>495.11</v>
      </c>
      <c r="X415" s="7" t="n">
        <v>495.11</v>
      </c>
      <c r="Y415" s="7" t="n">
        <v>495.11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1301</v>
      </c>
      <c r="B416" s="8" t="s">
        <v>1302</v>
      </c>
      <c r="C416" s="8" t="s">
        <v>206</v>
      </c>
      <c r="D416" s="8" t="s">
        <v>207</v>
      </c>
      <c r="E416" s="8" t="n">
        <v>2019</v>
      </c>
      <c r="F416" s="8" t="s">
        <v>68</v>
      </c>
      <c r="G416" s="8" t="s">
        <v>69</v>
      </c>
      <c r="H416" s="8" t="s">
        <v>1303</v>
      </c>
      <c r="I416" s="8" t="s">
        <v>47</v>
      </c>
      <c r="J416" s="9" t="n">
        <v>1195000</v>
      </c>
      <c r="K416" s="8" t="s">
        <v>860</v>
      </c>
      <c r="L416" s="9" t="n">
        <v>12655.59</v>
      </c>
      <c r="M416" s="9" t="n">
        <v>1581.95</v>
      </c>
      <c r="N416" s="9" t="n">
        <v>1581.95</v>
      </c>
      <c r="O416" s="9" t="n">
        <v>9491.7</v>
      </c>
      <c r="P416" s="9" t="n">
        <v>949.17</v>
      </c>
      <c r="Q416" s="9" t="n">
        <v>949.17</v>
      </c>
      <c r="R416" s="9" t="n">
        <v>949.17</v>
      </c>
      <c r="S416" s="9" t="n">
        <v>949.17</v>
      </c>
      <c r="T416" s="9" t="n">
        <v>949.17</v>
      </c>
      <c r="U416" s="9" t="n">
        <v>949.17</v>
      </c>
      <c r="V416" s="9" t="n">
        <v>949.17</v>
      </c>
      <c r="W416" s="9" t="n">
        <v>949.17</v>
      </c>
      <c r="X416" s="9" t="n">
        <v>949.17</v>
      </c>
      <c r="Y416" s="9" t="n">
        <v>949.17</v>
      </c>
      <c r="Z416" s="9" t="n">
        <v>350</v>
      </c>
      <c r="AA416" s="9" t="n">
        <v>250</v>
      </c>
      <c r="AB416" s="9" t="n">
        <v>600</v>
      </c>
    </row>
    <row r="417" customFormat="false" ht="15" hidden="false" customHeight="false" outlineLevel="0" collapsed="false">
      <c r="A417" s="3" t="s">
        <v>1304</v>
      </c>
      <c r="B417" s="3" t="s">
        <v>1305</v>
      </c>
      <c r="C417" s="3" t="s">
        <v>78</v>
      </c>
      <c r="D417" s="3" t="s">
        <v>79</v>
      </c>
      <c r="E417" s="3" t="n">
        <v>1992</v>
      </c>
      <c r="F417" s="3" t="s">
        <v>437</v>
      </c>
      <c r="G417" s="3" t="s">
        <v>438</v>
      </c>
      <c r="H417" s="3" t="s">
        <v>1306</v>
      </c>
      <c r="I417" s="3" t="s">
        <v>89</v>
      </c>
      <c r="J417" s="7" t="n">
        <v>1025000</v>
      </c>
      <c r="K417" s="3" t="s">
        <v>97</v>
      </c>
      <c r="L417" s="7" t="n">
        <v>19345.56</v>
      </c>
      <c r="M417" s="7" t="n">
        <v>2418.2</v>
      </c>
      <c r="N417" s="7" t="n">
        <v>2418.2</v>
      </c>
      <c r="O417" s="7" t="n">
        <v>14509.2</v>
      </c>
      <c r="P417" s="7" t="n">
        <v>1450.92</v>
      </c>
      <c r="Q417" s="7" t="n">
        <v>1450.92</v>
      </c>
      <c r="R417" s="7" t="n">
        <v>1450.92</v>
      </c>
      <c r="S417" s="7" t="n">
        <v>1450.92</v>
      </c>
      <c r="T417" s="7" t="n">
        <v>1450.92</v>
      </c>
      <c r="U417" s="7" t="n">
        <v>1450.92</v>
      </c>
      <c r="V417" s="7" t="n">
        <v>1450.92</v>
      </c>
      <c r="W417" s="7" t="n">
        <v>1450.92</v>
      </c>
      <c r="X417" s="7" t="n">
        <v>1450.92</v>
      </c>
      <c r="Y417" s="7" t="n">
        <v>1450.92</v>
      </c>
      <c r="Z417" s="7" t="n">
        <v>350</v>
      </c>
      <c r="AA417" s="7" t="n">
        <v>250</v>
      </c>
      <c r="AB417" s="7" t="n">
        <v>600</v>
      </c>
    </row>
    <row r="418" customFormat="false" ht="15" hidden="false" customHeight="false" outlineLevel="0" collapsed="false">
      <c r="A418" s="8" t="s">
        <v>1307</v>
      </c>
      <c r="B418" s="8" t="s">
        <v>1308</v>
      </c>
      <c r="C418" s="8" t="s">
        <v>206</v>
      </c>
      <c r="D418" s="8" t="s">
        <v>207</v>
      </c>
      <c r="E418" s="8" t="n">
        <v>1973</v>
      </c>
      <c r="F418" s="8" t="s">
        <v>68</v>
      </c>
      <c r="G418" s="8" t="s">
        <v>69</v>
      </c>
      <c r="H418" s="8" t="s">
        <v>1309</v>
      </c>
      <c r="I418" s="8" t="s">
        <v>47</v>
      </c>
      <c r="J418" s="9" t="n">
        <v>350000</v>
      </c>
      <c r="K418" s="8" t="s">
        <v>250</v>
      </c>
      <c r="L418" s="9" t="n">
        <v>6056.33</v>
      </c>
      <c r="M418" s="9" t="n">
        <v>757.04</v>
      </c>
      <c r="N418" s="9" t="n">
        <v>757.04</v>
      </c>
      <c r="O418" s="9" t="n">
        <v>4542.2</v>
      </c>
      <c r="P418" s="9" t="n">
        <v>454.22</v>
      </c>
      <c r="Q418" s="9" t="n">
        <v>454.22</v>
      </c>
      <c r="R418" s="9" t="n">
        <v>454.22</v>
      </c>
      <c r="S418" s="9" t="n">
        <v>454.22</v>
      </c>
      <c r="T418" s="9" t="n">
        <v>454.22</v>
      </c>
      <c r="U418" s="9" t="n">
        <v>454.22</v>
      </c>
      <c r="V418" s="9" t="n">
        <v>454.22</v>
      </c>
      <c r="W418" s="9" t="n">
        <v>454.22</v>
      </c>
      <c r="X418" s="9" t="n">
        <v>454.22</v>
      </c>
      <c r="Y418" s="9" t="n">
        <v>454.22</v>
      </c>
      <c r="Z418" s="9" t="n">
        <v>350</v>
      </c>
      <c r="AA418" s="9" t="n">
        <v>0</v>
      </c>
      <c r="AB418" s="9" t="n">
        <v>350</v>
      </c>
    </row>
    <row r="419" customFormat="false" ht="15" hidden="false" customHeight="false" outlineLevel="0" collapsed="false">
      <c r="A419" s="3" t="s">
        <v>1310</v>
      </c>
      <c r="B419" s="3" t="s">
        <v>1311</v>
      </c>
      <c r="C419" s="3" t="s">
        <v>179</v>
      </c>
      <c r="D419" s="3" t="s">
        <v>180</v>
      </c>
      <c r="E419" s="3" t="n">
        <v>2021</v>
      </c>
      <c r="F419" s="3" t="s">
        <v>44</v>
      </c>
      <c r="G419" s="3" t="s">
        <v>45</v>
      </c>
      <c r="H419" s="3" t="s">
        <v>1312</v>
      </c>
      <c r="I419" s="3" t="s">
        <v>47</v>
      </c>
      <c r="J419" s="7" t="n">
        <v>410000</v>
      </c>
      <c r="K419" s="3" t="s">
        <v>373</v>
      </c>
      <c r="L419" s="7" t="n">
        <v>6401.1</v>
      </c>
      <c r="M419" s="7" t="n">
        <v>800.14</v>
      </c>
      <c r="N419" s="7" t="n">
        <v>800.14</v>
      </c>
      <c r="O419" s="7" t="n">
        <v>4800.8</v>
      </c>
      <c r="P419" s="7" t="n">
        <v>480.08</v>
      </c>
      <c r="Q419" s="7" t="n">
        <v>480.08</v>
      </c>
      <c r="R419" s="7" t="n">
        <v>480.08</v>
      </c>
      <c r="S419" s="7" t="n">
        <v>480.08</v>
      </c>
      <c r="T419" s="7" t="n">
        <v>480.08</v>
      </c>
      <c r="U419" s="7" t="n">
        <v>480.08</v>
      </c>
      <c r="V419" s="7" t="n">
        <v>480.08</v>
      </c>
      <c r="W419" s="7" t="n">
        <v>480.08</v>
      </c>
      <c r="X419" s="7" t="n">
        <v>480.08</v>
      </c>
      <c r="Y419" s="7" t="n">
        <v>480.08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1313</v>
      </c>
      <c r="B420" s="8" t="s">
        <v>413</v>
      </c>
      <c r="C420" s="8" t="s">
        <v>148</v>
      </c>
      <c r="D420" s="8" t="s">
        <v>149</v>
      </c>
      <c r="E420" s="8" t="n">
        <v>1964</v>
      </c>
      <c r="F420" s="8" t="s">
        <v>68</v>
      </c>
      <c r="G420" s="8" t="s">
        <v>69</v>
      </c>
      <c r="H420" s="8" t="s">
        <v>1314</v>
      </c>
      <c r="I420" s="8" t="s">
        <v>47</v>
      </c>
      <c r="J420" s="9" t="n">
        <v>1950000</v>
      </c>
      <c r="K420" s="8" t="s">
        <v>373</v>
      </c>
      <c r="L420" s="9" t="n">
        <v>22325.81</v>
      </c>
      <c r="M420" s="9" t="n">
        <v>2790.73</v>
      </c>
      <c r="N420" s="9" t="n">
        <v>2790.73</v>
      </c>
      <c r="O420" s="9" t="n">
        <v>16744.4</v>
      </c>
      <c r="P420" s="9" t="n">
        <v>1674.44</v>
      </c>
      <c r="Q420" s="9" t="n">
        <v>1674.44</v>
      </c>
      <c r="R420" s="9" t="n">
        <v>1674.44</v>
      </c>
      <c r="S420" s="9" t="n">
        <v>1674.44</v>
      </c>
      <c r="T420" s="9" t="n">
        <v>1674.44</v>
      </c>
      <c r="U420" s="9" t="n">
        <v>1674.44</v>
      </c>
      <c r="V420" s="9" t="n">
        <v>1674.44</v>
      </c>
      <c r="W420" s="9" t="n">
        <v>1674.44</v>
      </c>
      <c r="X420" s="9" t="n">
        <v>1674.44</v>
      </c>
      <c r="Y420" s="9" t="n">
        <v>1674.44</v>
      </c>
      <c r="Z420" s="9" t="n">
        <v>350</v>
      </c>
      <c r="AA420" s="9" t="n">
        <v>250</v>
      </c>
      <c r="AB420" s="9" t="n">
        <v>600</v>
      </c>
    </row>
    <row r="421" customFormat="false" ht="15" hidden="false" customHeight="false" outlineLevel="0" collapsed="false">
      <c r="A421" s="3" t="s">
        <v>1315</v>
      </c>
      <c r="B421" s="3" t="s">
        <v>1316</v>
      </c>
      <c r="C421" s="3" t="s">
        <v>432</v>
      </c>
      <c r="D421" s="3" t="s">
        <v>433</v>
      </c>
      <c r="E421" s="3" t="n">
        <v>2018</v>
      </c>
      <c r="F421" s="3" t="s">
        <v>68</v>
      </c>
      <c r="G421" s="3" t="s">
        <v>69</v>
      </c>
      <c r="H421" s="3" t="s">
        <v>1317</v>
      </c>
      <c r="I421" s="3" t="s">
        <v>47</v>
      </c>
      <c r="J421" s="7" t="n">
        <v>1405000</v>
      </c>
      <c r="K421" s="3" t="s">
        <v>370</v>
      </c>
      <c r="L421" s="7" t="n">
        <v>14745.53</v>
      </c>
      <c r="M421" s="7" t="n">
        <v>1843.19</v>
      </c>
      <c r="N421" s="7" t="n">
        <v>1843.19</v>
      </c>
      <c r="O421" s="7" t="n">
        <v>11059.1</v>
      </c>
      <c r="P421" s="7" t="n">
        <v>1105.91</v>
      </c>
      <c r="Q421" s="7" t="n">
        <v>1105.91</v>
      </c>
      <c r="R421" s="7" t="n">
        <v>1105.91</v>
      </c>
      <c r="S421" s="7" t="n">
        <v>1105.91</v>
      </c>
      <c r="T421" s="7" t="n">
        <v>1105.91</v>
      </c>
      <c r="U421" s="7" t="n">
        <v>1105.91</v>
      </c>
      <c r="V421" s="7" t="n">
        <v>1105.91</v>
      </c>
      <c r="W421" s="7" t="n">
        <v>1105.91</v>
      </c>
      <c r="X421" s="7" t="n">
        <v>1105.91</v>
      </c>
      <c r="Y421" s="7" t="n">
        <v>1105.91</v>
      </c>
      <c r="Z421" s="7" t="n">
        <v>350</v>
      </c>
      <c r="AA421" s="7" t="n">
        <v>250</v>
      </c>
      <c r="AB421" s="7" t="n">
        <v>600</v>
      </c>
    </row>
    <row r="422" customFormat="false" ht="15" hidden="false" customHeight="false" outlineLevel="0" collapsed="false">
      <c r="A422" s="8" t="s">
        <v>1318</v>
      </c>
      <c r="B422" s="8" t="s">
        <v>1319</v>
      </c>
      <c r="C422" s="8" t="s">
        <v>229</v>
      </c>
      <c r="D422" s="8" t="s">
        <v>230</v>
      </c>
      <c r="E422" s="8" t="n">
        <v>2000</v>
      </c>
      <c r="F422" s="8" t="s">
        <v>122</v>
      </c>
      <c r="G422" s="8" t="s">
        <v>123</v>
      </c>
      <c r="H422" s="8" t="s">
        <v>1320</v>
      </c>
      <c r="I422" s="8" t="s">
        <v>47</v>
      </c>
      <c r="J422" s="9" t="n">
        <v>1675000</v>
      </c>
      <c r="K422" s="8" t="s">
        <v>216</v>
      </c>
      <c r="L422" s="9" t="n">
        <v>15341.83</v>
      </c>
      <c r="M422" s="9" t="n">
        <v>1917.73</v>
      </c>
      <c r="N422" s="9" t="n">
        <v>1917.73</v>
      </c>
      <c r="O422" s="9" t="n">
        <v>11506.4</v>
      </c>
      <c r="P422" s="9" t="n">
        <v>1150.64</v>
      </c>
      <c r="Q422" s="9" t="n">
        <v>1150.64</v>
      </c>
      <c r="R422" s="9" t="n">
        <v>1150.64</v>
      </c>
      <c r="S422" s="9" t="n">
        <v>1150.64</v>
      </c>
      <c r="T422" s="9" t="n">
        <v>1150.64</v>
      </c>
      <c r="U422" s="9" t="n">
        <v>1150.64</v>
      </c>
      <c r="V422" s="9" t="n">
        <v>1150.64</v>
      </c>
      <c r="W422" s="9" t="n">
        <v>1150.64</v>
      </c>
      <c r="X422" s="9" t="n">
        <v>1150.64</v>
      </c>
      <c r="Y422" s="9" t="n">
        <v>1150.64</v>
      </c>
      <c r="Z422" s="9" t="n">
        <v>350</v>
      </c>
      <c r="AA422" s="9" t="n">
        <v>250</v>
      </c>
      <c r="AB422" s="9" t="n">
        <v>600</v>
      </c>
    </row>
    <row r="423" customFormat="false" ht="15" hidden="false" customHeight="false" outlineLevel="0" collapsed="false">
      <c r="A423" s="3" t="s">
        <v>1321</v>
      </c>
      <c r="B423" s="3" t="s">
        <v>1322</v>
      </c>
      <c r="C423" s="3" t="s">
        <v>168</v>
      </c>
      <c r="D423" s="3" t="s">
        <v>169</v>
      </c>
      <c r="E423" s="3" t="n">
        <v>1992</v>
      </c>
      <c r="F423" s="3" t="s">
        <v>114</v>
      </c>
      <c r="G423" s="3" t="s">
        <v>115</v>
      </c>
      <c r="H423" s="3" t="s">
        <v>1323</v>
      </c>
      <c r="I423" s="3" t="s">
        <v>47</v>
      </c>
      <c r="J423" s="7" t="n">
        <v>450000</v>
      </c>
      <c r="K423" s="3" t="s">
        <v>97</v>
      </c>
      <c r="L423" s="7" t="n">
        <v>7962.35</v>
      </c>
      <c r="M423" s="7" t="n">
        <v>995.29</v>
      </c>
      <c r="N423" s="7" t="n">
        <v>995.29</v>
      </c>
      <c r="O423" s="7" t="n">
        <v>5971.8</v>
      </c>
      <c r="P423" s="7" t="n">
        <v>597.18</v>
      </c>
      <c r="Q423" s="7" t="n">
        <v>597.18</v>
      </c>
      <c r="R423" s="7" t="n">
        <v>597.18</v>
      </c>
      <c r="S423" s="7" t="n">
        <v>597.18</v>
      </c>
      <c r="T423" s="7" t="n">
        <v>597.18</v>
      </c>
      <c r="U423" s="7" t="n">
        <v>597.18</v>
      </c>
      <c r="V423" s="7" t="n">
        <v>597.18</v>
      </c>
      <c r="W423" s="7" t="n">
        <v>597.18</v>
      </c>
      <c r="X423" s="7" t="n">
        <v>597.18</v>
      </c>
      <c r="Y423" s="7" t="n">
        <v>597.18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1324</v>
      </c>
      <c r="B424" s="8" t="s">
        <v>1325</v>
      </c>
      <c r="C424" s="8" t="s">
        <v>229</v>
      </c>
      <c r="D424" s="8" t="s">
        <v>230</v>
      </c>
      <c r="E424" s="8" t="n">
        <v>2000</v>
      </c>
      <c r="F424" s="8" t="s">
        <v>93</v>
      </c>
      <c r="G424" s="8" t="s">
        <v>94</v>
      </c>
      <c r="H424" s="8" t="s">
        <v>1326</v>
      </c>
      <c r="I424" s="8" t="s">
        <v>96</v>
      </c>
      <c r="J424" s="9" t="n">
        <v>660000</v>
      </c>
      <c r="K424" s="8" t="s">
        <v>193</v>
      </c>
      <c r="L424" s="9" t="n">
        <v>6793.92</v>
      </c>
      <c r="M424" s="9" t="n">
        <v>849.24</v>
      </c>
      <c r="N424" s="9" t="n">
        <v>849.24</v>
      </c>
      <c r="O424" s="9" t="n">
        <v>5095.4</v>
      </c>
      <c r="P424" s="9" t="n">
        <v>509.54</v>
      </c>
      <c r="Q424" s="9" t="n">
        <v>509.54</v>
      </c>
      <c r="R424" s="9" t="n">
        <v>509.54</v>
      </c>
      <c r="S424" s="9" t="n">
        <v>509.54</v>
      </c>
      <c r="T424" s="9" t="n">
        <v>509.54</v>
      </c>
      <c r="U424" s="9" t="n">
        <v>509.54</v>
      </c>
      <c r="V424" s="9" t="n">
        <v>509.54</v>
      </c>
      <c r="W424" s="9" t="n">
        <v>509.54</v>
      </c>
      <c r="X424" s="9" t="n">
        <v>509.54</v>
      </c>
      <c r="Y424" s="9" t="n">
        <v>509.54</v>
      </c>
      <c r="Z424" s="9" t="n">
        <v>350</v>
      </c>
      <c r="AA424" s="9" t="n">
        <v>0</v>
      </c>
      <c r="AB424" s="9" t="n">
        <v>350</v>
      </c>
    </row>
    <row r="425" customFormat="false" ht="15" hidden="false" customHeight="false" outlineLevel="0" collapsed="false">
      <c r="A425" s="3" t="s">
        <v>1327</v>
      </c>
      <c r="B425" s="3" t="s">
        <v>1328</v>
      </c>
      <c r="C425" s="3" t="s">
        <v>152</v>
      </c>
      <c r="D425" s="3" t="s">
        <v>153</v>
      </c>
      <c r="E425" s="3" t="n">
        <v>1956</v>
      </c>
      <c r="F425" s="3" t="s">
        <v>114</v>
      </c>
      <c r="G425" s="3" t="s">
        <v>115</v>
      </c>
      <c r="H425" s="3" t="s">
        <v>1329</v>
      </c>
      <c r="I425" s="3" t="s">
        <v>47</v>
      </c>
      <c r="J425" s="7" t="n">
        <v>400000</v>
      </c>
      <c r="K425" s="3" t="s">
        <v>794</v>
      </c>
      <c r="L425" s="7" t="n">
        <v>5568.44</v>
      </c>
      <c r="M425" s="7" t="n">
        <v>696.05</v>
      </c>
      <c r="N425" s="7" t="n">
        <v>696.05</v>
      </c>
      <c r="O425" s="7" t="n">
        <v>4176.3</v>
      </c>
      <c r="P425" s="7" t="n">
        <v>417.63</v>
      </c>
      <c r="Q425" s="7" t="n">
        <v>417.63</v>
      </c>
      <c r="R425" s="7" t="n">
        <v>417.63</v>
      </c>
      <c r="S425" s="7" t="n">
        <v>417.63</v>
      </c>
      <c r="T425" s="7" t="n">
        <v>417.63</v>
      </c>
      <c r="U425" s="7" t="n">
        <v>417.63</v>
      </c>
      <c r="V425" s="7" t="n">
        <v>417.63</v>
      </c>
      <c r="W425" s="7" t="n">
        <v>417.63</v>
      </c>
      <c r="X425" s="7" t="n">
        <v>417.63</v>
      </c>
      <c r="Y425" s="7" t="n">
        <v>417.63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1330</v>
      </c>
      <c r="B426" s="8" t="s">
        <v>1331</v>
      </c>
      <c r="C426" s="8" t="s">
        <v>179</v>
      </c>
      <c r="D426" s="8" t="s">
        <v>180</v>
      </c>
      <c r="E426" s="8" t="n">
        <v>1965</v>
      </c>
      <c r="F426" s="8" t="s">
        <v>231</v>
      </c>
      <c r="G426" s="8" t="s">
        <v>232</v>
      </c>
      <c r="H426" s="8" t="s">
        <v>1332</v>
      </c>
      <c r="I426" s="8" t="s">
        <v>89</v>
      </c>
      <c r="J426" s="9" t="n">
        <v>780000</v>
      </c>
      <c r="K426" s="8" t="s">
        <v>125</v>
      </c>
      <c r="L426" s="9" t="n">
        <v>18253.04</v>
      </c>
      <c r="M426" s="9" t="n">
        <v>2281.63</v>
      </c>
      <c r="N426" s="9" t="n">
        <v>2281.63</v>
      </c>
      <c r="O426" s="9" t="n">
        <v>13689.8</v>
      </c>
      <c r="P426" s="9" t="n">
        <v>1368.98</v>
      </c>
      <c r="Q426" s="9" t="n">
        <v>1368.98</v>
      </c>
      <c r="R426" s="9" t="n">
        <v>1368.98</v>
      </c>
      <c r="S426" s="9" t="n">
        <v>1368.98</v>
      </c>
      <c r="T426" s="9" t="n">
        <v>1368.98</v>
      </c>
      <c r="U426" s="9" t="n">
        <v>1368.98</v>
      </c>
      <c r="V426" s="9" t="n">
        <v>1368.98</v>
      </c>
      <c r="W426" s="9" t="n">
        <v>1368.98</v>
      </c>
      <c r="X426" s="9" t="n">
        <v>1368.98</v>
      </c>
      <c r="Y426" s="9" t="n">
        <v>1368.98</v>
      </c>
      <c r="Z426" s="9" t="n">
        <v>350</v>
      </c>
      <c r="AA426" s="9" t="n">
        <v>0</v>
      </c>
      <c r="AB426" s="9" t="n">
        <v>350</v>
      </c>
    </row>
    <row r="427" customFormat="false" ht="15" hidden="false" customHeight="false" outlineLevel="0" collapsed="false">
      <c r="A427" s="3" t="s">
        <v>1333</v>
      </c>
      <c r="B427" s="3" t="s">
        <v>801</v>
      </c>
      <c r="C427" s="3" t="s">
        <v>78</v>
      </c>
      <c r="D427" s="3" t="s">
        <v>79</v>
      </c>
      <c r="E427" s="3" t="n">
        <v>1984</v>
      </c>
      <c r="F427" s="3" t="s">
        <v>122</v>
      </c>
      <c r="G427" s="3" t="s">
        <v>123</v>
      </c>
      <c r="H427" s="3" t="s">
        <v>1334</v>
      </c>
      <c r="I427" s="3" t="s">
        <v>47</v>
      </c>
      <c r="J427" s="7" t="n">
        <v>370000</v>
      </c>
      <c r="K427" s="3" t="s">
        <v>277</v>
      </c>
      <c r="L427" s="7" t="n">
        <v>5439.64</v>
      </c>
      <c r="M427" s="7" t="n">
        <v>679.96</v>
      </c>
      <c r="N427" s="7" t="n">
        <v>679.96</v>
      </c>
      <c r="O427" s="7" t="n">
        <v>4079.7</v>
      </c>
      <c r="P427" s="7" t="n">
        <v>407.97</v>
      </c>
      <c r="Q427" s="7" t="n">
        <v>407.97</v>
      </c>
      <c r="R427" s="7" t="n">
        <v>407.97</v>
      </c>
      <c r="S427" s="7" t="n">
        <v>407.97</v>
      </c>
      <c r="T427" s="7" t="n">
        <v>407.97</v>
      </c>
      <c r="U427" s="7" t="n">
        <v>407.97</v>
      </c>
      <c r="V427" s="7" t="n">
        <v>407.97</v>
      </c>
      <c r="W427" s="7" t="n">
        <v>407.97</v>
      </c>
      <c r="X427" s="7" t="n">
        <v>407.97</v>
      </c>
      <c r="Y427" s="7" t="n">
        <v>407.97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1335</v>
      </c>
      <c r="B428" s="8" t="s">
        <v>1336</v>
      </c>
      <c r="C428" s="8" t="s">
        <v>134</v>
      </c>
      <c r="D428" s="8" t="s">
        <v>135</v>
      </c>
      <c r="E428" s="8" t="n">
        <v>1978</v>
      </c>
      <c r="F428" s="8" t="s">
        <v>122</v>
      </c>
      <c r="G428" s="8" t="s">
        <v>123</v>
      </c>
      <c r="H428" s="8" t="s">
        <v>1337</v>
      </c>
      <c r="I428" s="8" t="s">
        <v>47</v>
      </c>
      <c r="J428" s="9" t="n">
        <v>620000</v>
      </c>
      <c r="K428" s="8" t="s">
        <v>453</v>
      </c>
      <c r="L428" s="9" t="n">
        <v>7130.73</v>
      </c>
      <c r="M428" s="9" t="n">
        <v>891.34</v>
      </c>
      <c r="N428" s="9" t="n">
        <v>891.34</v>
      </c>
      <c r="O428" s="9" t="n">
        <v>5348</v>
      </c>
      <c r="P428" s="9" t="n">
        <v>534.8</v>
      </c>
      <c r="Q428" s="9" t="n">
        <v>534.8</v>
      </c>
      <c r="R428" s="9" t="n">
        <v>534.8</v>
      </c>
      <c r="S428" s="9" t="n">
        <v>534.8</v>
      </c>
      <c r="T428" s="9" t="n">
        <v>534.8</v>
      </c>
      <c r="U428" s="9" t="n">
        <v>534.8</v>
      </c>
      <c r="V428" s="9" t="n">
        <v>534.8</v>
      </c>
      <c r="W428" s="9" t="n">
        <v>534.8</v>
      </c>
      <c r="X428" s="9" t="n">
        <v>534.8</v>
      </c>
      <c r="Y428" s="9" t="n">
        <v>534.8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1338</v>
      </c>
      <c r="B429" s="3" t="s">
        <v>1339</v>
      </c>
      <c r="C429" s="3" t="s">
        <v>432</v>
      </c>
      <c r="D429" s="3" t="s">
        <v>433</v>
      </c>
      <c r="E429" s="3" t="n">
        <v>2001</v>
      </c>
      <c r="F429" s="3" t="s">
        <v>53</v>
      </c>
      <c r="G429" s="3" t="s">
        <v>54</v>
      </c>
      <c r="H429" s="3" t="s">
        <v>1340</v>
      </c>
      <c r="I429" s="3" t="s">
        <v>47</v>
      </c>
      <c r="J429" s="7" t="n">
        <v>1200000</v>
      </c>
      <c r="K429" s="3" t="s">
        <v>193</v>
      </c>
      <c r="L429" s="7" t="n">
        <v>15799.81</v>
      </c>
      <c r="M429" s="7" t="n">
        <v>1974.98</v>
      </c>
      <c r="N429" s="7" t="n">
        <v>1974.98</v>
      </c>
      <c r="O429" s="7" t="n">
        <v>11849.9</v>
      </c>
      <c r="P429" s="7" t="n">
        <v>1184.99</v>
      </c>
      <c r="Q429" s="7" t="n">
        <v>1184.99</v>
      </c>
      <c r="R429" s="7" t="n">
        <v>1184.99</v>
      </c>
      <c r="S429" s="7" t="n">
        <v>1184.99</v>
      </c>
      <c r="T429" s="7" t="n">
        <v>1184.99</v>
      </c>
      <c r="U429" s="7" t="n">
        <v>1184.99</v>
      </c>
      <c r="V429" s="7" t="n">
        <v>1184.99</v>
      </c>
      <c r="W429" s="7" t="n">
        <v>1184.99</v>
      </c>
      <c r="X429" s="7" t="n">
        <v>1184.99</v>
      </c>
      <c r="Y429" s="7" t="n">
        <v>1184.99</v>
      </c>
      <c r="Z429" s="7" t="n">
        <v>350</v>
      </c>
      <c r="AA429" s="7" t="n">
        <v>250</v>
      </c>
      <c r="AB429" s="7" t="n">
        <v>600</v>
      </c>
    </row>
    <row r="430" customFormat="false" ht="15" hidden="false" customHeight="false" outlineLevel="0" collapsed="false">
      <c r="A430" s="8" t="s">
        <v>1341</v>
      </c>
      <c r="B430" s="8" t="s">
        <v>1342</v>
      </c>
      <c r="C430" s="8" t="s">
        <v>179</v>
      </c>
      <c r="D430" s="8" t="s">
        <v>180</v>
      </c>
      <c r="E430" s="8" t="n">
        <v>2019</v>
      </c>
      <c r="F430" s="8" t="s">
        <v>437</v>
      </c>
      <c r="G430" s="8" t="s">
        <v>438</v>
      </c>
      <c r="H430" s="8" t="s">
        <v>1343</v>
      </c>
      <c r="I430" s="8" t="s">
        <v>89</v>
      </c>
      <c r="J430" s="9" t="n">
        <v>455000</v>
      </c>
      <c r="K430" s="8" t="s">
        <v>321</v>
      </c>
      <c r="L430" s="9" t="n">
        <v>9167.68</v>
      </c>
      <c r="M430" s="9" t="n">
        <v>1145.96</v>
      </c>
      <c r="N430" s="9" t="n">
        <v>1145.96</v>
      </c>
      <c r="O430" s="9" t="n">
        <v>6875.8</v>
      </c>
      <c r="P430" s="9" t="n">
        <v>687.58</v>
      </c>
      <c r="Q430" s="9" t="n">
        <v>687.58</v>
      </c>
      <c r="R430" s="9" t="n">
        <v>687.58</v>
      </c>
      <c r="S430" s="9" t="n">
        <v>687.58</v>
      </c>
      <c r="T430" s="9" t="n">
        <v>687.58</v>
      </c>
      <c r="U430" s="9" t="n">
        <v>687.58</v>
      </c>
      <c r="V430" s="9" t="n">
        <v>687.58</v>
      </c>
      <c r="W430" s="9" t="n">
        <v>687.58</v>
      </c>
      <c r="X430" s="9" t="n">
        <v>687.58</v>
      </c>
      <c r="Y430" s="9" t="n">
        <v>687.58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1344</v>
      </c>
      <c r="B431" s="3" t="s">
        <v>1345</v>
      </c>
      <c r="C431" s="3" t="s">
        <v>141</v>
      </c>
      <c r="D431" s="3" t="s">
        <v>142</v>
      </c>
      <c r="E431" s="3" t="n">
        <v>2013</v>
      </c>
      <c r="F431" s="3" t="s">
        <v>53</v>
      </c>
      <c r="G431" s="3" t="s">
        <v>174</v>
      </c>
      <c r="H431" s="3" t="s">
        <v>1346</v>
      </c>
      <c r="I431" s="3" t="s">
        <v>96</v>
      </c>
      <c r="J431" s="7" t="n">
        <v>1180000</v>
      </c>
      <c r="K431" s="3" t="s">
        <v>189</v>
      </c>
      <c r="L431" s="7" t="n">
        <v>9411.95</v>
      </c>
      <c r="M431" s="7" t="n">
        <v>1176.49</v>
      </c>
      <c r="N431" s="7" t="n">
        <v>1176.49</v>
      </c>
      <c r="O431" s="7" t="n">
        <v>7059</v>
      </c>
      <c r="P431" s="7" t="n">
        <v>705.9</v>
      </c>
      <c r="Q431" s="7" t="n">
        <v>705.9</v>
      </c>
      <c r="R431" s="7" t="n">
        <v>705.9</v>
      </c>
      <c r="S431" s="7" t="n">
        <v>705.9</v>
      </c>
      <c r="T431" s="7" t="n">
        <v>705.9</v>
      </c>
      <c r="U431" s="7" t="n">
        <v>705.9</v>
      </c>
      <c r="V431" s="7" t="n">
        <v>705.9</v>
      </c>
      <c r="W431" s="7" t="n">
        <v>705.9</v>
      </c>
      <c r="X431" s="7" t="n">
        <v>705.9</v>
      </c>
      <c r="Y431" s="7" t="n">
        <v>705.9</v>
      </c>
      <c r="Z431" s="7" t="n">
        <v>350</v>
      </c>
      <c r="AA431" s="7" t="n">
        <v>250</v>
      </c>
      <c r="AB431" s="7" t="n">
        <v>600</v>
      </c>
    </row>
    <row r="432" customFormat="false" ht="15" hidden="false" customHeight="false" outlineLevel="0" collapsed="false">
      <c r="A432" s="8" t="s">
        <v>1347</v>
      </c>
      <c r="B432" s="8" t="s">
        <v>202</v>
      </c>
      <c r="C432" s="8" t="s">
        <v>141</v>
      </c>
      <c r="D432" s="8" t="s">
        <v>142</v>
      </c>
      <c r="E432" s="8" t="n">
        <v>1993</v>
      </c>
      <c r="F432" s="8" t="s">
        <v>68</v>
      </c>
      <c r="G432" s="8" t="s">
        <v>69</v>
      </c>
      <c r="H432" s="8" t="s">
        <v>1348</v>
      </c>
      <c r="I432" s="8" t="s">
        <v>47</v>
      </c>
      <c r="J432" s="9" t="n">
        <v>940000</v>
      </c>
      <c r="K432" s="8" t="s">
        <v>90</v>
      </c>
      <c r="L432" s="9" t="n">
        <v>12188.99</v>
      </c>
      <c r="M432" s="9" t="n">
        <v>1523.62</v>
      </c>
      <c r="N432" s="9" t="n">
        <v>1523.62</v>
      </c>
      <c r="O432" s="9" t="n">
        <v>9141.7</v>
      </c>
      <c r="P432" s="9" t="n">
        <v>914.17</v>
      </c>
      <c r="Q432" s="9" t="n">
        <v>914.17</v>
      </c>
      <c r="R432" s="9" t="n">
        <v>914.17</v>
      </c>
      <c r="S432" s="9" t="n">
        <v>914.17</v>
      </c>
      <c r="T432" s="9" t="n">
        <v>914.17</v>
      </c>
      <c r="U432" s="9" t="n">
        <v>914.17</v>
      </c>
      <c r="V432" s="9" t="n">
        <v>914.17</v>
      </c>
      <c r="W432" s="9" t="n">
        <v>914.17</v>
      </c>
      <c r="X432" s="9" t="n">
        <v>914.17</v>
      </c>
      <c r="Y432" s="9" t="n">
        <v>914.17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1349</v>
      </c>
      <c r="B433" s="3" t="s">
        <v>1350</v>
      </c>
      <c r="C433" s="3" t="s">
        <v>112</v>
      </c>
      <c r="D433" s="3" t="s">
        <v>113</v>
      </c>
      <c r="E433" s="3" t="n">
        <v>1971</v>
      </c>
      <c r="F433" s="3" t="s">
        <v>86</v>
      </c>
      <c r="G433" s="3" t="s">
        <v>181</v>
      </c>
      <c r="H433" s="3" t="s">
        <v>1351</v>
      </c>
      <c r="I433" s="3" t="s">
        <v>96</v>
      </c>
      <c r="J433" s="7" t="n">
        <v>440000</v>
      </c>
      <c r="K433" s="3" t="s">
        <v>97</v>
      </c>
      <c r="L433" s="7" t="n">
        <v>4982.66</v>
      </c>
      <c r="M433" s="7" t="n">
        <v>622.83</v>
      </c>
      <c r="N433" s="7" t="n">
        <v>622.83</v>
      </c>
      <c r="O433" s="7" t="n">
        <v>3737</v>
      </c>
      <c r="P433" s="7" t="n">
        <v>373.7</v>
      </c>
      <c r="Q433" s="7" t="n">
        <v>373.7</v>
      </c>
      <c r="R433" s="7" t="n">
        <v>373.7</v>
      </c>
      <c r="S433" s="7" t="n">
        <v>373.7</v>
      </c>
      <c r="T433" s="7" t="n">
        <v>373.7</v>
      </c>
      <c r="U433" s="7" t="n">
        <v>373.7</v>
      </c>
      <c r="V433" s="7" t="n">
        <v>373.7</v>
      </c>
      <c r="W433" s="7" t="n">
        <v>373.7</v>
      </c>
      <c r="X433" s="7" t="n">
        <v>373.7</v>
      </c>
      <c r="Y433" s="7" t="n">
        <v>373.7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1352</v>
      </c>
      <c r="B434" s="8" t="s">
        <v>1353</v>
      </c>
      <c r="C434" s="8" t="s">
        <v>274</v>
      </c>
      <c r="D434" s="8" t="s">
        <v>275</v>
      </c>
      <c r="E434" s="8" t="n">
        <v>1975</v>
      </c>
      <c r="F434" s="8" t="s">
        <v>114</v>
      </c>
      <c r="G434" s="8" t="s">
        <v>115</v>
      </c>
      <c r="H434" s="8" t="s">
        <v>1354</v>
      </c>
      <c r="I434" s="8" t="s">
        <v>47</v>
      </c>
      <c r="J434" s="9" t="n">
        <v>885000</v>
      </c>
      <c r="K434" s="8" t="s">
        <v>453</v>
      </c>
      <c r="L434" s="9" t="n">
        <v>10178.54</v>
      </c>
      <c r="M434" s="9" t="n">
        <v>1272.32</v>
      </c>
      <c r="N434" s="9" t="n">
        <v>1272.32</v>
      </c>
      <c r="O434" s="9" t="n">
        <v>7633.9</v>
      </c>
      <c r="P434" s="9" t="n">
        <v>763.39</v>
      </c>
      <c r="Q434" s="9" t="n">
        <v>763.39</v>
      </c>
      <c r="R434" s="9" t="n">
        <v>763.39</v>
      </c>
      <c r="S434" s="9" t="n">
        <v>763.39</v>
      </c>
      <c r="T434" s="9" t="n">
        <v>763.39</v>
      </c>
      <c r="U434" s="9" t="n">
        <v>763.39</v>
      </c>
      <c r="V434" s="9" t="n">
        <v>763.39</v>
      </c>
      <c r="W434" s="9" t="n">
        <v>763.39</v>
      </c>
      <c r="X434" s="9" t="n">
        <v>763.39</v>
      </c>
      <c r="Y434" s="9" t="n">
        <v>763.39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1355</v>
      </c>
      <c r="B435" s="3" t="s">
        <v>1356</v>
      </c>
      <c r="C435" s="3" t="s">
        <v>152</v>
      </c>
      <c r="D435" s="3" t="s">
        <v>153</v>
      </c>
      <c r="E435" s="3" t="n">
        <v>1971</v>
      </c>
      <c r="F435" s="3" t="s">
        <v>60</v>
      </c>
      <c r="G435" s="3" t="s">
        <v>61</v>
      </c>
      <c r="H435" s="3" t="s">
        <v>1357</v>
      </c>
      <c r="I435" s="3" t="s">
        <v>47</v>
      </c>
      <c r="J435" s="7" t="n">
        <v>490000</v>
      </c>
      <c r="K435" s="3" t="s">
        <v>250</v>
      </c>
      <c r="L435" s="7" t="n">
        <v>8478.86</v>
      </c>
      <c r="M435" s="7" t="n">
        <v>1059.86</v>
      </c>
      <c r="N435" s="7" t="n">
        <v>1059.86</v>
      </c>
      <c r="O435" s="7" t="n">
        <v>6359.1</v>
      </c>
      <c r="P435" s="7" t="n">
        <v>635.91</v>
      </c>
      <c r="Q435" s="7" t="n">
        <v>635.91</v>
      </c>
      <c r="R435" s="7" t="n">
        <v>635.91</v>
      </c>
      <c r="S435" s="7" t="n">
        <v>635.91</v>
      </c>
      <c r="T435" s="7" t="n">
        <v>635.91</v>
      </c>
      <c r="U435" s="7" t="n">
        <v>635.91</v>
      </c>
      <c r="V435" s="7" t="n">
        <v>635.91</v>
      </c>
      <c r="W435" s="7" t="n">
        <v>635.91</v>
      </c>
      <c r="X435" s="7" t="n">
        <v>635.91</v>
      </c>
      <c r="Y435" s="7" t="n">
        <v>635.91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1358</v>
      </c>
      <c r="B436" s="8" t="s">
        <v>314</v>
      </c>
      <c r="C436" s="8" t="s">
        <v>432</v>
      </c>
      <c r="D436" s="8" t="s">
        <v>433</v>
      </c>
      <c r="E436" s="8" t="n">
        <v>1994</v>
      </c>
      <c r="F436" s="8" t="s">
        <v>122</v>
      </c>
      <c r="G436" s="8" t="s">
        <v>130</v>
      </c>
      <c r="H436" s="8" t="s">
        <v>1359</v>
      </c>
      <c r="I436" s="8" t="s">
        <v>96</v>
      </c>
      <c r="J436" s="9" t="n">
        <v>200000</v>
      </c>
      <c r="K436" s="8" t="s">
        <v>48</v>
      </c>
      <c r="L436" s="9" t="n">
        <v>2570.85</v>
      </c>
      <c r="M436" s="9" t="n">
        <v>321.36</v>
      </c>
      <c r="N436" s="9" t="n">
        <v>321.36</v>
      </c>
      <c r="O436" s="9" t="n">
        <v>1928.1</v>
      </c>
      <c r="P436" s="9" t="n">
        <v>192.81</v>
      </c>
      <c r="Q436" s="9" t="n">
        <v>192.81</v>
      </c>
      <c r="R436" s="9" t="n">
        <v>192.81</v>
      </c>
      <c r="S436" s="9" t="n">
        <v>192.81</v>
      </c>
      <c r="T436" s="9" t="n">
        <v>192.81</v>
      </c>
      <c r="U436" s="9" t="n">
        <v>192.81</v>
      </c>
      <c r="V436" s="9" t="n">
        <v>192.81</v>
      </c>
      <c r="W436" s="9" t="n">
        <v>192.81</v>
      </c>
      <c r="X436" s="9" t="n">
        <v>192.81</v>
      </c>
      <c r="Y436" s="9" t="n">
        <v>192.81</v>
      </c>
      <c r="Z436" s="9" t="n">
        <v>350</v>
      </c>
      <c r="AA436" s="9" t="n">
        <v>0</v>
      </c>
      <c r="AB436" s="9" t="n">
        <v>350</v>
      </c>
    </row>
    <row r="437" customFormat="false" ht="15" hidden="false" customHeight="false" outlineLevel="0" collapsed="false">
      <c r="A437" s="3" t="s">
        <v>1360</v>
      </c>
      <c r="B437" s="3" t="s">
        <v>1191</v>
      </c>
      <c r="C437" s="3" t="s">
        <v>163</v>
      </c>
      <c r="D437" s="3" t="s">
        <v>164</v>
      </c>
      <c r="E437" s="3" t="n">
        <v>2005</v>
      </c>
      <c r="F437" s="3" t="s">
        <v>86</v>
      </c>
      <c r="G437" s="3" t="s">
        <v>87</v>
      </c>
      <c r="H437" s="3" t="s">
        <v>1361</v>
      </c>
      <c r="I437" s="3" t="s">
        <v>89</v>
      </c>
      <c r="J437" s="7" t="n">
        <v>790000</v>
      </c>
      <c r="K437" s="3" t="s">
        <v>226</v>
      </c>
      <c r="L437" s="7" t="n">
        <v>14060.58</v>
      </c>
      <c r="M437" s="7" t="n">
        <v>1757.57</v>
      </c>
      <c r="N437" s="7" t="n">
        <v>1757.57</v>
      </c>
      <c r="O437" s="7" t="n">
        <v>10545.4</v>
      </c>
      <c r="P437" s="7" t="n">
        <v>1054.54</v>
      </c>
      <c r="Q437" s="7" t="n">
        <v>1054.54</v>
      </c>
      <c r="R437" s="7" t="n">
        <v>1054.54</v>
      </c>
      <c r="S437" s="7" t="n">
        <v>1054.54</v>
      </c>
      <c r="T437" s="7" t="n">
        <v>1054.54</v>
      </c>
      <c r="U437" s="7" t="n">
        <v>1054.54</v>
      </c>
      <c r="V437" s="7" t="n">
        <v>1054.54</v>
      </c>
      <c r="W437" s="7" t="n">
        <v>1054.54</v>
      </c>
      <c r="X437" s="7" t="n">
        <v>1054.54</v>
      </c>
      <c r="Y437" s="7" t="n">
        <v>1054.54</v>
      </c>
      <c r="Z437" s="7" t="n">
        <v>350</v>
      </c>
      <c r="AA437" s="7" t="n">
        <v>0</v>
      </c>
      <c r="AB437" s="7" t="n">
        <v>350</v>
      </c>
    </row>
    <row r="438" customFormat="false" ht="15" hidden="false" customHeight="false" outlineLevel="0" collapsed="false">
      <c r="A438" s="8" t="s">
        <v>1362</v>
      </c>
      <c r="B438" s="8" t="s">
        <v>436</v>
      </c>
      <c r="C438" s="8" t="s">
        <v>156</v>
      </c>
      <c r="D438" s="8" t="s">
        <v>157</v>
      </c>
      <c r="E438" s="8" t="n">
        <v>2003</v>
      </c>
      <c r="F438" s="8" t="s">
        <v>158</v>
      </c>
      <c r="G438" s="8" t="s">
        <v>159</v>
      </c>
      <c r="H438" s="8" t="s">
        <v>1363</v>
      </c>
      <c r="I438" s="8" t="s">
        <v>103</v>
      </c>
      <c r="J438" s="9" t="n">
        <v>690000</v>
      </c>
      <c r="K438" s="8" t="s">
        <v>212</v>
      </c>
      <c r="L438" s="9" t="n">
        <v>12137.12</v>
      </c>
      <c r="M438" s="9" t="n">
        <v>1517.14</v>
      </c>
      <c r="N438" s="9" t="n">
        <v>1517.14</v>
      </c>
      <c r="O438" s="9" t="n">
        <v>9102.8</v>
      </c>
      <c r="P438" s="9" t="n">
        <v>910.28</v>
      </c>
      <c r="Q438" s="9" t="n">
        <v>910.28</v>
      </c>
      <c r="R438" s="9" t="n">
        <v>910.28</v>
      </c>
      <c r="S438" s="9" t="n">
        <v>910.28</v>
      </c>
      <c r="T438" s="9" t="n">
        <v>910.28</v>
      </c>
      <c r="U438" s="9" t="n">
        <v>910.28</v>
      </c>
      <c r="V438" s="9" t="n">
        <v>910.28</v>
      </c>
      <c r="W438" s="9" t="n">
        <v>910.28</v>
      </c>
      <c r="X438" s="9" t="n">
        <v>910.28</v>
      </c>
      <c r="Y438" s="9" t="n">
        <v>910.28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1364</v>
      </c>
      <c r="B439" s="3" t="s">
        <v>1365</v>
      </c>
      <c r="C439" s="3" t="s">
        <v>42</v>
      </c>
      <c r="D439" s="3" t="s">
        <v>43</v>
      </c>
      <c r="E439" s="3" t="n">
        <v>2016</v>
      </c>
      <c r="F439" s="3" t="s">
        <v>231</v>
      </c>
      <c r="G439" s="3" t="s">
        <v>232</v>
      </c>
      <c r="H439" s="3" t="s">
        <v>1366</v>
      </c>
      <c r="I439" s="3" t="s">
        <v>89</v>
      </c>
      <c r="J439" s="7" t="n">
        <v>1950000</v>
      </c>
      <c r="K439" s="3" t="s">
        <v>258</v>
      </c>
      <c r="L439" s="7" t="n">
        <v>26249.73</v>
      </c>
      <c r="M439" s="7" t="n">
        <v>3281.22</v>
      </c>
      <c r="N439" s="7" t="n">
        <v>3281.22</v>
      </c>
      <c r="O439" s="7" t="n">
        <v>19687.3</v>
      </c>
      <c r="P439" s="7" t="n">
        <v>1968.73</v>
      </c>
      <c r="Q439" s="7" t="n">
        <v>1968.73</v>
      </c>
      <c r="R439" s="7" t="n">
        <v>1968.73</v>
      </c>
      <c r="S439" s="7" t="n">
        <v>1968.73</v>
      </c>
      <c r="T439" s="7" t="n">
        <v>1968.73</v>
      </c>
      <c r="U439" s="7" t="n">
        <v>1968.73</v>
      </c>
      <c r="V439" s="7" t="n">
        <v>1968.73</v>
      </c>
      <c r="W439" s="7" t="n">
        <v>1968.73</v>
      </c>
      <c r="X439" s="7" t="n">
        <v>1968.73</v>
      </c>
      <c r="Y439" s="7" t="n">
        <v>1968.73</v>
      </c>
      <c r="Z439" s="7" t="n">
        <v>350</v>
      </c>
      <c r="AA439" s="7" t="n">
        <v>250</v>
      </c>
      <c r="AB439" s="7" t="n">
        <v>600</v>
      </c>
    </row>
    <row r="440" customFormat="false" ht="15" hidden="false" customHeight="false" outlineLevel="0" collapsed="false">
      <c r="A440" s="8" t="s">
        <v>1367</v>
      </c>
      <c r="B440" s="8" t="s">
        <v>1368</v>
      </c>
      <c r="C440" s="8" t="s">
        <v>51</v>
      </c>
      <c r="D440" s="8" t="s">
        <v>52</v>
      </c>
      <c r="E440" s="8" t="n">
        <v>2004</v>
      </c>
      <c r="F440" s="8" t="s">
        <v>53</v>
      </c>
      <c r="G440" s="8" t="s">
        <v>54</v>
      </c>
      <c r="H440" s="8" t="s">
        <v>1369</v>
      </c>
      <c r="I440" s="8" t="s">
        <v>47</v>
      </c>
      <c r="J440" s="9" t="n">
        <v>595000</v>
      </c>
      <c r="K440" s="8" t="s">
        <v>171</v>
      </c>
      <c r="L440" s="9" t="n">
        <v>9057.17</v>
      </c>
      <c r="M440" s="9" t="n">
        <v>1132.15</v>
      </c>
      <c r="N440" s="9" t="n">
        <v>1132.15</v>
      </c>
      <c r="O440" s="9" t="n">
        <v>6792.9</v>
      </c>
      <c r="P440" s="9" t="n">
        <v>679.29</v>
      </c>
      <c r="Q440" s="9" t="n">
        <v>679.29</v>
      </c>
      <c r="R440" s="9" t="n">
        <v>679.29</v>
      </c>
      <c r="S440" s="9" t="n">
        <v>679.29</v>
      </c>
      <c r="T440" s="9" t="n">
        <v>679.29</v>
      </c>
      <c r="U440" s="9" t="n">
        <v>679.29</v>
      </c>
      <c r="V440" s="9" t="n">
        <v>679.29</v>
      </c>
      <c r="W440" s="9" t="n">
        <v>679.29</v>
      </c>
      <c r="X440" s="9" t="n">
        <v>679.29</v>
      </c>
      <c r="Y440" s="9" t="n">
        <v>679.29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1370</v>
      </c>
      <c r="B441" s="3" t="s">
        <v>1371</v>
      </c>
      <c r="C441" s="3" t="s">
        <v>148</v>
      </c>
      <c r="D441" s="3" t="s">
        <v>149</v>
      </c>
      <c r="E441" s="3" t="n">
        <v>1999</v>
      </c>
      <c r="F441" s="3" t="s">
        <v>122</v>
      </c>
      <c r="G441" s="3" t="s">
        <v>123</v>
      </c>
      <c r="H441" s="3" t="s">
        <v>1372</v>
      </c>
      <c r="I441" s="3" t="s">
        <v>47</v>
      </c>
      <c r="J441" s="7" t="n">
        <v>465000</v>
      </c>
      <c r="K441" s="3" t="s">
        <v>48</v>
      </c>
      <c r="L441" s="7" t="n">
        <v>7864.78</v>
      </c>
      <c r="M441" s="7" t="n">
        <v>983.1</v>
      </c>
      <c r="N441" s="7" t="n">
        <v>983.1</v>
      </c>
      <c r="O441" s="7" t="n">
        <v>5898.6</v>
      </c>
      <c r="P441" s="7" t="n">
        <v>589.86</v>
      </c>
      <c r="Q441" s="7" t="n">
        <v>589.86</v>
      </c>
      <c r="R441" s="7" t="n">
        <v>589.86</v>
      </c>
      <c r="S441" s="7" t="n">
        <v>589.86</v>
      </c>
      <c r="T441" s="7" t="n">
        <v>589.86</v>
      </c>
      <c r="U441" s="7" t="n">
        <v>589.86</v>
      </c>
      <c r="V441" s="7" t="n">
        <v>589.86</v>
      </c>
      <c r="W441" s="7" t="n">
        <v>589.86</v>
      </c>
      <c r="X441" s="7" t="n">
        <v>589.86</v>
      </c>
      <c r="Y441" s="7" t="n">
        <v>589.86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1373</v>
      </c>
      <c r="B442" s="8" t="s">
        <v>1374</v>
      </c>
      <c r="C442" s="8" t="s">
        <v>42</v>
      </c>
      <c r="D442" s="8" t="s">
        <v>43</v>
      </c>
      <c r="E442" s="8" t="n">
        <v>1962</v>
      </c>
      <c r="F442" s="8" t="s">
        <v>60</v>
      </c>
      <c r="G442" s="8" t="s">
        <v>143</v>
      </c>
      <c r="H442" s="8" t="s">
        <v>1375</v>
      </c>
      <c r="I442" s="8" t="s">
        <v>145</v>
      </c>
      <c r="J442" s="9" t="n">
        <v>1050000</v>
      </c>
      <c r="K442" s="8" t="s">
        <v>216</v>
      </c>
      <c r="L442" s="9" t="n">
        <v>5945.23</v>
      </c>
      <c r="M442" s="9" t="n">
        <v>743.15</v>
      </c>
      <c r="N442" s="9" t="n">
        <v>743.15</v>
      </c>
      <c r="O442" s="9" t="n">
        <v>4458.9</v>
      </c>
      <c r="P442" s="9" t="n">
        <v>445.89</v>
      </c>
      <c r="Q442" s="9" t="n">
        <v>445.89</v>
      </c>
      <c r="R442" s="9" t="n">
        <v>445.89</v>
      </c>
      <c r="S442" s="9" t="n">
        <v>445.89</v>
      </c>
      <c r="T442" s="9" t="n">
        <v>445.89</v>
      </c>
      <c r="U442" s="9" t="n">
        <v>445.89</v>
      </c>
      <c r="V442" s="9" t="n">
        <v>445.89</v>
      </c>
      <c r="W442" s="9" t="n">
        <v>445.89</v>
      </c>
      <c r="X442" s="9" t="n">
        <v>445.89</v>
      </c>
      <c r="Y442" s="9" t="n">
        <v>445.89</v>
      </c>
      <c r="Z442" s="9" t="n">
        <v>350</v>
      </c>
      <c r="AA442" s="9" t="n">
        <v>250</v>
      </c>
      <c r="AB442" s="9" t="n">
        <v>600</v>
      </c>
    </row>
    <row r="443" customFormat="false" ht="15" hidden="false" customHeight="false" outlineLevel="0" collapsed="false">
      <c r="A443" s="3" t="s">
        <v>1376</v>
      </c>
      <c r="B443" s="3" t="s">
        <v>1093</v>
      </c>
      <c r="C443" s="3" t="s">
        <v>315</v>
      </c>
      <c r="D443" s="3" t="s">
        <v>316</v>
      </c>
      <c r="E443" s="3" t="n">
        <v>1975</v>
      </c>
      <c r="F443" s="3" t="s">
        <v>93</v>
      </c>
      <c r="G443" s="3" t="s">
        <v>94</v>
      </c>
      <c r="H443" s="3" t="s">
        <v>1377</v>
      </c>
      <c r="I443" s="3" t="s">
        <v>96</v>
      </c>
      <c r="J443" s="7" t="n">
        <v>740000</v>
      </c>
      <c r="K443" s="3" t="s">
        <v>794</v>
      </c>
      <c r="L443" s="7" t="n">
        <v>5906.26</v>
      </c>
      <c r="M443" s="7" t="n">
        <v>738.28</v>
      </c>
      <c r="N443" s="7" t="n">
        <v>738.28</v>
      </c>
      <c r="O443" s="7" t="n">
        <v>4429.7</v>
      </c>
      <c r="P443" s="7" t="n">
        <v>442.97</v>
      </c>
      <c r="Q443" s="7" t="n">
        <v>442.97</v>
      </c>
      <c r="R443" s="7" t="n">
        <v>442.97</v>
      </c>
      <c r="S443" s="7" t="n">
        <v>442.97</v>
      </c>
      <c r="T443" s="7" t="n">
        <v>442.97</v>
      </c>
      <c r="U443" s="7" t="n">
        <v>442.97</v>
      </c>
      <c r="V443" s="7" t="n">
        <v>442.97</v>
      </c>
      <c r="W443" s="7" t="n">
        <v>442.97</v>
      </c>
      <c r="X443" s="7" t="n">
        <v>442.97</v>
      </c>
      <c r="Y443" s="7" t="n">
        <v>442.97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1378</v>
      </c>
      <c r="B444" s="8" t="s">
        <v>636</v>
      </c>
      <c r="C444" s="8" t="s">
        <v>112</v>
      </c>
      <c r="D444" s="8" t="s">
        <v>113</v>
      </c>
      <c r="E444" s="8" t="n">
        <v>1994</v>
      </c>
      <c r="F444" s="8" t="s">
        <v>44</v>
      </c>
      <c r="G444" s="8" t="s">
        <v>45</v>
      </c>
      <c r="H444" s="8" t="s">
        <v>1379</v>
      </c>
      <c r="I444" s="8" t="s">
        <v>47</v>
      </c>
      <c r="J444" s="9" t="n">
        <v>1605000</v>
      </c>
      <c r="K444" s="8" t="s">
        <v>420</v>
      </c>
      <c r="L444" s="9" t="n">
        <v>19141.52</v>
      </c>
      <c r="M444" s="9" t="n">
        <v>2392.69</v>
      </c>
      <c r="N444" s="9" t="n">
        <v>2392.69</v>
      </c>
      <c r="O444" s="9" t="n">
        <v>14356.1</v>
      </c>
      <c r="P444" s="9" t="n">
        <v>1435.61</v>
      </c>
      <c r="Q444" s="9" t="n">
        <v>1435.61</v>
      </c>
      <c r="R444" s="9" t="n">
        <v>1435.61</v>
      </c>
      <c r="S444" s="9" t="n">
        <v>1435.61</v>
      </c>
      <c r="T444" s="9" t="n">
        <v>1435.61</v>
      </c>
      <c r="U444" s="9" t="n">
        <v>1435.61</v>
      </c>
      <c r="V444" s="9" t="n">
        <v>1435.61</v>
      </c>
      <c r="W444" s="9" t="n">
        <v>1435.61</v>
      </c>
      <c r="X444" s="9" t="n">
        <v>1435.61</v>
      </c>
      <c r="Y444" s="9" t="n">
        <v>1435.61</v>
      </c>
      <c r="Z444" s="9" t="n">
        <v>350</v>
      </c>
      <c r="AA444" s="9" t="n">
        <v>250</v>
      </c>
      <c r="AB444" s="9" t="n">
        <v>600</v>
      </c>
    </row>
    <row r="445" customFormat="false" ht="15" hidden="false" customHeight="false" outlineLevel="0" collapsed="false">
      <c r="A445" s="3" t="s">
        <v>1380</v>
      </c>
      <c r="B445" s="3" t="s">
        <v>458</v>
      </c>
      <c r="C445" s="3" t="s">
        <v>261</v>
      </c>
      <c r="D445" s="3" t="s">
        <v>262</v>
      </c>
      <c r="E445" s="3" t="n">
        <v>1977</v>
      </c>
      <c r="F445" s="3" t="s">
        <v>60</v>
      </c>
      <c r="G445" s="3" t="s">
        <v>61</v>
      </c>
      <c r="H445" s="3" t="s">
        <v>1381</v>
      </c>
      <c r="I445" s="3" t="s">
        <v>47</v>
      </c>
      <c r="J445" s="7" t="n">
        <v>290000</v>
      </c>
      <c r="K445" s="3" t="s">
        <v>794</v>
      </c>
      <c r="L445" s="7" t="n">
        <v>4037.12</v>
      </c>
      <c r="M445" s="7" t="n">
        <v>504.64</v>
      </c>
      <c r="N445" s="7" t="n">
        <v>504.64</v>
      </c>
      <c r="O445" s="7" t="n">
        <v>3027.8</v>
      </c>
      <c r="P445" s="7" t="n">
        <v>302.78</v>
      </c>
      <c r="Q445" s="7" t="n">
        <v>302.78</v>
      </c>
      <c r="R445" s="7" t="n">
        <v>302.78</v>
      </c>
      <c r="S445" s="7" t="n">
        <v>302.78</v>
      </c>
      <c r="T445" s="7" t="n">
        <v>302.78</v>
      </c>
      <c r="U445" s="7" t="n">
        <v>302.78</v>
      </c>
      <c r="V445" s="7" t="n">
        <v>302.78</v>
      </c>
      <c r="W445" s="7" t="n">
        <v>302.78</v>
      </c>
      <c r="X445" s="7" t="n">
        <v>302.78</v>
      </c>
      <c r="Y445" s="7" t="n">
        <v>302.78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1382</v>
      </c>
      <c r="B446" s="8" t="s">
        <v>50</v>
      </c>
      <c r="C446" s="8" t="s">
        <v>51</v>
      </c>
      <c r="D446" s="8" t="s">
        <v>52</v>
      </c>
      <c r="E446" s="8" t="n">
        <v>1975</v>
      </c>
      <c r="F446" s="8" t="s">
        <v>60</v>
      </c>
      <c r="G446" s="8" t="s">
        <v>61</v>
      </c>
      <c r="H446" s="8" t="s">
        <v>1383</v>
      </c>
      <c r="I446" s="8" t="s">
        <v>47</v>
      </c>
      <c r="J446" s="9" t="n">
        <v>450000</v>
      </c>
      <c r="K446" s="8" t="s">
        <v>460</v>
      </c>
      <c r="L446" s="9" t="n">
        <v>7903.81</v>
      </c>
      <c r="M446" s="9" t="n">
        <v>987.98</v>
      </c>
      <c r="N446" s="9" t="n">
        <v>987.98</v>
      </c>
      <c r="O446" s="9" t="n">
        <v>5927.9</v>
      </c>
      <c r="P446" s="9" t="n">
        <v>592.79</v>
      </c>
      <c r="Q446" s="9" t="n">
        <v>592.79</v>
      </c>
      <c r="R446" s="9" t="n">
        <v>592.79</v>
      </c>
      <c r="S446" s="9" t="n">
        <v>592.79</v>
      </c>
      <c r="T446" s="9" t="n">
        <v>592.79</v>
      </c>
      <c r="U446" s="9" t="n">
        <v>592.79</v>
      </c>
      <c r="V446" s="9" t="n">
        <v>592.79</v>
      </c>
      <c r="W446" s="9" t="n">
        <v>592.79</v>
      </c>
      <c r="X446" s="9" t="n">
        <v>592.79</v>
      </c>
      <c r="Y446" s="9" t="n">
        <v>592.79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1384</v>
      </c>
      <c r="B447" s="3" t="s">
        <v>563</v>
      </c>
      <c r="C447" s="3" t="s">
        <v>261</v>
      </c>
      <c r="D447" s="3" t="s">
        <v>262</v>
      </c>
      <c r="E447" s="3" t="n">
        <v>1968</v>
      </c>
      <c r="F447" s="3" t="s">
        <v>122</v>
      </c>
      <c r="G447" s="3" t="s">
        <v>123</v>
      </c>
      <c r="H447" s="3" t="s">
        <v>1385</v>
      </c>
      <c r="I447" s="3" t="s">
        <v>47</v>
      </c>
      <c r="J447" s="7" t="n">
        <v>490000</v>
      </c>
      <c r="K447" s="3" t="s">
        <v>510</v>
      </c>
      <c r="L447" s="7" t="n">
        <v>6757.59</v>
      </c>
      <c r="M447" s="7" t="n">
        <v>844.7</v>
      </c>
      <c r="N447" s="7" t="n">
        <v>844.7</v>
      </c>
      <c r="O447" s="7" t="n">
        <v>5068.2</v>
      </c>
      <c r="P447" s="7" t="n">
        <v>506.82</v>
      </c>
      <c r="Q447" s="7" t="n">
        <v>506.82</v>
      </c>
      <c r="R447" s="7" t="n">
        <v>506.82</v>
      </c>
      <c r="S447" s="7" t="n">
        <v>506.82</v>
      </c>
      <c r="T447" s="7" t="n">
        <v>506.82</v>
      </c>
      <c r="U447" s="7" t="n">
        <v>506.82</v>
      </c>
      <c r="V447" s="7" t="n">
        <v>506.82</v>
      </c>
      <c r="W447" s="7" t="n">
        <v>506.82</v>
      </c>
      <c r="X447" s="7" t="n">
        <v>506.82</v>
      </c>
      <c r="Y447" s="7" t="n">
        <v>506.82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1386</v>
      </c>
      <c r="B448" s="8" t="s">
        <v>173</v>
      </c>
      <c r="C448" s="8" t="s">
        <v>141</v>
      </c>
      <c r="D448" s="8" t="s">
        <v>142</v>
      </c>
      <c r="E448" s="8" t="n">
        <v>1967</v>
      </c>
      <c r="F448" s="8" t="s">
        <v>53</v>
      </c>
      <c r="G448" s="8" t="s">
        <v>54</v>
      </c>
      <c r="H448" s="8" t="s">
        <v>1387</v>
      </c>
      <c r="I448" s="8" t="s">
        <v>47</v>
      </c>
      <c r="J448" s="9" t="n">
        <v>145000</v>
      </c>
      <c r="K448" s="8" t="s">
        <v>254</v>
      </c>
      <c r="L448" s="9" t="n">
        <v>3054.63</v>
      </c>
      <c r="M448" s="9" t="n">
        <v>381.83</v>
      </c>
      <c r="N448" s="9" t="n">
        <v>381.83</v>
      </c>
      <c r="O448" s="9" t="n">
        <v>2291</v>
      </c>
      <c r="P448" s="9" t="n">
        <v>229.1</v>
      </c>
      <c r="Q448" s="9" t="n">
        <v>229.1</v>
      </c>
      <c r="R448" s="9" t="n">
        <v>229.1</v>
      </c>
      <c r="S448" s="9" t="n">
        <v>229.1</v>
      </c>
      <c r="T448" s="9" t="n">
        <v>229.1</v>
      </c>
      <c r="U448" s="9" t="n">
        <v>229.1</v>
      </c>
      <c r="V448" s="9" t="n">
        <v>229.1</v>
      </c>
      <c r="W448" s="9" t="n">
        <v>229.1</v>
      </c>
      <c r="X448" s="9" t="n">
        <v>229.1</v>
      </c>
      <c r="Y448" s="9" t="n">
        <v>229.1</v>
      </c>
      <c r="Z448" s="9" t="n">
        <v>350</v>
      </c>
      <c r="AA448" s="9" t="n">
        <v>0</v>
      </c>
      <c r="AB448" s="9" t="n">
        <v>350</v>
      </c>
    </row>
    <row r="449" customFormat="false" ht="15" hidden="false" customHeight="false" outlineLevel="0" collapsed="false">
      <c r="A449" s="3" t="s">
        <v>1388</v>
      </c>
      <c r="B449" s="3" t="s">
        <v>301</v>
      </c>
      <c r="C449" s="3" t="s">
        <v>106</v>
      </c>
      <c r="D449" s="3" t="s">
        <v>107</v>
      </c>
      <c r="E449" s="3" t="n">
        <v>2022</v>
      </c>
      <c r="F449" s="3" t="s">
        <v>60</v>
      </c>
      <c r="G449" s="3" t="s">
        <v>61</v>
      </c>
      <c r="H449" s="3" t="s">
        <v>1389</v>
      </c>
      <c r="I449" s="3" t="s">
        <v>47</v>
      </c>
      <c r="J449" s="7" t="n">
        <v>345000</v>
      </c>
      <c r="K449" s="3" t="s">
        <v>71</v>
      </c>
      <c r="L449" s="7" t="n">
        <v>5745.39</v>
      </c>
      <c r="M449" s="7" t="n">
        <v>718.17</v>
      </c>
      <c r="N449" s="7" t="n">
        <v>718.17</v>
      </c>
      <c r="O449" s="7" t="n">
        <v>4309</v>
      </c>
      <c r="P449" s="7" t="n">
        <v>430.9</v>
      </c>
      <c r="Q449" s="7" t="n">
        <v>430.9</v>
      </c>
      <c r="R449" s="7" t="n">
        <v>430.9</v>
      </c>
      <c r="S449" s="7" t="n">
        <v>430.9</v>
      </c>
      <c r="T449" s="7" t="n">
        <v>430.9</v>
      </c>
      <c r="U449" s="7" t="n">
        <v>430.9</v>
      </c>
      <c r="V449" s="7" t="n">
        <v>430.9</v>
      </c>
      <c r="W449" s="7" t="n">
        <v>430.9</v>
      </c>
      <c r="X449" s="7" t="n">
        <v>430.9</v>
      </c>
      <c r="Y449" s="7" t="n">
        <v>430.9</v>
      </c>
      <c r="Z449" s="7" t="n">
        <v>350</v>
      </c>
      <c r="AA449" s="7" t="n">
        <v>0</v>
      </c>
      <c r="AB449" s="7" t="n">
        <v>350</v>
      </c>
    </row>
    <row r="450" customFormat="false" ht="15" hidden="false" customHeight="false" outlineLevel="0" collapsed="false">
      <c r="A450" s="8" t="s">
        <v>1390</v>
      </c>
      <c r="B450" s="8" t="s">
        <v>572</v>
      </c>
      <c r="C450" s="8" t="s">
        <v>134</v>
      </c>
      <c r="D450" s="8" t="s">
        <v>135</v>
      </c>
      <c r="E450" s="8" t="n">
        <v>1993</v>
      </c>
      <c r="F450" s="8" t="s">
        <v>86</v>
      </c>
      <c r="G450" s="8" t="s">
        <v>87</v>
      </c>
      <c r="H450" s="8" t="s">
        <v>1391</v>
      </c>
      <c r="I450" s="8" t="s">
        <v>89</v>
      </c>
      <c r="J450" s="9" t="n">
        <v>580000</v>
      </c>
      <c r="K450" s="8" t="s">
        <v>171</v>
      </c>
      <c r="L450" s="9" t="n">
        <v>12903.7</v>
      </c>
      <c r="M450" s="9" t="n">
        <v>1612.96</v>
      </c>
      <c r="N450" s="9" t="n">
        <v>1612.96</v>
      </c>
      <c r="O450" s="9" t="n">
        <v>9677.8</v>
      </c>
      <c r="P450" s="9" t="n">
        <v>967.78</v>
      </c>
      <c r="Q450" s="9" t="n">
        <v>967.78</v>
      </c>
      <c r="R450" s="9" t="n">
        <v>967.78</v>
      </c>
      <c r="S450" s="9" t="n">
        <v>967.78</v>
      </c>
      <c r="T450" s="9" t="n">
        <v>967.78</v>
      </c>
      <c r="U450" s="9" t="n">
        <v>967.78</v>
      </c>
      <c r="V450" s="9" t="n">
        <v>967.78</v>
      </c>
      <c r="W450" s="9" t="n">
        <v>967.78</v>
      </c>
      <c r="X450" s="9" t="n">
        <v>967.78</v>
      </c>
      <c r="Y450" s="9" t="n">
        <v>967.78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1392</v>
      </c>
      <c r="B451" s="3" t="s">
        <v>1393</v>
      </c>
      <c r="C451" s="3" t="s">
        <v>206</v>
      </c>
      <c r="D451" s="3" t="s">
        <v>207</v>
      </c>
      <c r="E451" s="3" t="n">
        <v>1985</v>
      </c>
      <c r="F451" s="3" t="s">
        <v>53</v>
      </c>
      <c r="G451" s="3" t="s">
        <v>54</v>
      </c>
      <c r="H451" s="3" t="s">
        <v>1394</v>
      </c>
      <c r="I451" s="3" t="s">
        <v>47</v>
      </c>
      <c r="J451" s="7" t="n">
        <v>515000</v>
      </c>
      <c r="K451" s="3" t="s">
        <v>109</v>
      </c>
      <c r="L451" s="7" t="n">
        <v>5806.97</v>
      </c>
      <c r="M451" s="7" t="n">
        <v>725.87</v>
      </c>
      <c r="N451" s="7" t="n">
        <v>725.87</v>
      </c>
      <c r="O451" s="7" t="n">
        <v>4355.2</v>
      </c>
      <c r="P451" s="7" t="n">
        <v>435.52</v>
      </c>
      <c r="Q451" s="7" t="n">
        <v>435.52</v>
      </c>
      <c r="R451" s="7" t="n">
        <v>435.52</v>
      </c>
      <c r="S451" s="7" t="n">
        <v>435.52</v>
      </c>
      <c r="T451" s="7" t="n">
        <v>435.52</v>
      </c>
      <c r="U451" s="7" t="n">
        <v>435.52</v>
      </c>
      <c r="V451" s="7" t="n">
        <v>435.52</v>
      </c>
      <c r="W451" s="7" t="n">
        <v>435.52</v>
      </c>
      <c r="X451" s="7" t="n">
        <v>435.52</v>
      </c>
      <c r="Y451" s="7" t="n">
        <v>435.52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1395</v>
      </c>
      <c r="B452" s="8" t="s">
        <v>1396</v>
      </c>
      <c r="C452" s="8" t="s">
        <v>66</v>
      </c>
      <c r="D452" s="8" t="s">
        <v>67</v>
      </c>
      <c r="E452" s="8" t="n">
        <v>1993</v>
      </c>
      <c r="F452" s="8" t="s">
        <v>114</v>
      </c>
      <c r="G452" s="8" t="s">
        <v>115</v>
      </c>
      <c r="H452" s="8" t="s">
        <v>1397</v>
      </c>
      <c r="I452" s="8" t="s">
        <v>47</v>
      </c>
      <c r="J452" s="9" t="n">
        <v>415000</v>
      </c>
      <c r="K452" s="8" t="s">
        <v>171</v>
      </c>
      <c r="L452" s="9" t="n">
        <v>7289.07</v>
      </c>
      <c r="M452" s="9" t="n">
        <v>911.13</v>
      </c>
      <c r="N452" s="9" t="n">
        <v>911.13</v>
      </c>
      <c r="O452" s="9" t="n">
        <v>5466.8</v>
      </c>
      <c r="P452" s="9" t="n">
        <v>546.68</v>
      </c>
      <c r="Q452" s="9" t="n">
        <v>546.68</v>
      </c>
      <c r="R452" s="9" t="n">
        <v>546.68</v>
      </c>
      <c r="S452" s="9" t="n">
        <v>546.68</v>
      </c>
      <c r="T452" s="9" t="n">
        <v>546.68</v>
      </c>
      <c r="U452" s="9" t="n">
        <v>546.68</v>
      </c>
      <c r="V452" s="9" t="n">
        <v>546.68</v>
      </c>
      <c r="W452" s="9" t="n">
        <v>546.68</v>
      </c>
      <c r="X452" s="9" t="n">
        <v>546.68</v>
      </c>
      <c r="Y452" s="9" t="n">
        <v>546.68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1398</v>
      </c>
      <c r="B453" s="3" t="s">
        <v>1399</v>
      </c>
      <c r="C453" s="3" t="s">
        <v>229</v>
      </c>
      <c r="D453" s="3" t="s">
        <v>230</v>
      </c>
      <c r="E453" s="3" t="n">
        <v>1956</v>
      </c>
      <c r="F453" s="3" t="s">
        <v>496</v>
      </c>
      <c r="G453" s="3" t="s">
        <v>497</v>
      </c>
      <c r="H453" s="3" t="s">
        <v>1400</v>
      </c>
      <c r="I453" s="3" t="s">
        <v>145</v>
      </c>
      <c r="J453" s="7" t="n">
        <v>1950000</v>
      </c>
      <c r="K453" s="3" t="s">
        <v>222</v>
      </c>
      <c r="L453" s="7" t="n">
        <v>10926.11</v>
      </c>
      <c r="M453" s="7" t="n">
        <v>1365.76</v>
      </c>
      <c r="N453" s="7" t="n">
        <v>1365.76</v>
      </c>
      <c r="O453" s="7" t="n">
        <v>8194.6</v>
      </c>
      <c r="P453" s="7" t="n">
        <v>819.46</v>
      </c>
      <c r="Q453" s="7" t="n">
        <v>819.46</v>
      </c>
      <c r="R453" s="7" t="n">
        <v>819.46</v>
      </c>
      <c r="S453" s="7" t="n">
        <v>819.46</v>
      </c>
      <c r="T453" s="7" t="n">
        <v>819.46</v>
      </c>
      <c r="U453" s="7" t="n">
        <v>819.46</v>
      </c>
      <c r="V453" s="7" t="n">
        <v>819.46</v>
      </c>
      <c r="W453" s="7" t="n">
        <v>819.46</v>
      </c>
      <c r="X453" s="7" t="n">
        <v>819.46</v>
      </c>
      <c r="Y453" s="7" t="n">
        <v>819.46</v>
      </c>
      <c r="Z453" s="7" t="n">
        <v>350</v>
      </c>
      <c r="AA453" s="7" t="n">
        <v>250</v>
      </c>
      <c r="AB453" s="7" t="n">
        <v>600</v>
      </c>
    </row>
    <row r="454" customFormat="false" ht="15" hidden="false" customHeight="false" outlineLevel="0" collapsed="false">
      <c r="A454" s="8" t="s">
        <v>1401</v>
      </c>
      <c r="B454" s="8" t="s">
        <v>1402</v>
      </c>
      <c r="C454" s="8" t="s">
        <v>156</v>
      </c>
      <c r="D454" s="8" t="s">
        <v>157</v>
      </c>
      <c r="E454" s="8" t="n">
        <v>2002</v>
      </c>
      <c r="F454" s="8" t="s">
        <v>60</v>
      </c>
      <c r="G454" s="8" t="s">
        <v>61</v>
      </c>
      <c r="H454" s="8" t="s">
        <v>1403</v>
      </c>
      <c r="I454" s="8" t="s">
        <v>47</v>
      </c>
      <c r="J454" s="9" t="n">
        <v>855000</v>
      </c>
      <c r="K454" s="8" t="s">
        <v>109</v>
      </c>
      <c r="L454" s="9" t="n">
        <v>9640.69</v>
      </c>
      <c r="M454" s="9" t="n">
        <v>1205.09</v>
      </c>
      <c r="N454" s="9" t="n">
        <v>1205.09</v>
      </c>
      <c r="O454" s="9" t="n">
        <v>7230.5</v>
      </c>
      <c r="P454" s="9" t="n">
        <v>723.05</v>
      </c>
      <c r="Q454" s="9" t="n">
        <v>723.05</v>
      </c>
      <c r="R454" s="9" t="n">
        <v>723.05</v>
      </c>
      <c r="S454" s="9" t="n">
        <v>723.05</v>
      </c>
      <c r="T454" s="9" t="n">
        <v>723.05</v>
      </c>
      <c r="U454" s="9" t="n">
        <v>723.05</v>
      </c>
      <c r="V454" s="9" t="n">
        <v>723.05</v>
      </c>
      <c r="W454" s="9" t="n">
        <v>723.05</v>
      </c>
      <c r="X454" s="9" t="n">
        <v>723.05</v>
      </c>
      <c r="Y454" s="9" t="n">
        <v>723.05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1404</v>
      </c>
      <c r="B455" s="3" t="s">
        <v>706</v>
      </c>
      <c r="C455" s="3" t="s">
        <v>156</v>
      </c>
      <c r="D455" s="3" t="s">
        <v>157</v>
      </c>
      <c r="E455" s="3" t="n">
        <v>2023</v>
      </c>
      <c r="F455" s="3" t="s">
        <v>114</v>
      </c>
      <c r="G455" s="3" t="s">
        <v>115</v>
      </c>
      <c r="H455" s="3" t="s">
        <v>1405</v>
      </c>
      <c r="I455" s="3" t="s">
        <v>47</v>
      </c>
      <c r="J455" s="7" t="n">
        <v>800000</v>
      </c>
      <c r="K455" s="3" t="s">
        <v>725</v>
      </c>
      <c r="L455" s="7" t="n">
        <v>10554.02</v>
      </c>
      <c r="M455" s="7" t="n">
        <v>1319.25</v>
      </c>
      <c r="N455" s="7" t="n">
        <v>1319.25</v>
      </c>
      <c r="O455" s="7" t="n">
        <v>7915.5</v>
      </c>
      <c r="P455" s="7" t="n">
        <v>791.55</v>
      </c>
      <c r="Q455" s="7" t="n">
        <v>791.55</v>
      </c>
      <c r="R455" s="7" t="n">
        <v>791.55</v>
      </c>
      <c r="S455" s="7" t="n">
        <v>791.55</v>
      </c>
      <c r="T455" s="7" t="n">
        <v>791.55</v>
      </c>
      <c r="U455" s="7" t="n">
        <v>791.55</v>
      </c>
      <c r="V455" s="7" t="n">
        <v>791.55</v>
      </c>
      <c r="W455" s="7" t="n">
        <v>791.55</v>
      </c>
      <c r="X455" s="7" t="n">
        <v>791.55</v>
      </c>
      <c r="Y455" s="7" t="n">
        <v>791.55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1406</v>
      </c>
      <c r="B456" s="8" t="s">
        <v>1182</v>
      </c>
      <c r="C456" s="8" t="s">
        <v>120</v>
      </c>
      <c r="D456" s="8" t="s">
        <v>121</v>
      </c>
      <c r="E456" s="8" t="n">
        <v>1957</v>
      </c>
      <c r="F456" s="8" t="s">
        <v>44</v>
      </c>
      <c r="G456" s="8" t="s">
        <v>45</v>
      </c>
      <c r="H456" s="8" t="s">
        <v>1407</v>
      </c>
      <c r="I456" s="8" t="s">
        <v>47</v>
      </c>
      <c r="J456" s="9" t="n">
        <v>1115000</v>
      </c>
      <c r="K456" s="8" t="s">
        <v>48</v>
      </c>
      <c r="L456" s="9" t="n">
        <v>13829.6</v>
      </c>
      <c r="M456" s="9" t="n">
        <v>1728.7</v>
      </c>
      <c r="N456" s="9" t="n">
        <v>1728.7</v>
      </c>
      <c r="O456" s="9" t="n">
        <v>10372.2</v>
      </c>
      <c r="P456" s="9" t="n">
        <v>1037.22</v>
      </c>
      <c r="Q456" s="9" t="n">
        <v>1037.22</v>
      </c>
      <c r="R456" s="9" t="n">
        <v>1037.22</v>
      </c>
      <c r="S456" s="9" t="n">
        <v>1037.22</v>
      </c>
      <c r="T456" s="9" t="n">
        <v>1037.22</v>
      </c>
      <c r="U456" s="9" t="n">
        <v>1037.22</v>
      </c>
      <c r="V456" s="9" t="n">
        <v>1037.22</v>
      </c>
      <c r="W456" s="9" t="n">
        <v>1037.22</v>
      </c>
      <c r="X456" s="9" t="n">
        <v>1037.22</v>
      </c>
      <c r="Y456" s="9" t="n">
        <v>1037.22</v>
      </c>
      <c r="Z456" s="9" t="n">
        <v>350</v>
      </c>
      <c r="AA456" s="9" t="n">
        <v>250</v>
      </c>
      <c r="AB456" s="9" t="n">
        <v>600</v>
      </c>
    </row>
    <row r="457" customFormat="false" ht="15" hidden="false" customHeight="false" outlineLevel="0" collapsed="false">
      <c r="A457" s="3" t="s">
        <v>1408</v>
      </c>
      <c r="B457" s="3" t="s">
        <v>311</v>
      </c>
      <c r="C457" s="3" t="s">
        <v>163</v>
      </c>
      <c r="D457" s="3" t="s">
        <v>164</v>
      </c>
      <c r="E457" s="3" t="n">
        <v>1976</v>
      </c>
      <c r="F457" s="3" t="s">
        <v>53</v>
      </c>
      <c r="G457" s="3" t="s">
        <v>54</v>
      </c>
      <c r="H457" s="3" t="s">
        <v>1409</v>
      </c>
      <c r="I457" s="3" t="s">
        <v>47</v>
      </c>
      <c r="J457" s="7" t="n">
        <v>450000</v>
      </c>
      <c r="K457" s="3" t="s">
        <v>258</v>
      </c>
      <c r="L457" s="7" t="n">
        <v>5679.03</v>
      </c>
      <c r="M457" s="7" t="n">
        <v>709.88</v>
      </c>
      <c r="N457" s="7" t="n">
        <v>709.88</v>
      </c>
      <c r="O457" s="7" t="n">
        <v>4259.3</v>
      </c>
      <c r="P457" s="7" t="n">
        <v>425.93</v>
      </c>
      <c r="Q457" s="7" t="n">
        <v>425.93</v>
      </c>
      <c r="R457" s="7" t="n">
        <v>425.93</v>
      </c>
      <c r="S457" s="7" t="n">
        <v>425.93</v>
      </c>
      <c r="T457" s="7" t="n">
        <v>425.93</v>
      </c>
      <c r="U457" s="7" t="n">
        <v>425.93</v>
      </c>
      <c r="V457" s="7" t="n">
        <v>425.93</v>
      </c>
      <c r="W457" s="7" t="n">
        <v>425.93</v>
      </c>
      <c r="X457" s="7" t="n">
        <v>425.93</v>
      </c>
      <c r="Y457" s="7" t="n">
        <v>425.93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1410</v>
      </c>
      <c r="B458" s="8" t="s">
        <v>1124</v>
      </c>
      <c r="C458" s="8" t="s">
        <v>179</v>
      </c>
      <c r="D458" s="8" t="s">
        <v>180</v>
      </c>
      <c r="E458" s="8" t="n">
        <v>1979</v>
      </c>
      <c r="F458" s="8" t="s">
        <v>93</v>
      </c>
      <c r="G458" s="8" t="s">
        <v>94</v>
      </c>
      <c r="H458" s="8" t="s">
        <v>1411</v>
      </c>
      <c r="I458" s="8" t="s">
        <v>96</v>
      </c>
      <c r="J458" s="9" t="n">
        <v>1950000</v>
      </c>
      <c r="K458" s="8" t="s">
        <v>117</v>
      </c>
      <c r="L458" s="9" t="n">
        <v>14782.39</v>
      </c>
      <c r="M458" s="9" t="n">
        <v>1847.8</v>
      </c>
      <c r="N458" s="9" t="n">
        <v>1847.8</v>
      </c>
      <c r="O458" s="9" t="n">
        <v>11086.8</v>
      </c>
      <c r="P458" s="9" t="n">
        <v>1108.68</v>
      </c>
      <c r="Q458" s="9" t="n">
        <v>1108.68</v>
      </c>
      <c r="R458" s="9" t="n">
        <v>1108.68</v>
      </c>
      <c r="S458" s="9" t="n">
        <v>1108.68</v>
      </c>
      <c r="T458" s="9" t="n">
        <v>1108.68</v>
      </c>
      <c r="U458" s="9" t="n">
        <v>1108.68</v>
      </c>
      <c r="V458" s="9" t="n">
        <v>1108.68</v>
      </c>
      <c r="W458" s="9" t="n">
        <v>1108.68</v>
      </c>
      <c r="X458" s="9" t="n">
        <v>1108.68</v>
      </c>
      <c r="Y458" s="9" t="n">
        <v>1108.68</v>
      </c>
      <c r="Z458" s="9" t="n">
        <v>350</v>
      </c>
      <c r="AA458" s="9" t="n">
        <v>250</v>
      </c>
      <c r="AB458" s="9" t="n">
        <v>600</v>
      </c>
    </row>
    <row r="459" customFormat="false" ht="15" hidden="false" customHeight="false" outlineLevel="0" collapsed="false">
      <c r="A459" s="3" t="s">
        <v>1412</v>
      </c>
      <c r="B459" s="3" t="s">
        <v>549</v>
      </c>
      <c r="C459" s="3" t="s">
        <v>120</v>
      </c>
      <c r="D459" s="3" t="s">
        <v>121</v>
      </c>
      <c r="E459" s="3" t="n">
        <v>1966</v>
      </c>
      <c r="F459" s="3" t="s">
        <v>231</v>
      </c>
      <c r="G459" s="3" t="s">
        <v>232</v>
      </c>
      <c r="H459" s="3" t="s">
        <v>1413</v>
      </c>
      <c r="I459" s="3" t="s">
        <v>89</v>
      </c>
      <c r="J459" s="7" t="n">
        <v>205000</v>
      </c>
      <c r="K459" s="3" t="s">
        <v>117</v>
      </c>
      <c r="L459" s="7" t="n">
        <v>5807.22</v>
      </c>
      <c r="M459" s="7" t="n">
        <v>725.9</v>
      </c>
      <c r="N459" s="7" t="n">
        <v>725.9</v>
      </c>
      <c r="O459" s="7" t="n">
        <v>4355.4</v>
      </c>
      <c r="P459" s="7" t="n">
        <v>435.54</v>
      </c>
      <c r="Q459" s="7" t="n">
        <v>435.54</v>
      </c>
      <c r="R459" s="7" t="n">
        <v>435.54</v>
      </c>
      <c r="S459" s="7" t="n">
        <v>435.54</v>
      </c>
      <c r="T459" s="7" t="n">
        <v>435.54</v>
      </c>
      <c r="U459" s="7" t="n">
        <v>435.54</v>
      </c>
      <c r="V459" s="7" t="n">
        <v>435.54</v>
      </c>
      <c r="W459" s="7" t="n">
        <v>435.54</v>
      </c>
      <c r="X459" s="7" t="n">
        <v>435.54</v>
      </c>
      <c r="Y459" s="7" t="n">
        <v>435.54</v>
      </c>
      <c r="Z459" s="7" t="n">
        <v>350</v>
      </c>
      <c r="AA459" s="7" t="n">
        <v>0</v>
      </c>
      <c r="AB459" s="7" t="n">
        <v>350</v>
      </c>
    </row>
    <row r="460" customFormat="false" ht="15" hidden="false" customHeight="false" outlineLevel="0" collapsed="false">
      <c r="A460" s="10" t="s">
        <v>1414</v>
      </c>
      <c r="J460" s="11" t="n">
        <f aca="false">SUM(J5:J459)</f>
        <v>324425000</v>
      </c>
      <c r="L460" s="11" t="n">
        <f aca="false">SUM(L5:L459)</f>
        <v>4514138.21</v>
      </c>
      <c r="M460" s="11" t="n">
        <f aca="false">SUM(M5:M459)</f>
        <v>564267.25</v>
      </c>
      <c r="N460" s="11" t="n">
        <f aca="false">SUM(N5:N459)</f>
        <v>564267.25</v>
      </c>
      <c r="O460" s="11" t="n">
        <f aca="false">SUM(O5:O459)</f>
        <v>3385604.2</v>
      </c>
      <c r="P460" s="11" t="n">
        <f aca="false">SUM(P5:P459)</f>
        <v>338560.42</v>
      </c>
      <c r="Q460" s="11" t="n">
        <f aca="false">SUM(Q5:Q459)</f>
        <v>338560.42</v>
      </c>
      <c r="R460" s="11" t="n">
        <f aca="false">SUM(R5:R459)</f>
        <v>338560.42</v>
      </c>
      <c r="S460" s="11" t="n">
        <f aca="false">SUM(S5:S459)</f>
        <v>338560.42</v>
      </c>
      <c r="T460" s="11" t="n">
        <f aca="false">SUM(T5:T459)</f>
        <v>338560.42</v>
      </c>
      <c r="U460" s="11" t="n">
        <f aca="false">SUM(U5:U459)</f>
        <v>338560.42</v>
      </c>
      <c r="V460" s="11" t="n">
        <f aca="false">SUM(V5:V459)</f>
        <v>338560.42</v>
      </c>
      <c r="W460" s="11" t="n">
        <f aca="false">SUM(W5:W459)</f>
        <v>338560.42</v>
      </c>
      <c r="X460" s="11" t="n">
        <f aca="false">SUM(X5:X459)</f>
        <v>338560.42</v>
      </c>
      <c r="Y460" s="11" t="n">
        <f aca="false">SUM(Y5:Y459)</f>
        <v>338560.42</v>
      </c>
      <c r="Z460" s="11" t="n">
        <f aca="false">SUM(Z5:Z459)</f>
        <v>159250</v>
      </c>
      <c r="AA460" s="11" t="n">
        <f aca="false">SUM(AA5:AA459)</f>
        <v>24500</v>
      </c>
      <c r="AB460" s="11" t="n">
        <f aca="false">SUM(AB5:AB459)</f>
        <v>183750</v>
      </c>
    </row>
    <row r="461" customFormat="false" ht="15" hidden="false" customHeight="false" outlineLevel="0" collapsed="false">
      <c r="A461" s="10" t="s">
        <v>1415</v>
      </c>
      <c r="L461" s="11" t="n">
        <f aca="false">M460+N460+SUM(P460:Y460)</f>
        <v>4514138.7</v>
      </c>
    </row>
    <row r="462" customFormat="false" ht="15" hidden="false" customHeight="false" outlineLevel="0" collapsed="false">
      <c r="A462" s="10" t="s">
        <v>1416</v>
      </c>
      <c r="L462" s="11" t="n">
        <f aca="false">ROUND(L460-(M460+N460+SUM(P460:Y460)),2)</f>
        <v>-0.49</v>
      </c>
    </row>
    <row r="463" customFormat="false" ht="15" hidden="false" customHeight="false" outlineLevel="0" collapsed="false">
      <c r="A463" s="10" t="s">
        <v>1417</v>
      </c>
      <c r="L463" s="11" t="n">
        <f aca="false">M460+N460+SUM(P460:Y460)+L462</f>
        <v>4514138.21</v>
      </c>
    </row>
  </sheetData>
  <autoFilter ref="A4:AB459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1418</v>
      </c>
      <c r="B1" s="4"/>
      <c r="C1" s="4"/>
    </row>
    <row r="2" customFormat="false" ht="15" hidden="false" customHeight="false" outlineLevel="0" collapsed="false">
      <c r="A2" s="5" t="s">
        <v>1419</v>
      </c>
      <c r="B2" s="5"/>
      <c r="C2" s="5"/>
    </row>
    <row r="4" customFormat="false" ht="15" hidden="false" customHeight="false" outlineLevel="0" collapsed="false">
      <c r="A4" s="6" t="s">
        <v>1420</v>
      </c>
      <c r="B4" s="6" t="s">
        <v>1421</v>
      </c>
      <c r="C4" s="6" t="s">
        <v>1422</v>
      </c>
    </row>
    <row r="5" customFormat="false" ht="15" hidden="false" customHeight="false" outlineLevel="0" collapsed="false">
      <c r="A5" s="12" t="s">
        <v>1423</v>
      </c>
      <c r="B5" s="13" t="n">
        <f aca="false">COUNTA(Bordereau!A5:A459)</f>
        <v>455</v>
      </c>
      <c r="C5" s="14" t="n">
        <v>455</v>
      </c>
    </row>
    <row r="6" customFormat="false" ht="15" hidden="false" customHeight="false" outlineLevel="0" collapsed="false">
      <c r="A6" s="15" t="s">
        <v>4</v>
      </c>
      <c r="B6" s="16" t="n">
        <f aca="false">SUM(Bordereau!L5:L459)</f>
        <v>4514138.21</v>
      </c>
      <c r="C6" s="17" t="n">
        <v>4514138.21</v>
      </c>
    </row>
    <row r="7" customFormat="false" ht="15" hidden="false" customHeight="false" outlineLevel="0" collapsed="false">
      <c r="A7" s="15" t="s">
        <v>1424</v>
      </c>
      <c r="B7" s="16" t="n">
        <f aca="false">B6/B5</f>
        <v>9921.18287912088</v>
      </c>
      <c r="C7" s="17" t="n">
        <v>9921.18</v>
      </c>
    </row>
    <row r="8" customFormat="false" ht="15" hidden="false" customHeight="false" outlineLevel="0" collapsed="false">
      <c r="A8" s="15" t="s">
        <v>1425</v>
      </c>
      <c r="B8" s="16" t="n">
        <f aca="false">SUM(Bordereau!M5:M459)</f>
        <v>564267.25</v>
      </c>
      <c r="C8" s="18"/>
    </row>
    <row r="9" customFormat="false" ht="15" hidden="false" customHeight="false" outlineLevel="0" collapsed="false">
      <c r="A9" s="15" t="s">
        <v>1426</v>
      </c>
      <c r="B9" s="16" t="n">
        <f aca="false">SUM(Bordereau!N5:N459)</f>
        <v>564267.25</v>
      </c>
      <c r="C9" s="18"/>
    </row>
    <row r="10" customFormat="false" ht="15" hidden="false" customHeight="false" outlineLevel="0" collapsed="false">
      <c r="A10" s="15" t="s">
        <v>1427</v>
      </c>
      <c r="B10" s="16" t="n">
        <f aca="false">SUM(Bordereau!O5:O459)</f>
        <v>3385604.2</v>
      </c>
      <c r="C10" s="18"/>
    </row>
    <row r="11" customFormat="false" ht="15" hidden="false" customHeight="false" outlineLevel="0" collapsed="false">
      <c r="A11" s="15" t="s">
        <v>1428</v>
      </c>
      <c r="B11" s="16" t="n">
        <f aca="false">SUM(Bordereau!P5:P459)</f>
        <v>338560.42</v>
      </c>
      <c r="C11" s="18"/>
    </row>
    <row r="12" customFormat="false" ht="15" hidden="false" customHeight="false" outlineLevel="0" collapsed="false">
      <c r="A12" s="15" t="s">
        <v>1429</v>
      </c>
      <c r="B12" s="16" t="n">
        <f aca="false">SUM(Bordereau!Q5:Q459)</f>
        <v>338560.42</v>
      </c>
      <c r="C12" s="18"/>
    </row>
    <row r="13" customFormat="false" ht="15" hidden="false" customHeight="false" outlineLevel="0" collapsed="false">
      <c r="A13" s="15" t="s">
        <v>1430</v>
      </c>
      <c r="B13" s="16" t="n">
        <f aca="false">SUM(Bordereau!R5:R459)</f>
        <v>338560.42</v>
      </c>
      <c r="C13" s="18"/>
    </row>
    <row r="14" customFormat="false" ht="15" hidden="false" customHeight="false" outlineLevel="0" collapsed="false">
      <c r="A14" s="15" t="s">
        <v>1431</v>
      </c>
      <c r="B14" s="16" t="n">
        <f aca="false">SUM(Bordereau!S5:S459)</f>
        <v>338560.42</v>
      </c>
      <c r="C14" s="18"/>
    </row>
    <row r="15" customFormat="false" ht="15" hidden="false" customHeight="false" outlineLevel="0" collapsed="false">
      <c r="A15" s="15" t="s">
        <v>1432</v>
      </c>
      <c r="B15" s="16" t="n">
        <f aca="false">SUM(Bordereau!T5:T459)</f>
        <v>338560.42</v>
      </c>
      <c r="C15" s="18"/>
    </row>
    <row r="16" customFormat="false" ht="15" hidden="false" customHeight="false" outlineLevel="0" collapsed="false">
      <c r="A16" s="15" t="s">
        <v>1433</v>
      </c>
      <c r="B16" s="16" t="n">
        <f aca="false">SUM(Bordereau!U5:U459)</f>
        <v>338560.42</v>
      </c>
      <c r="C16" s="18"/>
    </row>
    <row r="17" customFormat="false" ht="15" hidden="false" customHeight="false" outlineLevel="0" collapsed="false">
      <c r="A17" s="15" t="s">
        <v>1434</v>
      </c>
      <c r="B17" s="16" t="n">
        <f aca="false">SUM(Bordereau!V5:V459)</f>
        <v>338560.42</v>
      </c>
      <c r="C17" s="18"/>
    </row>
    <row r="18" customFormat="false" ht="15" hidden="false" customHeight="false" outlineLevel="0" collapsed="false">
      <c r="A18" s="15" t="s">
        <v>1435</v>
      </c>
      <c r="B18" s="16" t="n">
        <f aca="false">SUM(Bordereau!W5:W459)</f>
        <v>338560.42</v>
      </c>
      <c r="C18" s="18"/>
    </row>
    <row r="19" customFormat="false" ht="15" hidden="false" customHeight="false" outlineLevel="0" collapsed="false">
      <c r="A19" s="15" t="s">
        <v>1436</v>
      </c>
      <c r="B19" s="16" t="n">
        <f aca="false">SUM(Bordereau!X5:X459)</f>
        <v>338560.42</v>
      </c>
      <c r="C19" s="18"/>
    </row>
    <row r="20" customFormat="false" ht="15" hidden="false" customHeight="false" outlineLevel="0" collapsed="false">
      <c r="A20" s="15" t="s">
        <v>1437</v>
      </c>
      <c r="B20" s="16" t="n">
        <f aca="false">SUM(Bordereau!Y5:Y459)</f>
        <v>338560.42</v>
      </c>
      <c r="C20" s="18"/>
    </row>
    <row r="21" customFormat="false" ht="15" hidden="false" customHeight="false" outlineLevel="0" collapsed="false">
      <c r="A21" s="15" t="s">
        <v>1438</v>
      </c>
      <c r="B21" s="16" t="n">
        <f aca="false">SUM(Bordereau!Z5:Z459)</f>
        <v>159250</v>
      </c>
      <c r="C21" s="18"/>
    </row>
    <row r="22" customFormat="false" ht="15" hidden="false" customHeight="false" outlineLevel="0" collapsed="false">
      <c r="A22" s="15" t="s">
        <v>1439</v>
      </c>
      <c r="B22" s="16" t="n">
        <f aca="false">SUM(Bordereau!AA5:AA459)</f>
        <v>24500</v>
      </c>
      <c r="C22" s="18"/>
    </row>
    <row r="23" customFormat="false" ht="15" hidden="false" customHeight="false" outlineLevel="0" collapsed="false">
      <c r="A23" s="15" t="s">
        <v>1440</v>
      </c>
      <c r="B23" s="16" t="n">
        <f aca="false">SUM(Bordereau!AB5:AB459)</f>
        <v>183750</v>
      </c>
      <c r="C23" s="18"/>
    </row>
    <row r="24" customFormat="false" ht="15" hidden="false" customHeight="false" outlineLevel="0" collapsed="false">
      <c r="A24" s="12" t="s">
        <v>1441</v>
      </c>
      <c r="B24" s="19" t="n">
        <f aca="false">B8+B9+B10</f>
        <v>4514138.7</v>
      </c>
      <c r="C24" s="18"/>
    </row>
    <row r="25" customFormat="false" ht="15" hidden="false" customHeight="false" outlineLevel="0" collapsed="false">
      <c r="A25" s="12" t="s">
        <v>1416</v>
      </c>
      <c r="B25" s="19" t="n">
        <f aca="false">ROUND(B6-(B8+B9+B10),2)</f>
        <v>-0.49</v>
      </c>
      <c r="C25" s="18"/>
    </row>
    <row r="26" customFormat="false" ht="15" hidden="false" customHeight="false" outlineLevel="0" collapsed="false">
      <c r="A26" s="12" t="s">
        <v>1442</v>
      </c>
      <c r="B26" s="19" t="n">
        <f aca="false">B24+B25</f>
        <v>4514138.21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2026-08-28T18:11:18Z</dcterms:created>
  <dc:creator>openpyxl</dc:creator>
  <dc:description/>
  <dc:language>en-US</dc:language>
  <cp:lastModifiedBy/>
  <dcterms:modified xsi:type="dcterms:W3CDTF">2026-08-28T18:11:18Z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