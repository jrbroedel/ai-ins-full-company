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<sst xmlns="http://schemas.openxmlformats.org/spreadsheetml/2006/main" count="621" uniqueCount="445">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</sst>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Bordereaux'!$D$5:$D$558,"Bound*",'UW Bordereaux'!$AD$5:$AD$558))*$D24</f>
      </c>
      <c r="F24" s="15">
        <f>(SUMIF('UW Bordereaux'!$D$5:$D$558,"Bound*",'UW Bordereaux'!$AB$5:$AB$558))*$D24</f>
      </c>
      <c r="G24" s="15">
        <f>(SUMIF('UW Bordereaux'!$D$5:$D$558,"Bound*",'UW Bordereaux'!$AQ$5:$AQ$558))*$D24</f>
      </c>
    </row>
    <row r="25" spans="2:7" ht="15" customHeight="1" x14ac:dyDescent="0.25">
      <c r="B25" s="16" t="s">
        <v>77</v>
      </c>
      <c r="C25" s="17" t="s">
        <v>78</v>
      </c>
      <c r="D25" s="18">
        <v>0.1</v>
      </c>
      <c r="E25" s="19">
        <f>(SUMIF('UW Bordereaux'!$D$5:$D$558,"Bound*",'UW Bordereaux'!$AD$5:$AD$558))*$D25</f>
      </c>
      <c r="F25" s="19">
        <f>(SUMIF('UW Bordereaux'!$D$5:$D$558,"Bound*",'UW Bordereaux'!$AB$5:$AB$558))*$D25</f>
      </c>
      <c r="G25" s="19">
        <f>(SUMIF('UW Bordereaux'!$D$5:$D$558,"Bound*",'UW Bordereaux'!$AQ$5:$AQ$558))*$D25</f>
      </c>
    </row>
    <row r="26" spans="2:7" ht="15" customHeight="1" x14ac:dyDescent="0.25">
      <c r="B26" s="13" t="s">
        <v>79</v>
      </c>
      <c r="C26" s="14" t="s">
        <v>80</v>
      </c>
      <c r="D26" s="6">
        <v>0.1</v>
      </c>
      <c r="E26" s="15">
        <f>(SUMIF('UW Bordereaux'!$D$5:$D$558,"Bound*",'UW Bordereaux'!$AD$5:$AD$558))*$D26</f>
      </c>
      <c r="F26" s="15">
        <f>(SUMIF('UW Bordereaux'!$D$5:$D$558,"Bound*",'UW Bordereaux'!$AB$5:$AB$558))*$D26</f>
      </c>
      <c r="G26" s="15">
        <f>(SUMIF('UW Bordereaux'!$D$5:$D$558,"Bound*",'UW Bordereaux'!$AQ$5:$AQ$558))*$D26</f>
      </c>
    </row>
    <row r="27" spans="2:7" ht="15" customHeight="1" x14ac:dyDescent="0.25">
      <c r="B27" s="16" t="s">
        <v>81</v>
      </c>
      <c r="C27" s="17" t="s">
        <v>82</v>
      </c>
      <c r="D27" s="18">
        <v>0.1</v>
      </c>
      <c r="E27" s="19">
        <f>(SUMIF('UW Bordereaux'!$D$5:$D$558,"Bound*",'UW Bordereaux'!$AD$5:$AD$558))*$D27</f>
      </c>
      <c r="F27" s="19">
        <f>(SUMIF('UW Bordereaux'!$D$5:$D$558,"Bound*",'UW Bordereaux'!$AB$5:$AB$558))*$D27</f>
      </c>
      <c r="G27" s="19">
        <f>(SUMIF('UW Bordereaux'!$D$5:$D$558,"Bound*",'UW Bordereaux'!$AQ$5:$AQ$558))*$D27</f>
      </c>
    </row>
    <row r="28" spans="2:7" ht="15" customHeight="1" x14ac:dyDescent="0.25">
      <c r="B28" s="13" t="s">
        <v>83</v>
      </c>
      <c r="C28" s="14" t="s">
        <v>84</v>
      </c>
      <c r="D28" s="6">
        <v>0.1</v>
      </c>
      <c r="E28" s="15">
        <f>(SUMIF('UW Bordereaux'!$D$5:$D$558,"Bound*",'UW Bordereaux'!$AD$5:$AD$558))*$D28</f>
      </c>
      <c r="F28" s="15">
        <f>(SUMIF('UW Bordereaux'!$D$5:$D$558,"Bound*",'UW Bordereaux'!$AB$5:$AB$558))*$D28</f>
      </c>
      <c r="G28" s="15">
        <f>(SUMIF('UW Bordereaux'!$D$5:$D$558,"Bound*",'UW Bordereaux'!$AQ$5:$AQ$558))*$D28</f>
      </c>
    </row>
    <row r="29" spans="2:7" ht="15" customHeight="1" x14ac:dyDescent="0.25">
      <c r="B29" s="16" t="s">
        <v>85</v>
      </c>
      <c r="C29" s="17" t="s">
        <v>86</v>
      </c>
      <c r="D29" s="18">
        <v>0.1</v>
      </c>
      <c r="E29" s="19">
        <f>(SUMIF('UW Bordereaux'!$D$5:$D$558,"Bound*",'UW Bordereaux'!$AD$5:$AD$558))*$D29</f>
      </c>
      <c r="F29" s="19">
        <f>(SUMIF('UW Bordereaux'!$D$5:$D$558,"Bound*",'UW Bordereaux'!$AB$5:$AB$558))*$D29</f>
      </c>
      <c r="G29" s="19">
        <f>(SUMIF('UW Bordereaux'!$D$5:$D$558,"Bound*",'UW Bordereaux'!$AQ$5:$AQ$558))*$D29</f>
      </c>
    </row>
    <row r="30" spans="2:7" ht="15" customHeight="1" x14ac:dyDescent="0.25">
      <c r="B30" s="13" t="s">
        <v>87</v>
      </c>
      <c r="C30" s="14" t="s">
        <v>88</v>
      </c>
      <c r="D30" s="6">
        <v>0.1</v>
      </c>
      <c r="E30" s="15">
        <f>(SUMIF('UW Bordereaux'!$D$5:$D$558,"Bound*",'UW Bordereaux'!$AD$5:$AD$558))*$D30</f>
      </c>
      <c r="F30" s="15">
        <f>(SUMIF('UW Bordereaux'!$D$5:$D$558,"Bound*",'UW Bordereaux'!$AB$5:$AB$558))*$D30</f>
      </c>
      <c r="G30" s="15">
        <f>(SUMIF('UW Bordereaux'!$D$5:$D$558,"Bound*",'UW Bordereaux'!$AQ$5:$AQ$558))*$D30</f>
      </c>
    </row>
    <row r="31" spans="2:7" ht="15" customHeight="1" x14ac:dyDescent="0.25">
      <c r="B31" s="16" t="s">
        <v>89</v>
      </c>
      <c r="C31" s="17" t="s">
        <v>90</v>
      </c>
      <c r="D31" s="18">
        <v>0.1</v>
      </c>
      <c r="E31" s="19">
        <f>(SUMIF('UW Bordereaux'!$D$5:$D$558,"Bound*",'UW Bordereaux'!$AD$5:$AD$558))*$D31</f>
      </c>
      <c r="F31" s="19">
        <f>(SUMIF('UW Bordereaux'!$D$5:$D$558,"Bound*",'UW Bordereaux'!$AB$5:$AB$558))*$D31</f>
      </c>
      <c r="G31" s="19">
        <f>(SUMIF('UW Bordereaux'!$D$5:$D$558,"Bound*",'UW Bordereaux'!$AQ$5:$AQ$558))*$D31</f>
      </c>
    </row>
    <row r="32" spans="2:7" ht="15" customHeight="1" x14ac:dyDescent="0.25">
      <c r="B32" s="13" t="s">
        <v>91</v>
      </c>
      <c r="C32" s="14" t="s">
        <v>92</v>
      </c>
      <c r="D32" s="6">
        <v>0.1</v>
      </c>
      <c r="E32" s="15">
        <f>(SUMIF('UW Bordereaux'!$D$5:$D$558,"Bound*",'UW Bordereaux'!$AD$5:$AD$558))*$D32</f>
      </c>
      <c r="F32" s="15">
        <f>(SUMIF('UW Bordereaux'!$D$5:$D$558,"Bound*",'UW Bordereaux'!$AB$5:$AB$558))*$D32</f>
      </c>
      <c r="G32" s="15">
        <f>(SUMIF('UW Bordereaux'!$D$5:$D$558,"Bound*",'UW Bordereaux'!$AQ$5:$AQ$558))*$D32</f>
      </c>
    </row>
    <row r="33" spans="2:7" ht="15" customHeight="1" x14ac:dyDescent="0.25">
      <c r="B33" s="16" t="s">
        <v>93</v>
      </c>
      <c r="C33" s="17" t="s">
        <v>94</v>
      </c>
      <c r="D33" s="18">
        <v>0.1</v>
      </c>
      <c r="E33" s="19">
        <f>(SUMIF('UW Bordereaux'!$D$5:$D$558,"Bound*",'UW Bordereaux'!$AD$5:$AD$558))*$D33</f>
      </c>
      <c r="F33" s="19">
        <f>(SUMIF('UW Bordereaux'!$D$5:$D$558,"Bound*",'UW Bordereaux'!$AB$5:$AB$558))*$D33</f>
      </c>
      <c r="G33" s="19">
        <f>(SUMIF('UW Bordereaux'!$D$5:$D$558,"Bound*",'UW Bordereaux'!$AQ$5:$AQ$558))*$D33</f>
      </c>
    </row>
    <row r="34" spans="2:7" ht="15" customHeight="1" x14ac:dyDescent="0.25">
      <c r="C34" s="20" t="s">
        <v>95</v>
      </c>
      <c r="D34" s="21">
        <f>SUM(D24:D33)</f>
      </c>
      <c r="E34" s="22">
        <f>SUMIF('UW Bordereaux'!$D$5:$D$558,"Bound*",'UW Bordereaux'!$AD$5:$AD$558)</f>
      </c>
      <c r="F34" s="22">
        <f>SUMIF('UW Bordereaux'!$D$5:$D$558,"Bound*",'UW Bordereaux'!$AB$5:$AB$558)</f>
      </c>
      <c r="G34" s="22">
        <f>SUMIF('UW Bordereaux'!$D$5:$D$558,"Bound*",'UW Bordereaux'!$AQ$5:$AQ$558)</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Bordereaux'!$A$5:$A$558)</f>
      </c>
    </row>
    <row r="39" spans="2:7" ht="15" customHeight="1" x14ac:dyDescent="0.25">
      <c r="B39" s="23" t="s">
        <v>98</v>
      </c>
      <c r="C39" s="24">
        <f>COUNTIF('UW Bordereaux'!$D$5:$D$558,"Bound*")</f>
      </c>
    </row>
    <row r="40" spans="2:7" ht="15" customHeight="1" x14ac:dyDescent="0.25">
      <c r="B40" s="23" t="s">
        <v>99</v>
      </c>
      <c r="C40" s="24">
        <f>COUNTIF('UW Bordereaux'!$D$5:$D$558,"Declined")+COUNTIF('UW Bordereaux'!$D$5:$D$558,"Cancelled")+COUNTIF('UW Bordereaux'!$D$5:$D$558,"Lapsed")</f>
      </c>
    </row>
    <row r="41" spans="2:7" ht="15" customHeight="1" x14ac:dyDescent="0.25">
      <c r="B41" s="25" t="s">
        <v>100</v>
      </c>
      <c r="C41" s="26">
        <f>SUMIF('UW Bordereaux'!$D$5:$D$558,"Bound*",'UW Bordereaux'!$AD$5:$AD$558)</f>
      </c>
    </row>
    <row r="42" spans="2:7" ht="15" customHeight="1" x14ac:dyDescent="0.25">
      <c r="B42" s="25" t="s">
        <v>101</v>
      </c>
      <c r="C42" s="26">
        <f>SUMIF('UW Bordereaux'!$D$5:$D$558,"Bound*",'UW Bordereaux'!$AB$5:$AB$558)</f>
      </c>
    </row>
    <row r="43" spans="2:7" ht="15" customHeight="1" x14ac:dyDescent="0.25">
      <c r="B43" s="25" t="s">
        <v>102</v>
      </c>
      <c r="C43" s="27">
        <f>IFERROR((SUMIF('UW Bordereaux'!$D$5:$D$558,"Bound*",'UW Bordereaux'!$AD$5:$AD$558))/(SUMIF('UW Bordereaux'!$D$5:$D$558,"Bound*",'UW Bordereaux'!$AB$5:$AB$558)),0)</f>
      </c>
    </row>
    <row r="44" spans="2:7" ht="15" customHeight="1" x14ac:dyDescent="0.25">
      <c r="B44" s="23" t="s">
        <v>103</v>
      </c>
      <c r="C44" s="28">
        <f>SUMIF('UW Bordereaux'!$D$5:$D$558,"Bound*",'UW Bordereaux'!$AQ$5:$AQ$558)</f>
      </c>
    </row>
    <row r="45" spans="2:7" ht="15" customHeight="1" x14ac:dyDescent="0.25">
      <c r="B45" s="23" t="s">
        <v>104</v>
      </c>
      <c r="C45" s="28">
        <f>SUMIF('UW Bordereaux'!$D$5:$D$558,"Bound*",'UW Bordereaux'!$AE$5:$AE$558)</f>
      </c>
    </row>
    <row r="46" spans="2:7" ht="15" customHeight="1" x14ac:dyDescent="0.25">
      <c r="B46" s="23" t="s">
        <v>105</v>
      </c>
      <c r="C46" s="28">
        <f>SUMIF('UW Bordereaux'!$D$5:$D$558,"Bound*",'UW Bordereaux'!$AH$5:$AH$558)</f>
      </c>
    </row>
    <row r="47" spans="2:7" ht="15" customHeight="1" x14ac:dyDescent="0.25">
      <c r="B47" s="23" t="s">
        <v>106</v>
      </c>
      <c r="C47" s="24">
        <f>COUNTIFS('UW Bordereaux'!$AD$5:$AD$558,"&gt;="&amp;Header!$C$18,'UW Bordereaux'!$D$5:$D$558,"Bound*")</f>
      </c>
    </row>
    <row r="48" spans="2:7" ht="15" customHeight="1" x14ac:dyDescent="0.25">
      <c r="B48" s="23" t="s">
        <v>107</v>
      </c>
      <c r="C48" s="24">
        <f>COUNTIF('UW Bordereaux'!$AL$5:$AL$558,"BEYOND AUTHORITY")</f>
      </c>
    </row>
    <row r="49" spans="2:3" ht="15" customHeight="1" x14ac:dyDescent="0.25">
      <c r="B49" s="23" t="s">
        <v>108</v>
      </c>
      <c r="C49" s="24">
        <f>COUNTA('UW Bordereaux'!$A$5:$A$558)-COUNTIF('UW Bordereaux'!$D$5:$D$558,"Bound*")-COUNTIF('UW Bordereaux'!$D$5:$D$558,"Declined")-COUNTIF('UW Bordereaux'!$D$5:$D$558,"Cancelled")-COUNTIF('UW Bordereaux'!$D$5:$D$558,"Lapsed")-COUNTIF('UW Bordereaux'!$D$5:$D$558,"Quoted*")-COUNTIF('UW Bordereaux'!$D$5:$D$558,"Void")-COUNTIF('UW Bordereaux'!$D$5:$D$558,"Reinstatement")</f>
      </c>
    </row>
    <row r="50" spans="2:3" ht="15" customHeight="1" x14ac:dyDescent="0.25">
      <c r="B50" s="23" t="s">
        <v>109</v>
      </c>
      <c r="C50" s="24">
        <f>COUNTIF('UW Bordereaux'!$AX$5:$AX$558,"FAIL*")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558"/>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CANON-202607-007640</t>
        </is>
      </c>
      <c r="B5" s="30" t="inlineStr">
        <is>
          <t xml:space="preserve">Everett Bellandi</t>
        </is>
      </c>
      <c r="C5" s="31">
        <v>46228</v>
      </c>
      <c r="D5" s="32" t="inlineStr">
        <is>
          <t xml:space="preserve">Bound - within authority</t>
        </is>
      </c>
      <c r="E5" s="32" t="inlineStr">
        <is>
          <t xml:space="preserve">New business</t>
        </is>
      </c>
      <c r="F5" s="30" t="inlineStr">
        <is>
          <t xml:space="preserve">B1234EXOTIC26</t>
        </is>
      </c>
      <c r="G5" s="33">
        <f>IF($A5="","",IF($C5="","",YEAR($C5)))</f>
      </c>
      <c r="H5" s="34">
        <v>2023</v>
      </c>
      <c r="I5" s="30" t="inlineStr">
        <is>
          <t xml:space="preserve">Porsche</t>
        </is>
      </c>
      <c r="J5" s="30" t="inlineStr">
        <is>
          <t xml:space="preserve">911 Turbo S</t>
        </is>
      </c>
      <c r="K5" s="30" t="inlineStr">
        <is>
          <t xml:space="preserve">1FPP38F6S2V97H450</t>
        </is>
      </c>
      <c r="L5" s="32" t="inlineStr">
        <is>
          <t xml:space="preserve">02 - Sports / GT</t>
        </is>
      </c>
      <c r="M5" s="35">
        <v>765000</v>
      </c>
      <c r="N5" s="32" t="inlineStr">
        <is>
          <t xml:space="preserve">Personal</t>
        </is>
      </c>
      <c r="O5" s="30" t="inlineStr">
        <is>
          <t xml:space="preserve">Personal - regular use</t>
        </is>
      </c>
      <c r="P5" s="30" t="inlineStr">
        <is>
          <t xml:space="preserve">Under 1,000</t>
        </is>
      </c>
      <c r="Q5" s="30" t="inlineStr">
        <is>
          <t xml:space="preserve">New Mexico</t>
        </is>
      </c>
      <c r="R5" s="30" t="inlineStr">
        <is>
          <t xml:space="preserve">87501</t>
        </is>
      </c>
      <c r="S5" s="32" t="inlineStr">
        <is>
          <t xml:space="preserve">Wildfire - WUI high hazard</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9138.89</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CANON-202607-007647</t>
        </is>
      </c>
      <c r="B6" s="46" t="inlineStr">
        <is>
          <t xml:space="preserve">Fenwick Fairweather</t>
        </is>
      </c>
      <c r="C6" s="47">
        <v>46214</v>
      </c>
      <c r="D6" s="48" t="inlineStr">
        <is>
          <t xml:space="preserve">Bound - within authority</t>
        </is>
      </c>
      <c r="E6" s="48" t="inlineStr">
        <is>
          <t xml:space="preserve">New business</t>
        </is>
      </c>
      <c r="F6" s="46" t="inlineStr">
        <is>
          <t xml:space="preserve">B1234EXOTIC26</t>
        </is>
      </c>
      <c r="G6" s="33">
        <f>IF($A6="","",IF($C6="","",YEAR($C6)))</f>
      </c>
      <c r="H6" s="49">
        <v>1978</v>
      </c>
      <c r="I6" s="46" t="inlineStr">
        <is>
          <t xml:space="preserve">Lamborghini</t>
        </is>
      </c>
      <c r="J6" s="46" t="inlineStr">
        <is>
          <t xml:space="preserve">Huracan EVO</t>
        </is>
      </c>
      <c r="K6" s="46" t="inlineStr">
        <is>
          <t xml:space="preserve">F7WYRHXREUT3UW3KG</t>
        </is>
      </c>
      <c r="L6" s="48" t="inlineStr">
        <is>
          <t xml:space="preserve">03 - Supercar</t>
        </is>
      </c>
      <c r="M6" s="50">
        <v>830000</v>
      </c>
      <c r="N6" s="48" t="inlineStr">
        <is>
          <t xml:space="preserve">Personal</t>
        </is>
      </c>
      <c r="O6" s="46" t="inlineStr">
        <is>
          <t xml:space="preserve">Personal - regular use</t>
        </is>
      </c>
      <c r="P6" s="46" t="inlineStr">
        <is>
          <t xml:space="preserve">1,000 - 2,500</t>
        </is>
      </c>
      <c r="Q6" s="46" t="inlineStr">
        <is>
          <t xml:space="preserve">Hawaii</t>
        </is>
      </c>
      <c r="R6" s="46" t="inlineStr">
        <is>
          <t xml:space="preserve">96813</t>
        </is>
      </c>
      <c r="S6" s="48" t="inlineStr">
        <is>
          <t xml:space="preserve">Earthquake - high (CA, Cascadia, New Madrid)</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14718.17</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CANON-202607-007648</t>
        </is>
      </c>
      <c r="B7" s="30" t="inlineStr">
        <is>
          <t xml:space="preserve">Ottilie Farkas</t>
        </is>
      </c>
      <c r="C7" s="31">
        <v>46232</v>
      </c>
      <c r="D7" s="32" t="inlineStr">
        <is>
          <t xml:space="preserve">Bound - within authority</t>
        </is>
      </c>
      <c r="E7" s="32" t="inlineStr">
        <is>
          <t xml:space="preserve">New business</t>
        </is>
      </c>
      <c r="F7" s="30" t="inlineStr">
        <is>
          <t xml:space="preserve">B1234EXOTIC26</t>
        </is>
      </c>
      <c r="G7" s="33">
        <f>IF($A7="","",IF($C7="","",YEAR($C7)))</f>
      </c>
      <c r="H7" s="34">
        <v>1999</v>
      </c>
      <c r="I7" s="30" t="inlineStr">
        <is>
          <t xml:space="preserve">Ferrari</t>
        </is>
      </c>
      <c r="J7" s="30" t="inlineStr">
        <is>
          <t xml:space="preserve">296 GTB</t>
        </is>
      </c>
      <c r="K7" s="30" t="inlineStr">
        <is>
          <t xml:space="preserve">DS5Z66ZER8DPURJPF</t>
        </is>
      </c>
      <c r="L7" s="32" t="inlineStr">
        <is>
          <t xml:space="preserve">03 - Supercar</t>
        </is>
      </c>
      <c r="M7" s="35">
        <v>855000</v>
      </c>
      <c r="N7" s="32" t="inlineStr">
        <is>
          <t xml:space="preserve">Personal</t>
        </is>
      </c>
      <c r="O7" s="30" t="inlineStr">
        <is>
          <t xml:space="preserve">Personal - regular use</t>
        </is>
      </c>
      <c r="P7" s="30" t="inlineStr">
        <is>
          <t xml:space="preserve">Under 1,000</t>
        </is>
      </c>
      <c r="Q7" s="30" t="inlineStr">
        <is>
          <t xml:space="preserve">New York</t>
        </is>
      </c>
      <c r="R7" s="30" t="inlineStr">
        <is>
          <t xml:space="preserve">10022</t>
        </is>
      </c>
      <c r="S7" s="32" t="inlineStr">
        <is>
          <t xml:space="preserve">Tier 3 - Coastal wind (25-100 miles)</t>
        </is>
      </c>
      <c r="T7" s="36">
        <f>IF($A7="","",IF($S7="","",IFERROR(INDEX('[1]natural catastrophe'!$D$6:$D$17,MATCH($S7,'[1]natural catastrophe'!$B$6:$B$17,0)),"?")))</f>
      </c>
      <c r="U7" s="30" t="inlineStr">
        <is>
          <t xml:space="preserve">2% of agreed value, minimum $10,000</t>
        </is>
      </c>
      <c r="V7" s="32" t="inlineStr">
        <is>
          <t xml:space="preserve">Agreed Value</t>
        </is>
      </c>
      <c r="W7" s="30" t="inlineStr">
        <is>
          <t xml:space="preserve">$1,000</t>
        </is>
      </c>
      <c r="X7" s="32" t="inlineStr">
        <is>
          <t xml:space="preserve">$1,000,000 CSL</t>
        </is>
      </c>
      <c r="Y7" s="30"/>
      <c r="Z7" s="30"/>
      <c r="AA7" s="32" t="inlineStr">
        <is>
          <t xml:space="preserve">Surplus Lines</t>
        </is>
      </c>
      <c r="AB7" s="35">
        <v>14928.23</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CANON-202607-007649</t>
        </is>
      </c>
      <c r="B8" s="46" t="inlineStr">
        <is>
          <t xml:space="preserve">Horace Castellanos</t>
        </is>
      </c>
      <c r="C8" s="47">
        <v>46212</v>
      </c>
      <c r="D8" s="48" t="inlineStr">
        <is>
          <t xml:space="preserve">Bound - within authority</t>
        </is>
      </c>
      <c r="E8" s="48" t="inlineStr">
        <is>
          <t xml:space="preserve">New business</t>
        </is>
      </c>
      <c r="F8" s="46" t="inlineStr">
        <is>
          <t xml:space="preserve">B1234EXOTIC26</t>
        </is>
      </c>
      <c r="G8" s="33">
        <f>IF($A8="","",IF($C8="","",YEAR($C8)))</f>
      </c>
      <c r="H8" s="49">
        <v>2015</v>
      </c>
      <c r="I8" s="46" t="inlineStr">
        <is>
          <t xml:space="preserve">Ringbrothers</t>
        </is>
      </c>
      <c r="J8" s="46" t="inlineStr">
        <is>
          <t xml:space="preserve">Mustang</t>
        </is>
      </c>
      <c r="K8" s="46" t="inlineStr">
        <is>
          <t xml:space="preserve">79PZRR214RZB63KAF</t>
        </is>
      </c>
      <c r="L8" s="48" t="inlineStr">
        <is>
          <t xml:space="preserve">11 - Restomod / Coachbuilt / Bespoke</t>
        </is>
      </c>
      <c r="M8" s="50">
        <v>735000</v>
      </c>
      <c r="N8" s="48" t="inlineStr">
        <is>
          <t xml:space="preserve">Personal</t>
        </is>
      </c>
      <c r="O8" s="46" t="inlineStr">
        <is>
          <t xml:space="preserve">Personal - regular use</t>
        </is>
      </c>
      <c r="P8" s="46" t="inlineStr">
        <is>
          <t xml:space="preserve">Under 1,000</t>
        </is>
      </c>
      <c r="Q8" s="46" t="inlineStr">
        <is>
          <t xml:space="preserve">Kentucky</t>
        </is>
      </c>
      <c r="R8" s="46" t="inlineStr">
        <is>
          <t xml:space="preserve">40202</t>
        </is>
      </c>
      <c r="S8" s="48" t="inlineStr">
        <is>
          <t xml:space="preserve">Severe convective - hail / tornado (moderate)</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11030.5</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CANON-202607-007651</t>
        </is>
      </c>
      <c r="B9" s="30" t="inlineStr">
        <is>
          <t xml:space="preserve">Ottilie Merriweather</t>
        </is>
      </c>
      <c r="C9" s="31">
        <v>46211</v>
      </c>
      <c r="D9" s="32" t="inlineStr">
        <is>
          <t xml:space="preserve">Bound - within authority</t>
        </is>
      </c>
      <c r="E9" s="32" t="inlineStr">
        <is>
          <t xml:space="preserve">New business</t>
        </is>
      </c>
      <c r="F9" s="30" t="inlineStr">
        <is>
          <t xml:space="preserve">B1234EXOTIC26</t>
        </is>
      </c>
      <c r="G9" s="33">
        <f>IF($A9="","",IF($C9="","",YEAR($C9)))</f>
      </c>
      <c r="H9" s="34">
        <v>2013</v>
      </c>
      <c r="I9" s="30" t="inlineStr">
        <is>
          <t xml:space="preserve">Maserati</t>
        </is>
      </c>
      <c r="J9" s="30" t="inlineStr">
        <is>
          <t xml:space="preserve">GranTurismo</t>
        </is>
      </c>
      <c r="K9" s="30" t="inlineStr">
        <is>
          <t xml:space="preserve">TUVV6J55GH13KCN4N</t>
        </is>
      </c>
      <c r="L9" s="32" t="inlineStr">
        <is>
          <t xml:space="preserve">02 - Sports / GT</t>
        </is>
      </c>
      <c r="M9" s="35">
        <v>740000</v>
      </c>
      <c r="N9" s="32" t="inlineStr">
        <is>
          <t xml:space="preserve">Personal</t>
        </is>
      </c>
      <c r="O9" s="30" t="inlineStr">
        <is>
          <t xml:space="preserve">Personal - regular use</t>
        </is>
      </c>
      <c r="P9" s="30" t="inlineStr">
        <is>
          <t xml:space="preserve">Under 1,000</t>
        </is>
      </c>
      <c r="Q9" s="30" t="inlineStr">
        <is>
          <t xml:space="preserve">Mississippi</t>
        </is>
      </c>
      <c r="R9" s="30" t="inlineStr">
        <is>
          <t xml:space="preserve">39201</t>
        </is>
      </c>
      <c r="S9" s="32" t="inlineStr">
        <is>
          <t xml:space="preserve">Tier 2 - Coastal wind (1-25 miles)</t>
        </is>
      </c>
      <c r="T9" s="36">
        <f>IF($A9="","",IF($S9="","",IFERROR(INDEX('[1]natural catastrophe'!$D$6:$D$17,MATCH($S9,'[1]natural catastrophe'!$B$6:$B$17,0)),"?")))</f>
      </c>
      <c r="U9" s="30" t="inlineStr">
        <is>
          <t xml:space="preserve">2% of agreed value, minimum $10,000</t>
        </is>
      </c>
      <c r="V9" s="32" t="inlineStr">
        <is>
          <t xml:space="preserve">Agreed Value</t>
        </is>
      </c>
      <c r="W9" s="30" t="inlineStr">
        <is>
          <t xml:space="preserve">$1,000</t>
        </is>
      </c>
      <c r="X9" s="32" t="inlineStr">
        <is>
          <t xml:space="preserve">$1,000,000 CSL</t>
        </is>
      </c>
      <c r="Y9" s="30"/>
      <c r="Z9" s="30"/>
      <c r="AA9" s="32" t="inlineStr">
        <is>
          <t xml:space="preserve">Surplus Lines</t>
        </is>
      </c>
      <c r="AB9" s="35">
        <v>8218.66</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CANON-202607-007652</t>
        </is>
      </c>
      <c r="B10" s="46" t="inlineStr">
        <is>
          <t xml:space="preserve">Ottilie Fairweather</t>
        </is>
      </c>
      <c r="C10" s="47">
        <v>46211</v>
      </c>
      <c r="D10" s="48" t="inlineStr">
        <is>
          <t xml:space="preserve">Bound - within authority</t>
        </is>
      </c>
      <c r="E10" s="48" t="inlineStr">
        <is>
          <t xml:space="preserve">New business</t>
        </is>
      </c>
      <c r="F10" s="46" t="inlineStr">
        <is>
          <t xml:space="preserve">B1234EXOTIC26</t>
        </is>
      </c>
      <c r="G10" s="33">
        <f>IF($A10="","",IF($C10="","",YEAR($C10)))</f>
      </c>
      <c r="H10" s="49">
        <v>2007</v>
      </c>
      <c r="I10" s="46" t="inlineStr">
        <is>
          <t xml:space="preserve">Mercedes-Benz</t>
        </is>
      </c>
      <c r="J10" s="46" t="inlineStr">
        <is>
          <t xml:space="preserve">AMG GT</t>
        </is>
      </c>
      <c r="K10" s="46" t="inlineStr">
        <is>
          <t xml:space="preserve">MK0LM891NBE0B3GTE</t>
        </is>
      </c>
      <c r="L10" s="48" t="inlineStr">
        <is>
          <t xml:space="preserve">02 - Sports / GT</t>
        </is>
      </c>
      <c r="M10" s="50">
        <v>555000</v>
      </c>
      <c r="N10" s="48" t="inlineStr">
        <is>
          <t xml:space="preserve">Personal</t>
        </is>
      </c>
      <c r="O10" s="46" t="inlineStr">
        <is>
          <t xml:space="preserve">Personal - regular use</t>
        </is>
      </c>
      <c r="P10" s="46" t="inlineStr">
        <is>
          <t xml:space="preserve">2,500 - 5,000</t>
        </is>
      </c>
      <c r="Q10" s="46" t="inlineStr">
        <is>
          <t xml:space="preserve">Delaware</t>
        </is>
      </c>
      <c r="R10" s="46" t="inlineStr">
        <is>
          <t xml:space="preserve">19801</t>
        </is>
      </c>
      <c r="S10" s="48" t="inlineStr">
        <is>
          <t xml:space="preserve">Tier 3 - Coastal wind (25-100 miles)</t>
        </is>
      </c>
      <c r="T10" s="36">
        <f>IF($A10="","",IF($S10="","",IFERROR(INDEX('[1]natural catastrophe'!$D$6:$D$17,MATCH($S10,'[1]natural catastrophe'!$B$6:$B$17,0)),"?")))</f>
      </c>
      <c r="U10" s="46" t="inlineStr">
        <is>
          <t xml:space="preserve">2% of agreed value, minimum $10,000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6474.78</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CANON-202607-007653</t>
        </is>
      </c>
      <c r="B11" s="30" t="inlineStr">
        <is>
          <t xml:space="preserve">Beatrix Kingsford</t>
        </is>
      </c>
      <c r="C11" s="31">
        <v>46228</v>
      </c>
      <c r="D11" s="32" t="inlineStr">
        <is>
          <t xml:space="preserve">Bound - within authority</t>
        </is>
      </c>
      <c r="E11" s="32" t="inlineStr">
        <is>
          <t xml:space="preserve">New business</t>
        </is>
      </c>
      <c r="F11" s="30" t="inlineStr">
        <is>
          <t xml:space="preserve">B1234EXOTIC26</t>
        </is>
      </c>
      <c r="G11" s="33">
        <f>IF($A11="","",IF($C11="","",YEAR($C11)))</f>
      </c>
      <c r="H11" s="34">
        <v>1993</v>
      </c>
      <c r="I11" s="30" t="inlineStr">
        <is>
          <t xml:space="preserve">BMW</t>
        </is>
      </c>
      <c r="J11" s="30" t="inlineStr">
        <is>
          <t xml:space="preserve">M8 Competition</t>
        </is>
      </c>
      <c r="K11" s="30" t="inlineStr">
        <is>
          <t xml:space="preserve">5HWZBA9BEF9ZGESB0</t>
        </is>
      </c>
      <c r="L11" s="32" t="inlineStr">
        <is>
          <t xml:space="preserve">02 - Sports / GT</t>
        </is>
      </c>
      <c r="M11" s="35">
        <v>1320000</v>
      </c>
      <c r="N11" s="32" t="inlineStr">
        <is>
          <t xml:space="preserve">Personal</t>
        </is>
      </c>
      <c r="O11" s="30" t="inlineStr">
        <is>
          <t xml:space="preserve">Personal - regular use</t>
        </is>
      </c>
      <c r="P11" s="30" t="inlineStr">
        <is>
          <t xml:space="preserve">Under 1,000</t>
        </is>
      </c>
      <c r="Q11" s="30" t="inlineStr">
        <is>
          <t xml:space="preserve">Ohio</t>
        </is>
      </c>
      <c r="R11" s="30" t="inlineStr">
        <is>
          <t xml:space="preserve">43215</t>
        </is>
      </c>
      <c r="S11" s="32" t="inlineStr">
        <is>
          <t xml:space="preserve">Severe convective - hail / tornado (moderate)</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14489.73</v>
      </c>
      <c r="AC11" s="37">
        <v>0</v>
      </c>
      <c r="AD11" s="38">
        <f>IF(ISNUMBER($AB11),$AB11*(1+N($AC11)),"")</f>
      </c>
      <c r="AE11" s="35">
        <v>350</v>
      </c>
      <c r="AF11" s="35">
        <v>250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CANON-202607-007654</t>
        </is>
      </c>
      <c r="B12" s="46" t="inlineStr">
        <is>
          <t xml:space="preserve">Fenwick Nakashima</t>
        </is>
      </c>
      <c r="C12" s="47">
        <v>46212</v>
      </c>
      <c r="D12" s="48" t="inlineStr">
        <is>
          <t xml:space="preserve">Bound - within authority</t>
        </is>
      </c>
      <c r="E12" s="48" t="inlineStr">
        <is>
          <t xml:space="preserve">New business</t>
        </is>
      </c>
      <c r="F12" s="46" t="inlineStr">
        <is>
          <t xml:space="preserve">B1234EXOTIC26</t>
        </is>
      </c>
      <c r="G12" s="33">
        <f>IF($A12="","",IF($C12="","",YEAR($C12)))</f>
      </c>
      <c r="H12" s="49">
        <v>2019</v>
      </c>
      <c r="I12" s="46" t="inlineStr">
        <is>
          <t xml:space="preserve">Ferrari</t>
        </is>
      </c>
      <c r="J12" s="46" t="inlineStr">
        <is>
          <t xml:space="preserve">296 GTB</t>
        </is>
      </c>
      <c r="K12" s="46" t="inlineStr">
        <is>
          <t xml:space="preserve">HJG4TDV0XVE7U8HUL</t>
        </is>
      </c>
      <c r="L12" s="48" t="inlineStr">
        <is>
          <t xml:space="preserve">03 - Supercar</t>
        </is>
      </c>
      <c r="M12" s="50">
        <v>920000</v>
      </c>
      <c r="N12" s="48" t="inlineStr">
        <is>
          <t xml:space="preserve">Personal</t>
        </is>
      </c>
      <c r="O12" s="46" t="inlineStr">
        <is>
          <t xml:space="preserve">Personal - regular use</t>
        </is>
      </c>
      <c r="P12" s="46" t="inlineStr">
        <is>
          <t xml:space="preserve">1,000 - 2,500</t>
        </is>
      </c>
      <c r="Q12" s="46" t="inlineStr">
        <is>
          <t xml:space="preserve">Montana</t>
        </is>
      </c>
      <c r="R12" s="46" t="inlineStr">
        <is>
          <t xml:space="preserve">59601</t>
        </is>
      </c>
      <c r="S12" s="48" t="inlineStr">
        <is>
          <t xml:space="preserve">Wildfire - WUI high hazard</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11670.87</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CANON-202607-007655</t>
        </is>
      </c>
      <c r="B13" s="30" t="inlineStr">
        <is>
          <t xml:space="preserve">Thaddeus Nakashima</t>
        </is>
      </c>
      <c r="C13" s="31">
        <v>46225</v>
      </c>
      <c r="D13" s="32" t="inlineStr">
        <is>
          <t xml:space="preserve">Bound - within authority</t>
        </is>
      </c>
      <c r="E13" s="32" t="inlineStr">
        <is>
          <t xml:space="preserve">New business</t>
        </is>
      </c>
      <c r="F13" s="30" t="inlineStr">
        <is>
          <t xml:space="preserve">B1234EXOTIC26</t>
        </is>
      </c>
      <c r="G13" s="33">
        <f>IF($A13="","",IF($C13="","",YEAR($C13)))</f>
      </c>
      <c r="H13" s="34">
        <v>1981</v>
      </c>
      <c r="I13" s="30" t="inlineStr">
        <is>
          <t xml:space="preserve">Mercedes-Benz</t>
        </is>
      </c>
      <c r="J13" s="30" t="inlineStr">
        <is>
          <t xml:space="preserve">AMG GT</t>
        </is>
      </c>
      <c r="K13" s="30" t="inlineStr">
        <is>
          <t xml:space="preserve">T4XZFWXD7VPCENKYB</t>
        </is>
      </c>
      <c r="L13" s="32" t="inlineStr">
        <is>
          <t xml:space="preserve">02 - Sports / GT</t>
        </is>
      </c>
      <c r="M13" s="35">
        <v>525000</v>
      </c>
      <c r="N13" s="32" t="inlineStr">
        <is>
          <t xml:space="preserve">Personal</t>
        </is>
      </c>
      <c r="O13" s="30" t="inlineStr">
        <is>
          <t xml:space="preserve">Personal - regular use</t>
        </is>
      </c>
      <c r="P13" s="30" t="inlineStr">
        <is>
          <t xml:space="preserve">2,500 - 5,000</t>
        </is>
      </c>
      <c r="Q13" s="30" t="inlineStr">
        <is>
          <t xml:space="preserve">Pennsylvania</t>
        </is>
      </c>
      <c r="R13" s="30" t="inlineStr">
        <is>
          <t xml:space="preserve">19103</t>
        </is>
      </c>
      <c r="S13" s="32" t="inlineStr">
        <is>
          <t xml:space="preserve">Low hazard - inland benign</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4899.84</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CANON-202607-007656</t>
        </is>
      </c>
      <c r="B14" s="46" t="inlineStr">
        <is>
          <t xml:space="preserve">Callum Blackwood</t>
        </is>
      </c>
      <c r="C14" s="47">
        <v>46229</v>
      </c>
      <c r="D14" s="48" t="inlineStr">
        <is>
          <t xml:space="preserve">Bound - within authority</t>
        </is>
      </c>
      <c r="E14" s="48" t="inlineStr">
        <is>
          <t xml:space="preserve">New business</t>
        </is>
      </c>
      <c r="F14" s="46" t="inlineStr">
        <is>
          <t xml:space="preserve">B1234EXOTIC26</t>
        </is>
      </c>
      <c r="G14" s="33">
        <f>IF($A14="","",IF($C14="","",YEAR($C14)))</f>
      </c>
      <c r="H14" s="49">
        <v>1982</v>
      </c>
      <c r="I14" s="46" t="inlineStr">
        <is>
          <t xml:space="preserve">Jaguar</t>
        </is>
      </c>
      <c r="J14" s="46" t="inlineStr">
        <is>
          <t xml:space="preserve">E-Type Series 1</t>
        </is>
      </c>
      <c r="K14" s="46" t="inlineStr">
        <is>
          <t xml:space="preserve">7BKB52VS3SMWHLFNE</t>
        </is>
      </c>
      <c r="L14" s="48" t="inlineStr">
        <is>
          <t xml:space="preserve">08 - Modern Classic (1973-1999)</t>
        </is>
      </c>
      <c r="M14" s="50">
        <v>480000</v>
      </c>
      <c r="N14" s="48" t="inlineStr">
        <is>
          <t xml:space="preserve">Personal</t>
        </is>
      </c>
      <c r="O14" s="46" t="inlineStr">
        <is>
          <t xml:space="preserve">Personal - regular use</t>
        </is>
      </c>
      <c r="P14" s="46" t="inlineStr">
        <is>
          <t xml:space="preserve">2,500 - 5,000</t>
        </is>
      </c>
      <c r="Q14" s="46" t="inlineStr">
        <is>
          <t xml:space="preserve">New Hampshire</t>
        </is>
      </c>
      <c r="R14" s="46" t="inlineStr">
        <is>
          <t xml:space="preserve">03301</t>
        </is>
      </c>
      <c r="S14" s="48" t="inlineStr">
        <is>
          <t xml:space="preserve">Tier 3 - Coastal wind (25-100 miles)</t>
        </is>
      </c>
      <c r="T14" s="36">
        <f>IF($A14="","",IF($S14="","",IFERROR(INDEX('[1]natural catastrophe'!$D$6:$D$17,MATCH($S14,'[1]natural catastrophe'!$B$6:$B$17,0)),"?")))</f>
      </c>
      <c r="U14" s="46" t="inlineStr">
        <is>
          <t xml:space="preserve">2% of agreed value, minimum $10,000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3440.53</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CANON-202607-007657</t>
        </is>
      </c>
      <c r="B15" s="30" t="inlineStr">
        <is>
          <t xml:space="preserve">Fenwick Pennington</t>
        </is>
      </c>
      <c r="C15" s="31">
        <v>46217</v>
      </c>
      <c r="D15" s="32" t="inlineStr">
        <is>
          <t xml:space="preserve">Bound - within authority</t>
        </is>
      </c>
      <c r="E15" s="32" t="inlineStr">
        <is>
          <t xml:space="preserve">New business</t>
        </is>
      </c>
      <c r="F15" s="30" t="inlineStr">
        <is>
          <t xml:space="preserve">B1234EXOTIC26</t>
        </is>
      </c>
      <c r="G15" s="33">
        <f>IF($A15="","",IF($C15="","",YEAR($C15)))</f>
      </c>
      <c r="H15" s="34">
        <v>1984</v>
      </c>
      <c r="I15" s="30" t="inlineStr">
        <is>
          <t xml:space="preserve">Ringbrothers</t>
        </is>
      </c>
      <c r="J15" s="30" t="inlineStr">
        <is>
          <t xml:space="preserve">Mustang</t>
        </is>
      </c>
      <c r="K15" s="30" t="inlineStr">
        <is>
          <t xml:space="preserve">C1KTZRCG78AZNY49B</t>
        </is>
      </c>
      <c r="L15" s="32" t="inlineStr">
        <is>
          <t xml:space="preserve">11 - Restomod / Coachbuilt / Bespoke</t>
        </is>
      </c>
      <c r="M15" s="35">
        <v>1265000</v>
      </c>
      <c r="N15" s="32" t="inlineStr">
        <is>
          <t xml:space="preserve">Personal</t>
        </is>
      </c>
      <c r="O15" s="30" t="inlineStr">
        <is>
          <t xml:space="preserve">Personal - regular use</t>
        </is>
      </c>
      <c r="P15" s="30" t="inlineStr">
        <is>
          <t xml:space="preserve">1,000 - 2,500</t>
        </is>
      </c>
      <c r="Q15" s="30" t="inlineStr">
        <is>
          <t xml:space="preserve">Ohio</t>
        </is>
      </c>
      <c r="R15" s="30" t="inlineStr">
        <is>
          <t xml:space="preserve">43215</t>
        </is>
      </c>
      <c r="S15" s="32" t="inlineStr">
        <is>
          <t xml:space="preserve">Severe convective - hail / tornado (moderate)</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17168.13</v>
      </c>
      <c r="AC15" s="37">
        <v>0</v>
      </c>
      <c r="AD15" s="38">
        <f>IF(ISNUMBER($AB15),$AB15*(1+N($AC15)),"")</f>
      </c>
      <c r="AE15" s="35">
        <v>350</v>
      </c>
      <c r="AF15" s="35">
        <v>250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CANON-202607-007658</t>
        </is>
      </c>
      <c r="B16" s="46" t="inlineStr">
        <is>
          <t xml:space="preserve">Ingrid Vasquez</t>
        </is>
      </c>
      <c r="C16" s="47">
        <v>46233</v>
      </c>
      <c r="D16" s="48" t="inlineStr">
        <is>
          <t xml:space="preserve">Bound - within authority</t>
        </is>
      </c>
      <c r="E16" s="48" t="inlineStr">
        <is>
          <t xml:space="preserve">New business</t>
        </is>
      </c>
      <c r="F16" s="46" t="inlineStr">
        <is>
          <t xml:space="preserve">B1234EXOTIC26</t>
        </is>
      </c>
      <c r="G16" s="33">
        <f>IF($A16="","",IF($C16="","",YEAR($C16)))</f>
      </c>
      <c r="H16" s="49">
        <v>1986</v>
      </c>
      <c r="I16" s="46" t="inlineStr">
        <is>
          <t xml:space="preserve">Aston Martin</t>
        </is>
      </c>
      <c r="J16" s="46" t="inlineStr">
        <is>
          <t xml:space="preserve">DB12</t>
        </is>
      </c>
      <c r="K16" s="46" t="inlineStr">
        <is>
          <t xml:space="preserve">802DN755Y4RMFMTXW</t>
        </is>
      </c>
      <c r="L16" s="48" t="inlineStr">
        <is>
          <t xml:space="preserve">02 - Sports / GT</t>
        </is>
      </c>
      <c r="M16" s="50">
        <v>1055000</v>
      </c>
      <c r="N16" s="48" t="inlineStr">
        <is>
          <t xml:space="preserve">Personal</t>
        </is>
      </c>
      <c r="O16" s="46" t="inlineStr">
        <is>
          <t xml:space="preserve">Personal - regular use</t>
        </is>
      </c>
      <c r="P16" s="46" t="inlineStr">
        <is>
          <t xml:space="preserve">1,000 - 2,500</t>
        </is>
      </c>
      <c r="Q16" s="46" t="inlineStr">
        <is>
          <t xml:space="preserve">Missouri</t>
        </is>
      </c>
      <c r="R16" s="46" t="inlineStr">
        <is>
          <t xml:space="preserve">63101</t>
        </is>
      </c>
      <c r="S16" s="48" t="inlineStr">
        <is>
          <t xml:space="preserve">Severe convective - hail / tornado (moderate)</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8831.41</v>
      </c>
      <c r="AC16" s="51">
        <v>0</v>
      </c>
      <c r="AD16" s="38">
        <f>IF(ISNUMBER($AB16),$AB16*(1+N($AC16)),"")</f>
      </c>
      <c r="AE16" s="50">
        <v>350</v>
      </c>
      <c r="AF16" s="50">
        <v>250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CANON-202607-007659</t>
        </is>
      </c>
      <c r="B17" s="30" t="inlineStr">
        <is>
          <t xml:space="preserve">Cassius Blackwood</t>
        </is>
      </c>
      <c r="C17" s="31">
        <v>46226</v>
      </c>
      <c r="D17" s="32" t="inlineStr">
        <is>
          <t xml:space="preserve">Bound - within authority</t>
        </is>
      </c>
      <c r="E17" s="32" t="inlineStr">
        <is>
          <t xml:space="preserve">New business</t>
        </is>
      </c>
      <c r="F17" s="30" t="inlineStr">
        <is>
          <t xml:space="preserve">B1234EXOTIC26</t>
        </is>
      </c>
      <c r="G17" s="33">
        <f>IF($A17="","",IF($C17="","",YEAR($C17)))</f>
      </c>
      <c r="H17" s="34">
        <v>1966</v>
      </c>
      <c r="I17" s="30" t="inlineStr">
        <is>
          <t xml:space="preserve">Lamborghini</t>
        </is>
      </c>
      <c r="J17" s="30" t="inlineStr">
        <is>
          <t xml:space="preserve">Huracan EVO</t>
        </is>
      </c>
      <c r="K17" s="30" t="inlineStr">
        <is>
          <t xml:space="preserve">DY9CLC5JMDCS5XGN3</t>
        </is>
      </c>
      <c r="L17" s="32" t="inlineStr">
        <is>
          <t xml:space="preserve">03 - Supercar</t>
        </is>
      </c>
      <c r="M17" s="35">
        <v>870000</v>
      </c>
      <c r="N17" s="32" t="inlineStr">
        <is>
          <t xml:space="preserve">Personal</t>
        </is>
      </c>
      <c r="O17" s="30" t="inlineStr">
        <is>
          <t xml:space="preserve">Personal - regular use</t>
        </is>
      </c>
      <c r="P17" s="30" t="inlineStr">
        <is>
          <t xml:space="preserve">1,000 - 2,500</t>
        </is>
      </c>
      <c r="Q17" s="30" t="inlineStr">
        <is>
          <t xml:space="preserve">Connecticut</t>
        </is>
      </c>
      <c r="R17" s="30" t="inlineStr">
        <is>
          <t xml:space="preserve">06103</t>
        </is>
      </c>
      <c r="S17" s="32" t="inlineStr">
        <is>
          <t xml:space="preserve">Tier 3 - Coastal wind (25-100 miles)</t>
        </is>
      </c>
      <c r="T17" s="36">
        <f>IF($A17="","",IF($S17="","",IFERROR(INDEX('[1]natural catastrophe'!$D$6:$D$17,MATCH($S17,'[1]natural catastrophe'!$B$6:$B$17,0)),"?")))</f>
      </c>
      <c r="U17" s="30" t="inlineStr">
        <is>
          <t xml:space="preserve">2% of agreed value, minimum $10,000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13291.37</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CANON-202607-007660</t>
        </is>
      </c>
      <c r="B18" s="46" t="inlineStr">
        <is>
          <t xml:space="preserve">Callum Pennington</t>
        </is>
      </c>
      <c r="C18" s="47">
        <v>46225</v>
      </c>
      <c r="D18" s="48" t="inlineStr">
        <is>
          <t xml:space="preserve">Bound - within authority</t>
        </is>
      </c>
      <c r="E18" s="48" t="inlineStr">
        <is>
          <t xml:space="preserve">New business</t>
        </is>
      </c>
      <c r="F18" s="46" t="inlineStr">
        <is>
          <t xml:space="preserve">B1234EXOTIC26</t>
        </is>
      </c>
      <c r="G18" s="33">
        <f>IF($A18="","",IF($C18="","",YEAR($C18)))</f>
      </c>
      <c r="H18" s="49">
        <v>2024</v>
      </c>
      <c r="I18" s="46" t="inlineStr">
        <is>
          <t xml:space="preserve">Mercedes-Benz</t>
        </is>
      </c>
      <c r="J18" s="46" t="inlineStr">
        <is>
          <t xml:space="preserve">AMG GT</t>
        </is>
      </c>
      <c r="K18" s="46" t="inlineStr">
        <is>
          <t xml:space="preserve">1F3VPUS2XCTHXGD6C</t>
        </is>
      </c>
      <c r="L18" s="48" t="inlineStr">
        <is>
          <t xml:space="preserve">02 - Sports / GT</t>
        </is>
      </c>
      <c r="M18" s="50">
        <v>655000</v>
      </c>
      <c r="N18" s="48" t="inlineStr">
        <is>
          <t xml:space="preserve">Personal</t>
        </is>
      </c>
      <c r="O18" s="46" t="inlineStr">
        <is>
          <t xml:space="preserve">Personal - regular use</t>
        </is>
      </c>
      <c r="P18" s="46" t="inlineStr">
        <is>
          <t xml:space="preserve">1,000 - 2,500</t>
        </is>
      </c>
      <c r="Q18" s="46" t="inlineStr">
        <is>
          <t xml:space="preserve">Delaware</t>
        </is>
      </c>
      <c r="R18" s="46" t="inlineStr">
        <is>
          <t xml:space="preserve">19801</t>
        </is>
      </c>
      <c r="S18" s="48" t="inlineStr">
        <is>
          <t xml:space="preserve">Tier 3 - Coastal wind (25-100 miles)</t>
        </is>
      </c>
      <c r="T18" s="36">
        <f>IF($A18="","",IF($S18="","",IFERROR(INDEX('[1]natural catastrophe'!$D$6:$D$17,MATCH($S18,'[1]natural catastrophe'!$B$6:$B$17,0)),"?")))</f>
      </c>
      <c r="U18" s="46" t="inlineStr">
        <is>
          <t xml:space="preserve">2% of agreed value, minimum $10,000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7641.41</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CANON-202607-007661</t>
        </is>
      </c>
      <c r="B19" s="30" t="inlineStr">
        <is>
          <t xml:space="preserve">Delphine Bellandi</t>
        </is>
      </c>
      <c r="C19" s="31">
        <v>46214</v>
      </c>
      <c r="D19" s="32" t="inlineStr">
        <is>
          <t xml:space="preserve">Bound - within authority</t>
        </is>
      </c>
      <c r="E19" s="32" t="inlineStr">
        <is>
          <t xml:space="preserve">New business</t>
        </is>
      </c>
      <c r="F19" s="30" t="inlineStr">
        <is>
          <t xml:space="preserve">B1234EXOTIC26</t>
        </is>
      </c>
      <c r="G19" s="33">
        <f>IF($A19="","",IF($C19="","",YEAR($C19)))</f>
      </c>
      <c r="H19" s="34">
        <v>2021</v>
      </c>
      <c r="I19" s="30" t="inlineStr">
        <is>
          <t xml:space="preserve">Porsche</t>
        </is>
      </c>
      <c r="J19" s="30" t="inlineStr">
        <is>
          <t xml:space="preserve">911 Turbo S</t>
        </is>
      </c>
      <c r="K19" s="30" t="inlineStr">
        <is>
          <t xml:space="preserve">UZ3641RHKZGBF7YJ4</t>
        </is>
      </c>
      <c r="L19" s="32" t="inlineStr">
        <is>
          <t xml:space="preserve">02 - Sports / GT</t>
        </is>
      </c>
      <c r="M19" s="35">
        <v>755000</v>
      </c>
      <c r="N19" s="32" t="inlineStr">
        <is>
          <t xml:space="preserve">Personal</t>
        </is>
      </c>
      <c r="O19" s="30" t="inlineStr">
        <is>
          <t xml:space="preserve">Personal - regular use</t>
        </is>
      </c>
      <c r="P19" s="30" t="inlineStr">
        <is>
          <t xml:space="preserve">2,500 - 5,000</t>
        </is>
      </c>
      <c r="Q19" s="30" t="inlineStr">
        <is>
          <t xml:space="preserve">New York</t>
        </is>
      </c>
      <c r="R19" s="30" t="inlineStr">
        <is>
          <t xml:space="preserve">10022</t>
        </is>
      </c>
      <c r="S19" s="32" t="inlineStr">
        <is>
          <t xml:space="preserve">Tier 3 - Coastal wind (25-100 miles)</t>
        </is>
      </c>
      <c r="T19" s="36">
        <f>IF($A19="","",IF($S19="","",IFERROR(INDEX('[1]natural catastrophe'!$D$6:$D$17,MATCH($S19,'[1]natural catastrophe'!$B$6:$B$17,0)),"?")))</f>
      </c>
      <c r="U19" s="30" t="inlineStr">
        <is>
          <t xml:space="preserve">2% of agreed value, minimum $10,000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9019.43</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CANON-202607-007662</t>
        </is>
      </c>
      <c r="B20" s="46" t="inlineStr">
        <is>
          <t xml:space="preserve">Marisol Chattopadhyay</t>
        </is>
      </c>
      <c r="C20" s="47">
        <v>46230</v>
      </c>
      <c r="D20" s="48" t="inlineStr">
        <is>
          <t xml:space="preserve">Bound - within authority</t>
        </is>
      </c>
      <c r="E20" s="48" t="inlineStr">
        <is>
          <t xml:space="preserve">New business</t>
        </is>
      </c>
      <c r="F20" s="46" t="inlineStr">
        <is>
          <t xml:space="preserve">B1234EXOTIC26</t>
        </is>
      </c>
      <c r="G20" s="33">
        <f>IF($A20="","",IF($C20="","",YEAR($C20)))</f>
      </c>
      <c r="H20" s="49">
        <v>2001</v>
      </c>
      <c r="I20" s="46" t="inlineStr">
        <is>
          <t xml:space="preserve">Ferrari</t>
        </is>
      </c>
      <c r="J20" s="46" t="inlineStr">
        <is>
          <t xml:space="preserve">275 GTB/4</t>
        </is>
      </c>
      <c r="K20" s="46" t="inlineStr">
        <is>
          <t xml:space="preserve">D0M3XXVJ7RVLPTZ29</t>
        </is>
      </c>
      <c r="L20" s="48" t="inlineStr">
        <is>
          <t xml:space="preserve">09 - Youngtimer / Collectible (2000-2010)</t>
        </is>
      </c>
      <c r="M20" s="50">
        <v>475000</v>
      </c>
      <c r="N20" s="48" t="inlineStr">
        <is>
          <t xml:space="preserve">Personal</t>
        </is>
      </c>
      <c r="O20" s="46" t="inlineStr">
        <is>
          <t xml:space="preserve">Personal - regular use</t>
        </is>
      </c>
      <c r="P20" s="46" t="inlineStr">
        <is>
          <t xml:space="preserve">Under 1,000</t>
        </is>
      </c>
      <c r="Q20" s="46" t="inlineStr">
        <is>
          <t xml:space="preserve">Wisconsin</t>
        </is>
      </c>
      <c r="R20" s="46" t="inlineStr">
        <is>
          <t xml:space="preserve">53202</t>
        </is>
      </c>
      <c r="S20" s="48" t="inlineStr">
        <is>
          <t xml:space="preserve">Severe convective - hail / tornado (moderate)</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3928.48</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CANON-202607-007663</t>
        </is>
      </c>
      <c r="B21" s="30" t="inlineStr">
        <is>
          <t xml:space="preserve">Saoirse Chattopadhyay</t>
        </is>
      </c>
      <c r="C21" s="31">
        <v>46214</v>
      </c>
      <c r="D21" s="32" t="inlineStr">
        <is>
          <t xml:space="preserve">Bound - within authority</t>
        </is>
      </c>
      <c r="E21" s="32" t="inlineStr">
        <is>
          <t xml:space="preserve">New business</t>
        </is>
      </c>
      <c r="F21" s="30" t="inlineStr">
        <is>
          <t xml:space="preserve">B1234EXOTIC26</t>
        </is>
      </c>
      <c r="G21" s="33">
        <f>IF($A21="","",IF($C21="","",YEAR($C21)))</f>
      </c>
      <c r="H21" s="34">
        <v>1959</v>
      </c>
      <c r="I21" s="30" t="inlineStr">
        <is>
          <t xml:space="preserve">Aston Martin</t>
        </is>
      </c>
      <c r="J21" s="30" t="inlineStr">
        <is>
          <t xml:space="preserve">DB5</t>
        </is>
      </c>
      <c r="K21" s="30" t="inlineStr">
        <is>
          <t xml:space="preserve">3HH3ZXUVWLSVGD44D</t>
        </is>
      </c>
      <c r="L21" s="32" t="inlineStr">
        <is>
          <t xml:space="preserve">07 - Post-War Classic (1946-1972)</t>
        </is>
      </c>
      <c r="M21" s="35">
        <v>295000</v>
      </c>
      <c r="N21" s="32" t="inlineStr">
        <is>
          <t xml:space="preserve">Personal</t>
        </is>
      </c>
      <c r="O21" s="30" t="inlineStr">
        <is>
          <t xml:space="preserve">Personal - regular use</t>
        </is>
      </c>
      <c r="P21" s="30" t="inlineStr">
        <is>
          <t xml:space="preserve">2,500 - 5,000</t>
        </is>
      </c>
      <c r="Q21" s="30" t="inlineStr">
        <is>
          <t xml:space="preserve">Washington</t>
        </is>
      </c>
      <c r="R21" s="30" t="inlineStr">
        <is>
          <t xml:space="preserve">98101</t>
        </is>
      </c>
      <c r="S21" s="32" t="inlineStr">
        <is>
          <t xml:space="preserve">Earthquake - high (CA, Cascadia, New Madrid)</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1951.84</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CANON-202607-007664</t>
        </is>
      </c>
      <c r="B22" s="46" t="inlineStr">
        <is>
          <t xml:space="preserve">Leopold Blackwood</t>
        </is>
      </c>
      <c r="C22" s="47">
        <v>46210</v>
      </c>
      <c r="D22" s="48" t="inlineStr">
        <is>
          <t xml:space="preserve">Bound - within authority</t>
        </is>
      </c>
      <c r="E22" s="48" t="inlineStr">
        <is>
          <t xml:space="preserve">New business</t>
        </is>
      </c>
      <c r="F22" s="46" t="inlineStr">
        <is>
          <t xml:space="preserve">B1234EXOTIC26</t>
        </is>
      </c>
      <c r="G22" s="33">
        <f>IF($A22="","",IF($C22="","",YEAR($C22)))</f>
      </c>
      <c r="H22" s="49">
        <v>2010</v>
      </c>
      <c r="I22" s="46" t="inlineStr">
        <is>
          <t xml:space="preserve">Ferrari</t>
        </is>
      </c>
      <c r="J22" s="46" t="inlineStr">
        <is>
          <t xml:space="preserve">SF90 Stradale</t>
        </is>
      </c>
      <c r="K22" s="46" t="inlineStr">
        <is>
          <t xml:space="preserve">CRHUPS1XXB1W5C5JX</t>
        </is>
      </c>
      <c r="L22" s="48" t="inlineStr">
        <is>
          <t xml:space="preserve">03 - Supercar</t>
        </is>
      </c>
      <c r="M22" s="50">
        <v>1715000</v>
      </c>
      <c r="N22" s="48" t="inlineStr">
        <is>
          <t xml:space="preserve">Personal</t>
        </is>
      </c>
      <c r="O22" s="46" t="inlineStr">
        <is>
          <t xml:space="preserve">Personal - regular use</t>
        </is>
      </c>
      <c r="P22" s="46" t="inlineStr">
        <is>
          <t xml:space="preserve">2,500 - 5,000</t>
        </is>
      </c>
      <c r="Q22" s="46" t="inlineStr">
        <is>
          <t xml:space="preserve">California</t>
        </is>
      </c>
      <c r="R22" s="46" t="inlineStr">
        <is>
          <t xml:space="preserve">90012</t>
        </is>
      </c>
      <c r="S22" s="48" t="inlineStr">
        <is>
          <t xml:space="preserve">Earthquake - high (CA, Cascadia, New Madrid)</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26594.8</v>
      </c>
      <c r="AC22" s="51">
        <v>0</v>
      </c>
      <c r="AD22" s="38">
        <f>IF(ISNUMBER($AB22),$AB22*(1+N($AC22)),"")</f>
      </c>
      <c r="AE22" s="50">
        <v>350</v>
      </c>
      <c r="AF22" s="50">
        <v>250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CANON-202607-007665</t>
        </is>
      </c>
      <c r="B23" s="30" t="inlineStr">
        <is>
          <t xml:space="preserve">Marisol Underwood</t>
        </is>
      </c>
      <c r="C23" s="31">
        <v>46222</v>
      </c>
      <c r="D23" s="32" t="inlineStr">
        <is>
          <t xml:space="preserve">Bound - within authority</t>
        </is>
      </c>
      <c r="E23" s="32" t="inlineStr">
        <is>
          <t xml:space="preserve">New business</t>
        </is>
      </c>
      <c r="F23" s="30" t="inlineStr">
        <is>
          <t xml:space="preserve">B1234EXOTIC26</t>
        </is>
      </c>
      <c r="G23" s="33">
        <f>IF($A23="","",IF($C23="","",YEAR($C23)))</f>
      </c>
      <c r="H23" s="34">
        <v>1970</v>
      </c>
      <c r="I23" s="30" t="inlineStr">
        <is>
          <t xml:space="preserve">Jaguar</t>
        </is>
      </c>
      <c r="J23" s="30" t="inlineStr">
        <is>
          <t xml:space="preserve">E-Type Series 1</t>
        </is>
      </c>
      <c r="K23" s="30" t="inlineStr">
        <is>
          <t xml:space="preserve">YFTZL20X6R40GB360</t>
        </is>
      </c>
      <c r="L23" s="32" t="inlineStr">
        <is>
          <t xml:space="preserve">07 - Post-War Classic (1946-1972)</t>
        </is>
      </c>
      <c r="M23" s="35">
        <v>1450000</v>
      </c>
      <c r="N23" s="32" t="inlineStr">
        <is>
          <t xml:space="preserve">Personal</t>
        </is>
      </c>
      <c r="O23" s="30" t="inlineStr">
        <is>
          <t xml:space="preserve">Personal - regular use</t>
        </is>
      </c>
      <c r="P23" s="30" t="inlineStr">
        <is>
          <t xml:space="preserve">Under 1,000</t>
        </is>
      </c>
      <c r="Q23" s="30" t="inlineStr">
        <is>
          <t xml:space="preserve">Missouri</t>
        </is>
      </c>
      <c r="R23" s="30" t="inlineStr">
        <is>
          <t xml:space="preserve">63101</t>
        </is>
      </c>
      <c r="S23" s="32" t="inlineStr">
        <is>
          <t xml:space="preserve">Severe convective - hail / tornado (moderate)</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8386.22</v>
      </c>
      <c r="AC23" s="37">
        <v>0</v>
      </c>
      <c r="AD23" s="38">
        <f>IF(ISNUMBER($AB23),$AB23*(1+N($AC23)),"")</f>
      </c>
      <c r="AE23" s="35">
        <v>350</v>
      </c>
      <c r="AF23" s="35">
        <v>250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CANON-202607-007666</t>
        </is>
      </c>
      <c r="B24" s="46" t="inlineStr">
        <is>
          <t xml:space="preserve">Sunniva Vasquez</t>
        </is>
      </c>
      <c r="C24" s="47">
        <v>46222</v>
      </c>
      <c r="D24" s="48" t="inlineStr">
        <is>
          <t xml:space="preserve">Bound - within authority</t>
        </is>
      </c>
      <c r="E24" s="48" t="inlineStr">
        <is>
          <t xml:space="preserve">New business</t>
        </is>
      </c>
      <c r="F24" s="46" t="inlineStr">
        <is>
          <t xml:space="preserve">B1234EXOTIC26</t>
        </is>
      </c>
      <c r="G24" s="33">
        <f>IF($A24="","",IF($C24="","",YEAR($C24)))</f>
      </c>
      <c r="H24" s="49">
        <v>2004</v>
      </c>
      <c r="I24" s="46" t="inlineStr">
        <is>
          <t xml:space="preserve">Ferrari</t>
        </is>
      </c>
      <c r="J24" s="46" t="inlineStr">
        <is>
          <t xml:space="preserve">296 GTB</t>
        </is>
      </c>
      <c r="K24" s="46" t="inlineStr">
        <is>
          <t xml:space="preserve">TM772P1JT2J8K9AVP</t>
        </is>
      </c>
      <c r="L24" s="48" t="inlineStr">
        <is>
          <t xml:space="preserve">03 - Supercar</t>
        </is>
      </c>
      <c r="M24" s="50">
        <v>1685000</v>
      </c>
      <c r="N24" s="48" t="inlineStr">
        <is>
          <t xml:space="preserve">Personal</t>
        </is>
      </c>
      <c r="O24" s="46" t="inlineStr">
        <is>
          <t xml:space="preserve">Personal - regular use</t>
        </is>
      </c>
      <c r="P24" s="46" t="inlineStr">
        <is>
          <t xml:space="preserve">2,500 - 5,000</t>
        </is>
      </c>
      <c r="Q24" s="46" t="inlineStr">
        <is>
          <t xml:space="preserve">North Dakota</t>
        </is>
      </c>
      <c r="R24" s="46" t="inlineStr">
        <is>
          <t xml:space="preserve">58501</t>
        </is>
      </c>
      <c r="S24" s="48" t="inlineStr">
        <is>
          <t xml:space="preserve">Severe convective - hail alley (high)</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19742.35</v>
      </c>
      <c r="AC24" s="51">
        <v>0</v>
      </c>
      <c r="AD24" s="38">
        <f>IF(ISNUMBER($AB24),$AB24*(1+N($AC24)),"")</f>
      </c>
      <c r="AE24" s="50">
        <v>350</v>
      </c>
      <c r="AF24" s="50">
        <v>250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CANON-202607-007667</t>
        </is>
      </c>
      <c r="B25" s="30" t="inlineStr">
        <is>
          <t xml:space="preserve">Horace Kingsford</t>
        </is>
      </c>
      <c r="C25" s="31">
        <v>46223</v>
      </c>
      <c r="D25" s="32" t="inlineStr">
        <is>
          <t xml:space="preserve">Bound - within authority</t>
        </is>
      </c>
      <c r="E25" s="32" t="inlineStr">
        <is>
          <t xml:space="preserve">New business</t>
        </is>
      </c>
      <c r="F25" s="30" t="inlineStr">
        <is>
          <t xml:space="preserve">B1234EXOTIC26</t>
        </is>
      </c>
      <c r="G25" s="33">
        <f>IF($A25="","",IF($C25="","",YEAR($C25)))</f>
      </c>
      <c r="H25" s="34">
        <v>2012</v>
      </c>
      <c r="I25" s="30" t="inlineStr">
        <is>
          <t xml:space="preserve">Aston Martin</t>
        </is>
      </c>
      <c r="J25" s="30" t="inlineStr">
        <is>
          <t xml:space="preserve">DB12</t>
        </is>
      </c>
      <c r="K25" s="30" t="inlineStr">
        <is>
          <t xml:space="preserve">Y729TXL2XTA20B2R9</t>
        </is>
      </c>
      <c r="L25" s="32" t="inlineStr">
        <is>
          <t xml:space="preserve">02 - Sports / GT</t>
        </is>
      </c>
      <c r="M25" s="35">
        <v>310000</v>
      </c>
      <c r="N25" s="32" t="inlineStr">
        <is>
          <t xml:space="preserve">Personal</t>
        </is>
      </c>
      <c r="O25" s="30" t="inlineStr">
        <is>
          <t xml:space="preserve">Personal - regular use</t>
        </is>
      </c>
      <c r="P25" s="30" t="inlineStr">
        <is>
          <t xml:space="preserve">1,000 - 2,500</t>
        </is>
      </c>
      <c r="Q25" s="30" t="inlineStr">
        <is>
          <t xml:space="preserve">New Jersey</t>
        </is>
      </c>
      <c r="R25" s="30" t="inlineStr">
        <is>
          <t xml:space="preserve">07102</t>
        </is>
      </c>
      <c r="S25" s="32" t="inlineStr">
        <is>
          <t xml:space="preserve">Tier 3 - Coastal wind (25-100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3037.9</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CANON-202607-007668</t>
        </is>
      </c>
      <c r="B26" s="46" t="inlineStr">
        <is>
          <t xml:space="preserve">Priya Bellandi</t>
        </is>
      </c>
      <c r="C26" s="47">
        <v>46205</v>
      </c>
      <c r="D26" s="48" t="inlineStr">
        <is>
          <t xml:space="preserve">Bound - within authority</t>
        </is>
      </c>
      <c r="E26" s="48" t="inlineStr">
        <is>
          <t xml:space="preserve">New business</t>
        </is>
      </c>
      <c r="F26" s="46" t="inlineStr">
        <is>
          <t xml:space="preserve">B1234EXOTIC26</t>
        </is>
      </c>
      <c r="G26" s="33">
        <f>IF($A26="","",IF($C26="","",YEAR($C26)))</f>
      </c>
      <c r="H26" s="49">
        <v>1981</v>
      </c>
      <c r="I26" s="46" t="inlineStr">
        <is>
          <t xml:space="preserve">McLaren</t>
        </is>
      </c>
      <c r="J26" s="46" t="inlineStr">
        <is>
          <t xml:space="preserve">750S</t>
        </is>
      </c>
      <c r="K26" s="46" t="inlineStr">
        <is>
          <t xml:space="preserve">05RXT78RW527ND1U4</t>
        </is>
      </c>
      <c r="L26" s="48" t="inlineStr">
        <is>
          <t xml:space="preserve">03 - Supercar</t>
        </is>
      </c>
      <c r="M26" s="50">
        <v>770000</v>
      </c>
      <c r="N26" s="48" t="inlineStr">
        <is>
          <t xml:space="preserve">Personal</t>
        </is>
      </c>
      <c r="O26" s="46" t="inlineStr">
        <is>
          <t xml:space="preserve">Personal - regular use</t>
        </is>
      </c>
      <c r="P26" s="46" t="inlineStr">
        <is>
          <t xml:space="preserve">1,000 - 2,500</t>
        </is>
      </c>
      <c r="Q26" s="46" t="inlineStr">
        <is>
          <t xml:space="preserve">New York</t>
        </is>
      </c>
      <c r="R26" s="46" t="inlineStr">
        <is>
          <t xml:space="preserve">10022</t>
        </is>
      </c>
      <c r="S26" s="48" t="inlineStr">
        <is>
          <t xml:space="preserve">Tier 3 - Coastal wind (25-100 miles)</t>
        </is>
      </c>
      <c r="T26" s="36">
        <f>IF($A26="","",IF($S26="","",IFERROR(INDEX('[1]natural catastrophe'!$D$6:$D$17,MATCH($S26,'[1]natural catastrophe'!$B$6:$B$17,0)),"?")))</f>
      </c>
      <c r="U26" s="46" t="inlineStr">
        <is>
          <t xml:space="preserve">2% of agreed value, minimum $10,000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13444.15</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CANON-202607-007669</t>
        </is>
      </c>
      <c r="B27" s="30" t="inlineStr">
        <is>
          <t xml:space="preserve">Lorenzo Rourke</t>
        </is>
      </c>
      <c r="C27" s="31">
        <v>46204</v>
      </c>
      <c r="D27" s="32" t="inlineStr">
        <is>
          <t xml:space="preserve">Bound - within authority</t>
        </is>
      </c>
      <c r="E27" s="32" t="inlineStr">
        <is>
          <t xml:space="preserve">New business</t>
        </is>
      </c>
      <c r="F27" s="30" t="inlineStr">
        <is>
          <t xml:space="preserve">B1234EXOTIC26</t>
        </is>
      </c>
      <c r="G27" s="33">
        <f>IF($A27="","",IF($C27="","",YEAR($C27)))</f>
      </c>
      <c r="H27" s="34">
        <v>2024</v>
      </c>
      <c r="I27" s="30" t="inlineStr">
        <is>
          <t xml:space="preserve">Porsche</t>
        </is>
      </c>
      <c r="J27" s="30" t="inlineStr">
        <is>
          <t xml:space="preserve">911 Turbo S</t>
        </is>
      </c>
      <c r="K27" s="30" t="inlineStr">
        <is>
          <t xml:space="preserve">X6VVL40DNZEV44FD0</t>
        </is>
      </c>
      <c r="L27" s="32" t="inlineStr">
        <is>
          <t xml:space="preserve">02 - Sports / GT</t>
        </is>
      </c>
      <c r="M27" s="35">
        <v>540000</v>
      </c>
      <c r="N27" s="32" t="inlineStr">
        <is>
          <t xml:space="preserve">Personal</t>
        </is>
      </c>
      <c r="O27" s="30" t="inlineStr">
        <is>
          <t xml:space="preserve">Personal - regular use</t>
        </is>
      </c>
      <c r="P27" s="30" t="inlineStr">
        <is>
          <t xml:space="preserve">1,000 - 2,500</t>
        </is>
      </c>
      <c r="Q27" s="30" t="inlineStr">
        <is>
          <t xml:space="preserve">Oklahoma</t>
        </is>
      </c>
      <c r="R27" s="30" t="inlineStr">
        <is>
          <t xml:space="preserve">73102</t>
        </is>
      </c>
      <c r="S27" s="32" t="inlineStr">
        <is>
          <t xml:space="preserve">Severe convective - hail alley (high)</t>
        </is>
      </c>
      <c r="T27" s="36">
        <f>IF($A27="","",IF($S27="","",IFERROR(INDEX('[1]natural catastrophe'!$D$6:$D$17,MATCH($S27,'[1]natural catastrophe'!$B$6:$B$17,0)),"?")))</f>
      </c>
      <c r="U27" s="30" t="inlineStr">
        <is>
          <t xml:space="preserve">$5,000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6350.19</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CANON-202607-007671</t>
        </is>
      </c>
      <c r="B28" s="46" t="inlineStr">
        <is>
          <t xml:space="preserve">Delphine Merriweather</t>
        </is>
      </c>
      <c r="C28" s="47">
        <v>46209</v>
      </c>
      <c r="D28" s="48" t="inlineStr">
        <is>
          <t xml:space="preserve">Bound - within authority</t>
        </is>
      </c>
      <c r="E28" s="48" t="inlineStr">
        <is>
          <t xml:space="preserve">New business</t>
        </is>
      </c>
      <c r="F28" s="46" t="inlineStr">
        <is>
          <t xml:space="preserve">B1234EXOTIC26</t>
        </is>
      </c>
      <c r="G28" s="33">
        <f>IF($A28="","",IF($C28="","",YEAR($C28)))</f>
      </c>
      <c r="H28" s="49">
        <v>2004</v>
      </c>
      <c r="I28" s="46" t="inlineStr">
        <is>
          <t xml:space="preserve">Ferrari</t>
        </is>
      </c>
      <c r="J28" s="46" t="inlineStr">
        <is>
          <t xml:space="preserve">SF90 Stradale</t>
        </is>
      </c>
      <c r="K28" s="46" t="inlineStr">
        <is>
          <t xml:space="preserve">16P2CW8X9CCFHM0UK</t>
        </is>
      </c>
      <c r="L28" s="48" t="inlineStr">
        <is>
          <t xml:space="preserve">03 - Supercar</t>
        </is>
      </c>
      <c r="M28" s="50">
        <v>695000</v>
      </c>
      <c r="N28" s="48" t="inlineStr">
        <is>
          <t xml:space="preserve">Personal</t>
        </is>
      </c>
      <c r="O28" s="46" t="inlineStr">
        <is>
          <t xml:space="preserve">Personal - regular use</t>
        </is>
      </c>
      <c r="P28" s="46" t="inlineStr">
        <is>
          <t xml:space="preserve">1,000 - 2,500</t>
        </is>
      </c>
      <c r="Q28" s="46" t="inlineStr">
        <is>
          <t xml:space="preserve">Delaware</t>
        </is>
      </c>
      <c r="R28" s="46" t="inlineStr">
        <is>
          <t xml:space="preserve">19801</t>
        </is>
      </c>
      <c r="S28" s="48" t="inlineStr">
        <is>
          <t xml:space="preserve">Tier 3 - Coastal wind (25-100 miles)</t>
        </is>
      </c>
      <c r="T28" s="36">
        <f>IF($A28="","",IF($S28="","",IFERROR(INDEX('[1]natural catastrophe'!$D$6:$D$17,MATCH($S28,'[1]natural catastrophe'!$B$6:$B$17,0)),"?")))</f>
      </c>
      <c r="U28" s="46" t="inlineStr">
        <is>
          <t xml:space="preserve">2% of agreed value, minimum $10,000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11850.24</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CANON-202607-007672</t>
        </is>
      </c>
      <c r="B29" s="30" t="inlineStr">
        <is>
          <t xml:space="preserve">Delphine Underwood</t>
        </is>
      </c>
      <c r="C29" s="31">
        <v>46232</v>
      </c>
      <c r="D29" s="32" t="inlineStr">
        <is>
          <t xml:space="preserve">Bound - within authority</t>
        </is>
      </c>
      <c r="E29" s="32" t="inlineStr">
        <is>
          <t xml:space="preserve">New business</t>
        </is>
      </c>
      <c r="F29" s="30" t="inlineStr">
        <is>
          <t xml:space="preserve">B1234EXOTIC26</t>
        </is>
      </c>
      <c r="G29" s="33">
        <f>IF($A29="","",IF($C29="","",YEAR($C29)))</f>
      </c>
      <c r="H29" s="34">
        <v>1987</v>
      </c>
      <c r="I29" s="30" t="inlineStr">
        <is>
          <t xml:space="preserve">BMW</t>
        </is>
      </c>
      <c r="J29" s="30" t="inlineStr">
        <is>
          <t xml:space="preserve">M8 Competition</t>
        </is>
      </c>
      <c r="K29" s="30" t="inlineStr">
        <is>
          <t xml:space="preserve">0HSV02V7T3J1PUPUG</t>
        </is>
      </c>
      <c r="L29" s="32" t="inlineStr">
        <is>
          <t xml:space="preserve">02 - Sports / GT</t>
        </is>
      </c>
      <c r="M29" s="35">
        <v>255000</v>
      </c>
      <c r="N29" s="32" t="inlineStr">
        <is>
          <t xml:space="preserve">Personal</t>
        </is>
      </c>
      <c r="O29" s="30" t="inlineStr">
        <is>
          <t xml:space="preserve">Personal - regular use</t>
        </is>
      </c>
      <c r="P29" s="30" t="inlineStr">
        <is>
          <t xml:space="preserve">1,000 - 2,500</t>
        </is>
      </c>
      <c r="Q29" s="30" t="inlineStr">
        <is>
          <t xml:space="preserve">Colorado</t>
        </is>
      </c>
      <c r="R29" s="30" t="inlineStr">
        <is>
          <t xml:space="preserve">80202</t>
        </is>
      </c>
      <c r="S29" s="32" t="inlineStr">
        <is>
          <t xml:space="preserve">Severe convective - hail alley (high)</t>
        </is>
      </c>
      <c r="T29" s="36">
        <f>IF($A29="","",IF($S29="","",IFERROR(INDEX('[1]natural catastrophe'!$D$6:$D$17,MATCH($S29,'[1]natural catastrophe'!$B$6:$B$17,0)),"?")))</f>
      </c>
      <c r="U29" s="30" t="inlineStr">
        <is>
          <t xml:space="preserve">$5,000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3020.67</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CANON-202607-007673</t>
        </is>
      </c>
      <c r="B30" s="46" t="inlineStr">
        <is>
          <t xml:space="preserve">Sunniva Okonkwo</t>
        </is>
      </c>
      <c r="C30" s="47">
        <v>46218</v>
      </c>
      <c r="D30" s="48" t="inlineStr">
        <is>
          <t xml:space="preserve">Bound - within authority</t>
        </is>
      </c>
      <c r="E30" s="48" t="inlineStr">
        <is>
          <t xml:space="preserve">New business</t>
        </is>
      </c>
      <c r="F30" s="46" t="inlineStr">
        <is>
          <t xml:space="preserve">B1234EXOTIC26</t>
        </is>
      </c>
      <c r="G30" s="33">
        <f>IF($A30="","",IF($C30="","",YEAR($C30)))</f>
      </c>
      <c r="H30" s="49">
        <v>1955</v>
      </c>
      <c r="I30" s="46" t="inlineStr">
        <is>
          <t xml:space="preserve">Jaguar</t>
        </is>
      </c>
      <c r="J30" s="46" t="inlineStr">
        <is>
          <t xml:space="preserve">E-Type Series 1</t>
        </is>
      </c>
      <c r="K30" s="46" t="inlineStr">
        <is>
          <t xml:space="preserve">GFU0WC9U80WNE9P56</t>
        </is>
      </c>
      <c r="L30" s="48" t="inlineStr">
        <is>
          <t xml:space="preserve">07 - Post-War Classic (1946-1972)</t>
        </is>
      </c>
      <c r="M30" s="50">
        <v>550000</v>
      </c>
      <c r="N30" s="48" t="inlineStr">
        <is>
          <t xml:space="preserve">Personal</t>
        </is>
      </c>
      <c r="O30" s="46" t="inlineStr">
        <is>
          <t xml:space="preserve">Personal - regular use</t>
        </is>
      </c>
      <c r="P30" s="46" t="inlineStr">
        <is>
          <t xml:space="preserve">Under 1,000</t>
        </is>
      </c>
      <c r="Q30" s="46" t="inlineStr">
        <is>
          <t xml:space="preserve">Georgia</t>
        </is>
      </c>
      <c r="R30" s="46" t="inlineStr">
        <is>
          <t xml:space="preserve">30303</t>
        </is>
      </c>
      <c r="S30" s="48" t="inlineStr">
        <is>
          <t xml:space="preserve">Tier 2 - Coastal wind (1-25 miles)</t>
        </is>
      </c>
      <c r="T30" s="36">
        <f>IF($A30="","",IF($S30="","",IFERROR(INDEX('[1]natural catastrophe'!$D$6:$D$17,MATCH($S30,'[1]natural catastrophe'!$B$6:$B$17,0)),"?")))</f>
      </c>
      <c r="U30" s="46" t="inlineStr">
        <is>
          <t xml:space="preserve">2% of agreed value, minimum $10,000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3803.28</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CANON-202607-007675</t>
        </is>
      </c>
      <c r="B31" s="30" t="inlineStr">
        <is>
          <t xml:space="preserve">Callum Delacroix</t>
        </is>
      </c>
      <c r="C31" s="31">
        <v>46218</v>
      </c>
      <c r="D31" s="32" t="inlineStr">
        <is>
          <t xml:space="preserve">Bound - within authority</t>
        </is>
      </c>
      <c r="E31" s="32" t="inlineStr">
        <is>
          <t xml:space="preserve">New business</t>
        </is>
      </c>
      <c r="F31" s="30" t="inlineStr">
        <is>
          <t xml:space="preserve">B1234EXOTIC26</t>
        </is>
      </c>
      <c r="G31" s="33">
        <f>IF($A31="","",IF($C31="","",YEAR($C31)))</f>
      </c>
      <c r="H31" s="34">
        <v>1956</v>
      </c>
      <c r="I31" s="30" t="inlineStr">
        <is>
          <t xml:space="preserve">Ferrari</t>
        </is>
      </c>
      <c r="J31" s="30" t="inlineStr">
        <is>
          <t xml:space="preserve">275 GTB/4</t>
        </is>
      </c>
      <c r="K31" s="30" t="inlineStr">
        <is>
          <t xml:space="preserve">3URXB87C6JNMPKAWZ</t>
        </is>
      </c>
      <c r="L31" s="32" t="inlineStr">
        <is>
          <t xml:space="preserve">07 - Post-War Classic (1946-1972)</t>
        </is>
      </c>
      <c r="M31" s="35">
        <v>640000</v>
      </c>
      <c r="N31" s="32" t="inlineStr">
        <is>
          <t xml:space="preserve">Personal</t>
        </is>
      </c>
      <c r="O31" s="30" t="inlineStr">
        <is>
          <t xml:space="preserve">Personal - regular use</t>
        </is>
      </c>
      <c r="P31" s="30" t="inlineStr">
        <is>
          <t xml:space="preserve">1,000 - 2,500</t>
        </is>
      </c>
      <c r="Q31" s="30" t="inlineStr">
        <is>
          <t xml:space="preserve">Texas</t>
        </is>
      </c>
      <c r="R31" s="30" t="inlineStr">
        <is>
          <t xml:space="preserve">75201</t>
        </is>
      </c>
      <c r="S31" s="32" t="inlineStr">
        <is>
          <t xml:space="preserve">Tier 2 - Coastal wind (1-25 miles)</t>
        </is>
      </c>
      <c r="T31" s="36">
        <f>IF($A31="","",IF($S31="","",IFERROR(INDEX('[1]natural catastrophe'!$D$6:$D$17,MATCH($S31,'[1]natural catastrophe'!$B$6:$B$17,0)),"?")))</f>
      </c>
      <c r="U31" s="30" t="inlineStr">
        <is>
          <t xml:space="preserve">2% of agreed value, minimum $10,000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4544.17</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CANON-202607-007677</t>
        </is>
      </c>
      <c r="B32" s="46" t="inlineStr">
        <is>
          <t xml:space="preserve">Aurelio Farkas</t>
        </is>
      </c>
      <c r="C32" s="47">
        <v>46229</v>
      </c>
      <c r="D32" s="48" t="inlineStr">
        <is>
          <t xml:space="preserve">Bound - within authority</t>
        </is>
      </c>
      <c r="E32" s="48" t="inlineStr">
        <is>
          <t xml:space="preserve">New business</t>
        </is>
      </c>
      <c r="F32" s="46" t="inlineStr">
        <is>
          <t xml:space="preserve">B1234EXOTIC26</t>
        </is>
      </c>
      <c r="G32" s="33">
        <f>IF($A32="","",IF($C32="","",YEAR($C32)))</f>
      </c>
      <c r="H32" s="49">
        <v>2024</v>
      </c>
      <c r="I32" s="46" t="inlineStr">
        <is>
          <t xml:space="preserve">Mercedes-Benz</t>
        </is>
      </c>
      <c r="J32" s="46" t="inlineStr">
        <is>
          <t xml:space="preserve">AMG GT</t>
        </is>
      </c>
      <c r="K32" s="46" t="inlineStr">
        <is>
          <t xml:space="preserve">RY30KCELJ6H9D7M6A</t>
        </is>
      </c>
      <c r="L32" s="48" t="inlineStr">
        <is>
          <t xml:space="preserve">02 - Sports / GT</t>
        </is>
      </c>
      <c r="M32" s="50">
        <v>780000</v>
      </c>
      <c r="N32" s="48" t="inlineStr">
        <is>
          <t xml:space="preserve">Personal</t>
        </is>
      </c>
      <c r="O32" s="46" t="inlineStr">
        <is>
          <t xml:space="preserve">Personal - regular use</t>
        </is>
      </c>
      <c r="P32" s="46" t="inlineStr">
        <is>
          <t xml:space="preserve">2,500 - 5,000</t>
        </is>
      </c>
      <c r="Q32" s="46" t="inlineStr">
        <is>
          <t xml:space="preserve">Arkansas</t>
        </is>
      </c>
      <c r="R32" s="46" t="inlineStr">
        <is>
          <t xml:space="preserve">72201</t>
        </is>
      </c>
      <c r="S32" s="48" t="inlineStr">
        <is>
          <t xml:space="preserve">Severe convective - hail / tornado (moderate)</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10046.06</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CANON-202607-007678</t>
        </is>
      </c>
      <c r="B33" s="30" t="inlineStr">
        <is>
          <t xml:space="preserve">Everett Blackwood</t>
        </is>
      </c>
      <c r="C33" s="31">
        <v>46212</v>
      </c>
      <c r="D33" s="32" t="inlineStr">
        <is>
          <t xml:space="preserve">Bound - within authority</t>
        </is>
      </c>
      <c r="E33" s="32" t="inlineStr">
        <is>
          <t xml:space="preserve">New business</t>
        </is>
      </c>
      <c r="F33" s="30" t="inlineStr">
        <is>
          <t xml:space="preserve">B1234EXOTIC26</t>
        </is>
      </c>
      <c r="G33" s="33">
        <f>IF($A33="","",IF($C33="","",YEAR($C33)))</f>
      </c>
      <c r="H33" s="34">
        <v>2020</v>
      </c>
      <c r="I33" s="30" t="inlineStr">
        <is>
          <t xml:space="preserve">Maserati</t>
        </is>
      </c>
      <c r="J33" s="30" t="inlineStr">
        <is>
          <t xml:space="preserve">GranTurismo</t>
        </is>
      </c>
      <c r="K33" s="30" t="inlineStr">
        <is>
          <t xml:space="preserve">FU1MYN6TYGEWJKB5V</t>
        </is>
      </c>
      <c r="L33" s="32" t="inlineStr">
        <is>
          <t xml:space="preserve">02 - Sports / GT</t>
        </is>
      </c>
      <c r="M33" s="35">
        <v>660000</v>
      </c>
      <c r="N33" s="32" t="inlineStr">
        <is>
          <t xml:space="preserve">Personal</t>
        </is>
      </c>
      <c r="O33" s="30" t="inlineStr">
        <is>
          <t xml:space="preserve">Personal - regular use</t>
        </is>
      </c>
      <c r="P33" s="30" t="inlineStr">
        <is>
          <t xml:space="preserve">2,500 - 5,000</t>
        </is>
      </c>
      <c r="Q33" s="30" t="inlineStr">
        <is>
          <t xml:space="preserve">Oregon</t>
        </is>
      </c>
      <c r="R33" s="30" t="inlineStr">
        <is>
          <t xml:space="preserve">97204</t>
        </is>
      </c>
      <c r="S33" s="32" t="inlineStr">
        <is>
          <t xml:space="preserve">Earthquake - high (CA, Cascadia, New Madrid)</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6960.56</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CANON-202607-007679</t>
        </is>
      </c>
      <c r="B34" s="46" t="inlineStr">
        <is>
          <t xml:space="preserve">Ingrid Castellanos</t>
        </is>
      </c>
      <c r="C34" s="47">
        <v>46230</v>
      </c>
      <c r="D34" s="48" t="inlineStr">
        <is>
          <t xml:space="preserve">Bound - within authority</t>
        </is>
      </c>
      <c r="E34" s="48" t="inlineStr">
        <is>
          <t xml:space="preserve">New business</t>
        </is>
      </c>
      <c r="F34" s="46" t="inlineStr">
        <is>
          <t xml:space="preserve">B1234EXOTIC26</t>
        </is>
      </c>
      <c r="G34" s="33">
        <f>IF($A34="","",IF($C34="","",YEAR($C34)))</f>
      </c>
      <c r="H34" s="49">
        <v>1981</v>
      </c>
      <c r="I34" s="46" t="inlineStr">
        <is>
          <t xml:space="preserve">Singer</t>
        </is>
      </c>
      <c r="J34" s="46" t="inlineStr">
        <is>
          <t xml:space="preserve">911 Reimagined</t>
        </is>
      </c>
      <c r="K34" s="46" t="inlineStr">
        <is>
          <t xml:space="preserve">NCF9NSLAZY2SMRZ9C</t>
        </is>
      </c>
      <c r="L34" s="48" t="inlineStr">
        <is>
          <t xml:space="preserve">11 - Restomod / Coachbuilt / Bespoke</t>
        </is>
      </c>
      <c r="M34" s="50">
        <v>1165000</v>
      </c>
      <c r="N34" s="48" t="inlineStr">
        <is>
          <t xml:space="preserve">Personal</t>
        </is>
      </c>
      <c r="O34" s="46" t="inlineStr">
        <is>
          <t xml:space="preserve">Personal - regular use</t>
        </is>
      </c>
      <c r="P34" s="46" t="inlineStr">
        <is>
          <t xml:space="preserve">1,000 - 2,500</t>
        </is>
      </c>
      <c r="Q34" s="46" t="inlineStr">
        <is>
          <t xml:space="preserve">Montana</t>
        </is>
      </c>
      <c r="R34" s="46" t="inlineStr">
        <is>
          <t xml:space="preserve">59601</t>
        </is>
      </c>
      <c r="S34" s="48" t="inlineStr">
        <is>
          <t xml:space="preserve">Wildfire - WUI high hazard</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10578.56</v>
      </c>
      <c r="AC34" s="51">
        <v>0</v>
      </c>
      <c r="AD34" s="38">
        <f>IF(ISNUMBER($AB34),$AB34*(1+N($AC34)),"")</f>
      </c>
      <c r="AE34" s="50">
        <v>350</v>
      </c>
      <c r="AF34" s="50">
        <v>250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CANON-202607-007680</t>
        </is>
      </c>
      <c r="B35" s="30" t="inlineStr">
        <is>
          <t xml:space="preserve">Delphine Thistlewood</t>
        </is>
      </c>
      <c r="C35" s="31">
        <v>46210</v>
      </c>
      <c r="D35" s="32" t="inlineStr">
        <is>
          <t xml:space="preserve">Bound - within authority</t>
        </is>
      </c>
      <c r="E35" s="32" t="inlineStr">
        <is>
          <t xml:space="preserve">New business</t>
        </is>
      </c>
      <c r="F35" s="30" t="inlineStr">
        <is>
          <t xml:space="preserve">B1234EXOTIC26</t>
        </is>
      </c>
      <c r="G35" s="33">
        <f>IF($A35="","",IF($C35="","",YEAR($C35)))</f>
      </c>
      <c r="H35" s="34">
        <v>1977</v>
      </c>
      <c r="I35" s="30" t="inlineStr">
        <is>
          <t xml:space="preserve">Maserati</t>
        </is>
      </c>
      <c r="J35" s="30" t="inlineStr">
        <is>
          <t xml:space="preserve">GranTurismo</t>
        </is>
      </c>
      <c r="K35" s="30" t="inlineStr">
        <is>
          <t xml:space="preserve">M1J7S6XFN8BGPE1FB</t>
        </is>
      </c>
      <c r="L35" s="32" t="inlineStr">
        <is>
          <t xml:space="preserve">02 - Sports / GT</t>
        </is>
      </c>
      <c r="M35" s="35">
        <v>545000</v>
      </c>
      <c r="N35" s="32" t="inlineStr">
        <is>
          <t xml:space="preserve">Personal</t>
        </is>
      </c>
      <c r="O35" s="30" t="inlineStr">
        <is>
          <t xml:space="preserve">Personal - regular use</t>
        </is>
      </c>
      <c r="P35" s="30" t="inlineStr">
        <is>
          <t xml:space="preserve">2,500 - 5,000</t>
        </is>
      </c>
      <c r="Q35" s="30" t="inlineStr">
        <is>
          <t xml:space="preserve">North Dakota</t>
        </is>
      </c>
      <c r="R35" s="30" t="inlineStr">
        <is>
          <t xml:space="preserve">58501</t>
        </is>
      </c>
      <c r="S35" s="32" t="inlineStr">
        <is>
          <t xml:space="preserve">Severe convective - hail alley (high)</t>
        </is>
      </c>
      <c r="T35" s="36">
        <f>IF($A35="","",IF($S35="","",IFERROR(INDEX('[1]natural catastrophe'!$D$6:$D$17,MATCH($S35,'[1]natural catastrophe'!$B$6:$B$17,0)),"?")))</f>
      </c>
      <c r="U35" s="30" t="inlineStr">
        <is>
          <t xml:space="preserve">$5,000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5188.22</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CANON-202607-007681</t>
        </is>
      </c>
      <c r="B36" s="46" t="inlineStr">
        <is>
          <t xml:space="preserve">Ingrid Castellanos</t>
        </is>
      </c>
      <c r="C36" s="47">
        <v>46204</v>
      </c>
      <c r="D36" s="48" t="inlineStr">
        <is>
          <t xml:space="preserve">Bound - within authority</t>
        </is>
      </c>
      <c r="E36" s="48" t="inlineStr">
        <is>
          <t xml:space="preserve">New business</t>
        </is>
      </c>
      <c r="F36" s="46" t="inlineStr">
        <is>
          <t xml:space="preserve">B1234EXOTIC26</t>
        </is>
      </c>
      <c r="G36" s="33">
        <f>IF($A36="","",IF($C36="","",YEAR($C36)))</f>
      </c>
      <c r="H36" s="49">
        <v>1999</v>
      </c>
      <c r="I36" s="46" t="inlineStr">
        <is>
          <t xml:space="preserve">Mercedes-Benz</t>
        </is>
      </c>
      <c r="J36" s="46" t="inlineStr">
        <is>
          <t xml:space="preserve">280SL Pagoda</t>
        </is>
      </c>
      <c r="K36" s="46" t="inlineStr">
        <is>
          <t xml:space="preserve">7BWSCZD9A29XLGHXB</t>
        </is>
      </c>
      <c r="L36" s="48" t="inlineStr">
        <is>
          <t xml:space="preserve">08 - Modern Classic (1973-1999)</t>
        </is>
      </c>
      <c r="M36" s="50">
        <v>1770000</v>
      </c>
      <c r="N36" s="48" t="inlineStr">
        <is>
          <t xml:space="preserve">Personal</t>
        </is>
      </c>
      <c r="O36" s="46" t="inlineStr">
        <is>
          <t xml:space="preserve">Personal - regular use</t>
        </is>
      </c>
      <c r="P36" s="46" t="inlineStr">
        <is>
          <t xml:space="preserve">1,000 - 2,500</t>
        </is>
      </c>
      <c r="Q36" s="46" t="inlineStr">
        <is>
          <t xml:space="preserve">Maine</t>
        </is>
      </c>
      <c r="R36" s="46" t="inlineStr">
        <is>
          <t xml:space="preserve">04101</t>
        </is>
      </c>
      <c r="S36" s="48" t="inlineStr">
        <is>
          <t xml:space="preserve">Tier 3 - Coastal wind (25-100 miles)</t>
        </is>
      </c>
      <c r="T36" s="36">
        <f>IF($A36="","",IF($S36="","",IFERROR(INDEX('[1]natural catastrophe'!$D$6:$D$17,MATCH($S36,'[1]natural catastrophe'!$B$6:$B$17,0)),"?")))</f>
      </c>
      <c r="U36" s="46" t="inlineStr">
        <is>
          <t xml:space="preserve">2% of agreed value, minimum $10,000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10430.12</v>
      </c>
      <c r="AC36" s="51">
        <v>0</v>
      </c>
      <c r="AD36" s="38">
        <f>IF(ISNUMBER($AB36),$AB36*(1+N($AC36)),"")</f>
      </c>
      <c r="AE36" s="50">
        <v>350</v>
      </c>
      <c r="AF36" s="50">
        <v>250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CANON-202607-007684</t>
        </is>
      </c>
      <c r="B37" s="30" t="inlineStr">
        <is>
          <t xml:space="preserve">Cassius Chattopadhyay</t>
        </is>
      </c>
      <c r="C37" s="31">
        <v>46230</v>
      </c>
      <c r="D37" s="32" t="inlineStr">
        <is>
          <t xml:space="preserve">Bound - within authority</t>
        </is>
      </c>
      <c r="E37" s="32" t="inlineStr">
        <is>
          <t xml:space="preserve">New business</t>
        </is>
      </c>
      <c r="F37" s="30" t="inlineStr">
        <is>
          <t xml:space="preserve">B1234EXOTIC26</t>
        </is>
      </c>
      <c r="G37" s="33">
        <f>IF($A37="","",IF($C37="","",YEAR($C37)))</f>
      </c>
      <c r="H37" s="34">
        <v>1967</v>
      </c>
      <c r="I37" s="30" t="inlineStr">
        <is>
          <t xml:space="preserve">Porsche</t>
        </is>
      </c>
      <c r="J37" s="30" t="inlineStr">
        <is>
          <t xml:space="preserve">911 Turbo S</t>
        </is>
      </c>
      <c r="K37" s="30" t="inlineStr">
        <is>
          <t xml:space="preserve">BYUMX7KYYGS98DP01</t>
        </is>
      </c>
      <c r="L37" s="32" t="inlineStr">
        <is>
          <t xml:space="preserve">02 - Sports / GT</t>
        </is>
      </c>
      <c r="M37" s="35">
        <v>615000</v>
      </c>
      <c r="N37" s="32" t="inlineStr">
        <is>
          <t xml:space="preserve">Personal</t>
        </is>
      </c>
      <c r="O37" s="30" t="inlineStr">
        <is>
          <t xml:space="preserve">Personal - regular use</t>
        </is>
      </c>
      <c r="P37" s="30" t="inlineStr">
        <is>
          <t xml:space="preserve">1,000 - 2,500</t>
        </is>
      </c>
      <c r="Q37" s="30" t="inlineStr">
        <is>
          <t xml:space="preserve">Pennsylvania</t>
        </is>
      </c>
      <c r="R37" s="30" t="inlineStr">
        <is>
          <t xml:space="preserve">19103</t>
        </is>
      </c>
      <c r="S37" s="32" t="inlineStr">
        <is>
          <t xml:space="preserve">Low hazard - inland benign</t>
        </is>
      </c>
      <c r="T37" s="36">
        <f>IF($A37="","",IF($S37="","",IFERROR(INDEX('[1]natural catastrophe'!$D$6:$D$17,MATCH($S37,'[1]natural catastrophe'!$B$6:$B$17,0)),"?")))</f>
      </c>
      <c r="U37" s="30" t="inlineStr">
        <is>
          <t xml:space="preserve">$5,000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5739.8</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CANON-202607-007685</t>
        </is>
      </c>
      <c r="B38" s="46" t="inlineStr">
        <is>
          <t xml:space="preserve">Fitzgerald Delacroix</t>
        </is>
      </c>
      <c r="C38" s="47">
        <v>46228</v>
      </c>
      <c r="D38" s="48" t="inlineStr">
        <is>
          <t xml:space="preserve">Bound - within authority</t>
        </is>
      </c>
      <c r="E38" s="48" t="inlineStr">
        <is>
          <t xml:space="preserve">New business</t>
        </is>
      </c>
      <c r="F38" s="46" t="inlineStr">
        <is>
          <t xml:space="preserve">B1234EXOTIC26</t>
        </is>
      </c>
      <c r="G38" s="33">
        <f>IF($A38="","",IF($C38="","",YEAR($C38)))</f>
      </c>
      <c r="H38" s="49">
        <v>1993</v>
      </c>
      <c r="I38" s="46" t="inlineStr">
        <is>
          <t xml:space="preserve">Ferrari</t>
        </is>
      </c>
      <c r="J38" s="46" t="inlineStr">
        <is>
          <t xml:space="preserve">275 GTB/4</t>
        </is>
      </c>
      <c r="K38" s="46" t="inlineStr">
        <is>
          <t xml:space="preserve">H4LU5F3MFSCSEN4J2</t>
        </is>
      </c>
      <c r="L38" s="48" t="inlineStr">
        <is>
          <t xml:space="preserve">08 - Modern Classic (1973-1999)</t>
        </is>
      </c>
      <c r="M38" s="50">
        <v>700000</v>
      </c>
      <c r="N38" s="48" t="inlineStr">
        <is>
          <t xml:space="preserve">Personal</t>
        </is>
      </c>
      <c r="O38" s="46" t="inlineStr">
        <is>
          <t xml:space="preserve">Personal - regular use</t>
        </is>
      </c>
      <c r="P38" s="46" t="inlineStr">
        <is>
          <t xml:space="preserve">2,500 - 5,000</t>
        </is>
      </c>
      <c r="Q38" s="46" t="inlineStr">
        <is>
          <t xml:space="preserve">Georgia</t>
        </is>
      </c>
      <c r="R38" s="46" t="inlineStr">
        <is>
          <t xml:space="preserve">30303</t>
        </is>
      </c>
      <c r="S38" s="48" t="inlineStr">
        <is>
          <t xml:space="preserve">Tier 2 - Coastal wind (1-25 miles)</t>
        </is>
      </c>
      <c r="T38" s="36">
        <f>IF($A38="","",IF($S38="","",IFERROR(INDEX('[1]natural catastrophe'!$D$6:$D$17,MATCH($S38,'[1]natural catastrophe'!$B$6:$B$17,0)),"?")))</f>
      </c>
      <c r="U38" s="46" t="inlineStr">
        <is>
          <t xml:space="preserve">2% of agreed value, minimum $10,000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4840.53</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CANON-202607-007686</t>
        </is>
      </c>
      <c r="B39" s="30" t="inlineStr">
        <is>
          <t xml:space="preserve">Wilhelmina Larsson</t>
        </is>
      </c>
      <c r="C39" s="31">
        <v>46222</v>
      </c>
      <c r="D39" s="32" t="inlineStr">
        <is>
          <t xml:space="preserve">Bound - within authority</t>
        </is>
      </c>
      <c r="E39" s="32" t="inlineStr">
        <is>
          <t xml:space="preserve">New business</t>
        </is>
      </c>
      <c r="F39" s="30" t="inlineStr">
        <is>
          <t xml:space="preserve">B1234EXOTIC26</t>
        </is>
      </c>
      <c r="G39" s="33">
        <f>IF($A39="","",IF($C39="","",YEAR($C39)))</f>
      </c>
      <c r="H39" s="34">
        <v>1983</v>
      </c>
      <c r="I39" s="30" t="inlineStr">
        <is>
          <t xml:space="preserve">Mercedes-Benz</t>
        </is>
      </c>
      <c r="J39" s="30" t="inlineStr">
        <is>
          <t xml:space="preserve">AMG GT</t>
        </is>
      </c>
      <c r="K39" s="30" t="inlineStr">
        <is>
          <t xml:space="preserve">4K6UHRXF5WGHLBEBY</t>
        </is>
      </c>
      <c r="L39" s="32" t="inlineStr">
        <is>
          <t xml:space="preserve">02 - Sports / GT</t>
        </is>
      </c>
      <c r="M39" s="35">
        <v>635000</v>
      </c>
      <c r="N39" s="32" t="inlineStr">
        <is>
          <t xml:space="preserve">Personal</t>
        </is>
      </c>
      <c r="O39" s="30" t="inlineStr">
        <is>
          <t xml:space="preserve">Personal - regular use</t>
        </is>
      </c>
      <c r="P39" s="30" t="inlineStr">
        <is>
          <t xml:space="preserve">Under 1,000</t>
        </is>
      </c>
      <c r="Q39" s="30" t="inlineStr">
        <is>
          <t xml:space="preserve">California</t>
        </is>
      </c>
      <c r="R39" s="30" t="inlineStr">
        <is>
          <t xml:space="preserve">90012</t>
        </is>
      </c>
      <c r="S39" s="32" t="inlineStr">
        <is>
          <t xml:space="preserve">Earthquake - high (CA, Cascadia, New Madrid)</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8000.73</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CANON-202607-007688</t>
        </is>
      </c>
      <c r="B40" s="46" t="inlineStr">
        <is>
          <t xml:space="preserve">Lorenzo Harrington</t>
        </is>
      </c>
      <c r="C40" s="47">
        <v>46222</v>
      </c>
      <c r="D40" s="48" t="inlineStr">
        <is>
          <t xml:space="preserve">Bound - within authority</t>
        </is>
      </c>
      <c r="E40" s="48" t="inlineStr">
        <is>
          <t xml:space="preserve">New business</t>
        </is>
      </c>
      <c r="F40" s="46" t="inlineStr">
        <is>
          <t xml:space="preserve">B1234EXOTIC26</t>
        </is>
      </c>
      <c r="G40" s="33">
        <f>IF($A40="","",IF($C40="","",YEAR($C40)))</f>
      </c>
      <c r="H40" s="49">
        <v>2011</v>
      </c>
      <c r="I40" s="46" t="inlineStr">
        <is>
          <t xml:space="preserve">BMW</t>
        </is>
      </c>
      <c r="J40" s="46" t="inlineStr">
        <is>
          <t xml:space="preserve">M8 Competition</t>
        </is>
      </c>
      <c r="K40" s="46" t="inlineStr">
        <is>
          <t xml:space="preserve">T943F48ZPDU527MG5</t>
        </is>
      </c>
      <c r="L40" s="48" t="inlineStr">
        <is>
          <t xml:space="preserve">02 - Sports / GT</t>
        </is>
      </c>
      <c r="M40" s="50">
        <v>530000</v>
      </c>
      <c r="N40" s="48" t="inlineStr">
        <is>
          <t xml:space="preserve">Personal</t>
        </is>
      </c>
      <c r="O40" s="46" t="inlineStr">
        <is>
          <t xml:space="preserve">Personal - regular use</t>
        </is>
      </c>
      <c r="P40" s="46" t="inlineStr">
        <is>
          <t xml:space="preserve">2,500 - 5,000</t>
        </is>
      </c>
      <c r="Q40" s="46" t="inlineStr">
        <is>
          <t xml:space="preserve">Arizona</t>
        </is>
      </c>
      <c r="R40" s="46" t="inlineStr">
        <is>
          <t xml:space="preserve">85001</t>
        </is>
      </c>
      <c r="S40" s="48" t="inlineStr">
        <is>
          <t xml:space="preserve">Wildfire - WUI high hazard</t>
        </is>
      </c>
      <c r="T40" s="36">
        <f>IF($A40="","",IF($S40="","",IFERROR(INDEX('[1]natural catastrophe'!$D$6:$D$17,MATCH($S40,'[1]natural catastrophe'!$B$6:$B$17,0)),"?")))</f>
      </c>
      <c r="U40" s="46" t="inlineStr">
        <is>
          <t xml:space="preserve">$5,000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4995.97</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CANON-202607-007689</t>
        </is>
      </c>
      <c r="B41" s="30" t="inlineStr">
        <is>
          <t xml:space="preserve">Ottilie Underwood</t>
        </is>
      </c>
      <c r="C41" s="31">
        <v>46213</v>
      </c>
      <c r="D41" s="32" t="inlineStr">
        <is>
          <t xml:space="preserve">Bound - within authority</t>
        </is>
      </c>
      <c r="E41" s="32" t="inlineStr">
        <is>
          <t xml:space="preserve">New business</t>
        </is>
      </c>
      <c r="F41" s="30" t="inlineStr">
        <is>
          <t xml:space="preserve">B1234EXOTIC26</t>
        </is>
      </c>
      <c r="G41" s="33">
        <f>IF($A41="","",IF($C41="","",YEAR($C41)))</f>
      </c>
      <c r="H41" s="34">
        <v>2007</v>
      </c>
      <c r="I41" s="30" t="inlineStr">
        <is>
          <t xml:space="preserve">Mercedes-Benz</t>
        </is>
      </c>
      <c r="J41" s="30" t="inlineStr">
        <is>
          <t xml:space="preserve">280SL Pagoda</t>
        </is>
      </c>
      <c r="K41" s="30" t="inlineStr">
        <is>
          <t xml:space="preserve">FVF1YHTPP4N5KKA9H</t>
        </is>
      </c>
      <c r="L41" s="32" t="inlineStr">
        <is>
          <t xml:space="preserve">09 - Youngtimer / Collectible (2000-2010)</t>
        </is>
      </c>
      <c r="M41" s="35">
        <v>620000</v>
      </c>
      <c r="N41" s="32" t="inlineStr">
        <is>
          <t xml:space="preserve">Personal</t>
        </is>
      </c>
      <c r="O41" s="30" t="inlineStr">
        <is>
          <t xml:space="preserve">Personal - regular use</t>
        </is>
      </c>
      <c r="P41" s="30" t="inlineStr">
        <is>
          <t xml:space="preserve">Under 1,000</t>
        </is>
      </c>
      <c r="Q41" s="30" t="inlineStr">
        <is>
          <t xml:space="preserve">South Dakota</t>
        </is>
      </c>
      <c r="R41" s="30" t="inlineStr">
        <is>
          <t xml:space="preserve">57501</t>
        </is>
      </c>
      <c r="S41" s="32" t="inlineStr">
        <is>
          <t xml:space="preserve">Severe convective - hail alley (high)</t>
        </is>
      </c>
      <c r="T41" s="36">
        <f>IF($A41="","",IF($S41="","",IFERROR(INDEX('[1]natural catastrophe'!$D$6:$D$17,MATCH($S41,'[1]natural catastrophe'!$B$6:$B$17,0)),"?")))</f>
      </c>
      <c r="U41" s="30" t="inlineStr">
        <is>
          <t xml:space="preserve">$5,000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4249.05</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CANON-202607-007690</t>
        </is>
      </c>
      <c r="B42" s="46" t="inlineStr">
        <is>
          <t xml:space="preserve">Lorenzo Vasquez</t>
        </is>
      </c>
      <c r="C42" s="47">
        <v>46231</v>
      </c>
      <c r="D42" s="48" t="inlineStr">
        <is>
          <t xml:space="preserve">Bound - within authority</t>
        </is>
      </c>
      <c r="E42" s="48" t="inlineStr">
        <is>
          <t xml:space="preserve">New business</t>
        </is>
      </c>
      <c r="F42" s="46" t="inlineStr">
        <is>
          <t xml:space="preserve">B1234EXOTIC26</t>
        </is>
      </c>
      <c r="G42" s="33">
        <f>IF($A42="","",IF($C42="","",YEAR($C42)))</f>
      </c>
      <c r="H42" s="49">
        <v>1979</v>
      </c>
      <c r="I42" s="46" t="inlineStr">
        <is>
          <t xml:space="preserve">BMW</t>
        </is>
      </c>
      <c r="J42" s="46" t="inlineStr">
        <is>
          <t xml:space="preserve">M8 Competition</t>
        </is>
      </c>
      <c r="K42" s="46" t="inlineStr">
        <is>
          <t xml:space="preserve">VTMN3V0CUCRBGW2BN</t>
        </is>
      </c>
      <c r="L42" s="48" t="inlineStr">
        <is>
          <t xml:space="preserve">02 - Sports / GT</t>
        </is>
      </c>
      <c r="M42" s="50">
        <v>380000</v>
      </c>
      <c r="N42" s="48" t="inlineStr">
        <is>
          <t xml:space="preserve">Personal</t>
        </is>
      </c>
      <c r="O42" s="46" t="inlineStr">
        <is>
          <t xml:space="preserve">Personal - regular use</t>
        </is>
      </c>
      <c r="P42" s="46" t="inlineStr">
        <is>
          <t xml:space="preserve">2,500 - 5,000</t>
        </is>
      </c>
      <c r="Q42" s="46" t="inlineStr">
        <is>
          <t xml:space="preserve">Michigan</t>
        </is>
      </c>
      <c r="R42" s="46" t="inlineStr">
        <is>
          <t xml:space="preserve">48226</t>
        </is>
      </c>
      <c r="S42" s="48" t="inlineStr">
        <is>
          <t xml:space="preserve">Severe convective - hail / tornado (moderate)</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6342.87</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CANON-202607-007691</t>
        </is>
      </c>
      <c r="B43" s="30" t="inlineStr">
        <is>
          <t xml:space="preserve">Emiliano Vasquez</t>
        </is>
      </c>
      <c r="C43" s="31">
        <v>46216</v>
      </c>
      <c r="D43" s="32" t="inlineStr">
        <is>
          <t xml:space="preserve">Bound - within authority</t>
        </is>
      </c>
      <c r="E43" s="32" t="inlineStr">
        <is>
          <t xml:space="preserve">New business</t>
        </is>
      </c>
      <c r="F43" s="30" t="inlineStr">
        <is>
          <t xml:space="preserve">B1234EXOTIC26</t>
        </is>
      </c>
      <c r="G43" s="33">
        <f>IF($A43="","",IF($C43="","",YEAR($C43)))</f>
      </c>
      <c r="H43" s="34">
        <v>2023</v>
      </c>
      <c r="I43" s="30" t="inlineStr">
        <is>
          <t xml:space="preserve">Ringbrothers</t>
        </is>
      </c>
      <c r="J43" s="30" t="inlineStr">
        <is>
          <t xml:space="preserve">Mustang</t>
        </is>
      </c>
      <c r="K43" s="30" t="inlineStr">
        <is>
          <t xml:space="preserve">ZLJ9M8RK1PWHPE33A</t>
        </is>
      </c>
      <c r="L43" s="32" t="inlineStr">
        <is>
          <t xml:space="preserve">11 - Restomod / Coachbuilt / Bespoke</t>
        </is>
      </c>
      <c r="M43" s="35">
        <v>665000</v>
      </c>
      <c r="N43" s="32" t="inlineStr">
        <is>
          <t xml:space="preserve">Personal</t>
        </is>
      </c>
      <c r="O43" s="30" t="inlineStr">
        <is>
          <t xml:space="preserve">Personal - regular use</t>
        </is>
      </c>
      <c r="P43" s="30" t="inlineStr">
        <is>
          <t xml:space="preserve">1,000 - 2,500</t>
        </is>
      </c>
      <c r="Q43" s="30" t="inlineStr">
        <is>
          <t xml:space="preserve">Georgia</t>
        </is>
      </c>
      <c r="R43" s="30" t="inlineStr">
        <is>
          <t xml:space="preserve">30303</t>
        </is>
      </c>
      <c r="S43" s="32" t="inlineStr">
        <is>
          <t xml:space="preserve">Tier 2 - Coastal wind (1-25 miles)</t>
        </is>
      </c>
      <c r="T43" s="36">
        <f>IF($A43="","",IF($S43="","",IFERROR(INDEX('[1]natural catastrophe'!$D$6:$D$17,MATCH($S43,'[1]natural catastrophe'!$B$6:$B$17,0)),"?")))</f>
      </c>
      <c r="U43" s="30" t="inlineStr">
        <is>
          <t xml:space="preserve">2% of agreed value, minimum $10,000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8341.48</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CANON-202607-007692</t>
        </is>
      </c>
      <c r="B44" s="46" t="inlineStr">
        <is>
          <t xml:space="preserve">Horace Blackwood</t>
        </is>
      </c>
      <c r="C44" s="47">
        <v>46210</v>
      </c>
      <c r="D44" s="48" t="inlineStr">
        <is>
          <t xml:space="preserve">Bound - within authority</t>
        </is>
      </c>
      <c r="E44" s="48" t="inlineStr">
        <is>
          <t xml:space="preserve">New business</t>
        </is>
      </c>
      <c r="F44" s="46" t="inlineStr">
        <is>
          <t xml:space="preserve">B1234EXOTIC26</t>
        </is>
      </c>
      <c r="G44" s="33">
        <f>IF($A44="","",IF($C44="","",YEAR($C44)))</f>
      </c>
      <c r="H44" s="49">
        <v>1964</v>
      </c>
      <c r="I44" s="46" t="inlineStr">
        <is>
          <t xml:space="preserve">Maserati</t>
        </is>
      </c>
      <c r="J44" s="46" t="inlineStr">
        <is>
          <t xml:space="preserve">GranTurismo</t>
        </is>
      </c>
      <c r="K44" s="46" t="inlineStr">
        <is>
          <t xml:space="preserve">LC3TESL3GZAS8BSSC</t>
        </is>
      </c>
      <c r="L44" s="48" t="inlineStr">
        <is>
          <t xml:space="preserve">02 - Sports / GT</t>
        </is>
      </c>
      <c r="M44" s="50">
        <v>475000</v>
      </c>
      <c r="N44" s="48" t="inlineStr">
        <is>
          <t xml:space="preserve">Personal</t>
        </is>
      </c>
      <c r="O44" s="46" t="inlineStr">
        <is>
          <t xml:space="preserve">Personal - regular use</t>
        </is>
      </c>
      <c r="P44" s="46" t="inlineStr">
        <is>
          <t xml:space="preserve">Under 1,000</t>
        </is>
      </c>
      <c r="Q44" s="46" t="inlineStr">
        <is>
          <t xml:space="preserve">Montana</t>
        </is>
      </c>
      <c r="R44" s="46" t="inlineStr">
        <is>
          <t xml:space="preserve">59601</t>
        </is>
      </c>
      <c r="S44" s="48" t="inlineStr">
        <is>
          <t xml:space="preserve">Wildfire - WUI high hazard</t>
        </is>
      </c>
      <c r="T44" s="36">
        <f>IF($A44="","",IF($S44="","",IFERROR(INDEX('[1]natural catastrophe'!$D$6:$D$17,MATCH($S44,'[1]natural catastrophe'!$B$6:$B$17,0)),"?")))</f>
      </c>
      <c r="U44" s="46" t="inlineStr">
        <is>
          <t xml:space="preserve">$5,000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4757.15</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CANON-202607-007693</t>
        </is>
      </c>
      <c r="B45" s="30" t="inlineStr">
        <is>
          <t xml:space="preserve">Saoirse Thistlewood</t>
        </is>
      </c>
      <c r="C45" s="31">
        <v>46224</v>
      </c>
      <c r="D45" s="32" t="inlineStr">
        <is>
          <t xml:space="preserve">Bound - within authority</t>
        </is>
      </c>
      <c r="E45" s="32" t="inlineStr">
        <is>
          <t xml:space="preserve">New business</t>
        </is>
      </c>
      <c r="F45" s="30" t="inlineStr">
        <is>
          <t xml:space="preserve">B1234EXOTIC26</t>
        </is>
      </c>
      <c r="G45" s="33">
        <f>IF($A45="","",IF($C45="","",YEAR($C45)))</f>
      </c>
      <c r="H45" s="34">
        <v>1976</v>
      </c>
      <c r="I45" s="30" t="inlineStr">
        <is>
          <t xml:space="preserve">Maserati</t>
        </is>
      </c>
      <c r="J45" s="30" t="inlineStr">
        <is>
          <t xml:space="preserve">GranTurismo</t>
        </is>
      </c>
      <c r="K45" s="30" t="inlineStr">
        <is>
          <t xml:space="preserve">YAG8XLVBTDLZMXR4X</t>
        </is>
      </c>
      <c r="L45" s="32" t="inlineStr">
        <is>
          <t xml:space="preserve">02 - Sports / GT</t>
        </is>
      </c>
      <c r="M45" s="35">
        <v>765000</v>
      </c>
      <c r="N45" s="32" t="inlineStr">
        <is>
          <t xml:space="preserve">Personal</t>
        </is>
      </c>
      <c r="O45" s="30" t="inlineStr">
        <is>
          <t xml:space="preserve">Personal - regular use</t>
        </is>
      </c>
      <c r="P45" s="30" t="inlineStr">
        <is>
          <t xml:space="preserve">1,000 - 2,500</t>
        </is>
      </c>
      <c r="Q45" s="30" t="inlineStr">
        <is>
          <t xml:space="preserve">Florida</t>
        </is>
      </c>
      <c r="R45" s="30" t="inlineStr">
        <is>
          <t xml:space="preserve">33139</t>
        </is>
      </c>
      <c r="S45" s="32" t="inlineStr">
        <is>
          <t xml:space="preserve">Tier 2 - Coastal wind (1-25 miles)</t>
        </is>
      </c>
      <c r="T45" s="36">
        <f>IF($A45="","",IF($S45="","",IFERROR(INDEX('[1]natural catastrophe'!$D$6:$D$17,MATCH($S45,'[1]natural catastrophe'!$B$6:$B$17,0)),"?")))</f>
      </c>
      <c r="U45" s="30" t="inlineStr">
        <is>
          <t xml:space="preserve">2% of agreed value, minimum $10,000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10138.46</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CANON-202607-007694</t>
        </is>
      </c>
      <c r="B46" s="46" t="inlineStr">
        <is>
          <t xml:space="preserve">Callum Harrington</t>
        </is>
      </c>
      <c r="C46" s="47">
        <v>46223</v>
      </c>
      <c r="D46" s="48" t="inlineStr">
        <is>
          <t xml:space="preserve">Bound - within authority</t>
        </is>
      </c>
      <c r="E46" s="48" t="inlineStr">
        <is>
          <t xml:space="preserve">New business</t>
        </is>
      </c>
      <c r="F46" s="46" t="inlineStr">
        <is>
          <t xml:space="preserve">B1234EXOTIC26</t>
        </is>
      </c>
      <c r="G46" s="33">
        <f>IF($A46="","",IF($C46="","",YEAR($C46)))</f>
      </c>
      <c r="H46" s="49">
        <v>2016</v>
      </c>
      <c r="I46" s="46" t="inlineStr">
        <is>
          <t xml:space="preserve">Bentley</t>
        </is>
      </c>
      <c r="J46" s="46" t="inlineStr">
        <is>
          <t xml:space="preserve">Continental GT</t>
        </is>
      </c>
      <c r="K46" s="46" t="inlineStr">
        <is>
          <t xml:space="preserve">40SC7RFBXRZ77YMN4</t>
        </is>
      </c>
      <c r="L46" s="48" t="inlineStr">
        <is>
          <t xml:space="preserve">02 - Sports / GT</t>
        </is>
      </c>
      <c r="M46" s="50">
        <v>630000</v>
      </c>
      <c r="N46" s="48" t="inlineStr">
        <is>
          <t xml:space="preserve">Personal</t>
        </is>
      </c>
      <c r="O46" s="46" t="inlineStr">
        <is>
          <t xml:space="preserve">Personal - regular use</t>
        </is>
      </c>
      <c r="P46" s="46" t="inlineStr">
        <is>
          <t xml:space="preserve">2,500 - 5,000</t>
        </is>
      </c>
      <c r="Q46" s="46" t="inlineStr">
        <is>
          <t xml:space="preserve">South Carolina</t>
        </is>
      </c>
      <c r="R46" s="46" t="inlineStr">
        <is>
          <t xml:space="preserve">29401</t>
        </is>
      </c>
      <c r="S46" s="48" t="inlineStr">
        <is>
          <t xml:space="preserve">Tier 2 - Coastal wind (1-25 miles)</t>
        </is>
      </c>
      <c r="T46" s="36">
        <f>IF($A46="","",IF($S46="","",IFERROR(INDEX('[1]natural catastrophe'!$D$6:$D$17,MATCH($S46,'[1]natural catastrophe'!$B$6:$B$17,0)),"?")))</f>
      </c>
      <c r="U46" s="46" t="inlineStr">
        <is>
          <t xml:space="preserve">2% of agreed value, minimum $10,000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7290.95</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CANON-202607-007695</t>
        </is>
      </c>
      <c r="B47" s="30" t="inlineStr">
        <is>
          <t xml:space="preserve">Desmond Merriweather</t>
        </is>
      </c>
      <c r="C47" s="31">
        <v>46225</v>
      </c>
      <c r="D47" s="32" t="inlineStr">
        <is>
          <t xml:space="preserve">Bound - within authority</t>
        </is>
      </c>
      <c r="E47" s="32" t="inlineStr">
        <is>
          <t xml:space="preserve">New business</t>
        </is>
      </c>
      <c r="F47" s="30" t="inlineStr">
        <is>
          <t xml:space="preserve">B1234EXOTIC26</t>
        </is>
      </c>
      <c r="G47" s="33">
        <f>IF($A47="","",IF($C47="","",YEAR($C47)))</f>
      </c>
      <c r="H47" s="34">
        <v>1994</v>
      </c>
      <c r="I47" s="30" t="inlineStr">
        <is>
          <t xml:space="preserve">McLaren</t>
        </is>
      </c>
      <c r="J47" s="30" t="inlineStr">
        <is>
          <t xml:space="preserve">750S</t>
        </is>
      </c>
      <c r="K47" s="30" t="inlineStr">
        <is>
          <t xml:space="preserve">X9HAEZVZM0542770J</t>
        </is>
      </c>
      <c r="L47" s="32" t="inlineStr">
        <is>
          <t xml:space="preserve">03 - Supercar</t>
        </is>
      </c>
      <c r="M47" s="35">
        <v>1100000</v>
      </c>
      <c r="N47" s="32" t="inlineStr">
        <is>
          <t xml:space="preserve">Personal</t>
        </is>
      </c>
      <c r="O47" s="30" t="inlineStr">
        <is>
          <t xml:space="preserve">Personal - regular use</t>
        </is>
      </c>
      <c r="P47" s="30" t="inlineStr">
        <is>
          <t xml:space="preserve">2,500 - 5,000</t>
        </is>
      </c>
      <c r="Q47" s="30" t="inlineStr">
        <is>
          <t xml:space="preserve">South Carolina</t>
        </is>
      </c>
      <c r="R47" s="30" t="inlineStr">
        <is>
          <t xml:space="preserve">29401</t>
        </is>
      </c>
      <c r="S47" s="32" t="inlineStr">
        <is>
          <t xml:space="preserve">Tier 2 - Coastal wind (1-25 miles)</t>
        </is>
      </c>
      <c r="T47" s="36">
        <f>IF($A47="","",IF($S47="","",IFERROR(INDEX('[1]natural catastrophe'!$D$6:$D$17,MATCH($S47,'[1]natural catastrophe'!$B$6:$B$17,0)),"?")))</f>
      </c>
      <c r="U47" s="30" t="inlineStr">
        <is>
          <t xml:space="preserve">2% of agreed value, minimum $10,000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15667.99</v>
      </c>
      <c r="AC47" s="37">
        <v>0</v>
      </c>
      <c r="AD47" s="38">
        <f>IF(ISNUMBER($AB47),$AB47*(1+N($AC47)),"")</f>
      </c>
      <c r="AE47" s="35">
        <v>350</v>
      </c>
      <c r="AF47" s="35">
        <v>250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CANON-202607-007697</t>
        </is>
      </c>
      <c r="B48" s="46" t="inlineStr">
        <is>
          <t xml:space="preserve">Desmond Rourke</t>
        </is>
      </c>
      <c r="C48" s="47">
        <v>46206</v>
      </c>
      <c r="D48" s="48" t="inlineStr">
        <is>
          <t xml:space="preserve">Bound - within authority</t>
        </is>
      </c>
      <c r="E48" s="48" t="inlineStr">
        <is>
          <t xml:space="preserve">New business</t>
        </is>
      </c>
      <c r="F48" s="46" t="inlineStr">
        <is>
          <t xml:space="preserve">B1234EXOTIC26</t>
        </is>
      </c>
      <c r="G48" s="33">
        <f>IF($A48="","",IF($C48="","",YEAR($C48)))</f>
      </c>
      <c r="H48" s="49">
        <v>2008</v>
      </c>
      <c r="I48" s="46" t="inlineStr">
        <is>
          <t xml:space="preserve">Maserati</t>
        </is>
      </c>
      <c r="J48" s="46" t="inlineStr">
        <is>
          <t xml:space="preserve">GranTurismo</t>
        </is>
      </c>
      <c r="K48" s="46" t="inlineStr">
        <is>
          <t xml:space="preserve">VGS2YCNCTRBXL38ZT</t>
        </is>
      </c>
      <c r="L48" s="48" t="inlineStr">
        <is>
          <t xml:space="preserve">02 - Sports / GT</t>
        </is>
      </c>
      <c r="M48" s="50">
        <v>395000</v>
      </c>
      <c r="N48" s="48" t="inlineStr">
        <is>
          <t xml:space="preserve">Personal</t>
        </is>
      </c>
      <c r="O48" s="46" t="inlineStr">
        <is>
          <t xml:space="preserve">Personal - regular use</t>
        </is>
      </c>
      <c r="P48" s="46" t="inlineStr">
        <is>
          <t xml:space="preserve">2,500 - 5,000</t>
        </is>
      </c>
      <c r="Q48" s="46" t="inlineStr">
        <is>
          <t xml:space="preserve">New York</t>
        </is>
      </c>
      <c r="R48" s="46" t="inlineStr">
        <is>
          <t xml:space="preserve">10022</t>
        </is>
      </c>
      <c r="S48" s="48" t="inlineStr">
        <is>
          <t xml:space="preserve">Tier 3 - Coastal wind (25-100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5444.74</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CANON-202607-007699</t>
        </is>
      </c>
      <c r="B49" s="30" t="inlineStr">
        <is>
          <t xml:space="preserve">Noor Vandermeer</t>
        </is>
      </c>
      <c r="C49" s="31">
        <v>46204</v>
      </c>
      <c r="D49" s="32" t="inlineStr">
        <is>
          <t xml:space="preserve">Bound - within authority</t>
        </is>
      </c>
      <c r="E49" s="32" t="inlineStr">
        <is>
          <t xml:space="preserve">New business</t>
        </is>
      </c>
      <c r="F49" s="30" t="inlineStr">
        <is>
          <t xml:space="preserve">B1234EXOTIC26</t>
        </is>
      </c>
      <c r="G49" s="33">
        <f>IF($A49="","",IF($C49="","",YEAR($C49)))</f>
      </c>
      <c r="H49" s="34">
        <v>1975</v>
      </c>
      <c r="I49" s="30" t="inlineStr">
        <is>
          <t xml:space="preserve">Lamborghini</t>
        </is>
      </c>
      <c r="J49" s="30" t="inlineStr">
        <is>
          <t xml:space="preserve">Huracan EVO</t>
        </is>
      </c>
      <c r="K49" s="30" t="inlineStr">
        <is>
          <t xml:space="preserve">2BXDHUYPZL00PKMRS</t>
        </is>
      </c>
      <c r="L49" s="32" t="inlineStr">
        <is>
          <t xml:space="preserve">03 - Supercar</t>
        </is>
      </c>
      <c r="M49" s="35">
        <v>470000</v>
      </c>
      <c r="N49" s="32" t="inlineStr">
        <is>
          <t xml:space="preserve">Personal</t>
        </is>
      </c>
      <c r="O49" s="30" t="inlineStr">
        <is>
          <t xml:space="preserve">Personal - regular use</t>
        </is>
      </c>
      <c r="P49" s="30" t="inlineStr">
        <is>
          <t xml:space="preserve">1,000 - 2,500</t>
        </is>
      </c>
      <c r="Q49" s="30" t="inlineStr">
        <is>
          <t xml:space="preserve">Minnesota</t>
        </is>
      </c>
      <c r="R49" s="30" t="inlineStr">
        <is>
          <t xml:space="preserve">55401</t>
        </is>
      </c>
      <c r="S49" s="32" t="inlineStr">
        <is>
          <t xml:space="preserve">Severe convective - hail / tornado (moderate)</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10244.21</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CANON-202607-007700</t>
        </is>
      </c>
      <c r="B50" s="46" t="inlineStr">
        <is>
          <t xml:space="preserve">Anouk Fairweather</t>
        </is>
      </c>
      <c r="C50" s="47">
        <v>46231</v>
      </c>
      <c r="D50" s="48" t="inlineStr">
        <is>
          <t xml:space="preserve">Bound - within authority</t>
        </is>
      </c>
      <c r="E50" s="48" t="inlineStr">
        <is>
          <t xml:space="preserve">New business</t>
        </is>
      </c>
      <c r="F50" s="46" t="inlineStr">
        <is>
          <t xml:space="preserve">B1234EXOTIC26</t>
        </is>
      </c>
      <c r="G50" s="33">
        <f>IF($A50="","",IF($C50="","",YEAR($C50)))</f>
      </c>
      <c r="H50" s="49">
        <v>2023</v>
      </c>
      <c r="I50" s="46" t="inlineStr">
        <is>
          <t xml:space="preserve">Mercedes-Benz</t>
        </is>
      </c>
      <c r="J50" s="46" t="inlineStr">
        <is>
          <t xml:space="preserve">AMG GT</t>
        </is>
      </c>
      <c r="K50" s="46" t="inlineStr">
        <is>
          <t xml:space="preserve">PWYWEPVHWB5Y6LKS2</t>
        </is>
      </c>
      <c r="L50" s="48" t="inlineStr">
        <is>
          <t xml:space="preserve">02 - Sports / GT</t>
        </is>
      </c>
      <c r="M50" s="50">
        <v>610000</v>
      </c>
      <c r="N50" s="48" t="inlineStr">
        <is>
          <t xml:space="preserve">Personal</t>
        </is>
      </c>
      <c r="O50" s="46" t="inlineStr">
        <is>
          <t xml:space="preserve">Personal - regular use</t>
        </is>
      </c>
      <c r="P50" s="46" t="inlineStr">
        <is>
          <t xml:space="preserve">2,500 - 5,000</t>
        </is>
      </c>
      <c r="Q50" s="46" t="inlineStr">
        <is>
          <t xml:space="preserve">Rhode Island</t>
        </is>
      </c>
      <c r="R50" s="46" t="inlineStr">
        <is>
          <t xml:space="preserve">02903</t>
        </is>
      </c>
      <c r="S50" s="48" t="inlineStr">
        <is>
          <t xml:space="preserve">Tier 3 - Coastal wind (25-100 miles)</t>
        </is>
      </c>
      <c r="T50" s="36">
        <f>IF($A50="","",IF($S50="","",IFERROR(INDEX('[1]natural catastrophe'!$D$6:$D$17,MATCH($S50,'[1]natural catastrophe'!$B$6:$B$17,0)),"?")))</f>
      </c>
      <c r="U50" s="46" t="inlineStr">
        <is>
          <t xml:space="preserve">2% of agreed value, minimum $10,000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7799.6</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CANON-202607-007701</t>
        </is>
      </c>
      <c r="B51" s="30" t="inlineStr">
        <is>
          <t xml:space="preserve">Lorenzo Vandermeer</t>
        </is>
      </c>
      <c r="C51" s="31">
        <v>46214</v>
      </c>
      <c r="D51" s="32" t="inlineStr">
        <is>
          <t xml:space="preserve">Bound - within authority</t>
        </is>
      </c>
      <c r="E51" s="32" t="inlineStr">
        <is>
          <t xml:space="preserve">New business</t>
        </is>
      </c>
      <c r="F51" s="30" t="inlineStr">
        <is>
          <t xml:space="preserve">B1234EXOTIC26</t>
        </is>
      </c>
      <c r="G51" s="33">
        <f>IF($A51="","",IF($C51="","",YEAR($C51)))</f>
      </c>
      <c r="H51" s="34">
        <v>1965</v>
      </c>
      <c r="I51" s="30" t="inlineStr">
        <is>
          <t xml:space="preserve">Lamborghini</t>
        </is>
      </c>
      <c r="J51" s="30" t="inlineStr">
        <is>
          <t xml:space="preserve">Huracan EVO</t>
        </is>
      </c>
      <c r="K51" s="30" t="inlineStr">
        <is>
          <t xml:space="preserve">SZSR1FKYY2A5K4WEC</t>
        </is>
      </c>
      <c r="L51" s="32" t="inlineStr">
        <is>
          <t xml:space="preserve">03 - Supercar</t>
        </is>
      </c>
      <c r="M51" s="35">
        <v>550000</v>
      </c>
      <c r="N51" s="32" t="inlineStr">
        <is>
          <t xml:space="preserve">Personal</t>
        </is>
      </c>
      <c r="O51" s="30" t="inlineStr">
        <is>
          <t xml:space="preserve">Personal - regular use</t>
        </is>
      </c>
      <c r="P51" s="30" t="inlineStr">
        <is>
          <t xml:space="preserve">1,000 - 2,500</t>
        </is>
      </c>
      <c r="Q51" s="30" t="inlineStr">
        <is>
          <t xml:space="preserve">Vermont</t>
        </is>
      </c>
      <c r="R51" s="30" t="inlineStr">
        <is>
          <t xml:space="preserve">05601</t>
        </is>
      </c>
      <c r="S51" s="32" t="inlineStr">
        <is>
          <t xml:space="preserve">Low hazard - inland benign</t>
        </is>
      </c>
      <c r="T51" s="36">
        <f>IF($A51="","",IF($S51="","",IFERROR(INDEX('[1]natural catastrophe'!$D$6:$D$17,MATCH($S51,'[1]natural catastrophe'!$B$6:$B$17,0)),"?")))</f>
      </c>
      <c r="U51" s="30" t="inlineStr">
        <is>
          <t xml:space="preserve">$5,000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9152.82</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CANON-202607-007702</t>
        </is>
      </c>
      <c r="B52" s="46" t="inlineStr">
        <is>
          <t xml:space="preserve">Callum Whitlock</t>
        </is>
      </c>
      <c r="C52" s="47">
        <v>46214</v>
      </c>
      <c r="D52" s="48" t="inlineStr">
        <is>
          <t xml:space="preserve">Bound - within authority</t>
        </is>
      </c>
      <c r="E52" s="48" t="inlineStr">
        <is>
          <t xml:space="preserve">New business</t>
        </is>
      </c>
      <c r="F52" s="46" t="inlineStr">
        <is>
          <t xml:space="preserve">B1234EXOTIC26</t>
        </is>
      </c>
      <c r="G52" s="33">
        <f>IF($A52="","",IF($C52="","",YEAR($C52)))</f>
      </c>
      <c r="H52" s="49">
        <v>1967</v>
      </c>
      <c r="I52" s="46" t="inlineStr">
        <is>
          <t xml:space="preserve">Bugatti</t>
        </is>
      </c>
      <c r="J52" s="46" t="inlineStr">
        <is>
          <t xml:space="preserve">Type 57</t>
        </is>
      </c>
      <c r="K52" s="46" t="inlineStr">
        <is>
          <t xml:space="preserve">Z6M61LYREV0RFGYWV</t>
        </is>
      </c>
      <c r="L52" s="48" t="inlineStr">
        <is>
          <t xml:space="preserve">07 - Post-War Classic (1946-1972)</t>
        </is>
      </c>
      <c r="M52" s="50">
        <v>1950000</v>
      </c>
      <c r="N52" s="48" t="inlineStr">
        <is>
          <t xml:space="preserve">Personal</t>
        </is>
      </c>
      <c r="O52" s="46" t="inlineStr">
        <is>
          <t xml:space="preserve">Personal - regular use</t>
        </is>
      </c>
      <c r="P52" s="46" t="inlineStr">
        <is>
          <t xml:space="preserve">Under 1,000</t>
        </is>
      </c>
      <c r="Q52" s="46" t="inlineStr">
        <is>
          <t xml:space="preserve">Indiana</t>
        </is>
      </c>
      <c r="R52" s="46" t="inlineStr">
        <is>
          <t xml:space="preserve">46204</t>
        </is>
      </c>
      <c r="S52" s="48" t="inlineStr">
        <is>
          <t xml:space="preserve">Severe convective - hail / tornado (moderate)</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11709.2</v>
      </c>
      <c r="AC52" s="51">
        <v>0</v>
      </c>
      <c r="AD52" s="38">
        <f>IF(ISNUMBER($AB52),$AB52*(1+N($AC52)),"")</f>
      </c>
      <c r="AE52" s="50">
        <v>350</v>
      </c>
      <c r="AF52" s="50">
        <v>250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CANON-202607-007703</t>
        </is>
      </c>
      <c r="B53" s="30" t="inlineStr">
        <is>
          <t xml:space="preserve">Priya Castellanos</t>
        </is>
      </c>
      <c r="C53" s="31">
        <v>46225</v>
      </c>
      <c r="D53" s="32" t="inlineStr">
        <is>
          <t xml:space="preserve">Bound - within authority</t>
        </is>
      </c>
      <c r="E53" s="32" t="inlineStr">
        <is>
          <t xml:space="preserve">New business</t>
        </is>
      </c>
      <c r="F53" s="30" t="inlineStr">
        <is>
          <t xml:space="preserve">B1234EXOTIC26</t>
        </is>
      </c>
      <c r="G53" s="33">
        <f>IF($A53="","",IF($C53="","",YEAR($C53)))</f>
      </c>
      <c r="H53" s="34">
        <v>2017</v>
      </c>
      <c r="I53" s="30" t="inlineStr">
        <is>
          <t xml:space="preserve">BMW</t>
        </is>
      </c>
      <c r="J53" s="30" t="inlineStr">
        <is>
          <t xml:space="preserve">M8 Competition</t>
        </is>
      </c>
      <c r="K53" s="30" t="inlineStr">
        <is>
          <t xml:space="preserve">34F23UX54Z823K85A</t>
        </is>
      </c>
      <c r="L53" s="32" t="inlineStr">
        <is>
          <t xml:space="preserve">02 - Sports / GT</t>
        </is>
      </c>
      <c r="M53" s="35">
        <v>1250000</v>
      </c>
      <c r="N53" s="32" t="inlineStr">
        <is>
          <t xml:space="preserve">Personal</t>
        </is>
      </c>
      <c r="O53" s="30" t="inlineStr">
        <is>
          <t xml:space="preserve">Personal - regular use</t>
        </is>
      </c>
      <c r="P53" s="30" t="inlineStr">
        <is>
          <t xml:space="preserve">Under 1,000</t>
        </is>
      </c>
      <c r="Q53" s="30" t="inlineStr">
        <is>
          <t xml:space="preserve">Wisconsin</t>
        </is>
      </c>
      <c r="R53" s="30" t="inlineStr">
        <is>
          <t xml:space="preserve">53202</t>
        </is>
      </c>
      <c r="S53" s="32" t="inlineStr">
        <is>
          <t xml:space="preserve">Severe convective - hail / tornado (moderate)</t>
        </is>
      </c>
      <c r="T53" s="36">
        <f>IF($A53="","",IF($S53="","",IFERROR(INDEX('[1]natural catastrophe'!$D$6:$D$17,MATCH($S53,'[1]natural catastrophe'!$B$6:$B$17,0)),"?")))</f>
      </c>
      <c r="U53" s="30" t="inlineStr">
        <is>
          <t xml:space="preserve">$5,000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11845.76</v>
      </c>
      <c r="AC53" s="37">
        <v>0</v>
      </c>
      <c r="AD53" s="38">
        <f>IF(ISNUMBER($AB53),$AB53*(1+N($AC53)),"")</f>
      </c>
      <c r="AE53" s="35">
        <v>350</v>
      </c>
      <c r="AF53" s="35">
        <v>250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CANON-202607-007706</t>
        </is>
      </c>
      <c r="B54" s="46" t="inlineStr">
        <is>
          <t xml:space="preserve">Fenwick Castellanos</t>
        </is>
      </c>
      <c r="C54" s="47">
        <v>46205</v>
      </c>
      <c r="D54" s="48" t="inlineStr">
        <is>
          <t xml:space="preserve">Bound - within authority</t>
        </is>
      </c>
      <c r="E54" s="48" t="inlineStr">
        <is>
          <t xml:space="preserve">New business</t>
        </is>
      </c>
      <c r="F54" s="46" t="inlineStr">
        <is>
          <t xml:space="preserve">B1234EXOTIC26</t>
        </is>
      </c>
      <c r="G54" s="33">
        <f>IF($A54="","",IF($C54="","",YEAR($C54)))</f>
      </c>
      <c r="H54" s="49">
        <v>1977</v>
      </c>
      <c r="I54" s="46" t="inlineStr">
        <is>
          <t xml:space="preserve">Ferrari</t>
        </is>
      </c>
      <c r="J54" s="46" t="inlineStr">
        <is>
          <t xml:space="preserve">296 GTB</t>
        </is>
      </c>
      <c r="K54" s="46" t="inlineStr">
        <is>
          <t xml:space="preserve">PH08BNJN9X5ADKYXW</t>
        </is>
      </c>
      <c r="L54" s="48" t="inlineStr">
        <is>
          <t xml:space="preserve">03 - Supercar</t>
        </is>
      </c>
      <c r="M54" s="50">
        <v>1360000</v>
      </c>
      <c r="N54" s="48" t="inlineStr">
        <is>
          <t xml:space="preserve">Personal</t>
        </is>
      </c>
      <c r="O54" s="46" t="inlineStr">
        <is>
          <t xml:space="preserve">Personal - regular use</t>
        </is>
      </c>
      <c r="P54" s="46" t="inlineStr">
        <is>
          <t xml:space="preserve">1,000 - 2,500</t>
        </is>
      </c>
      <c r="Q54" s="46" t="inlineStr">
        <is>
          <t xml:space="preserve">California</t>
        </is>
      </c>
      <c r="R54" s="46" t="inlineStr">
        <is>
          <t xml:space="preserve">90012</t>
        </is>
      </c>
      <c r="S54" s="48" t="inlineStr">
        <is>
          <t xml:space="preserve">Earthquake - high (CA, Cascadia, New Madrid)</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21089.75</v>
      </c>
      <c r="AC54" s="51">
        <v>0</v>
      </c>
      <c r="AD54" s="38">
        <f>IF(ISNUMBER($AB54),$AB54*(1+N($AC54)),"")</f>
      </c>
      <c r="AE54" s="50">
        <v>350</v>
      </c>
      <c r="AF54" s="50">
        <v>250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CANON-202607-007709</t>
        </is>
      </c>
      <c r="B55" s="30" t="inlineStr">
        <is>
          <t xml:space="preserve">Fenwick Montoya</t>
        </is>
      </c>
      <c r="C55" s="31">
        <v>46228</v>
      </c>
      <c r="D55" s="32" t="inlineStr">
        <is>
          <t xml:space="preserve">Bound - within authority</t>
        </is>
      </c>
      <c r="E55" s="32" t="inlineStr">
        <is>
          <t xml:space="preserve">New business</t>
        </is>
      </c>
      <c r="F55" s="30" t="inlineStr">
        <is>
          <t xml:space="preserve">B1234EXOTIC26</t>
        </is>
      </c>
      <c r="G55" s="33">
        <f>IF($A55="","",IF($C55="","",YEAR($C55)))</f>
      </c>
      <c r="H55" s="34">
        <v>2013</v>
      </c>
      <c r="I55" s="30" t="inlineStr">
        <is>
          <t xml:space="preserve">Jaguar</t>
        </is>
      </c>
      <c r="J55" s="30" t="inlineStr">
        <is>
          <t xml:space="preserve">E-Type Series 1</t>
        </is>
      </c>
      <c r="K55" s="30" t="inlineStr">
        <is>
          <t xml:space="preserve">8C2ZRU99FXCM6HW74</t>
        </is>
      </c>
      <c r="L55" s="32" t="inlineStr">
        <is>
          <t xml:space="preserve">02 - Sports / GT</t>
        </is>
      </c>
      <c r="M55" s="35">
        <v>525000</v>
      </c>
      <c r="N55" s="32" t="inlineStr">
        <is>
          <t xml:space="preserve">Personal</t>
        </is>
      </c>
      <c r="O55" s="30" t="inlineStr">
        <is>
          <t xml:space="preserve">Personal - regular use</t>
        </is>
      </c>
      <c r="P55" s="30" t="inlineStr">
        <is>
          <t xml:space="preserve">Under 1,000</t>
        </is>
      </c>
      <c r="Q55" s="30" t="inlineStr">
        <is>
          <t xml:space="preserve">Mississippi</t>
        </is>
      </c>
      <c r="R55" s="30" t="inlineStr">
        <is>
          <t xml:space="preserve">39201</t>
        </is>
      </c>
      <c r="S55" s="32" t="inlineStr">
        <is>
          <t xml:space="preserve">Tier 2 - Coastal wind (1-25 miles)</t>
        </is>
      </c>
      <c r="T55" s="36">
        <f>IF($A55="","",IF($S55="","",IFERROR(INDEX('[1]natural catastrophe'!$D$6:$D$17,MATCH($S55,'[1]natural catastrophe'!$B$6:$B$17,0)),"?")))</f>
      </c>
      <c r="U55" s="30" t="inlineStr">
        <is>
          <t xml:space="preserve">2% of agreed value, minimum $10,000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3857.3</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CANON-202607-007712</t>
        </is>
      </c>
      <c r="B56" s="46" t="inlineStr">
        <is>
          <t xml:space="preserve">Lorenzo Ashcombe</t>
        </is>
      </c>
      <c r="C56" s="47">
        <v>46232</v>
      </c>
      <c r="D56" s="48" t="inlineStr">
        <is>
          <t xml:space="preserve">Bound - within authority</t>
        </is>
      </c>
      <c r="E56" s="48" t="inlineStr">
        <is>
          <t xml:space="preserve">New business</t>
        </is>
      </c>
      <c r="F56" s="46" t="inlineStr">
        <is>
          <t xml:space="preserve">B1234EXOTIC26</t>
        </is>
      </c>
      <c r="G56" s="33">
        <f>IF($A56="","",IF($C56="","",YEAR($C56)))</f>
      </c>
      <c r="H56" s="49">
        <v>2011</v>
      </c>
      <c r="I56" s="46" t="inlineStr">
        <is>
          <t xml:space="preserve">Bentley</t>
        </is>
      </c>
      <c r="J56" s="46" t="inlineStr">
        <is>
          <t xml:space="preserve">Continental GT</t>
        </is>
      </c>
      <c r="K56" s="46" t="inlineStr">
        <is>
          <t xml:space="preserve">TULV9LK91AG1N8W7R</t>
        </is>
      </c>
      <c r="L56" s="48" t="inlineStr">
        <is>
          <t xml:space="preserve">02 - Sports / GT</t>
        </is>
      </c>
      <c r="M56" s="50">
        <v>1045000</v>
      </c>
      <c r="N56" s="48" t="inlineStr">
        <is>
          <t xml:space="preserve">Personal</t>
        </is>
      </c>
      <c r="O56" s="46" t="inlineStr">
        <is>
          <t xml:space="preserve">Personal - regular use</t>
        </is>
      </c>
      <c r="P56" s="46" t="inlineStr">
        <is>
          <t xml:space="preserve">Under 1,000</t>
        </is>
      </c>
      <c r="Q56" s="46" t="inlineStr">
        <is>
          <t xml:space="preserve">Florida</t>
        </is>
      </c>
      <c r="R56" s="46" t="inlineStr">
        <is>
          <t xml:space="preserve">33139</t>
        </is>
      </c>
      <c r="S56" s="48" t="inlineStr">
        <is>
          <t xml:space="preserve">Tier 2 - Coastal wind (1-25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11718.61</v>
      </c>
      <c r="AC56" s="51">
        <v>0</v>
      </c>
      <c r="AD56" s="38">
        <f>IF(ISNUMBER($AB56),$AB56*(1+N($AC56)),"")</f>
      </c>
      <c r="AE56" s="50">
        <v>350</v>
      </c>
      <c r="AF56" s="50">
        <v>250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CANON-202607-007714</t>
        </is>
      </c>
      <c r="B57" s="30" t="inlineStr">
        <is>
          <t xml:space="preserve">Delphine Kingsford</t>
        </is>
      </c>
      <c r="C57" s="31">
        <v>46224</v>
      </c>
      <c r="D57" s="32" t="inlineStr">
        <is>
          <t xml:space="preserve">Bound - within authority</t>
        </is>
      </c>
      <c r="E57" s="32" t="inlineStr">
        <is>
          <t xml:space="preserve">New business</t>
        </is>
      </c>
      <c r="F57" s="30" t="inlineStr">
        <is>
          <t xml:space="preserve">B1234EXOTIC26</t>
        </is>
      </c>
      <c r="G57" s="33">
        <f>IF($A57="","",IF($C57="","",YEAR($C57)))</f>
      </c>
      <c r="H57" s="34">
        <v>2003</v>
      </c>
      <c r="I57" s="30" t="inlineStr">
        <is>
          <t xml:space="preserve">Aston Martin</t>
        </is>
      </c>
      <c r="J57" s="30" t="inlineStr">
        <is>
          <t xml:space="preserve">DB5</t>
        </is>
      </c>
      <c r="K57" s="30" t="inlineStr">
        <is>
          <t xml:space="preserve">648TGY4E11KKHZPH6</t>
        </is>
      </c>
      <c r="L57" s="32" t="inlineStr">
        <is>
          <t xml:space="preserve">09 - Youngtimer / Collectible (2000-2010)</t>
        </is>
      </c>
      <c r="M57" s="35">
        <v>310000</v>
      </c>
      <c r="N57" s="32" t="inlineStr">
        <is>
          <t xml:space="preserve">Personal</t>
        </is>
      </c>
      <c r="O57" s="30" t="inlineStr">
        <is>
          <t xml:space="preserve">Personal - regular use</t>
        </is>
      </c>
      <c r="P57" s="30" t="inlineStr">
        <is>
          <t xml:space="preserve">Under 1,000</t>
        </is>
      </c>
      <c r="Q57" s="30" t="inlineStr">
        <is>
          <t xml:space="preserve">Utah</t>
        </is>
      </c>
      <c r="R57" s="30" t="inlineStr">
        <is>
          <t xml:space="preserve">84101</t>
        </is>
      </c>
      <c r="S57" s="32" t="inlineStr">
        <is>
          <t xml:space="preserve">Wildfire - WUI high hazard</t>
        </is>
      </c>
      <c r="T57" s="36">
        <f>IF($A57="","",IF($S57="","",IFERROR(INDEX('[1]natural catastrophe'!$D$6:$D$17,MATCH($S57,'[1]natural catastrophe'!$B$6:$B$17,0)),"?")))</f>
      </c>
      <c r="U57" s="30" t="inlineStr">
        <is>
          <t xml:space="preserve">$5,000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2884.33</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CANON-202607-007715</t>
        </is>
      </c>
      <c r="B58" s="46" t="inlineStr">
        <is>
          <t xml:space="preserve">Desmond Nakashima</t>
        </is>
      </c>
      <c r="C58" s="47">
        <v>46218</v>
      </c>
      <c r="D58" s="48" t="inlineStr">
        <is>
          <t xml:space="preserve">Bound - within authority</t>
        </is>
      </c>
      <c r="E58" s="48" t="inlineStr">
        <is>
          <t xml:space="preserve">New business</t>
        </is>
      </c>
      <c r="F58" s="46" t="inlineStr">
        <is>
          <t xml:space="preserve">B1234EXOTIC26</t>
        </is>
      </c>
      <c r="G58" s="33">
        <f>IF($A58="","",IF($C58="","",YEAR($C58)))</f>
      </c>
      <c r="H58" s="49">
        <v>2012</v>
      </c>
      <c r="I58" s="46" t="inlineStr">
        <is>
          <t xml:space="preserve">Alfa Romeo</t>
        </is>
      </c>
      <c r="J58" s="46" t="inlineStr">
        <is>
          <t xml:space="preserve">8C 2900</t>
        </is>
      </c>
      <c r="K58" s="46" t="inlineStr">
        <is>
          <t xml:space="preserve">17164Z8E49X94UT4H</t>
        </is>
      </c>
      <c r="L58" s="48" t="inlineStr">
        <is>
          <t xml:space="preserve">02 - Sports / GT</t>
        </is>
      </c>
      <c r="M58" s="50">
        <v>525000</v>
      </c>
      <c r="N58" s="48" t="inlineStr">
        <is>
          <t xml:space="preserve">Personal</t>
        </is>
      </c>
      <c r="O58" s="46" t="inlineStr">
        <is>
          <t xml:space="preserve">Personal - regular use</t>
        </is>
      </c>
      <c r="P58" s="46" t="inlineStr">
        <is>
          <t xml:space="preserve">1,000 - 2,500</t>
        </is>
      </c>
      <c r="Q58" s="46" t="inlineStr">
        <is>
          <t xml:space="preserve">Colorado</t>
        </is>
      </c>
      <c r="R58" s="46" t="inlineStr">
        <is>
          <t xml:space="preserve">80202</t>
        </is>
      </c>
      <c r="S58" s="48" t="inlineStr">
        <is>
          <t xml:space="preserve">Severe convective - hail alley (high)</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3150.97</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CANON-202607-007716</t>
        </is>
      </c>
      <c r="B59" s="30" t="inlineStr">
        <is>
          <t xml:space="preserve">Delphine Vasquez</t>
        </is>
      </c>
      <c r="C59" s="31">
        <v>46230</v>
      </c>
      <c r="D59" s="32" t="inlineStr">
        <is>
          <t xml:space="preserve">Bound - within authority</t>
        </is>
      </c>
      <c r="E59" s="32" t="inlineStr">
        <is>
          <t xml:space="preserve">New business</t>
        </is>
      </c>
      <c r="F59" s="30" t="inlineStr">
        <is>
          <t xml:space="preserve">B1234EXOTIC26</t>
        </is>
      </c>
      <c r="G59" s="33">
        <f>IF($A59="","",IF($C59="","",YEAR($C59)))</f>
      </c>
      <c r="H59" s="34">
        <v>1984</v>
      </c>
      <c r="I59" s="30" t="inlineStr">
        <is>
          <t xml:space="preserve">Bentley</t>
        </is>
      </c>
      <c r="J59" s="30" t="inlineStr">
        <is>
          <t xml:space="preserve">Continental GT</t>
        </is>
      </c>
      <c r="K59" s="30" t="inlineStr">
        <is>
          <t xml:space="preserve">UAMEGN3JLJUXZDLC2</t>
        </is>
      </c>
      <c r="L59" s="32" t="inlineStr">
        <is>
          <t xml:space="preserve">02 - Sports / GT</t>
        </is>
      </c>
      <c r="M59" s="35">
        <v>275000</v>
      </c>
      <c r="N59" s="32" t="inlineStr">
        <is>
          <t xml:space="preserve">Personal</t>
        </is>
      </c>
      <c r="O59" s="30" t="inlineStr">
        <is>
          <t xml:space="preserve">Personal - regular use</t>
        </is>
      </c>
      <c r="P59" s="30" t="inlineStr">
        <is>
          <t xml:space="preserve">1,000 - 2,500</t>
        </is>
      </c>
      <c r="Q59" s="30" t="inlineStr">
        <is>
          <t xml:space="preserve">Pennsylvania</t>
        </is>
      </c>
      <c r="R59" s="30" t="inlineStr">
        <is>
          <t xml:space="preserve">19103</t>
        </is>
      </c>
      <c r="S59" s="32" t="inlineStr">
        <is>
          <t xml:space="preserve">Low hazard - inland benign</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2961.44</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CANON-202607-007717</t>
        </is>
      </c>
      <c r="B60" s="46" t="inlineStr">
        <is>
          <t xml:space="preserve">Noor Castellanos</t>
        </is>
      </c>
      <c r="C60" s="47">
        <v>46229</v>
      </c>
      <c r="D60" s="48" t="inlineStr">
        <is>
          <t xml:space="preserve">Bound - within authority</t>
        </is>
      </c>
      <c r="E60" s="48" t="inlineStr">
        <is>
          <t xml:space="preserve">New business</t>
        </is>
      </c>
      <c r="F60" s="46" t="inlineStr">
        <is>
          <t xml:space="preserve">B1234EXOTIC26</t>
        </is>
      </c>
      <c r="G60" s="33">
        <f>IF($A60="","",IF($C60="","",YEAR($C60)))</f>
      </c>
      <c r="H60" s="49">
        <v>1963</v>
      </c>
      <c r="I60" s="46" t="inlineStr">
        <is>
          <t xml:space="preserve">Ferrari</t>
        </is>
      </c>
      <c r="J60" s="46" t="inlineStr">
        <is>
          <t xml:space="preserve">275 GTB/4</t>
        </is>
      </c>
      <c r="K60" s="46" t="inlineStr">
        <is>
          <t xml:space="preserve">4ZREVVLKF44D6M1MF</t>
        </is>
      </c>
      <c r="L60" s="48" t="inlineStr">
        <is>
          <t xml:space="preserve">07 - Post-War Classic (1946-1972)</t>
        </is>
      </c>
      <c r="M60" s="50">
        <v>420000</v>
      </c>
      <c r="N60" s="48" t="inlineStr">
        <is>
          <t xml:space="preserve">Personal</t>
        </is>
      </c>
      <c r="O60" s="46" t="inlineStr">
        <is>
          <t xml:space="preserve">Personal - regular use</t>
        </is>
      </c>
      <c r="P60" s="46" t="inlineStr">
        <is>
          <t xml:space="preserve">2,500 - 5,000</t>
        </is>
      </c>
      <c r="Q60" s="46" t="inlineStr">
        <is>
          <t xml:space="preserve">Florida</t>
        </is>
      </c>
      <c r="R60" s="46" t="inlineStr">
        <is>
          <t xml:space="preserve">33139</t>
        </is>
      </c>
      <c r="S60" s="48" t="inlineStr">
        <is>
          <t xml:space="preserve">Tier 2 - Coastal wind (1-25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4110.43</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CANON-202607-007723</t>
        </is>
      </c>
      <c r="B61" s="30" t="inlineStr">
        <is>
          <t xml:space="preserve">Ottilie Fairweather</t>
        </is>
      </c>
      <c r="C61" s="31">
        <v>46226</v>
      </c>
      <c r="D61" s="32" t="inlineStr">
        <is>
          <t xml:space="preserve">Bound - within authority</t>
        </is>
      </c>
      <c r="E61" s="32" t="inlineStr">
        <is>
          <t xml:space="preserve">New business</t>
        </is>
      </c>
      <c r="F61" s="30" t="inlineStr">
        <is>
          <t xml:space="preserve">B1234EXOTIC26</t>
        </is>
      </c>
      <c r="G61" s="33">
        <f>IF($A61="","",IF($C61="","",YEAR($C61)))</f>
      </c>
      <c r="H61" s="34">
        <v>2018</v>
      </c>
      <c r="I61" s="30" t="inlineStr">
        <is>
          <t xml:space="preserve">Mercedes-Benz</t>
        </is>
      </c>
      <c r="J61" s="30" t="inlineStr">
        <is>
          <t xml:space="preserve">AMG GT</t>
        </is>
      </c>
      <c r="K61" s="30" t="inlineStr">
        <is>
          <t xml:space="preserve">D31DF6YMM8EB2A5CY</t>
        </is>
      </c>
      <c r="L61" s="32" t="inlineStr">
        <is>
          <t xml:space="preserve">02 - Sports / GT</t>
        </is>
      </c>
      <c r="M61" s="35">
        <v>415000</v>
      </c>
      <c r="N61" s="32" t="inlineStr">
        <is>
          <t xml:space="preserve">Personal</t>
        </is>
      </c>
      <c r="O61" s="30" t="inlineStr">
        <is>
          <t xml:space="preserve">Personal - regular use</t>
        </is>
      </c>
      <c r="P61" s="30" t="inlineStr">
        <is>
          <t xml:space="preserve">2,500 - 5,000</t>
        </is>
      </c>
      <c r="Q61" s="30" t="inlineStr">
        <is>
          <t xml:space="preserve">California</t>
        </is>
      </c>
      <c r="R61" s="30" t="inlineStr">
        <is>
          <t xml:space="preserve">90012</t>
        </is>
      </c>
      <c r="S61" s="32" t="inlineStr">
        <is>
          <t xml:space="preserve">Earthquake - high (CA, Cascadia, New Madrid)</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6033.26</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CANON-202607-007724</t>
        </is>
      </c>
      <c r="B62" s="46" t="inlineStr">
        <is>
          <t xml:space="preserve">Priya Castellanos</t>
        </is>
      </c>
      <c r="C62" s="47">
        <v>46225</v>
      </c>
      <c r="D62" s="48" t="inlineStr">
        <is>
          <t xml:space="preserve">Bound - within authority</t>
        </is>
      </c>
      <c r="E62" s="48" t="inlineStr">
        <is>
          <t xml:space="preserve">New business</t>
        </is>
      </c>
      <c r="F62" s="46" t="inlineStr">
        <is>
          <t xml:space="preserve">B1234EXOTIC26</t>
        </is>
      </c>
      <c r="G62" s="33">
        <f>IF($A62="","",IF($C62="","",YEAR($C62)))</f>
      </c>
      <c r="H62" s="49">
        <v>2008</v>
      </c>
      <c r="I62" s="46" t="inlineStr">
        <is>
          <t xml:space="preserve">Mercedes-Benz</t>
        </is>
      </c>
      <c r="J62" s="46" t="inlineStr">
        <is>
          <t xml:space="preserve">280SL Pagoda</t>
        </is>
      </c>
      <c r="K62" s="46" t="inlineStr">
        <is>
          <t xml:space="preserve">SEC9BH5SK0G3L3FL6</t>
        </is>
      </c>
      <c r="L62" s="48" t="inlineStr">
        <is>
          <t xml:space="preserve">09 - Youngtimer / Collectible (2000-2010)</t>
        </is>
      </c>
      <c r="M62" s="50">
        <v>465000</v>
      </c>
      <c r="N62" s="48" t="inlineStr">
        <is>
          <t xml:space="preserve">Personal</t>
        </is>
      </c>
      <c r="O62" s="46" t="inlineStr">
        <is>
          <t xml:space="preserve">Personal - regular use</t>
        </is>
      </c>
      <c r="P62" s="46" t="inlineStr">
        <is>
          <t xml:space="preserve">1,000 - 2,500</t>
        </is>
      </c>
      <c r="Q62" s="46" t="inlineStr">
        <is>
          <t xml:space="preserve">Oklahoma</t>
        </is>
      </c>
      <c r="R62" s="46" t="inlineStr">
        <is>
          <t xml:space="preserve">73102</t>
        </is>
      </c>
      <c r="S62" s="48" t="inlineStr">
        <is>
          <t xml:space="preserve">Severe convective - hail alley (high)</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4038.06</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CANON-202607-007726</t>
        </is>
      </c>
      <c r="B63" s="30" t="inlineStr">
        <is>
          <t xml:space="preserve">Fenwick Fairweather</t>
        </is>
      </c>
      <c r="C63" s="31">
        <v>46220</v>
      </c>
      <c r="D63" s="32" t="inlineStr">
        <is>
          <t xml:space="preserve">Bound - within authority</t>
        </is>
      </c>
      <c r="E63" s="32" t="inlineStr">
        <is>
          <t xml:space="preserve">New business</t>
        </is>
      </c>
      <c r="F63" s="30" t="inlineStr">
        <is>
          <t xml:space="preserve">B1234EXOTIC26</t>
        </is>
      </c>
      <c r="G63" s="33">
        <f>IF($A63="","",IF($C63="","",YEAR($C63)))</f>
      </c>
      <c r="H63" s="34">
        <v>1971</v>
      </c>
      <c r="I63" s="30" t="inlineStr">
        <is>
          <t xml:space="preserve">Alfa Romeo</t>
        </is>
      </c>
      <c r="J63" s="30" t="inlineStr">
        <is>
          <t xml:space="preserve">8C 2900</t>
        </is>
      </c>
      <c r="K63" s="30" t="inlineStr">
        <is>
          <t xml:space="preserve">261GTLTECHUF9BEEZ</t>
        </is>
      </c>
      <c r="L63" s="32" t="inlineStr">
        <is>
          <t xml:space="preserve">07 - Post-War Classic (1946-1972)</t>
        </is>
      </c>
      <c r="M63" s="35">
        <v>1865000</v>
      </c>
      <c r="N63" s="32" t="inlineStr">
        <is>
          <t xml:space="preserve">Personal</t>
        </is>
      </c>
      <c r="O63" s="30" t="inlineStr">
        <is>
          <t xml:space="preserve">Personal - regular use</t>
        </is>
      </c>
      <c r="P63" s="30" t="inlineStr">
        <is>
          <t xml:space="preserve">Under 1,000</t>
        </is>
      </c>
      <c r="Q63" s="30" t="inlineStr">
        <is>
          <t xml:space="preserve">Nevada</t>
        </is>
      </c>
      <c r="R63" s="30" t="inlineStr">
        <is>
          <t xml:space="preserve">89101</t>
        </is>
      </c>
      <c r="S63" s="32" t="inlineStr">
        <is>
          <t xml:space="preserve">Wildfire - WUI high hazard</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10652.52</v>
      </c>
      <c r="AC63" s="37">
        <v>0</v>
      </c>
      <c r="AD63" s="38">
        <f>IF(ISNUMBER($AB63),$AB63*(1+N($AC63)),"")</f>
      </c>
      <c r="AE63" s="35">
        <v>350</v>
      </c>
      <c r="AF63" s="35">
        <v>250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CANON-202607-007728</t>
        </is>
      </c>
      <c r="B64" s="46" t="inlineStr">
        <is>
          <t xml:space="preserve">Lorenzo Kingsford</t>
        </is>
      </c>
      <c r="C64" s="47">
        <v>46225</v>
      </c>
      <c r="D64" s="48" t="inlineStr">
        <is>
          <t xml:space="preserve">Bound - within authority</t>
        </is>
      </c>
      <c r="E64" s="48" t="inlineStr">
        <is>
          <t xml:space="preserve">New business</t>
        </is>
      </c>
      <c r="F64" s="46" t="inlineStr">
        <is>
          <t xml:space="preserve">B1234EXOTIC26</t>
        </is>
      </c>
      <c r="G64" s="33">
        <f>IF($A64="","",IF($C64="","",YEAR($C64)))</f>
      </c>
      <c r="H64" s="49">
        <v>1967</v>
      </c>
      <c r="I64" s="46" t="inlineStr">
        <is>
          <t xml:space="preserve">Aston Martin</t>
        </is>
      </c>
      <c r="J64" s="46" t="inlineStr">
        <is>
          <t xml:space="preserve">DB5</t>
        </is>
      </c>
      <c r="K64" s="46" t="inlineStr">
        <is>
          <t xml:space="preserve">R8Y9UYUGRGS65CT0B</t>
        </is>
      </c>
      <c r="L64" s="48" t="inlineStr">
        <is>
          <t xml:space="preserve">07 - Post-War Classic (1946-1972)</t>
        </is>
      </c>
      <c r="M64" s="50">
        <v>190000</v>
      </c>
      <c r="N64" s="48" t="inlineStr">
        <is>
          <t xml:space="preserve">Personal</t>
        </is>
      </c>
      <c r="O64" s="46" t="inlineStr">
        <is>
          <t xml:space="preserve">Personal - regular use</t>
        </is>
      </c>
      <c r="P64" s="46" t="inlineStr">
        <is>
          <t xml:space="preserve">1,000 - 2,500</t>
        </is>
      </c>
      <c r="Q64" s="46" t="inlineStr">
        <is>
          <t xml:space="preserve">North Carolina</t>
        </is>
      </c>
      <c r="R64" s="46" t="inlineStr">
        <is>
          <t xml:space="preserve">28202</t>
        </is>
      </c>
      <c r="S64" s="48" t="inlineStr">
        <is>
          <t xml:space="preserve">Tier 2 - Coastal wind (1-25 miles)</t>
        </is>
      </c>
      <c r="T64" s="36">
        <f>IF($A64="","",IF($S64="","",IFERROR(INDEX('[1]natural catastrophe'!$D$6:$D$17,MATCH($S64,'[1]natural catastrophe'!$B$6:$B$17,0)),"?")))</f>
      </c>
      <c r="U64" s="46" t="inlineStr">
        <is>
          <t xml:space="preserve">2% of agreed value, minimum $10,000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1788.28</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CANON-202607-007730</t>
        </is>
      </c>
      <c r="B65" s="30" t="inlineStr">
        <is>
          <t xml:space="preserve">Callum Merriweather</t>
        </is>
      </c>
      <c r="C65" s="31">
        <v>46226</v>
      </c>
      <c r="D65" s="32" t="inlineStr">
        <is>
          <t xml:space="preserve">Bound - within authority</t>
        </is>
      </c>
      <c r="E65" s="32" t="inlineStr">
        <is>
          <t xml:space="preserve">New business</t>
        </is>
      </c>
      <c r="F65" s="30" t="inlineStr">
        <is>
          <t xml:space="preserve">B1234EXOTIC26</t>
        </is>
      </c>
      <c r="G65" s="33">
        <f>IF($A65="","",IF($C65="","",YEAR($C65)))</f>
      </c>
      <c r="H65" s="34">
        <v>1969</v>
      </c>
      <c r="I65" s="30" t="inlineStr">
        <is>
          <t xml:space="preserve">Alfa Romeo</t>
        </is>
      </c>
      <c r="J65" s="30" t="inlineStr">
        <is>
          <t xml:space="preserve">8C 2900</t>
        </is>
      </c>
      <c r="K65" s="30" t="inlineStr">
        <is>
          <t xml:space="preserve">PY4R97KYNT7AX15NN</t>
        </is>
      </c>
      <c r="L65" s="32" t="inlineStr">
        <is>
          <t xml:space="preserve">07 - Post-War Classic (1946-1972)</t>
        </is>
      </c>
      <c r="M65" s="35">
        <v>485000</v>
      </c>
      <c r="N65" s="32" t="inlineStr">
        <is>
          <t xml:space="preserve">Personal</t>
        </is>
      </c>
      <c r="O65" s="30" t="inlineStr">
        <is>
          <t xml:space="preserve">Personal - regular use</t>
        </is>
      </c>
      <c r="P65" s="30" t="inlineStr">
        <is>
          <t xml:space="preserve">Under 1,000</t>
        </is>
      </c>
      <c r="Q65" s="30" t="inlineStr">
        <is>
          <t xml:space="preserve">Hawaii</t>
        </is>
      </c>
      <c r="R65" s="30" t="inlineStr">
        <is>
          <t xml:space="preserve">96813</t>
        </is>
      </c>
      <c r="S65" s="32" t="inlineStr">
        <is>
          <t xml:space="preserve">Earthquake - high (CA, Cascadia, New Madrid)</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3802.28</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CANON-202607-007731</t>
        </is>
      </c>
      <c r="B66" s="46" t="inlineStr">
        <is>
          <t xml:space="preserve">Everett Underwood</t>
        </is>
      </c>
      <c r="C66" s="47">
        <v>46216</v>
      </c>
      <c r="D66" s="48" t="inlineStr">
        <is>
          <t xml:space="preserve">Bound - within authority</t>
        </is>
      </c>
      <c r="E66" s="48" t="inlineStr">
        <is>
          <t xml:space="preserve">New business</t>
        </is>
      </c>
      <c r="F66" s="46" t="inlineStr">
        <is>
          <t xml:space="preserve">B1234EXOTIC26</t>
        </is>
      </c>
      <c r="G66" s="33">
        <f>IF($A66="","",IF($C66="","",YEAR($C66)))</f>
      </c>
      <c r="H66" s="49">
        <v>1970</v>
      </c>
      <c r="I66" s="46" t="inlineStr">
        <is>
          <t xml:space="preserve">Aston Martin</t>
        </is>
      </c>
      <c r="J66" s="46" t="inlineStr">
        <is>
          <t xml:space="preserve">DB12</t>
        </is>
      </c>
      <c r="K66" s="46" t="inlineStr">
        <is>
          <t xml:space="preserve">PX9WJEP0VDX7XFK4A</t>
        </is>
      </c>
      <c r="L66" s="48" t="inlineStr">
        <is>
          <t xml:space="preserve">02 - Sports / GT</t>
        </is>
      </c>
      <c r="M66" s="50">
        <v>270000</v>
      </c>
      <c r="N66" s="48" t="inlineStr">
        <is>
          <t xml:space="preserve">Personal</t>
        </is>
      </c>
      <c r="O66" s="46" t="inlineStr">
        <is>
          <t xml:space="preserve">Personal - regular use</t>
        </is>
      </c>
      <c r="P66" s="46" t="inlineStr">
        <is>
          <t xml:space="preserve">Under 1,000</t>
        </is>
      </c>
      <c r="Q66" s="46" t="inlineStr">
        <is>
          <t xml:space="preserve">Kansas</t>
        </is>
      </c>
      <c r="R66" s="46" t="inlineStr">
        <is>
          <t xml:space="preserve">66603</t>
        </is>
      </c>
      <c r="S66" s="48" t="inlineStr">
        <is>
          <t xml:space="preserve">Severe convective - hail alley (high)</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2820.36</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CANON-202607-007732</t>
        </is>
      </c>
      <c r="B67" s="30" t="inlineStr">
        <is>
          <t xml:space="preserve">Saoirse Ashcombe</t>
        </is>
      </c>
      <c r="C67" s="31">
        <v>46233</v>
      </c>
      <c r="D67" s="32" t="inlineStr">
        <is>
          <t xml:space="preserve">Bound - within authority</t>
        </is>
      </c>
      <c r="E67" s="32" t="inlineStr">
        <is>
          <t xml:space="preserve">New business</t>
        </is>
      </c>
      <c r="F67" s="30" t="inlineStr">
        <is>
          <t xml:space="preserve">B1234EXOTIC26</t>
        </is>
      </c>
      <c r="G67" s="33">
        <f>IF($A67="","",IF($C67="","",YEAR($C67)))</f>
      </c>
      <c r="H67" s="34">
        <v>2006</v>
      </c>
      <c r="I67" s="30" t="inlineStr">
        <is>
          <t xml:space="preserve">Ferrari</t>
        </is>
      </c>
      <c r="J67" s="30" t="inlineStr">
        <is>
          <t xml:space="preserve">SF90 Stradale</t>
        </is>
      </c>
      <c r="K67" s="30" t="inlineStr">
        <is>
          <t xml:space="preserve">K1K22LHEY6ZVW11WH</t>
        </is>
      </c>
      <c r="L67" s="32" t="inlineStr">
        <is>
          <t xml:space="preserve">03 - Supercar</t>
        </is>
      </c>
      <c r="M67" s="35">
        <v>630000</v>
      </c>
      <c r="N67" s="32" t="inlineStr">
        <is>
          <t xml:space="preserve">Personal</t>
        </is>
      </c>
      <c r="O67" s="30" t="inlineStr">
        <is>
          <t xml:space="preserve">Personal - regular use</t>
        </is>
      </c>
      <c r="P67" s="30" t="inlineStr">
        <is>
          <t xml:space="preserve">Under 1,000</t>
        </is>
      </c>
      <c r="Q67" s="30" t="inlineStr">
        <is>
          <t xml:space="preserve">Indiana</t>
        </is>
      </c>
      <c r="R67" s="30" t="inlineStr">
        <is>
          <t xml:space="preserve">46204</t>
        </is>
      </c>
      <c r="S67" s="32" t="inlineStr">
        <is>
          <t xml:space="preserve">Severe convective - hail / tornado (moderate)</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10570.08</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CANON-202607-007733</t>
        </is>
      </c>
      <c r="B68" s="46" t="inlineStr">
        <is>
          <t xml:space="preserve">Callum Rourke</t>
        </is>
      </c>
      <c r="C68" s="47">
        <v>46217</v>
      </c>
      <c r="D68" s="48" t="inlineStr">
        <is>
          <t xml:space="preserve">Bound - within authority</t>
        </is>
      </c>
      <c r="E68" s="48" t="inlineStr">
        <is>
          <t xml:space="preserve">New business</t>
        </is>
      </c>
      <c r="F68" s="46" t="inlineStr">
        <is>
          <t xml:space="preserve">B1234EXOTIC26</t>
        </is>
      </c>
      <c r="G68" s="33">
        <f>IF($A68="","",IF($C68="","",YEAR($C68)))</f>
      </c>
      <c r="H68" s="49">
        <v>1972</v>
      </c>
      <c r="I68" s="46" t="inlineStr">
        <is>
          <t xml:space="preserve">Mercedes-Benz</t>
        </is>
      </c>
      <c r="J68" s="46" t="inlineStr">
        <is>
          <t xml:space="preserve">AMG GT</t>
        </is>
      </c>
      <c r="K68" s="46" t="inlineStr">
        <is>
          <t xml:space="preserve">1PP5RMWM4UPGJPKV0</t>
        </is>
      </c>
      <c r="L68" s="48" t="inlineStr">
        <is>
          <t xml:space="preserve">02 - Sports / GT</t>
        </is>
      </c>
      <c r="M68" s="50">
        <v>415000</v>
      </c>
      <c r="N68" s="48" t="inlineStr">
        <is>
          <t xml:space="preserve">Personal</t>
        </is>
      </c>
      <c r="O68" s="46" t="inlineStr">
        <is>
          <t xml:space="preserve">Personal - regular use</t>
        </is>
      </c>
      <c r="P68" s="46" t="inlineStr">
        <is>
          <t xml:space="preserve">2,500 - 5,000</t>
        </is>
      </c>
      <c r="Q68" s="46" t="inlineStr">
        <is>
          <t xml:space="preserve">Nebraska</t>
        </is>
      </c>
      <c r="R68" s="46" t="inlineStr">
        <is>
          <t xml:space="preserve">68102</t>
        </is>
      </c>
      <c r="S68" s="48" t="inlineStr">
        <is>
          <t xml:space="preserve">Severe convective - hail alley (high)</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5809.8</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CANON-202607-007735</t>
        </is>
      </c>
      <c r="B69" s="30" t="inlineStr">
        <is>
          <t xml:space="preserve">Fenwick Underwood</t>
        </is>
      </c>
      <c r="C69" s="31">
        <v>46204</v>
      </c>
      <c r="D69" s="32" t="inlineStr">
        <is>
          <t xml:space="preserve">Bound - within authority</t>
        </is>
      </c>
      <c r="E69" s="32" t="inlineStr">
        <is>
          <t xml:space="preserve">New business</t>
        </is>
      </c>
      <c r="F69" s="30" t="inlineStr">
        <is>
          <t xml:space="preserve">B1234EXOTIC26</t>
        </is>
      </c>
      <c r="G69" s="33">
        <f>IF($A69="","",IF($C69="","",YEAR($C69)))</f>
      </c>
      <c r="H69" s="34">
        <v>1985</v>
      </c>
      <c r="I69" s="30" t="inlineStr">
        <is>
          <t xml:space="preserve">Lamborghini</t>
        </is>
      </c>
      <c r="J69" s="30" t="inlineStr">
        <is>
          <t xml:space="preserve">Huracan EVO</t>
        </is>
      </c>
      <c r="K69" s="30" t="inlineStr">
        <is>
          <t xml:space="preserve">4XF9M7N8K7N17HKDU</t>
        </is>
      </c>
      <c r="L69" s="32" t="inlineStr">
        <is>
          <t xml:space="preserve">03 - Supercar</t>
        </is>
      </c>
      <c r="M69" s="35">
        <v>390000</v>
      </c>
      <c r="N69" s="32" t="inlineStr">
        <is>
          <t xml:space="preserve">Personal</t>
        </is>
      </c>
      <c r="O69" s="30" t="inlineStr">
        <is>
          <t xml:space="preserve">Personal - regular use</t>
        </is>
      </c>
      <c r="P69" s="30" t="inlineStr">
        <is>
          <t xml:space="preserve">2,500 - 5,000</t>
        </is>
      </c>
      <c r="Q69" s="30" t="inlineStr">
        <is>
          <t xml:space="preserve">Ohio</t>
        </is>
      </c>
      <c r="R69" s="30" t="inlineStr">
        <is>
          <t xml:space="preserve">43215</t>
        </is>
      </c>
      <c r="S69" s="32" t="inlineStr">
        <is>
          <t xml:space="preserve">Severe convective - hail / tornado (moderate)</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8951.3</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CANON-202607-007736</t>
        </is>
      </c>
      <c r="B70" s="46" t="inlineStr">
        <is>
          <t xml:space="preserve">Ottilie Vandermeer</t>
        </is>
      </c>
      <c r="C70" s="47">
        <v>46215</v>
      </c>
      <c r="D70" s="48" t="inlineStr">
        <is>
          <t xml:space="preserve">Bound - within authority</t>
        </is>
      </c>
      <c r="E70" s="48" t="inlineStr">
        <is>
          <t xml:space="preserve">New business</t>
        </is>
      </c>
      <c r="F70" s="46" t="inlineStr">
        <is>
          <t xml:space="preserve">B1234EXOTIC26</t>
        </is>
      </c>
      <c r="G70" s="33">
        <f>IF($A70="","",IF($C70="","",YEAR($C70)))</f>
      </c>
      <c r="H70" s="49">
        <v>2013</v>
      </c>
      <c r="I70" s="46" t="inlineStr">
        <is>
          <t xml:space="preserve">Mercedes-Benz</t>
        </is>
      </c>
      <c r="J70" s="46" t="inlineStr">
        <is>
          <t xml:space="preserve">AMG GT</t>
        </is>
      </c>
      <c r="K70" s="46" t="inlineStr">
        <is>
          <t xml:space="preserve">5XTRS8ZBNWVPDDZSX</t>
        </is>
      </c>
      <c r="L70" s="48" t="inlineStr">
        <is>
          <t xml:space="preserve">02 - Sports / GT</t>
        </is>
      </c>
      <c r="M70" s="50">
        <v>330000</v>
      </c>
      <c r="N70" s="48" t="inlineStr">
        <is>
          <t xml:space="preserve">Personal</t>
        </is>
      </c>
      <c r="O70" s="46" t="inlineStr">
        <is>
          <t xml:space="preserve">Personal - regular use</t>
        </is>
      </c>
      <c r="P70" s="46" t="inlineStr">
        <is>
          <t xml:space="preserve">Under 1,000</t>
        </is>
      </c>
      <c r="Q70" s="46" t="inlineStr">
        <is>
          <t xml:space="preserve">Texas</t>
        </is>
      </c>
      <c r="R70" s="46" t="inlineStr">
        <is>
          <t xml:space="preserve">75201</t>
        </is>
      </c>
      <c r="S70" s="48" t="inlineStr">
        <is>
          <t xml:space="preserve">Tier 2 - Coastal wind (1-25 miles)</t>
        </is>
      </c>
      <c r="T70" s="36">
        <f>IF($A70="","",IF($S70="","",IFERROR(INDEX('[1]natural catastrophe'!$D$6:$D$17,MATCH($S70,'[1]natural catastrophe'!$B$6:$B$17,0)),"?")))</f>
      </c>
      <c r="U70" s="46" t="inlineStr">
        <is>
          <t xml:space="preserve">2% of agreed value, minimum $10,000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4086.78</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CANON-202607-007738</t>
        </is>
      </c>
      <c r="B71" s="30" t="inlineStr">
        <is>
          <t xml:space="preserve">Wilhelmina Fairweather</t>
        </is>
      </c>
      <c r="C71" s="31">
        <v>46217</v>
      </c>
      <c r="D71" s="32" t="inlineStr">
        <is>
          <t xml:space="preserve">Bound - within authority</t>
        </is>
      </c>
      <c r="E71" s="32" t="inlineStr">
        <is>
          <t xml:space="preserve">New business</t>
        </is>
      </c>
      <c r="F71" s="30" t="inlineStr">
        <is>
          <t xml:space="preserve">B1234EXOTIC26</t>
        </is>
      </c>
      <c r="G71" s="33">
        <f>IF($A71="","",IF($C71="","",YEAR($C71)))</f>
      </c>
      <c r="H71" s="34">
        <v>2024</v>
      </c>
      <c r="I71" s="30" t="inlineStr">
        <is>
          <t xml:space="preserve">Aston Martin</t>
        </is>
      </c>
      <c r="J71" s="30" t="inlineStr">
        <is>
          <t xml:space="preserve">DB5</t>
        </is>
      </c>
      <c r="K71" s="30" t="inlineStr">
        <is>
          <t xml:space="preserve">36C146RGX4H8ECEG2</t>
        </is>
      </c>
      <c r="L71" s="32" t="inlineStr">
        <is>
          <t xml:space="preserve">02 - Sports / GT</t>
        </is>
      </c>
      <c r="M71" s="35">
        <v>1720000</v>
      </c>
      <c r="N71" s="32" t="inlineStr">
        <is>
          <t xml:space="preserve">Personal</t>
        </is>
      </c>
      <c r="O71" s="30" t="inlineStr">
        <is>
          <t xml:space="preserve">Personal - regular use</t>
        </is>
      </c>
      <c r="P71" s="30" t="inlineStr">
        <is>
          <t xml:space="preserve">2,500 - 5,000</t>
        </is>
      </c>
      <c r="Q71" s="30" t="inlineStr">
        <is>
          <t xml:space="preserve">Massachusetts</t>
        </is>
      </c>
      <c r="R71" s="30" t="inlineStr">
        <is>
          <t xml:space="preserve">02108</t>
        </is>
      </c>
      <c r="S71" s="32" t="inlineStr">
        <is>
          <t xml:space="preserve">Tier 3 - Coastal wind (25-100 miles)</t>
        </is>
      </c>
      <c r="T71" s="36">
        <f>IF($A71="","",IF($S71="","",IFERROR(INDEX('[1]natural catastrophe'!$D$6:$D$17,MATCH($S71,'[1]natural catastrophe'!$B$6:$B$17,0)),"?")))</f>
      </c>
      <c r="U71" s="30" t="inlineStr">
        <is>
          <t xml:space="preserve">2% of agreed value, minimum $10,000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11730.88</v>
      </c>
      <c r="AC71" s="37">
        <v>0</v>
      </c>
      <c r="AD71" s="38">
        <f>IF(ISNUMBER($AB71),$AB71*(1+N($AC71)),"")</f>
      </c>
      <c r="AE71" s="35">
        <v>350</v>
      </c>
      <c r="AF71" s="35">
        <v>250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CANON-202607-007739</t>
        </is>
      </c>
      <c r="B72" s="46" t="inlineStr">
        <is>
          <t xml:space="preserve">Noor Whitlock</t>
        </is>
      </c>
      <c r="C72" s="47">
        <v>46206</v>
      </c>
      <c r="D72" s="48" t="inlineStr">
        <is>
          <t xml:space="preserve">Bound - within authority</t>
        </is>
      </c>
      <c r="E72" s="48" t="inlineStr">
        <is>
          <t xml:space="preserve">New business</t>
        </is>
      </c>
      <c r="F72" s="46" t="inlineStr">
        <is>
          <t xml:space="preserve">B1234EXOTIC26</t>
        </is>
      </c>
      <c r="G72" s="33">
        <f>IF($A72="","",IF($C72="","",YEAR($C72)))</f>
      </c>
      <c r="H72" s="49">
        <v>1963</v>
      </c>
      <c r="I72" s="46" t="inlineStr">
        <is>
          <t xml:space="preserve">Porsche</t>
        </is>
      </c>
      <c r="J72" s="46" t="inlineStr">
        <is>
          <t xml:space="preserve">911 Turbo S</t>
        </is>
      </c>
      <c r="K72" s="46" t="inlineStr">
        <is>
          <t xml:space="preserve">8YSK3G1GLESA111E4</t>
        </is>
      </c>
      <c r="L72" s="48" t="inlineStr">
        <is>
          <t xml:space="preserve">02 - Sports / GT</t>
        </is>
      </c>
      <c r="M72" s="50">
        <v>360000</v>
      </c>
      <c r="N72" s="48" t="inlineStr">
        <is>
          <t xml:space="preserve">Personal</t>
        </is>
      </c>
      <c r="O72" s="46" t="inlineStr">
        <is>
          <t xml:space="preserve">Personal - regular use</t>
        </is>
      </c>
      <c r="P72" s="46" t="inlineStr">
        <is>
          <t xml:space="preserve">2,500 - 5,000</t>
        </is>
      </c>
      <c r="Q72" s="46" t="inlineStr">
        <is>
          <t xml:space="preserve">Pennsylvania</t>
        </is>
      </c>
      <c r="R72" s="46" t="inlineStr">
        <is>
          <t xml:space="preserve">19103</t>
        </is>
      </c>
      <c r="S72" s="48" t="inlineStr">
        <is>
          <t xml:space="preserve">Low hazard - inland benign</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3876.79</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CANON-202607-007740</t>
        </is>
      </c>
      <c r="B73" s="30" t="inlineStr">
        <is>
          <t xml:space="preserve">Ottilie Okonkwo</t>
        </is>
      </c>
      <c r="C73" s="31">
        <v>46232</v>
      </c>
      <c r="D73" s="32" t="inlineStr">
        <is>
          <t xml:space="preserve">Bound - within authority</t>
        </is>
      </c>
      <c r="E73" s="32" t="inlineStr">
        <is>
          <t xml:space="preserve">New business</t>
        </is>
      </c>
      <c r="F73" s="30" t="inlineStr">
        <is>
          <t xml:space="preserve">B1234EXOTIC26</t>
        </is>
      </c>
      <c r="G73" s="33">
        <f>IF($A73="","",IF($C73="","",YEAR($C73)))</f>
      </c>
      <c r="H73" s="34">
        <v>2003</v>
      </c>
      <c r="I73" s="30" t="inlineStr">
        <is>
          <t xml:space="preserve">Bentley</t>
        </is>
      </c>
      <c r="J73" s="30" t="inlineStr">
        <is>
          <t xml:space="preserve">Continental GT</t>
        </is>
      </c>
      <c r="K73" s="30" t="inlineStr">
        <is>
          <t xml:space="preserve">V3K9MWTPYTFHFM25T</t>
        </is>
      </c>
      <c r="L73" s="32" t="inlineStr">
        <is>
          <t xml:space="preserve">02 - Sports / GT</t>
        </is>
      </c>
      <c r="M73" s="35">
        <v>720000</v>
      </c>
      <c r="N73" s="32" t="inlineStr">
        <is>
          <t xml:space="preserve">Personal</t>
        </is>
      </c>
      <c r="O73" s="30" t="inlineStr">
        <is>
          <t xml:space="preserve">Personal - regular use</t>
        </is>
      </c>
      <c r="P73" s="30" t="inlineStr">
        <is>
          <t xml:space="preserve">Under 1,000</t>
        </is>
      </c>
      <c r="Q73" s="30" t="inlineStr">
        <is>
          <t xml:space="preserve">Florida</t>
        </is>
      </c>
      <c r="R73" s="30" t="inlineStr">
        <is>
          <t xml:space="preserve">33139</t>
        </is>
      </c>
      <c r="S73" s="32" t="inlineStr">
        <is>
          <t xml:space="preserve">Tier 2 - Coastal wind (1-25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9542.08</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CANON-202607-007741</t>
        </is>
      </c>
      <c r="B74" s="46" t="inlineStr">
        <is>
          <t xml:space="preserve">Anouk Larsson</t>
        </is>
      </c>
      <c r="C74" s="47">
        <v>46205</v>
      </c>
      <c r="D74" s="48" t="inlineStr">
        <is>
          <t xml:space="preserve">Bound - within authority</t>
        </is>
      </c>
      <c r="E74" s="48" t="inlineStr">
        <is>
          <t xml:space="preserve">New business</t>
        </is>
      </c>
      <c r="F74" s="46" t="inlineStr">
        <is>
          <t xml:space="preserve">B1234EXOTIC26</t>
        </is>
      </c>
      <c r="G74" s="33">
        <f>IF($A74="","",IF($C74="","",YEAR($C74)))</f>
      </c>
      <c r="H74" s="49">
        <v>2004</v>
      </c>
      <c r="I74" s="46" t="inlineStr">
        <is>
          <t xml:space="preserve">Mercedes-Benz</t>
        </is>
      </c>
      <c r="J74" s="46" t="inlineStr">
        <is>
          <t xml:space="preserve">AMG GT</t>
        </is>
      </c>
      <c r="K74" s="46" t="inlineStr">
        <is>
          <t xml:space="preserve">LMWKPJ96T242B8Y6T</t>
        </is>
      </c>
      <c r="L74" s="48" t="inlineStr">
        <is>
          <t xml:space="preserve">02 - Sports / GT</t>
        </is>
      </c>
      <c r="M74" s="50">
        <v>730000</v>
      </c>
      <c r="N74" s="48" t="inlineStr">
        <is>
          <t xml:space="preserve">Personal</t>
        </is>
      </c>
      <c r="O74" s="46" t="inlineStr">
        <is>
          <t xml:space="preserve">Personal - regular use</t>
        </is>
      </c>
      <c r="P74" s="46" t="inlineStr">
        <is>
          <t xml:space="preserve">2,500 - 5,000</t>
        </is>
      </c>
      <c r="Q74" s="46" t="inlineStr">
        <is>
          <t xml:space="preserve">North Carolina</t>
        </is>
      </c>
      <c r="R74" s="46" t="inlineStr">
        <is>
          <t xml:space="preserve">28202</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7835.07</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CANON-202607-007742</t>
        </is>
      </c>
      <c r="B75" s="30" t="inlineStr">
        <is>
          <t xml:space="preserve">Beatrix Vasquez</t>
        </is>
      </c>
      <c r="C75" s="31">
        <v>46212</v>
      </c>
      <c r="D75" s="32" t="inlineStr">
        <is>
          <t xml:space="preserve">Bound - within authority</t>
        </is>
      </c>
      <c r="E75" s="32" t="inlineStr">
        <is>
          <t xml:space="preserve">New business</t>
        </is>
      </c>
      <c r="F75" s="30" t="inlineStr">
        <is>
          <t xml:space="preserve">B1234EXOTIC26</t>
        </is>
      </c>
      <c r="G75" s="33">
        <f>IF($A75="","",IF($C75="","",YEAR($C75)))</f>
      </c>
      <c r="H75" s="34">
        <v>1996</v>
      </c>
      <c r="I75" s="30" t="inlineStr">
        <is>
          <t xml:space="preserve">McLaren</t>
        </is>
      </c>
      <c r="J75" s="30" t="inlineStr">
        <is>
          <t xml:space="preserve">750S</t>
        </is>
      </c>
      <c r="K75" s="30" t="inlineStr">
        <is>
          <t xml:space="preserve">H1H3C7L0CXHW4V901</t>
        </is>
      </c>
      <c r="L75" s="32" t="inlineStr">
        <is>
          <t xml:space="preserve">03 - Supercar</t>
        </is>
      </c>
      <c r="M75" s="35">
        <v>435000</v>
      </c>
      <c r="N75" s="32" t="inlineStr">
        <is>
          <t xml:space="preserve">Personal</t>
        </is>
      </c>
      <c r="O75" s="30" t="inlineStr">
        <is>
          <t xml:space="preserve">Personal - regular use</t>
        </is>
      </c>
      <c r="P75" s="30" t="inlineStr">
        <is>
          <t xml:space="preserve">Under 1,000</t>
        </is>
      </c>
      <c r="Q75" s="30" t="inlineStr">
        <is>
          <t xml:space="preserve">California</t>
        </is>
      </c>
      <c r="R75" s="30" t="inlineStr">
        <is>
          <t xml:space="preserve">90012</t>
        </is>
      </c>
      <c r="S75" s="32" t="inlineStr">
        <is>
          <t xml:space="preserve">Earthquake - high (CA, Cascadia, New Madrid)</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9696.83</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CANON-202607-007743</t>
        </is>
      </c>
      <c r="B76" s="46" t="inlineStr">
        <is>
          <t xml:space="preserve">Beatrix Okonkwo</t>
        </is>
      </c>
      <c r="C76" s="47">
        <v>46226</v>
      </c>
      <c r="D76" s="48" t="inlineStr">
        <is>
          <t xml:space="preserve">Bound - within authority</t>
        </is>
      </c>
      <c r="E76" s="48" t="inlineStr">
        <is>
          <t xml:space="preserve">New business</t>
        </is>
      </c>
      <c r="F76" s="46" t="inlineStr">
        <is>
          <t xml:space="preserve">B1234EXOTIC26</t>
        </is>
      </c>
      <c r="G76" s="33">
        <f>IF($A76="","",IF($C76="","",YEAR($C76)))</f>
      </c>
      <c r="H76" s="49">
        <v>2014</v>
      </c>
      <c r="I76" s="46" t="inlineStr">
        <is>
          <t xml:space="preserve">Jaguar</t>
        </is>
      </c>
      <c r="J76" s="46" t="inlineStr">
        <is>
          <t xml:space="preserve">E-Type Series 1</t>
        </is>
      </c>
      <c r="K76" s="46" t="inlineStr">
        <is>
          <t xml:space="preserve">2UPXRJ2SGRREL5E9U</t>
        </is>
      </c>
      <c r="L76" s="48" t="inlineStr">
        <is>
          <t xml:space="preserve">02 - Sports / GT</t>
        </is>
      </c>
      <c r="M76" s="50">
        <v>250000</v>
      </c>
      <c r="N76" s="48" t="inlineStr">
        <is>
          <t xml:space="preserve">Personal</t>
        </is>
      </c>
      <c r="O76" s="46" t="inlineStr">
        <is>
          <t xml:space="preserve">Personal - regular use</t>
        </is>
      </c>
      <c r="P76" s="46" t="inlineStr">
        <is>
          <t xml:space="preserve">2,500 - 5,000</t>
        </is>
      </c>
      <c r="Q76" s="46" t="inlineStr">
        <is>
          <t xml:space="preserve">New York</t>
        </is>
      </c>
      <c r="R76" s="46" t="inlineStr">
        <is>
          <t xml:space="preserve">10022</t>
        </is>
      </c>
      <c r="S76" s="48" t="inlineStr">
        <is>
          <t xml:space="preserve">Tier 3 - Coastal wind (25-100 miles)</t>
        </is>
      </c>
      <c r="T76" s="36">
        <f>IF($A76="","",IF($S76="","",IFERROR(INDEX('[1]natural catastrophe'!$D$6:$D$17,MATCH($S76,'[1]natural catastrophe'!$B$6:$B$17,0)),"?")))</f>
      </c>
      <c r="U76" s="46" t="inlineStr">
        <is>
          <t xml:space="preserve">2% of agreed value, minimum $10,000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2205.46</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CANON-202607-007747</t>
        </is>
      </c>
      <c r="B77" s="30" t="inlineStr">
        <is>
          <t xml:space="preserve">Sunniva Rourke</t>
        </is>
      </c>
      <c r="C77" s="31">
        <v>46218</v>
      </c>
      <c r="D77" s="32" t="inlineStr">
        <is>
          <t xml:space="preserve">Bound - within authority</t>
        </is>
      </c>
      <c r="E77" s="32" t="inlineStr">
        <is>
          <t xml:space="preserve">New business</t>
        </is>
      </c>
      <c r="F77" s="30" t="inlineStr">
        <is>
          <t xml:space="preserve">B1234EXOTIC26</t>
        </is>
      </c>
      <c r="G77" s="33">
        <f>IF($A77="","",IF($C77="","",YEAR($C77)))</f>
      </c>
      <c r="H77" s="34">
        <v>1977</v>
      </c>
      <c r="I77" s="30" t="inlineStr">
        <is>
          <t xml:space="preserve">Ferrari</t>
        </is>
      </c>
      <c r="J77" s="30" t="inlineStr">
        <is>
          <t xml:space="preserve">275 GTB/4</t>
        </is>
      </c>
      <c r="K77" s="30" t="inlineStr">
        <is>
          <t xml:space="preserve">ZX30TW0CM7U3584C9</t>
        </is>
      </c>
      <c r="L77" s="32" t="inlineStr">
        <is>
          <t xml:space="preserve">08 - Modern Classic (1973-1999)</t>
        </is>
      </c>
      <c r="M77" s="35">
        <v>1520000</v>
      </c>
      <c r="N77" s="32" t="inlineStr">
        <is>
          <t xml:space="preserve">Personal</t>
        </is>
      </c>
      <c r="O77" s="30" t="inlineStr">
        <is>
          <t xml:space="preserve">Personal - regular use</t>
        </is>
      </c>
      <c r="P77" s="30" t="inlineStr">
        <is>
          <t xml:space="preserve">Under 1,000</t>
        </is>
      </c>
      <c r="Q77" s="30" t="inlineStr">
        <is>
          <t xml:space="preserve">Wisconsin</t>
        </is>
      </c>
      <c r="R77" s="30" t="inlineStr">
        <is>
          <t xml:space="preserve">53202</t>
        </is>
      </c>
      <c r="S77" s="32" t="inlineStr">
        <is>
          <t xml:space="preserve">Severe convective - hail / tornado (moderate)</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9952.16</v>
      </c>
      <c r="AC77" s="37">
        <v>0</v>
      </c>
      <c r="AD77" s="38">
        <f>IF(ISNUMBER($AB77),$AB77*(1+N($AC77)),"")</f>
      </c>
      <c r="AE77" s="35">
        <v>350</v>
      </c>
      <c r="AF77" s="35">
        <v>250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CANON-202607-007748</t>
        </is>
      </c>
      <c r="B78" s="46" t="inlineStr">
        <is>
          <t xml:space="preserve">Aurelio Bellandi</t>
        </is>
      </c>
      <c r="C78" s="47">
        <v>46229</v>
      </c>
      <c r="D78" s="48" t="inlineStr">
        <is>
          <t xml:space="preserve">Bound - within authority</t>
        </is>
      </c>
      <c r="E78" s="48" t="inlineStr">
        <is>
          <t xml:space="preserve">New business</t>
        </is>
      </c>
      <c r="F78" s="46" t="inlineStr">
        <is>
          <t xml:space="preserve">B1234EXOTIC26</t>
        </is>
      </c>
      <c r="G78" s="33">
        <f>IF($A78="","",IF($C78="","",YEAR($C78)))</f>
      </c>
      <c r="H78" s="49">
        <v>1972</v>
      </c>
      <c r="I78" s="46" t="inlineStr">
        <is>
          <t xml:space="preserve">Porsche</t>
        </is>
      </c>
      <c r="J78" s="46" t="inlineStr">
        <is>
          <t xml:space="preserve">911 Turbo S</t>
        </is>
      </c>
      <c r="K78" s="46" t="inlineStr">
        <is>
          <t xml:space="preserve">P1L8WKB3KBRWYUY8T</t>
        </is>
      </c>
      <c r="L78" s="48" t="inlineStr">
        <is>
          <t xml:space="preserve">02 - Sports / GT</t>
        </is>
      </c>
      <c r="M78" s="50">
        <v>885000</v>
      </c>
      <c r="N78" s="48" t="inlineStr">
        <is>
          <t xml:space="preserve">Personal</t>
        </is>
      </c>
      <c r="O78" s="46" t="inlineStr">
        <is>
          <t xml:space="preserve">Personal - regular use</t>
        </is>
      </c>
      <c r="P78" s="46" t="inlineStr">
        <is>
          <t xml:space="preserve">2,500 - 5,000</t>
        </is>
      </c>
      <c r="Q78" s="46" t="inlineStr">
        <is>
          <t xml:space="preserve">Pennsylvania</t>
        </is>
      </c>
      <c r="R78" s="46" t="inlineStr">
        <is>
          <t xml:space="preserve">19103</t>
        </is>
      </c>
      <c r="S78" s="48" t="inlineStr">
        <is>
          <t xml:space="preserve">Low hazard - inland benign</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8259.72</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CANON-202607-007750</t>
        </is>
      </c>
      <c r="B79" s="30" t="inlineStr">
        <is>
          <t xml:space="preserve">Priya Larsson</t>
        </is>
      </c>
      <c r="C79" s="31">
        <v>46234</v>
      </c>
      <c r="D79" s="32" t="inlineStr">
        <is>
          <t xml:space="preserve">Bound - within authority</t>
        </is>
      </c>
      <c r="E79" s="32" t="inlineStr">
        <is>
          <t xml:space="preserve">New business</t>
        </is>
      </c>
      <c r="F79" s="30" t="inlineStr">
        <is>
          <t xml:space="preserve">B1234EXOTIC26</t>
        </is>
      </c>
      <c r="G79" s="33">
        <f>IF($A79="","",IF($C79="","",YEAR($C79)))</f>
      </c>
      <c r="H79" s="34">
        <v>2021</v>
      </c>
      <c r="I79" s="30" t="inlineStr">
        <is>
          <t xml:space="preserve">Maserati</t>
        </is>
      </c>
      <c r="J79" s="30" t="inlineStr">
        <is>
          <t xml:space="preserve">GranTurismo</t>
        </is>
      </c>
      <c r="K79" s="30" t="inlineStr">
        <is>
          <t xml:space="preserve">0GLZ0EZBH24L3WPUW</t>
        </is>
      </c>
      <c r="L79" s="32" t="inlineStr">
        <is>
          <t xml:space="preserve">02 - Sports / GT</t>
        </is>
      </c>
      <c r="M79" s="35">
        <v>485000</v>
      </c>
      <c r="N79" s="32" t="inlineStr">
        <is>
          <t xml:space="preserve">Personal</t>
        </is>
      </c>
      <c r="O79" s="30" t="inlineStr">
        <is>
          <t xml:space="preserve">Personal - regular use</t>
        </is>
      </c>
      <c r="P79" s="30" t="inlineStr">
        <is>
          <t xml:space="preserve">2,500 - 5,000</t>
        </is>
      </c>
      <c r="Q79" s="30" t="inlineStr">
        <is>
          <t xml:space="preserve">Iowa</t>
        </is>
      </c>
      <c r="R79" s="30" t="inlineStr">
        <is>
          <t xml:space="preserve">50309</t>
        </is>
      </c>
      <c r="S79" s="32" t="inlineStr">
        <is>
          <t xml:space="preserve">Severe convective - hail alley (high)</t>
        </is>
      </c>
      <c r="T79" s="36">
        <f>IF($A79="","",IF($S79="","",IFERROR(INDEX('[1]natural catastrophe'!$D$6:$D$17,MATCH($S79,'[1]natural catastrophe'!$B$6:$B$17,0)),"?")))</f>
      </c>
      <c r="U79" s="30" t="inlineStr">
        <is>
          <t xml:space="preserve">$5,000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5745.19</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CANON-202607-007754</t>
        </is>
      </c>
      <c r="B80" s="46" t="inlineStr">
        <is>
          <t xml:space="preserve">Lorenzo Fairweather</t>
        </is>
      </c>
      <c r="C80" s="47">
        <v>46223</v>
      </c>
      <c r="D80" s="48" t="inlineStr">
        <is>
          <t xml:space="preserve">Bound - within authority</t>
        </is>
      </c>
      <c r="E80" s="48" t="inlineStr">
        <is>
          <t xml:space="preserve">New business</t>
        </is>
      </c>
      <c r="F80" s="46" t="inlineStr">
        <is>
          <t xml:space="preserve">B1234EXOTIC26</t>
        </is>
      </c>
      <c r="G80" s="33">
        <f>IF($A80="","",IF($C80="","",YEAR($C80)))</f>
      </c>
      <c r="H80" s="49">
        <v>1959</v>
      </c>
      <c r="I80" s="46" t="inlineStr">
        <is>
          <t xml:space="preserve">Aston Martin</t>
        </is>
      </c>
      <c r="J80" s="46" t="inlineStr">
        <is>
          <t xml:space="preserve">DB12</t>
        </is>
      </c>
      <c r="K80" s="46" t="inlineStr">
        <is>
          <t xml:space="preserve">J1ME9NDAE71RKEK13</t>
        </is>
      </c>
      <c r="L80" s="48" t="inlineStr">
        <is>
          <t xml:space="preserve">02 - Sports / GT</t>
        </is>
      </c>
      <c r="M80" s="50">
        <v>455000</v>
      </c>
      <c r="N80" s="48" t="inlineStr">
        <is>
          <t xml:space="preserve">Personal</t>
        </is>
      </c>
      <c r="O80" s="46" t="inlineStr">
        <is>
          <t xml:space="preserve">Personal - regular use</t>
        </is>
      </c>
      <c r="P80" s="46" t="inlineStr">
        <is>
          <t xml:space="preserve">Under 1,000</t>
        </is>
      </c>
      <c r="Q80" s="46" t="inlineStr">
        <is>
          <t xml:space="preserve">Hawaii</t>
        </is>
      </c>
      <c r="R80" s="46" t="inlineStr">
        <is>
          <t xml:space="preserve">96813</t>
        </is>
      </c>
      <c r="S80" s="48" t="inlineStr">
        <is>
          <t xml:space="preserve">Earthquake - high (CA, Cascadia, New Madrid)</t>
        </is>
      </c>
      <c r="T80" s="36">
        <f>IF($A80="","",IF($S80="","",IFERROR(INDEX('[1]natural catastrophe'!$D$6:$D$17,MATCH($S80,'[1]natural catastrophe'!$B$6:$B$17,0)),"?")))</f>
      </c>
      <c r="U80" s="46" t="inlineStr">
        <is>
          <t xml:space="preserve">$5,000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6369.78</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CANON-202607-007755</t>
        </is>
      </c>
      <c r="B81" s="30" t="inlineStr">
        <is>
          <t xml:space="preserve">Desmond Farkas</t>
        </is>
      </c>
      <c r="C81" s="31">
        <v>46234</v>
      </c>
      <c r="D81" s="32" t="inlineStr">
        <is>
          <t xml:space="preserve">Bound - within authority</t>
        </is>
      </c>
      <c r="E81" s="32" t="inlineStr">
        <is>
          <t xml:space="preserve">New business</t>
        </is>
      </c>
      <c r="F81" s="30" t="inlineStr">
        <is>
          <t xml:space="preserve">B1234EXOTIC26</t>
        </is>
      </c>
      <c r="G81" s="33">
        <f>IF($A81="","",IF($C81="","",YEAR($C81)))</f>
      </c>
      <c r="H81" s="34">
        <v>2001</v>
      </c>
      <c r="I81" s="30" t="inlineStr">
        <is>
          <t xml:space="preserve">Mercedes-Benz</t>
        </is>
      </c>
      <c r="J81" s="30" t="inlineStr">
        <is>
          <t xml:space="preserve">AMG GT</t>
        </is>
      </c>
      <c r="K81" s="30" t="inlineStr">
        <is>
          <t xml:space="preserve">9EXW3F7WHD35L2XH7</t>
        </is>
      </c>
      <c r="L81" s="32" t="inlineStr">
        <is>
          <t xml:space="preserve">02 - Sports / GT</t>
        </is>
      </c>
      <c r="M81" s="35">
        <v>615000</v>
      </c>
      <c r="N81" s="32" t="inlineStr">
        <is>
          <t xml:space="preserve">Personal</t>
        </is>
      </c>
      <c r="O81" s="30" t="inlineStr">
        <is>
          <t xml:space="preserve">Personal - regular use</t>
        </is>
      </c>
      <c r="P81" s="30" t="inlineStr">
        <is>
          <t xml:space="preserve">1,000 - 2,500</t>
        </is>
      </c>
      <c r="Q81" s="30" t="inlineStr">
        <is>
          <t xml:space="preserve">Georgia</t>
        </is>
      </c>
      <c r="R81" s="30" t="inlineStr">
        <is>
          <t xml:space="preserve">30303</t>
        </is>
      </c>
      <c r="S81" s="32" t="inlineStr">
        <is>
          <t xml:space="preserve">Tier 2 - Coastal wind (1-25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6428.59</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CANON-202607-007756</t>
        </is>
      </c>
      <c r="B82" s="46" t="inlineStr">
        <is>
          <t xml:space="preserve">Delphine Castellanos</t>
        </is>
      </c>
      <c r="C82" s="47">
        <v>46213</v>
      </c>
      <c r="D82" s="48" t="inlineStr">
        <is>
          <t xml:space="preserve">Bound - within authority</t>
        </is>
      </c>
      <c r="E82" s="48" t="inlineStr">
        <is>
          <t xml:space="preserve">New business</t>
        </is>
      </c>
      <c r="F82" s="46" t="inlineStr">
        <is>
          <t xml:space="preserve">B1234EXOTIC26</t>
        </is>
      </c>
      <c r="G82" s="33">
        <f>IF($A82="","",IF($C82="","",YEAR($C82)))</f>
      </c>
      <c r="H82" s="49">
        <v>1960</v>
      </c>
      <c r="I82" s="46" t="inlineStr">
        <is>
          <t xml:space="preserve">Lamborghini</t>
        </is>
      </c>
      <c r="J82" s="46" t="inlineStr">
        <is>
          <t xml:space="preserve">Huracan EVO</t>
        </is>
      </c>
      <c r="K82" s="46" t="inlineStr">
        <is>
          <t xml:space="preserve">XPF5HDNJ18G7THMF2</t>
        </is>
      </c>
      <c r="L82" s="48" t="inlineStr">
        <is>
          <t xml:space="preserve">03 - Supercar</t>
        </is>
      </c>
      <c r="M82" s="50">
        <v>245000</v>
      </c>
      <c r="N82" s="48" t="inlineStr">
        <is>
          <t xml:space="preserve">Personal</t>
        </is>
      </c>
      <c r="O82" s="46" t="inlineStr">
        <is>
          <t xml:space="preserve">Personal - regular use</t>
        </is>
      </c>
      <c r="P82" s="46" t="inlineStr">
        <is>
          <t xml:space="preserve">1,000 - 2,500</t>
        </is>
      </c>
      <c r="Q82" s="46" t="inlineStr">
        <is>
          <t xml:space="preserve">Utah</t>
        </is>
      </c>
      <c r="R82" s="46" t="inlineStr">
        <is>
          <t xml:space="preserve">84101</t>
        </is>
      </c>
      <c r="S82" s="48" t="inlineStr">
        <is>
          <t xml:space="preserve">Wildfire - WUI high hazard</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6743.68</v>
      </c>
      <c r="AC82" s="51">
        <v>0</v>
      </c>
      <c r="AD82" s="38">
        <f>IF(ISNUMBER($AB82),$AB82*(1+N($AC82)),"")</f>
      </c>
      <c r="AE82" s="50">
        <v>350</v>
      </c>
      <c r="AF82" s="50">
        <v>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CANON-202607-007758</t>
        </is>
      </c>
      <c r="B83" s="30" t="inlineStr">
        <is>
          <t xml:space="preserve">Fenwick Whitlock</t>
        </is>
      </c>
      <c r="C83" s="31">
        <v>46217</v>
      </c>
      <c r="D83" s="32" t="inlineStr">
        <is>
          <t xml:space="preserve">Bound - within authority</t>
        </is>
      </c>
      <c r="E83" s="32" t="inlineStr">
        <is>
          <t xml:space="preserve">New business</t>
        </is>
      </c>
      <c r="F83" s="30" t="inlineStr">
        <is>
          <t xml:space="preserve">B1234EXOTIC26</t>
        </is>
      </c>
      <c r="G83" s="33">
        <f>IF($A83="","",IF($C83="","",YEAR($C83)))</f>
      </c>
      <c r="H83" s="34">
        <v>2020</v>
      </c>
      <c r="I83" s="30" t="inlineStr">
        <is>
          <t xml:space="preserve">BMW</t>
        </is>
      </c>
      <c r="J83" s="30" t="inlineStr">
        <is>
          <t xml:space="preserve">M8 Competition</t>
        </is>
      </c>
      <c r="K83" s="30" t="inlineStr">
        <is>
          <t xml:space="preserve">M7NT5DGXFVKUBMUZS</t>
        </is>
      </c>
      <c r="L83" s="32" t="inlineStr">
        <is>
          <t xml:space="preserve">02 - Sports / GT</t>
        </is>
      </c>
      <c r="M83" s="35">
        <v>1340000</v>
      </c>
      <c r="N83" s="32" t="inlineStr">
        <is>
          <t xml:space="preserve">Personal</t>
        </is>
      </c>
      <c r="O83" s="30" t="inlineStr">
        <is>
          <t xml:space="preserve">Personal - regular use</t>
        </is>
      </c>
      <c r="P83" s="30" t="inlineStr">
        <is>
          <t xml:space="preserve">1,000 - 2,500</t>
        </is>
      </c>
      <c r="Q83" s="30" t="inlineStr">
        <is>
          <t xml:space="preserve">Illinois</t>
        </is>
      </c>
      <c r="R83" s="30" t="inlineStr">
        <is>
          <t xml:space="preserve">60601</t>
        </is>
      </c>
      <c r="S83" s="32" t="inlineStr">
        <is>
          <t xml:space="preserve">Severe convective - hail / tornado (moderate)</t>
        </is>
      </c>
      <c r="T83" s="36">
        <f>IF($A83="","",IF($S83="","",IFERROR(INDEX('[1]natural catastrophe'!$D$6:$D$17,MATCH($S83,'[1]natural catastrophe'!$B$6:$B$17,0)),"?")))</f>
      </c>
      <c r="U83" s="30" t="inlineStr">
        <is>
          <t xml:space="preserve">$5,000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14391.8</v>
      </c>
      <c r="AC83" s="37">
        <v>0</v>
      </c>
      <c r="AD83" s="38">
        <f>IF(ISNUMBER($AB83),$AB83*(1+N($AC83)),"")</f>
      </c>
      <c r="AE83" s="35">
        <v>350</v>
      </c>
      <c r="AF83" s="35">
        <v>250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CANON-202607-007759</t>
        </is>
      </c>
      <c r="B84" s="46" t="inlineStr">
        <is>
          <t xml:space="preserve">Sunniva Vandermeer</t>
        </is>
      </c>
      <c r="C84" s="47">
        <v>46214</v>
      </c>
      <c r="D84" s="48" t="inlineStr">
        <is>
          <t xml:space="preserve">Bound - within authority</t>
        </is>
      </c>
      <c r="E84" s="48" t="inlineStr">
        <is>
          <t xml:space="preserve">New business</t>
        </is>
      </c>
      <c r="F84" s="46" t="inlineStr">
        <is>
          <t xml:space="preserve">B1234EXOTIC26</t>
        </is>
      </c>
      <c r="G84" s="33">
        <f>IF($A84="","",IF($C84="","",YEAR($C84)))</f>
      </c>
      <c r="H84" s="49">
        <v>2017</v>
      </c>
      <c r="I84" s="46" t="inlineStr">
        <is>
          <t xml:space="preserve">Maserati</t>
        </is>
      </c>
      <c r="J84" s="46" t="inlineStr">
        <is>
          <t xml:space="preserve">GranTurismo</t>
        </is>
      </c>
      <c r="K84" s="46" t="inlineStr">
        <is>
          <t xml:space="preserve">UMKTM686CUY9Z02WM</t>
        </is>
      </c>
      <c r="L84" s="48" t="inlineStr">
        <is>
          <t xml:space="preserve">02 - Sports / GT</t>
        </is>
      </c>
      <c r="M84" s="50">
        <v>965000</v>
      </c>
      <c r="N84" s="48" t="inlineStr">
        <is>
          <t xml:space="preserve">Personal</t>
        </is>
      </c>
      <c r="O84" s="46" t="inlineStr">
        <is>
          <t xml:space="preserve">Personal - regular use</t>
        </is>
      </c>
      <c r="P84" s="46" t="inlineStr">
        <is>
          <t xml:space="preserve">Under 1,000</t>
        </is>
      </c>
      <c r="Q84" s="46" t="inlineStr">
        <is>
          <t xml:space="preserve">Nevada</t>
        </is>
      </c>
      <c r="R84" s="46" t="inlineStr">
        <is>
          <t xml:space="preserve">89101</t>
        </is>
      </c>
      <c r="S84" s="48" t="inlineStr">
        <is>
          <t xml:space="preserve">Wildfire - WUI high hazard</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10537.45</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CANON-202607-007762</t>
        </is>
      </c>
      <c r="B85" s="30" t="inlineStr">
        <is>
          <t xml:space="preserve">Thaddeus Underwood</t>
        </is>
      </c>
      <c r="C85" s="31">
        <v>46218</v>
      </c>
      <c r="D85" s="32" t="inlineStr">
        <is>
          <t xml:space="preserve">Bound - within authority</t>
        </is>
      </c>
      <c r="E85" s="32" t="inlineStr">
        <is>
          <t xml:space="preserve">New business</t>
        </is>
      </c>
      <c r="F85" s="30" t="inlineStr">
        <is>
          <t xml:space="preserve">B1234EXOTIC26</t>
        </is>
      </c>
      <c r="G85" s="33">
        <f>IF($A85="","",IF($C85="","",YEAR($C85)))</f>
      </c>
      <c r="H85" s="34">
        <v>2017</v>
      </c>
      <c r="I85" s="30" t="inlineStr">
        <is>
          <t xml:space="preserve">BMW</t>
        </is>
      </c>
      <c r="J85" s="30" t="inlineStr">
        <is>
          <t xml:space="preserve">M8 Competition</t>
        </is>
      </c>
      <c r="K85" s="30" t="inlineStr">
        <is>
          <t xml:space="preserve">ESVWUVJZNL0LF1D6E</t>
        </is>
      </c>
      <c r="L85" s="32" t="inlineStr">
        <is>
          <t xml:space="preserve">02 - Sports / GT</t>
        </is>
      </c>
      <c r="M85" s="35">
        <v>435000</v>
      </c>
      <c r="N85" s="32" t="inlineStr">
        <is>
          <t xml:space="preserve">Personal</t>
        </is>
      </c>
      <c r="O85" s="30" t="inlineStr">
        <is>
          <t xml:space="preserve">Personal - regular use</t>
        </is>
      </c>
      <c r="P85" s="30" t="inlineStr">
        <is>
          <t xml:space="preserve">1,000 - 2,500</t>
        </is>
      </c>
      <c r="Q85" s="30" t="inlineStr">
        <is>
          <t xml:space="preserve">New Jersey</t>
        </is>
      </c>
      <c r="R85" s="30" t="inlineStr">
        <is>
          <t xml:space="preserve">07102</t>
        </is>
      </c>
      <c r="S85" s="32" t="inlineStr">
        <is>
          <t xml:space="preserve">Tier 3 - Coastal wind (25-100 miles)</t>
        </is>
      </c>
      <c r="T85" s="36">
        <f>IF($A85="","",IF($S85="","",IFERROR(INDEX('[1]natural catastrophe'!$D$6:$D$17,MATCH($S85,'[1]natural catastrophe'!$B$6:$B$17,0)),"?")))</f>
      </c>
      <c r="U85" s="30" t="inlineStr">
        <is>
          <t xml:space="preserve">2% of agreed value, minimum $10,000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4262.86</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CANON-202607-007764</t>
        </is>
      </c>
      <c r="B86" s="46" t="inlineStr">
        <is>
          <t xml:space="preserve">Desmond Vasquez</t>
        </is>
      </c>
      <c r="C86" s="47">
        <v>46208</v>
      </c>
      <c r="D86" s="48" t="inlineStr">
        <is>
          <t xml:space="preserve">Bound - within authority</t>
        </is>
      </c>
      <c r="E86" s="48" t="inlineStr">
        <is>
          <t xml:space="preserve">New business</t>
        </is>
      </c>
      <c r="F86" s="46" t="inlineStr">
        <is>
          <t xml:space="preserve">B1234EXOTIC26</t>
        </is>
      </c>
      <c r="G86" s="33">
        <f>IF($A86="","",IF($C86="","",YEAR($C86)))</f>
      </c>
      <c r="H86" s="49">
        <v>1955</v>
      </c>
      <c r="I86" s="46" t="inlineStr">
        <is>
          <t xml:space="preserve">Mercedes-Benz</t>
        </is>
      </c>
      <c r="J86" s="46" t="inlineStr">
        <is>
          <t xml:space="preserve">280SL Pagoda</t>
        </is>
      </c>
      <c r="K86" s="46" t="inlineStr">
        <is>
          <t xml:space="preserve">HM6LS1D8FZ9HTMDW6</t>
        </is>
      </c>
      <c r="L86" s="48" t="inlineStr">
        <is>
          <t xml:space="preserve">07 - Post-War Classic (1946-1972)</t>
        </is>
      </c>
      <c r="M86" s="50">
        <v>560000</v>
      </c>
      <c r="N86" s="48" t="inlineStr">
        <is>
          <t xml:space="preserve">Personal</t>
        </is>
      </c>
      <c r="O86" s="46" t="inlineStr">
        <is>
          <t xml:space="preserve">Personal - regular use</t>
        </is>
      </c>
      <c r="P86" s="46" t="inlineStr">
        <is>
          <t xml:space="preserve">Under 1,000</t>
        </is>
      </c>
      <c r="Q86" s="46" t="inlineStr">
        <is>
          <t xml:space="preserve">New Jersey</t>
        </is>
      </c>
      <c r="R86" s="46" t="inlineStr">
        <is>
          <t xml:space="preserve">07102</t>
        </is>
      </c>
      <c r="S86" s="48" t="inlineStr">
        <is>
          <t xml:space="preserve">Tier 3 - Coastal wind (25-100 miles)</t>
        </is>
      </c>
      <c r="T86" s="36">
        <f>IF($A86="","",IF($S86="","",IFERROR(INDEX('[1]natural catastrophe'!$D$6:$D$17,MATCH($S86,'[1]natural catastrophe'!$B$6:$B$17,0)),"?")))</f>
      </c>
      <c r="U86" s="46" t="inlineStr">
        <is>
          <t xml:space="preserve">2% of agreed value, minimum $10,000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3146.35</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CANON-202607-007765</t>
        </is>
      </c>
      <c r="B87" s="30" t="inlineStr">
        <is>
          <t xml:space="preserve">Everett Ashcombe</t>
        </is>
      </c>
      <c r="C87" s="31">
        <v>46208</v>
      </c>
      <c r="D87" s="32" t="inlineStr">
        <is>
          <t xml:space="preserve">Bound - within authority</t>
        </is>
      </c>
      <c r="E87" s="32" t="inlineStr">
        <is>
          <t xml:space="preserve">New business</t>
        </is>
      </c>
      <c r="F87" s="30" t="inlineStr">
        <is>
          <t xml:space="preserve">B1234EXOTIC26</t>
        </is>
      </c>
      <c r="G87" s="33">
        <f>IF($A87="","",IF($C87="","",YEAR($C87)))</f>
      </c>
      <c r="H87" s="34">
        <v>2002</v>
      </c>
      <c r="I87" s="30" t="inlineStr">
        <is>
          <t xml:space="preserve">Lamborghini</t>
        </is>
      </c>
      <c r="J87" s="30" t="inlineStr">
        <is>
          <t xml:space="preserve">Huracan EVO</t>
        </is>
      </c>
      <c r="K87" s="30" t="inlineStr">
        <is>
          <t xml:space="preserve">P6Z9S5XWU7Y9J15KS</t>
        </is>
      </c>
      <c r="L87" s="32" t="inlineStr">
        <is>
          <t xml:space="preserve">03 - Supercar</t>
        </is>
      </c>
      <c r="M87" s="35">
        <v>1030000</v>
      </c>
      <c r="N87" s="32" t="inlineStr">
        <is>
          <t xml:space="preserve">Personal</t>
        </is>
      </c>
      <c r="O87" s="30" t="inlineStr">
        <is>
          <t xml:space="preserve">Personal - regular use</t>
        </is>
      </c>
      <c r="P87" s="30" t="inlineStr">
        <is>
          <t xml:space="preserve">Under 1,000</t>
        </is>
      </c>
      <c r="Q87" s="30" t="inlineStr">
        <is>
          <t xml:space="preserve">Alabama</t>
        </is>
      </c>
      <c r="R87" s="30" t="inlineStr">
        <is>
          <t xml:space="preserve">35203</t>
        </is>
      </c>
      <c r="S87" s="32" t="inlineStr">
        <is>
          <t xml:space="preserve">Tier 2 - Coastal wind (1-25 miles)</t>
        </is>
      </c>
      <c r="T87" s="36">
        <f>IF($A87="","",IF($S87="","",IFERROR(INDEX('[1]natural catastrophe'!$D$6:$D$17,MATCH($S87,'[1]natural catastrophe'!$B$6:$B$17,0)),"?")))</f>
      </c>
      <c r="U87" s="30" t="inlineStr">
        <is>
          <t xml:space="preserve">2% of agreed value, minimum $10,000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15025.88</v>
      </c>
      <c r="AC87" s="37">
        <v>0</v>
      </c>
      <c r="AD87" s="38">
        <f>IF(ISNUMBER($AB87),$AB87*(1+N($AC87)),"")</f>
      </c>
      <c r="AE87" s="35">
        <v>350</v>
      </c>
      <c r="AF87" s="35">
        <v>250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CANON-202607-007766</t>
        </is>
      </c>
      <c r="B88" s="46" t="inlineStr">
        <is>
          <t xml:space="preserve">Marisol Farkas</t>
        </is>
      </c>
      <c r="C88" s="47">
        <v>46223</v>
      </c>
      <c r="D88" s="48" t="inlineStr">
        <is>
          <t xml:space="preserve">Bound - within authority</t>
        </is>
      </c>
      <c r="E88" s="48" t="inlineStr">
        <is>
          <t xml:space="preserve">New business</t>
        </is>
      </c>
      <c r="F88" s="46" t="inlineStr">
        <is>
          <t xml:space="preserve">B1234EXOTIC26</t>
        </is>
      </c>
      <c r="G88" s="33">
        <f>IF($A88="","",IF($C88="","",YEAR($C88)))</f>
      </c>
      <c r="H88" s="49">
        <v>1995</v>
      </c>
      <c r="I88" s="46" t="inlineStr">
        <is>
          <t xml:space="preserve">Bentley</t>
        </is>
      </c>
      <c r="J88" s="46" t="inlineStr">
        <is>
          <t xml:space="preserve">Continental GT</t>
        </is>
      </c>
      <c r="K88" s="46" t="inlineStr">
        <is>
          <t xml:space="preserve">TEU63UEUT0LM0FGPM</t>
        </is>
      </c>
      <c r="L88" s="48" t="inlineStr">
        <is>
          <t xml:space="preserve">02 - Sports / GT</t>
        </is>
      </c>
      <c r="M88" s="50">
        <v>785000</v>
      </c>
      <c r="N88" s="48" t="inlineStr">
        <is>
          <t xml:space="preserve">Personal</t>
        </is>
      </c>
      <c r="O88" s="46" t="inlineStr">
        <is>
          <t xml:space="preserve">Personal - regular use</t>
        </is>
      </c>
      <c r="P88" s="46" t="inlineStr">
        <is>
          <t xml:space="preserve">Under 1,000</t>
        </is>
      </c>
      <c r="Q88" s="46" t="inlineStr">
        <is>
          <t xml:space="preserve">Montana</t>
        </is>
      </c>
      <c r="R88" s="46" t="inlineStr">
        <is>
          <t xml:space="preserve">59601</t>
        </is>
      </c>
      <c r="S88" s="48" t="inlineStr">
        <is>
          <t xml:space="preserve">Wildfire - WUI high hazard</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6813.57</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CANON-202607-007768</t>
        </is>
      </c>
      <c r="B89" s="30" t="inlineStr">
        <is>
          <t xml:space="preserve">Desmond Castellanos</t>
        </is>
      </c>
      <c r="C89" s="31">
        <v>46232</v>
      </c>
      <c r="D89" s="32" t="inlineStr">
        <is>
          <t xml:space="preserve">Bound - within authority</t>
        </is>
      </c>
      <c r="E89" s="32" t="inlineStr">
        <is>
          <t xml:space="preserve">New business</t>
        </is>
      </c>
      <c r="F89" s="30" t="inlineStr">
        <is>
          <t xml:space="preserve">B1234EXOTIC26</t>
        </is>
      </c>
      <c r="G89" s="33">
        <f>IF($A89="","",IF($C89="","",YEAR($C89)))</f>
      </c>
      <c r="H89" s="34">
        <v>2010</v>
      </c>
      <c r="I89" s="30" t="inlineStr">
        <is>
          <t xml:space="preserve">Mercedes-Benz</t>
        </is>
      </c>
      <c r="J89" s="30" t="inlineStr">
        <is>
          <t xml:space="preserve">AMG GT</t>
        </is>
      </c>
      <c r="K89" s="30" t="inlineStr">
        <is>
          <t xml:space="preserve">ECYAX8STG05MY9R1K</t>
        </is>
      </c>
      <c r="L89" s="32" t="inlineStr">
        <is>
          <t xml:space="preserve">02 - Sports / GT</t>
        </is>
      </c>
      <c r="M89" s="35">
        <v>175000</v>
      </c>
      <c r="N89" s="32" t="inlineStr">
        <is>
          <t xml:space="preserve">Personal</t>
        </is>
      </c>
      <c r="O89" s="30" t="inlineStr">
        <is>
          <t xml:space="preserve">Personal - regular use</t>
        </is>
      </c>
      <c r="P89" s="30" t="inlineStr">
        <is>
          <t xml:space="preserve">1,000 - 2,500</t>
        </is>
      </c>
      <c r="Q89" s="30" t="inlineStr">
        <is>
          <t xml:space="preserve">California</t>
        </is>
      </c>
      <c r="R89" s="30" t="inlineStr">
        <is>
          <t xml:space="preserve">90012</t>
        </is>
      </c>
      <c r="S89" s="32" t="inlineStr">
        <is>
          <t xml:space="preserve">Earthquake - high (CA, Cascadia, New Madrid)</t>
        </is>
      </c>
      <c r="T89" s="36">
        <f>IF($A89="","",IF($S89="","",IFERROR(INDEX('[1]natural catastrophe'!$D$6:$D$17,MATCH($S89,'[1]natural catastrophe'!$B$6:$B$17,0)),"?")))</f>
      </c>
      <c r="U89" s="30" t="inlineStr">
        <is>
          <t xml:space="preserve">$5,000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3120.82</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CANON-202607-007769</t>
        </is>
      </c>
      <c r="B90" s="46" t="inlineStr">
        <is>
          <t xml:space="preserve">Thaddeus Ashcombe</t>
        </is>
      </c>
      <c r="C90" s="47">
        <v>46216</v>
      </c>
      <c r="D90" s="48" t="inlineStr">
        <is>
          <t xml:space="preserve">Bound - within authority</t>
        </is>
      </c>
      <c r="E90" s="48" t="inlineStr">
        <is>
          <t xml:space="preserve">New business</t>
        </is>
      </c>
      <c r="F90" s="46" t="inlineStr">
        <is>
          <t xml:space="preserve">B1234EXOTIC26</t>
        </is>
      </c>
      <c r="G90" s="33">
        <f>IF($A90="","",IF($C90="","",YEAR($C90)))</f>
      </c>
      <c r="H90" s="49">
        <v>1964</v>
      </c>
      <c r="I90" s="46" t="inlineStr">
        <is>
          <t xml:space="preserve">BMW</t>
        </is>
      </c>
      <c r="J90" s="46" t="inlineStr">
        <is>
          <t xml:space="preserve">M8 Competition</t>
        </is>
      </c>
      <c r="K90" s="46" t="inlineStr">
        <is>
          <t xml:space="preserve">X3TF2LXGKCJ2MFA8F</t>
        </is>
      </c>
      <c r="L90" s="48" t="inlineStr">
        <is>
          <t xml:space="preserve">02 - Sports / GT</t>
        </is>
      </c>
      <c r="M90" s="50">
        <v>575000</v>
      </c>
      <c r="N90" s="48" t="inlineStr">
        <is>
          <t xml:space="preserve">Personal</t>
        </is>
      </c>
      <c r="O90" s="46" t="inlineStr">
        <is>
          <t xml:space="preserve">Personal - regular use</t>
        </is>
      </c>
      <c r="P90" s="46" t="inlineStr">
        <is>
          <t xml:space="preserve">Under 1,000</t>
        </is>
      </c>
      <c r="Q90" s="46" t="inlineStr">
        <is>
          <t xml:space="preserve">North Carolina</t>
        </is>
      </c>
      <c r="R90" s="46" t="inlineStr">
        <is>
          <t xml:space="preserve">28202</t>
        </is>
      </c>
      <c r="S90" s="48" t="inlineStr">
        <is>
          <t xml:space="preserve">Tier 2 - Coastal wind (1-25 miles)</t>
        </is>
      </c>
      <c r="T90" s="36">
        <f>IF($A90="","",IF($S90="","",IFERROR(INDEX('[1]natural catastrophe'!$D$6:$D$17,MATCH($S90,'[1]natural catastrophe'!$B$6:$B$17,0)),"?")))</f>
      </c>
      <c r="U90" s="46" t="inlineStr">
        <is>
          <t xml:space="preserve">2% of agreed value, minimum $10,000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6171.46</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CANON-202607-007770</t>
        </is>
      </c>
      <c r="B91" s="30" t="inlineStr">
        <is>
          <t xml:space="preserve">Marisol Merriweather</t>
        </is>
      </c>
      <c r="C91" s="31">
        <v>46205</v>
      </c>
      <c r="D91" s="32" t="inlineStr">
        <is>
          <t xml:space="preserve">Bound - within authority</t>
        </is>
      </c>
      <c r="E91" s="32" t="inlineStr">
        <is>
          <t xml:space="preserve">New business</t>
        </is>
      </c>
      <c r="F91" s="30" t="inlineStr">
        <is>
          <t xml:space="preserve">B1234EXOTIC26</t>
        </is>
      </c>
      <c r="G91" s="33">
        <f>IF($A91="","",IF($C91="","",YEAR($C91)))</f>
      </c>
      <c r="H91" s="34">
        <v>2013</v>
      </c>
      <c r="I91" s="30" t="inlineStr">
        <is>
          <t xml:space="preserve">BMW</t>
        </is>
      </c>
      <c r="J91" s="30" t="inlineStr">
        <is>
          <t xml:space="preserve">M8 Competition</t>
        </is>
      </c>
      <c r="K91" s="30" t="inlineStr">
        <is>
          <t xml:space="preserve">18YT11T7AALRNL5NX</t>
        </is>
      </c>
      <c r="L91" s="32" t="inlineStr">
        <is>
          <t xml:space="preserve">02 - Sports / GT</t>
        </is>
      </c>
      <c r="M91" s="35">
        <v>680000</v>
      </c>
      <c r="N91" s="32" t="inlineStr">
        <is>
          <t xml:space="preserve">Personal</t>
        </is>
      </c>
      <c r="O91" s="30" t="inlineStr">
        <is>
          <t xml:space="preserve">Personal - regular use</t>
        </is>
      </c>
      <c r="P91" s="30" t="inlineStr">
        <is>
          <t xml:space="preserve">Under 1,000</t>
        </is>
      </c>
      <c r="Q91" s="30" t="inlineStr">
        <is>
          <t xml:space="preserve">Alabama</t>
        </is>
      </c>
      <c r="R91" s="30" t="inlineStr">
        <is>
          <t xml:space="preserve">35203</t>
        </is>
      </c>
      <c r="S91" s="32" t="inlineStr">
        <is>
          <t xml:space="preserve">Tier 2 - Coastal wind (1-25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8059.99</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CANON-202607-007771</t>
        </is>
      </c>
      <c r="B92" s="46" t="inlineStr">
        <is>
          <t xml:space="preserve">Callum Nakashima</t>
        </is>
      </c>
      <c r="C92" s="47">
        <v>46217</v>
      </c>
      <c r="D92" s="48" t="inlineStr">
        <is>
          <t xml:space="preserve">Bound - within authority</t>
        </is>
      </c>
      <c r="E92" s="48" t="inlineStr">
        <is>
          <t xml:space="preserve">New business</t>
        </is>
      </c>
      <c r="F92" s="46" t="inlineStr">
        <is>
          <t xml:space="preserve">B1234EXOTIC26</t>
        </is>
      </c>
      <c r="G92" s="33">
        <f>IF($A92="","",IF($C92="","",YEAR($C92)))</f>
      </c>
      <c r="H92" s="49">
        <v>2017</v>
      </c>
      <c r="I92" s="46" t="inlineStr">
        <is>
          <t xml:space="preserve">McLaren</t>
        </is>
      </c>
      <c r="J92" s="46" t="inlineStr">
        <is>
          <t xml:space="preserve">750S</t>
        </is>
      </c>
      <c r="K92" s="46" t="inlineStr">
        <is>
          <t xml:space="preserve">YXT735RZ8G31EKXPF</t>
        </is>
      </c>
      <c r="L92" s="48" t="inlineStr">
        <is>
          <t xml:space="preserve">03 - Supercar</t>
        </is>
      </c>
      <c r="M92" s="50">
        <v>705000</v>
      </c>
      <c r="N92" s="48" t="inlineStr">
        <is>
          <t xml:space="preserve">Personal</t>
        </is>
      </c>
      <c r="O92" s="46" t="inlineStr">
        <is>
          <t xml:space="preserve">Personal - regular use</t>
        </is>
      </c>
      <c r="P92" s="46" t="inlineStr">
        <is>
          <t xml:space="preserve">1,000 - 2,500</t>
        </is>
      </c>
      <c r="Q92" s="46" t="inlineStr">
        <is>
          <t xml:space="preserve">Delaware</t>
        </is>
      </c>
      <c r="R92" s="46" t="inlineStr">
        <is>
          <t xml:space="preserve">19801</t>
        </is>
      </c>
      <c r="S92" s="48" t="inlineStr">
        <is>
          <t xml:space="preserve">Tier 3 - Coastal wind (25-100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12020.75</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CANON-202607-007772</t>
        </is>
      </c>
      <c r="B93" s="30" t="inlineStr">
        <is>
          <t xml:space="preserve">Ingrid Castellanos</t>
        </is>
      </c>
      <c r="C93" s="31">
        <v>46223</v>
      </c>
      <c r="D93" s="32" t="inlineStr">
        <is>
          <t xml:space="preserve">Bound - within authority</t>
        </is>
      </c>
      <c r="E93" s="32" t="inlineStr">
        <is>
          <t xml:space="preserve">New business</t>
        </is>
      </c>
      <c r="F93" s="30" t="inlineStr">
        <is>
          <t xml:space="preserve">B1234EXOTIC26</t>
        </is>
      </c>
      <c r="G93" s="33">
        <f>IF($A93="","",IF($C93="","",YEAR($C93)))</f>
      </c>
      <c r="H93" s="34">
        <v>2017</v>
      </c>
      <c r="I93" s="30" t="inlineStr">
        <is>
          <t xml:space="preserve">Ferrari</t>
        </is>
      </c>
      <c r="J93" s="30" t="inlineStr">
        <is>
          <t xml:space="preserve">296 GTB</t>
        </is>
      </c>
      <c r="K93" s="30" t="inlineStr">
        <is>
          <t xml:space="preserve">54H0948J43L0H8PXJ</t>
        </is>
      </c>
      <c r="L93" s="32" t="inlineStr">
        <is>
          <t xml:space="preserve">03 - Supercar</t>
        </is>
      </c>
      <c r="M93" s="35">
        <v>1405000</v>
      </c>
      <c r="N93" s="32" t="inlineStr">
        <is>
          <t xml:space="preserve">Personal</t>
        </is>
      </c>
      <c r="O93" s="30" t="inlineStr">
        <is>
          <t xml:space="preserve">Personal - regular use</t>
        </is>
      </c>
      <c r="P93" s="30" t="inlineStr">
        <is>
          <t xml:space="preserve">1,000 - 2,500</t>
        </is>
      </c>
      <c r="Q93" s="30" t="inlineStr">
        <is>
          <t xml:space="preserve">Pennsylvania</t>
        </is>
      </c>
      <c r="R93" s="30" t="inlineStr">
        <is>
          <t xml:space="preserve">19103</t>
        </is>
      </c>
      <c r="S93" s="32" t="inlineStr">
        <is>
          <t xml:space="preserve">Low hazard - inland benign</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16138.95</v>
      </c>
      <c r="AC93" s="37">
        <v>0</v>
      </c>
      <c r="AD93" s="38">
        <f>IF(ISNUMBER($AB93),$AB93*(1+N($AC93)),"")</f>
      </c>
      <c r="AE93" s="35">
        <v>350</v>
      </c>
      <c r="AF93" s="35">
        <v>250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CANON-202607-007773</t>
        </is>
      </c>
      <c r="B94" s="46" t="inlineStr">
        <is>
          <t xml:space="preserve">Beatrix Blackwood</t>
        </is>
      </c>
      <c r="C94" s="47">
        <v>46213</v>
      </c>
      <c r="D94" s="48" t="inlineStr">
        <is>
          <t xml:space="preserve">Bound - within authority</t>
        </is>
      </c>
      <c r="E94" s="48" t="inlineStr">
        <is>
          <t xml:space="preserve">New business</t>
        </is>
      </c>
      <c r="F94" s="46" t="inlineStr">
        <is>
          <t xml:space="preserve">B1234EXOTIC26</t>
        </is>
      </c>
      <c r="G94" s="33">
        <f>IF($A94="","",IF($C94="","",YEAR($C94)))</f>
      </c>
      <c r="H94" s="49">
        <v>2024</v>
      </c>
      <c r="I94" s="46" t="inlineStr">
        <is>
          <t xml:space="preserve">Porsche</t>
        </is>
      </c>
      <c r="J94" s="46" t="inlineStr">
        <is>
          <t xml:space="preserve">911 Turbo S</t>
        </is>
      </c>
      <c r="K94" s="46" t="inlineStr">
        <is>
          <t xml:space="preserve">RJN48ZLBPNMUTXK7C</t>
        </is>
      </c>
      <c r="L94" s="48" t="inlineStr">
        <is>
          <t xml:space="preserve">02 - Sports / GT</t>
        </is>
      </c>
      <c r="M94" s="50">
        <v>375000</v>
      </c>
      <c r="N94" s="48" t="inlineStr">
        <is>
          <t xml:space="preserve">Personal</t>
        </is>
      </c>
      <c r="O94" s="46" t="inlineStr">
        <is>
          <t xml:space="preserve">Personal - regular use</t>
        </is>
      </c>
      <c r="P94" s="46" t="inlineStr">
        <is>
          <t xml:space="preserve">2,500 - 5,000</t>
        </is>
      </c>
      <c r="Q94" s="46" t="inlineStr">
        <is>
          <t xml:space="preserve">Oregon</t>
        </is>
      </c>
      <c r="R94" s="46" t="inlineStr">
        <is>
          <t xml:space="preserve">97204</t>
        </is>
      </c>
      <c r="S94" s="48" t="inlineStr">
        <is>
          <t xml:space="preserve">Earthquake - high (CA, Cascadia, New Madrid)</t>
        </is>
      </c>
      <c r="T94" s="36">
        <f>IF($A94="","",IF($S94="","",IFERROR(INDEX('[1]natural catastrophe'!$D$6:$D$17,MATCH($S94,'[1]natural catastrophe'!$B$6:$B$17,0)),"?")))</f>
      </c>
      <c r="U94" s="46" t="inlineStr">
        <is>
          <t xml:space="preserve">$5,000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4563.31</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CANON-202607-007774</t>
        </is>
      </c>
      <c r="B95" s="30" t="inlineStr">
        <is>
          <t xml:space="preserve">Ingrid Kingsford</t>
        </is>
      </c>
      <c r="C95" s="31">
        <v>46231</v>
      </c>
      <c r="D95" s="32" t="inlineStr">
        <is>
          <t xml:space="preserve">Bound - within authority</t>
        </is>
      </c>
      <c r="E95" s="32" t="inlineStr">
        <is>
          <t xml:space="preserve">New business</t>
        </is>
      </c>
      <c r="F95" s="30" t="inlineStr">
        <is>
          <t xml:space="preserve">B1234EXOTIC26</t>
        </is>
      </c>
      <c r="G95" s="33">
        <f>IF($A95="","",IF($C95="","",YEAR($C95)))</f>
      </c>
      <c r="H95" s="34">
        <v>1965</v>
      </c>
      <c r="I95" s="30" t="inlineStr">
        <is>
          <t xml:space="preserve">Maserati</t>
        </is>
      </c>
      <c r="J95" s="30" t="inlineStr">
        <is>
          <t xml:space="preserve">GranTurismo</t>
        </is>
      </c>
      <c r="K95" s="30" t="inlineStr">
        <is>
          <t xml:space="preserve">MVTSEAAFZJ7K37SFP</t>
        </is>
      </c>
      <c r="L95" s="32" t="inlineStr">
        <is>
          <t xml:space="preserve">02 - Sports / GT</t>
        </is>
      </c>
      <c r="M95" s="35">
        <v>785000</v>
      </c>
      <c r="N95" s="32" t="inlineStr">
        <is>
          <t xml:space="preserve">Personal</t>
        </is>
      </c>
      <c r="O95" s="30" t="inlineStr">
        <is>
          <t xml:space="preserve">Personal - regular use</t>
        </is>
      </c>
      <c r="P95" s="30" t="inlineStr">
        <is>
          <t xml:space="preserve">2,500 - 5,000</t>
        </is>
      </c>
      <c r="Q95" s="30" t="inlineStr">
        <is>
          <t xml:space="preserve">Nevada</t>
        </is>
      </c>
      <c r="R95" s="30" t="inlineStr">
        <is>
          <t xml:space="preserve">89101</t>
        </is>
      </c>
      <c r="S95" s="32" t="inlineStr">
        <is>
          <t xml:space="preserve">Wildfire - WUI high hazard</t>
        </is>
      </c>
      <c r="T95" s="36">
        <f>IF($A95="","",IF($S95="","",IFERROR(INDEX('[1]natural catastrophe'!$D$6:$D$17,MATCH($S95,'[1]natural catastrophe'!$B$6:$B$17,0)),"?")))</f>
      </c>
      <c r="U95" s="30" t="inlineStr">
        <is>
          <t xml:space="preserve">$5,000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8571.91</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CANON-202607-007775</t>
        </is>
      </c>
      <c r="B96" s="46" t="inlineStr">
        <is>
          <t xml:space="preserve">Fitzgerald Kingsford</t>
        </is>
      </c>
      <c r="C96" s="47">
        <v>46214</v>
      </c>
      <c r="D96" s="48" t="inlineStr">
        <is>
          <t xml:space="preserve">Bound - within authority</t>
        </is>
      </c>
      <c r="E96" s="48" t="inlineStr">
        <is>
          <t xml:space="preserve">New business</t>
        </is>
      </c>
      <c r="F96" s="46" t="inlineStr">
        <is>
          <t xml:space="preserve">B1234EXOTIC26</t>
        </is>
      </c>
      <c r="G96" s="33">
        <f>IF($A96="","",IF($C96="","",YEAR($C96)))</f>
      </c>
      <c r="H96" s="49">
        <v>1959</v>
      </c>
      <c r="I96" s="46" t="inlineStr">
        <is>
          <t xml:space="preserve">Bentley</t>
        </is>
      </c>
      <c r="J96" s="46" t="inlineStr">
        <is>
          <t xml:space="preserve">Continental GT</t>
        </is>
      </c>
      <c r="K96" s="46" t="inlineStr">
        <is>
          <t xml:space="preserve">ZKZHKET26W01V8RLZ</t>
        </is>
      </c>
      <c r="L96" s="48" t="inlineStr">
        <is>
          <t xml:space="preserve">02 - Sports / GT</t>
        </is>
      </c>
      <c r="M96" s="50">
        <v>990000</v>
      </c>
      <c r="N96" s="48" t="inlineStr">
        <is>
          <t xml:space="preserve">Personal</t>
        </is>
      </c>
      <c r="O96" s="46" t="inlineStr">
        <is>
          <t xml:space="preserve">Personal - regular use</t>
        </is>
      </c>
      <c r="P96" s="46" t="inlineStr">
        <is>
          <t xml:space="preserve">2,500 - 5,000</t>
        </is>
      </c>
      <c r="Q96" s="46" t="inlineStr">
        <is>
          <t xml:space="preserve">Georgia</t>
        </is>
      </c>
      <c r="R96" s="46" t="inlineStr">
        <is>
          <t xml:space="preserve">30303</t>
        </is>
      </c>
      <c r="S96" s="48" t="inlineStr">
        <is>
          <t xml:space="preserve">Tier 2 - Coastal wind (1-25 miles)</t>
        </is>
      </c>
      <c r="T96" s="36">
        <f>IF($A96="","",IF($S96="","",IFERROR(INDEX('[1]natural catastrophe'!$D$6:$D$17,MATCH($S96,'[1]natural catastrophe'!$B$6:$B$17,0)),"?")))</f>
      </c>
      <c r="U96" s="46" t="inlineStr">
        <is>
          <t xml:space="preserve">2% of agreed value, minimum $10,000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10348.45</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CANON-202607-007776</t>
        </is>
      </c>
      <c r="B97" s="30" t="inlineStr">
        <is>
          <t xml:space="preserve">Thaddeus Delacroix</t>
        </is>
      </c>
      <c r="C97" s="31">
        <v>46225</v>
      </c>
      <c r="D97" s="32" t="inlineStr">
        <is>
          <t xml:space="preserve">Bound - within authority</t>
        </is>
      </c>
      <c r="E97" s="32" t="inlineStr">
        <is>
          <t xml:space="preserve">New business</t>
        </is>
      </c>
      <c r="F97" s="30" t="inlineStr">
        <is>
          <t xml:space="preserve">B1234EXOTIC26</t>
        </is>
      </c>
      <c r="G97" s="33">
        <f>IF($A97="","",IF($C97="","",YEAR($C97)))</f>
      </c>
      <c r="H97" s="34">
        <v>1972</v>
      </c>
      <c r="I97" s="30" t="inlineStr">
        <is>
          <t xml:space="preserve">Porsche</t>
        </is>
      </c>
      <c r="J97" s="30" t="inlineStr">
        <is>
          <t xml:space="preserve">911 Turbo S</t>
        </is>
      </c>
      <c r="K97" s="30" t="inlineStr">
        <is>
          <t xml:space="preserve">YENNHY9UV41YZ4CFM</t>
        </is>
      </c>
      <c r="L97" s="32" t="inlineStr">
        <is>
          <t xml:space="preserve">02 - Sports / GT</t>
        </is>
      </c>
      <c r="M97" s="35">
        <v>815000</v>
      </c>
      <c r="N97" s="32" t="inlineStr">
        <is>
          <t xml:space="preserve">Personal</t>
        </is>
      </c>
      <c r="O97" s="30" t="inlineStr">
        <is>
          <t xml:space="preserve">Personal - regular use</t>
        </is>
      </c>
      <c r="P97" s="30" t="inlineStr">
        <is>
          <t xml:space="preserve">2,500 - 5,000</t>
        </is>
      </c>
      <c r="Q97" s="30" t="inlineStr">
        <is>
          <t xml:space="preserve">Colorado</t>
        </is>
      </c>
      <c r="R97" s="30" t="inlineStr">
        <is>
          <t xml:space="preserve">80202</t>
        </is>
      </c>
      <c r="S97" s="32" t="inlineStr">
        <is>
          <t xml:space="preserve">Severe convective - hail alley (high)</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8367.05</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CANON-202607-007779</t>
        </is>
      </c>
      <c r="B98" s="46" t="inlineStr">
        <is>
          <t xml:space="preserve">Wilhelmina Delacroix</t>
        </is>
      </c>
      <c r="C98" s="47">
        <v>46205</v>
      </c>
      <c r="D98" s="48" t="inlineStr">
        <is>
          <t xml:space="preserve">Bound - within authority</t>
        </is>
      </c>
      <c r="E98" s="48" t="inlineStr">
        <is>
          <t xml:space="preserve">New business</t>
        </is>
      </c>
      <c r="F98" s="46" t="inlineStr">
        <is>
          <t xml:space="preserve">B1234EXOTIC26</t>
        </is>
      </c>
      <c r="G98" s="33">
        <f>IF($A98="","",IF($C98="","",YEAR($C98)))</f>
      </c>
      <c r="H98" s="49">
        <v>1969</v>
      </c>
      <c r="I98" s="46" t="inlineStr">
        <is>
          <t xml:space="preserve">Porsche</t>
        </is>
      </c>
      <c r="J98" s="46" t="inlineStr">
        <is>
          <t xml:space="preserve">911 Turbo S</t>
        </is>
      </c>
      <c r="K98" s="46" t="inlineStr">
        <is>
          <t xml:space="preserve">5YFE5K8XPSDMP8W0H</t>
        </is>
      </c>
      <c r="L98" s="48" t="inlineStr">
        <is>
          <t xml:space="preserve">02 - Sports / GT</t>
        </is>
      </c>
      <c r="M98" s="50">
        <v>765000</v>
      </c>
      <c r="N98" s="48" t="inlineStr">
        <is>
          <t xml:space="preserve">Personal</t>
        </is>
      </c>
      <c r="O98" s="46" t="inlineStr">
        <is>
          <t xml:space="preserve">Personal - regular use</t>
        </is>
      </c>
      <c r="P98" s="46" t="inlineStr">
        <is>
          <t xml:space="preserve">1,000 - 2,500</t>
        </is>
      </c>
      <c r="Q98" s="46" t="inlineStr">
        <is>
          <t xml:space="preserve">Texas</t>
        </is>
      </c>
      <c r="R98" s="46" t="inlineStr">
        <is>
          <t xml:space="preserve">75201</t>
        </is>
      </c>
      <c r="S98" s="48" t="inlineStr">
        <is>
          <t xml:space="preserve">Tier 2 - Coastal wind (1-25 miles)</t>
        </is>
      </c>
      <c r="T98" s="36">
        <f>IF($A98="","",IF($S98="","",IFERROR(INDEX('[1]natural catastrophe'!$D$6:$D$17,MATCH($S98,'[1]natural catastrophe'!$B$6:$B$17,0)),"?")))</f>
      </c>
      <c r="U98" s="46" t="inlineStr">
        <is>
          <t xml:space="preserve">2% of agreed value, minimum $10,000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8210.73</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CANON-202607-007781</t>
        </is>
      </c>
      <c r="B99" s="30" t="inlineStr">
        <is>
          <t xml:space="preserve">Ottilie Ashcombe</t>
        </is>
      </c>
      <c r="C99" s="31">
        <v>46233</v>
      </c>
      <c r="D99" s="32" t="inlineStr">
        <is>
          <t xml:space="preserve">Bound - within authority</t>
        </is>
      </c>
      <c r="E99" s="32" t="inlineStr">
        <is>
          <t xml:space="preserve">New business</t>
        </is>
      </c>
      <c r="F99" s="30" t="inlineStr">
        <is>
          <t xml:space="preserve">B1234EXOTIC26</t>
        </is>
      </c>
      <c r="G99" s="33">
        <f>IF($A99="","",IF($C99="","",YEAR($C99)))</f>
      </c>
      <c r="H99" s="34">
        <v>2005</v>
      </c>
      <c r="I99" s="30" t="inlineStr">
        <is>
          <t xml:space="preserve">Bentley</t>
        </is>
      </c>
      <c r="J99" s="30" t="inlineStr">
        <is>
          <t xml:space="preserve">Continental GT</t>
        </is>
      </c>
      <c r="K99" s="30" t="inlineStr">
        <is>
          <t xml:space="preserve">XB7YZ8JVXXLV11YZ6</t>
        </is>
      </c>
      <c r="L99" s="32" t="inlineStr">
        <is>
          <t xml:space="preserve">02 - Sports / GT</t>
        </is>
      </c>
      <c r="M99" s="35">
        <v>475000</v>
      </c>
      <c r="N99" s="32" t="inlineStr">
        <is>
          <t xml:space="preserve">Personal</t>
        </is>
      </c>
      <c r="O99" s="30" t="inlineStr">
        <is>
          <t xml:space="preserve">Personal - regular use</t>
        </is>
      </c>
      <c r="P99" s="30" t="inlineStr">
        <is>
          <t xml:space="preserve">Under 1,000</t>
        </is>
      </c>
      <c r="Q99" s="30" t="inlineStr">
        <is>
          <t xml:space="preserve">Michigan</t>
        </is>
      </c>
      <c r="R99" s="30" t="inlineStr">
        <is>
          <t xml:space="preserve">48226</t>
        </is>
      </c>
      <c r="S99" s="32" t="inlineStr">
        <is>
          <t xml:space="preserve">Severe convective - hail / tornado (moderate)</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7928.58</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CANON-202607-007782</t>
        </is>
      </c>
      <c r="B100" s="46" t="inlineStr">
        <is>
          <t xml:space="preserve">Emiliano Kingsford</t>
        </is>
      </c>
      <c r="C100" s="47">
        <v>46214</v>
      </c>
      <c r="D100" s="48" t="inlineStr">
        <is>
          <t xml:space="preserve">Bound - within authority</t>
        </is>
      </c>
      <c r="E100" s="48" t="inlineStr">
        <is>
          <t xml:space="preserve">New business</t>
        </is>
      </c>
      <c r="F100" s="46" t="inlineStr">
        <is>
          <t xml:space="preserve">B1234EXOTIC26</t>
        </is>
      </c>
      <c r="G100" s="33">
        <f>IF($A100="","",IF($C100="","",YEAR($C100)))</f>
      </c>
      <c r="H100" s="49">
        <v>1970</v>
      </c>
      <c r="I100" s="46" t="inlineStr">
        <is>
          <t xml:space="preserve">Ferrari</t>
        </is>
      </c>
      <c r="J100" s="46" t="inlineStr">
        <is>
          <t xml:space="preserve">SF90 Stradale</t>
        </is>
      </c>
      <c r="K100" s="46" t="inlineStr">
        <is>
          <t xml:space="preserve">USAW3KYS9ZXAEE67G</t>
        </is>
      </c>
      <c r="L100" s="48" t="inlineStr">
        <is>
          <t xml:space="preserve">03 - Supercar</t>
        </is>
      </c>
      <c r="M100" s="50">
        <v>600000</v>
      </c>
      <c r="N100" s="48" t="inlineStr">
        <is>
          <t xml:space="preserve">Personal</t>
        </is>
      </c>
      <c r="O100" s="46" t="inlineStr">
        <is>
          <t xml:space="preserve">Personal - regular use</t>
        </is>
      </c>
      <c r="P100" s="46" t="inlineStr">
        <is>
          <t xml:space="preserve">1,000 - 2,500</t>
        </is>
      </c>
      <c r="Q100" s="46" t="inlineStr">
        <is>
          <t xml:space="preserve">Colorado</t>
        </is>
      </c>
      <c r="R100" s="46" t="inlineStr">
        <is>
          <t xml:space="preserve">80202</t>
        </is>
      </c>
      <c r="S100" s="48" t="inlineStr">
        <is>
          <t xml:space="preserve">Severe convective - hail alley (high)</t>
        </is>
      </c>
      <c r="T100" s="36">
        <f>IF($A100="","",IF($S100="","",IFERROR(INDEX('[1]natural catastrophe'!$D$6:$D$17,MATCH($S100,'[1]natural catastrophe'!$B$6:$B$17,0)),"?")))</f>
      </c>
      <c r="U100" s="46" t="inlineStr">
        <is>
          <t xml:space="preserve">$5,000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9002.77</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CANON-202607-007783</t>
        </is>
      </c>
      <c r="B101" s="30" t="inlineStr">
        <is>
          <t xml:space="preserve">Cassius Rourke</t>
        </is>
      </c>
      <c r="C101" s="31">
        <v>46206</v>
      </c>
      <c r="D101" s="32" t="inlineStr">
        <is>
          <t xml:space="preserve">Bound - within authority</t>
        </is>
      </c>
      <c r="E101" s="32" t="inlineStr">
        <is>
          <t xml:space="preserve">New business</t>
        </is>
      </c>
      <c r="F101" s="30" t="inlineStr">
        <is>
          <t xml:space="preserve">B1234EXOTIC26</t>
        </is>
      </c>
      <c r="G101" s="33">
        <f>IF($A101="","",IF($C101="","",YEAR($C101)))</f>
      </c>
      <c r="H101" s="34">
        <v>1982</v>
      </c>
      <c r="I101" s="30" t="inlineStr">
        <is>
          <t xml:space="preserve">Maserati</t>
        </is>
      </c>
      <c r="J101" s="30" t="inlineStr">
        <is>
          <t xml:space="preserve">GranTurismo</t>
        </is>
      </c>
      <c r="K101" s="30" t="inlineStr">
        <is>
          <t xml:space="preserve">YMM8F91T5BGK39MLM</t>
        </is>
      </c>
      <c r="L101" s="32" t="inlineStr">
        <is>
          <t xml:space="preserve">02 - Sports / GT</t>
        </is>
      </c>
      <c r="M101" s="35">
        <v>190000</v>
      </c>
      <c r="N101" s="32" t="inlineStr">
        <is>
          <t xml:space="preserve">Personal</t>
        </is>
      </c>
      <c r="O101" s="30" t="inlineStr">
        <is>
          <t xml:space="preserve">Personal - regular use</t>
        </is>
      </c>
      <c r="P101" s="30" t="inlineStr">
        <is>
          <t xml:space="preserve">2,500 - 5,000</t>
        </is>
      </c>
      <c r="Q101" s="30" t="inlineStr">
        <is>
          <t xml:space="preserve">New Jersey</t>
        </is>
      </c>
      <c r="R101" s="30" t="inlineStr">
        <is>
          <t xml:space="preserve">07102</t>
        </is>
      </c>
      <c r="S101" s="32" t="inlineStr">
        <is>
          <t xml:space="preserve">Tier 3 - Coastal wind (25-100 miles)</t>
        </is>
      </c>
      <c r="T101" s="36">
        <f>IF($A101="","",IF($S101="","",IFERROR(INDEX('[1]natural catastrophe'!$D$6:$D$17,MATCH($S101,'[1]natural catastrophe'!$B$6:$B$17,0)),"?")))</f>
      </c>
      <c r="U101" s="30" t="inlineStr">
        <is>
          <t xml:space="preserve">2% of agreed value, minimum $10,000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2283.97</v>
      </c>
      <c r="AC101" s="37">
        <v>0</v>
      </c>
      <c r="AD101" s="38">
        <f>IF(ISNUMBER($AB101),$AB101*(1+N($AC101)),"")</f>
      </c>
      <c r="AE101" s="35">
        <v>350</v>
      </c>
      <c r="AF101" s="35">
        <v>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CANON-202607-007784</t>
        </is>
      </c>
      <c r="B102" s="46" t="inlineStr">
        <is>
          <t xml:space="preserve">Wilhelmina Bellandi</t>
        </is>
      </c>
      <c r="C102" s="47">
        <v>46204</v>
      </c>
      <c r="D102" s="48" t="inlineStr">
        <is>
          <t xml:space="preserve">Bound - within authority</t>
        </is>
      </c>
      <c r="E102" s="48" t="inlineStr">
        <is>
          <t xml:space="preserve">New business</t>
        </is>
      </c>
      <c r="F102" s="46" t="inlineStr">
        <is>
          <t xml:space="preserve">B1234EXOTIC26</t>
        </is>
      </c>
      <c r="G102" s="33">
        <f>IF($A102="","",IF($C102="","",YEAR($C102)))</f>
      </c>
      <c r="H102" s="49">
        <v>2011</v>
      </c>
      <c r="I102" s="46" t="inlineStr">
        <is>
          <t xml:space="preserve">Aston Martin</t>
        </is>
      </c>
      <c r="J102" s="46" t="inlineStr">
        <is>
          <t xml:space="preserve">DB12</t>
        </is>
      </c>
      <c r="K102" s="46" t="inlineStr">
        <is>
          <t xml:space="preserve">D3JWDDV34Y97Y3WM8</t>
        </is>
      </c>
      <c r="L102" s="48" t="inlineStr">
        <is>
          <t xml:space="preserve">02 - Sports / GT</t>
        </is>
      </c>
      <c r="M102" s="50">
        <v>710000</v>
      </c>
      <c r="N102" s="48" t="inlineStr">
        <is>
          <t xml:space="preserve">Personal</t>
        </is>
      </c>
      <c r="O102" s="46" t="inlineStr">
        <is>
          <t xml:space="preserve">Personal - regular use</t>
        </is>
      </c>
      <c r="P102" s="46" t="inlineStr">
        <is>
          <t xml:space="preserve">1,000 - 2,500</t>
        </is>
      </c>
      <c r="Q102" s="46" t="inlineStr">
        <is>
          <t xml:space="preserve">Ohio</t>
        </is>
      </c>
      <c r="R102" s="46" t="inlineStr">
        <is>
          <t xml:space="preserve">43215</t>
        </is>
      </c>
      <c r="S102" s="48" t="inlineStr">
        <is>
          <t xml:space="preserve">Severe convective - hail / tornado (moderate)</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9210.76</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CANON-202607-007785</t>
        </is>
      </c>
      <c r="B103" s="30" t="inlineStr">
        <is>
          <t xml:space="preserve">Callum Delacroix</t>
        </is>
      </c>
      <c r="C103" s="31">
        <v>46227</v>
      </c>
      <c r="D103" s="32" t="inlineStr">
        <is>
          <t xml:space="preserve">Bound - within authority</t>
        </is>
      </c>
      <c r="E103" s="32" t="inlineStr">
        <is>
          <t xml:space="preserve">New business</t>
        </is>
      </c>
      <c r="F103" s="30" t="inlineStr">
        <is>
          <t xml:space="preserve">B1234EXOTIC26</t>
        </is>
      </c>
      <c r="G103" s="33">
        <f>IF($A103="","",IF($C103="","",YEAR($C103)))</f>
      </c>
      <c r="H103" s="34">
        <v>1975</v>
      </c>
      <c r="I103" s="30" t="inlineStr">
        <is>
          <t xml:space="preserve">Bentley</t>
        </is>
      </c>
      <c r="J103" s="30" t="inlineStr">
        <is>
          <t xml:space="preserve">Continental GT</t>
        </is>
      </c>
      <c r="K103" s="30" t="inlineStr">
        <is>
          <t xml:space="preserve">Y6PGDT87XX9UR25KY</t>
        </is>
      </c>
      <c r="L103" s="32" t="inlineStr">
        <is>
          <t xml:space="preserve">02 - Sports / GT</t>
        </is>
      </c>
      <c r="M103" s="35">
        <v>335000</v>
      </c>
      <c r="N103" s="32" t="inlineStr">
        <is>
          <t xml:space="preserve">Personal</t>
        </is>
      </c>
      <c r="O103" s="30" t="inlineStr">
        <is>
          <t xml:space="preserve">Personal - regular use</t>
        </is>
      </c>
      <c r="P103" s="30" t="inlineStr">
        <is>
          <t xml:space="preserve">1,000 - 2,500</t>
        </is>
      </c>
      <c r="Q103" s="30" t="inlineStr">
        <is>
          <t xml:space="preserve">New Jersey</t>
        </is>
      </c>
      <c r="R103" s="30" t="inlineStr">
        <is>
          <t xml:space="preserve">07102</t>
        </is>
      </c>
      <c r="S103" s="32" t="inlineStr">
        <is>
          <t xml:space="preserve">Tier 3 - Coastal wind (25-100 miles)</t>
        </is>
      </c>
      <c r="T103" s="36">
        <f>IF($A103="","",IF($S103="","",IFERROR(INDEX('[1]natural catastrophe'!$D$6:$D$17,MATCH($S103,'[1]natural catastrophe'!$B$6:$B$17,0)),"?")))</f>
      </c>
      <c r="U103" s="30" t="inlineStr">
        <is>
          <t xml:space="preserve">2% of agreed value, minimum $10,000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3282.89</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CANON-202607-007787</t>
        </is>
      </c>
      <c r="B104" s="46" t="inlineStr">
        <is>
          <t xml:space="preserve">Horace Nakashima</t>
        </is>
      </c>
      <c r="C104" s="47">
        <v>46220</v>
      </c>
      <c r="D104" s="48" t="inlineStr">
        <is>
          <t xml:space="preserve">Bound - within authority</t>
        </is>
      </c>
      <c r="E104" s="48" t="inlineStr">
        <is>
          <t xml:space="preserve">New business</t>
        </is>
      </c>
      <c r="F104" s="46" t="inlineStr">
        <is>
          <t xml:space="preserve">B1234EXOTIC26</t>
        </is>
      </c>
      <c r="G104" s="33">
        <f>IF($A104="","",IF($C104="","",YEAR($C104)))</f>
      </c>
      <c r="H104" s="49">
        <v>2002</v>
      </c>
      <c r="I104" s="46" t="inlineStr">
        <is>
          <t xml:space="preserve">Aston Martin</t>
        </is>
      </c>
      <c r="J104" s="46" t="inlineStr">
        <is>
          <t xml:space="preserve">DB12</t>
        </is>
      </c>
      <c r="K104" s="46" t="inlineStr">
        <is>
          <t xml:space="preserve">R50PX414CX9TRJ6T7</t>
        </is>
      </c>
      <c r="L104" s="48" t="inlineStr">
        <is>
          <t xml:space="preserve">02 - Sports / GT</t>
        </is>
      </c>
      <c r="M104" s="50">
        <v>640000</v>
      </c>
      <c r="N104" s="48" t="inlineStr">
        <is>
          <t xml:space="preserve">Personal</t>
        </is>
      </c>
      <c r="O104" s="46" t="inlineStr">
        <is>
          <t xml:space="preserve">Personal - regular use</t>
        </is>
      </c>
      <c r="P104" s="46" t="inlineStr">
        <is>
          <t xml:space="preserve">Under 1,000</t>
        </is>
      </c>
      <c r="Q104" s="46" t="inlineStr">
        <is>
          <t xml:space="preserve">Wyoming</t>
        </is>
      </c>
      <c r="R104" s="46" t="inlineStr">
        <is>
          <t xml:space="preserve">82001</t>
        </is>
      </c>
      <c r="S104" s="48" t="inlineStr">
        <is>
          <t xml:space="preserve">Severe convective - hail alley (high)</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6391.25</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CANON-202607-007788</t>
        </is>
      </c>
      <c r="B105" s="30" t="inlineStr">
        <is>
          <t xml:space="preserve">Saoirse Okonkwo</t>
        </is>
      </c>
      <c r="C105" s="31">
        <v>46220</v>
      </c>
      <c r="D105" s="32" t="inlineStr">
        <is>
          <t xml:space="preserve">Bound - within authority</t>
        </is>
      </c>
      <c r="E105" s="32" t="inlineStr">
        <is>
          <t xml:space="preserve">New business</t>
        </is>
      </c>
      <c r="F105" s="30" t="inlineStr">
        <is>
          <t xml:space="preserve">B1234EXOTIC26</t>
        </is>
      </c>
      <c r="G105" s="33">
        <f>IF($A105="","",IF($C105="","",YEAR($C105)))</f>
      </c>
      <c r="H105" s="34">
        <v>2021</v>
      </c>
      <c r="I105" s="30" t="inlineStr">
        <is>
          <t xml:space="preserve">Porsche</t>
        </is>
      </c>
      <c r="J105" s="30" t="inlineStr">
        <is>
          <t xml:space="preserve">911 Turbo S</t>
        </is>
      </c>
      <c r="K105" s="30" t="inlineStr">
        <is>
          <t xml:space="preserve">HC1LJU1XVP4A2XZWA</t>
        </is>
      </c>
      <c r="L105" s="32" t="inlineStr">
        <is>
          <t xml:space="preserve">02 - Sports / GT</t>
        </is>
      </c>
      <c r="M105" s="35">
        <v>110000</v>
      </c>
      <c r="N105" s="32" t="inlineStr">
        <is>
          <t xml:space="preserve">Personal</t>
        </is>
      </c>
      <c r="O105" s="30" t="inlineStr">
        <is>
          <t xml:space="preserve">Personal - regular use</t>
        </is>
      </c>
      <c r="P105" s="30" t="inlineStr">
        <is>
          <t xml:space="preserve">1,000 - 2,500</t>
        </is>
      </c>
      <c r="Q105" s="30" t="inlineStr">
        <is>
          <t xml:space="preserve">California</t>
        </is>
      </c>
      <c r="R105" s="30" t="inlineStr">
        <is>
          <t xml:space="preserve">90012</t>
        </is>
      </c>
      <c r="S105" s="32" t="inlineStr">
        <is>
          <t xml:space="preserve">Earthquake - high (CA, Cascadia, New Madrid)</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1961.66</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CANON-202607-007789</t>
        </is>
      </c>
      <c r="B106" s="46" t="inlineStr">
        <is>
          <t xml:space="preserve">Cassius Whitlock</t>
        </is>
      </c>
      <c r="C106" s="47">
        <v>46216</v>
      </c>
      <c r="D106" s="48" t="inlineStr">
        <is>
          <t xml:space="preserve">Bound - within authority</t>
        </is>
      </c>
      <c r="E106" s="48" t="inlineStr">
        <is>
          <t xml:space="preserve">New business</t>
        </is>
      </c>
      <c r="F106" s="46" t="inlineStr">
        <is>
          <t xml:space="preserve">B1234EXOTIC26</t>
        </is>
      </c>
      <c r="G106" s="33">
        <f>IF($A106="","",IF($C106="","",YEAR($C106)))</f>
      </c>
      <c r="H106" s="49">
        <v>1990</v>
      </c>
      <c r="I106" s="46" t="inlineStr">
        <is>
          <t xml:space="preserve">Maserati</t>
        </is>
      </c>
      <c r="J106" s="46" t="inlineStr">
        <is>
          <t xml:space="preserve">GranTurismo</t>
        </is>
      </c>
      <c r="K106" s="46" t="inlineStr">
        <is>
          <t xml:space="preserve">S8CAY29U03PG56LE9</t>
        </is>
      </c>
      <c r="L106" s="48" t="inlineStr">
        <is>
          <t xml:space="preserve">02 - Sports / GT</t>
        </is>
      </c>
      <c r="M106" s="50">
        <v>495000</v>
      </c>
      <c r="N106" s="48" t="inlineStr">
        <is>
          <t xml:space="preserve">Personal</t>
        </is>
      </c>
      <c r="O106" s="46" t="inlineStr">
        <is>
          <t xml:space="preserve">Personal - regular use</t>
        </is>
      </c>
      <c r="P106" s="46" t="inlineStr">
        <is>
          <t xml:space="preserve">1,000 - 2,500</t>
        </is>
      </c>
      <c r="Q106" s="46" t="inlineStr">
        <is>
          <t xml:space="preserve">Idaho</t>
        </is>
      </c>
      <c r="R106" s="46" t="inlineStr">
        <is>
          <t xml:space="preserve">83702</t>
        </is>
      </c>
      <c r="S106" s="48" t="inlineStr">
        <is>
          <t xml:space="preserve">Wildfire - WUI high hazard</t>
        </is>
      </c>
      <c r="T106" s="36">
        <f>IF($A106="","",IF($S106="","",IFERROR(INDEX('[1]natural catastrophe'!$D$6:$D$17,MATCH($S106,'[1]natural catastrophe'!$B$6:$B$17,0)),"?")))</f>
      </c>
      <c r="U106" s="46" t="inlineStr">
        <is>
          <t xml:space="preserve">$5,000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5277.28</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CANON-202607-007790</t>
        </is>
      </c>
      <c r="B107" s="30" t="inlineStr">
        <is>
          <t xml:space="preserve">Sunniva Harrington</t>
        </is>
      </c>
      <c r="C107" s="31">
        <v>46204</v>
      </c>
      <c r="D107" s="32" t="inlineStr">
        <is>
          <t xml:space="preserve">Bound - within authority</t>
        </is>
      </c>
      <c r="E107" s="32" t="inlineStr">
        <is>
          <t xml:space="preserve">New business</t>
        </is>
      </c>
      <c r="F107" s="30" t="inlineStr">
        <is>
          <t xml:space="preserve">B1234EXOTIC26</t>
        </is>
      </c>
      <c r="G107" s="33">
        <f>IF($A107="","",IF($C107="","",YEAR($C107)))</f>
      </c>
      <c r="H107" s="34">
        <v>2020</v>
      </c>
      <c r="I107" s="30" t="inlineStr">
        <is>
          <t xml:space="preserve">Mercedes-Benz</t>
        </is>
      </c>
      <c r="J107" s="30" t="inlineStr">
        <is>
          <t xml:space="preserve">280SL Pagoda</t>
        </is>
      </c>
      <c r="K107" s="30" t="inlineStr">
        <is>
          <t xml:space="preserve">GFY77ADSFLXB4RVD4</t>
        </is>
      </c>
      <c r="L107" s="32" t="inlineStr">
        <is>
          <t xml:space="preserve">02 - Sports / GT</t>
        </is>
      </c>
      <c r="M107" s="35">
        <v>745000</v>
      </c>
      <c r="N107" s="32" t="inlineStr">
        <is>
          <t xml:space="preserve">Personal</t>
        </is>
      </c>
      <c r="O107" s="30" t="inlineStr">
        <is>
          <t xml:space="preserve">Personal - regular use</t>
        </is>
      </c>
      <c r="P107" s="30" t="inlineStr">
        <is>
          <t xml:space="preserve">1,000 - 2,500</t>
        </is>
      </c>
      <c r="Q107" s="30" t="inlineStr">
        <is>
          <t xml:space="preserve">Indiana</t>
        </is>
      </c>
      <c r="R107" s="30" t="inlineStr">
        <is>
          <t xml:space="preserve">46204</t>
        </is>
      </c>
      <c r="S107" s="32" t="inlineStr">
        <is>
          <t xml:space="preserve">Severe convective - hail / tornado (moderate)</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5657.68</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CANON-202607-007791</t>
        </is>
      </c>
      <c r="B108" s="46" t="inlineStr">
        <is>
          <t xml:space="preserve">Emiliano Montoya</t>
        </is>
      </c>
      <c r="C108" s="47">
        <v>46232</v>
      </c>
      <c r="D108" s="48" t="inlineStr">
        <is>
          <t xml:space="preserve">Bound - within authority</t>
        </is>
      </c>
      <c r="E108" s="48" t="inlineStr">
        <is>
          <t xml:space="preserve">New business</t>
        </is>
      </c>
      <c r="F108" s="46" t="inlineStr">
        <is>
          <t xml:space="preserve">B1234EXOTIC26</t>
        </is>
      </c>
      <c r="G108" s="33">
        <f>IF($A108="","",IF($C108="","",YEAR($C108)))</f>
      </c>
      <c r="H108" s="49">
        <v>1972</v>
      </c>
      <c r="I108" s="46" t="inlineStr">
        <is>
          <t xml:space="preserve">Ferrari</t>
        </is>
      </c>
      <c r="J108" s="46" t="inlineStr">
        <is>
          <t xml:space="preserve">275 GTB/4</t>
        </is>
      </c>
      <c r="K108" s="46" t="inlineStr">
        <is>
          <t xml:space="preserve">PHZLHME45Z9LTRZ9S</t>
        </is>
      </c>
      <c r="L108" s="48" t="inlineStr">
        <is>
          <t xml:space="preserve">07 - Post-War Classic (1946-1972)</t>
        </is>
      </c>
      <c r="M108" s="50">
        <v>410000</v>
      </c>
      <c r="N108" s="48" t="inlineStr">
        <is>
          <t xml:space="preserve">Personal</t>
        </is>
      </c>
      <c r="O108" s="46" t="inlineStr">
        <is>
          <t xml:space="preserve">Personal - regular use</t>
        </is>
      </c>
      <c r="P108" s="46" t="inlineStr">
        <is>
          <t xml:space="preserve">2,500 - 5,000</t>
        </is>
      </c>
      <c r="Q108" s="46" t="inlineStr">
        <is>
          <t xml:space="preserve">Virginia</t>
        </is>
      </c>
      <c r="R108" s="46" t="inlineStr">
        <is>
          <t xml:space="preserve">23219</t>
        </is>
      </c>
      <c r="S108" s="48" t="inlineStr">
        <is>
          <t xml:space="preserve">Tier 3 - Coastal wind (25-100 miles)</t>
        </is>
      </c>
      <c r="T108" s="36">
        <f>IF($A108="","",IF($S108="","",IFERROR(INDEX('[1]natural catastrophe'!$D$6:$D$17,MATCH($S108,'[1]natural catastrophe'!$B$6:$B$17,0)),"?")))</f>
      </c>
      <c r="U108" s="46" t="inlineStr">
        <is>
          <t xml:space="preserve">2% of agreed value, minimum $10,000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3080.07</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CANON-202607-007792</t>
        </is>
      </c>
      <c r="B109" s="30" t="inlineStr">
        <is>
          <t xml:space="preserve">Marisol Okonkwo</t>
        </is>
      </c>
      <c r="C109" s="31">
        <v>46210</v>
      </c>
      <c r="D109" s="32" t="inlineStr">
        <is>
          <t xml:space="preserve">Bound - within authority</t>
        </is>
      </c>
      <c r="E109" s="32" t="inlineStr">
        <is>
          <t xml:space="preserve">New business</t>
        </is>
      </c>
      <c r="F109" s="30" t="inlineStr">
        <is>
          <t xml:space="preserve">B1234EXOTIC26</t>
        </is>
      </c>
      <c r="G109" s="33">
        <f>IF($A109="","",IF($C109="","",YEAR($C109)))</f>
      </c>
      <c r="H109" s="34">
        <v>2006</v>
      </c>
      <c r="I109" s="30" t="inlineStr">
        <is>
          <t xml:space="preserve">Porsche</t>
        </is>
      </c>
      <c r="J109" s="30" t="inlineStr">
        <is>
          <t xml:space="preserve">911 Turbo S</t>
        </is>
      </c>
      <c r="K109" s="30" t="inlineStr">
        <is>
          <t xml:space="preserve">L96F1JZWKY6W6Y3UX</t>
        </is>
      </c>
      <c r="L109" s="32" t="inlineStr">
        <is>
          <t xml:space="preserve">02 - Sports / GT</t>
        </is>
      </c>
      <c r="M109" s="35">
        <v>480000</v>
      </c>
      <c r="N109" s="32" t="inlineStr">
        <is>
          <t xml:space="preserve">Personal</t>
        </is>
      </c>
      <c r="O109" s="30" t="inlineStr">
        <is>
          <t xml:space="preserve">Personal - regular use</t>
        </is>
      </c>
      <c r="P109" s="30" t="inlineStr">
        <is>
          <t xml:space="preserve">Under 1,000</t>
        </is>
      </c>
      <c r="Q109" s="30" t="inlineStr">
        <is>
          <t xml:space="preserve">Nevada</t>
        </is>
      </c>
      <c r="R109" s="30" t="inlineStr">
        <is>
          <t xml:space="preserve">89101</t>
        </is>
      </c>
      <c r="S109" s="32" t="inlineStr">
        <is>
          <t xml:space="preserve">Wildfire - WUI high hazard</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6047.8</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CANON-202607-007793</t>
        </is>
      </c>
      <c r="B110" s="46" t="inlineStr">
        <is>
          <t xml:space="preserve">Thaddeus Delacroix</t>
        </is>
      </c>
      <c r="C110" s="47">
        <v>46217</v>
      </c>
      <c r="D110" s="48" t="inlineStr">
        <is>
          <t xml:space="preserve">Bound - within authority</t>
        </is>
      </c>
      <c r="E110" s="48" t="inlineStr">
        <is>
          <t xml:space="preserve">New business</t>
        </is>
      </c>
      <c r="F110" s="46" t="inlineStr">
        <is>
          <t xml:space="preserve">B1234EXOTIC26</t>
        </is>
      </c>
      <c r="G110" s="33">
        <f>IF($A110="","",IF($C110="","",YEAR($C110)))</f>
      </c>
      <c r="H110" s="49">
        <v>1965</v>
      </c>
      <c r="I110" s="46" t="inlineStr">
        <is>
          <t xml:space="preserve">Lamborghini</t>
        </is>
      </c>
      <c r="J110" s="46" t="inlineStr">
        <is>
          <t xml:space="preserve">Huracan EVO</t>
        </is>
      </c>
      <c r="K110" s="46" t="inlineStr">
        <is>
          <t xml:space="preserve">LR4NY0UF11DYGK94S</t>
        </is>
      </c>
      <c r="L110" s="48" t="inlineStr">
        <is>
          <t xml:space="preserve">03 - Supercar</t>
        </is>
      </c>
      <c r="M110" s="50">
        <v>600000</v>
      </c>
      <c r="N110" s="48" t="inlineStr">
        <is>
          <t xml:space="preserve">Personal</t>
        </is>
      </c>
      <c r="O110" s="46" t="inlineStr">
        <is>
          <t xml:space="preserve">Personal - regular use</t>
        </is>
      </c>
      <c r="P110" s="46" t="inlineStr">
        <is>
          <t xml:space="preserve">1,000 - 2,500</t>
        </is>
      </c>
      <c r="Q110" s="46" t="inlineStr">
        <is>
          <t xml:space="preserve">North Carolina</t>
        </is>
      </c>
      <c r="R110" s="46" t="inlineStr">
        <is>
          <t xml:space="preserve">28202</t>
        </is>
      </c>
      <c r="S110" s="48" t="inlineStr">
        <is>
          <t xml:space="preserve">Tier 2 - Coastal wind (1-25 miles)</t>
        </is>
      </c>
      <c r="T110" s="36">
        <f>IF($A110="","",IF($S110="","",IFERROR(INDEX('[1]natural catastrophe'!$D$6:$D$17,MATCH($S110,'[1]natural catastrophe'!$B$6:$B$17,0)),"?")))</f>
      </c>
      <c r="U110" s="46" t="inlineStr">
        <is>
          <t xml:space="preserve">2% of agreed value, minimum $10,000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9411.99</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CANON-202607-007794</t>
        </is>
      </c>
      <c r="B111" s="30" t="inlineStr">
        <is>
          <t xml:space="preserve">Fenwick Farkas</t>
        </is>
      </c>
      <c r="C111" s="31">
        <v>46222</v>
      </c>
      <c r="D111" s="32" t="inlineStr">
        <is>
          <t xml:space="preserve">Bound - within authority</t>
        </is>
      </c>
      <c r="E111" s="32" t="inlineStr">
        <is>
          <t xml:space="preserve">New business</t>
        </is>
      </c>
      <c r="F111" s="30" t="inlineStr">
        <is>
          <t xml:space="preserve">B1234EXOTIC26</t>
        </is>
      </c>
      <c r="G111" s="33">
        <f>IF($A111="","",IF($C111="","",YEAR($C111)))</f>
      </c>
      <c r="H111" s="34">
        <v>2006</v>
      </c>
      <c r="I111" s="30" t="inlineStr">
        <is>
          <t xml:space="preserve">Bentley</t>
        </is>
      </c>
      <c r="J111" s="30" t="inlineStr">
        <is>
          <t xml:space="preserve">Continental GT</t>
        </is>
      </c>
      <c r="K111" s="30" t="inlineStr">
        <is>
          <t xml:space="preserve">2S6M38163HPDWZ3LF</t>
        </is>
      </c>
      <c r="L111" s="32" t="inlineStr">
        <is>
          <t xml:space="preserve">02 - Sports / GT</t>
        </is>
      </c>
      <c r="M111" s="35">
        <v>705000</v>
      </c>
      <c r="N111" s="32" t="inlineStr">
        <is>
          <t xml:space="preserve">Personal</t>
        </is>
      </c>
      <c r="O111" s="30" t="inlineStr">
        <is>
          <t xml:space="preserve">Personal - regular use</t>
        </is>
      </c>
      <c r="P111" s="30" t="inlineStr">
        <is>
          <t xml:space="preserve">2,500 - 5,000</t>
        </is>
      </c>
      <c r="Q111" s="30" t="inlineStr">
        <is>
          <t xml:space="preserve">Montana</t>
        </is>
      </c>
      <c r="R111" s="30" t="inlineStr">
        <is>
          <t xml:space="preserve">59601</t>
        </is>
      </c>
      <c r="S111" s="32" t="inlineStr">
        <is>
          <t xml:space="preserve">Wildfire - WUI high hazard</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6119.19</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CANON-202607-007795</t>
        </is>
      </c>
      <c r="B112" s="46" t="inlineStr">
        <is>
          <t xml:space="preserve">Ingrid Larsson</t>
        </is>
      </c>
      <c r="C112" s="47">
        <v>46205</v>
      </c>
      <c r="D112" s="48" t="inlineStr">
        <is>
          <t xml:space="preserve">Bound - within authority</t>
        </is>
      </c>
      <c r="E112" s="48" t="inlineStr">
        <is>
          <t xml:space="preserve">New business</t>
        </is>
      </c>
      <c r="F112" s="46" t="inlineStr">
        <is>
          <t xml:space="preserve">B1234EXOTIC26</t>
        </is>
      </c>
      <c r="G112" s="33">
        <f>IF($A112="","",IF($C112="","",YEAR($C112)))</f>
      </c>
      <c r="H112" s="49">
        <v>1983</v>
      </c>
      <c r="I112" s="46" t="inlineStr">
        <is>
          <t xml:space="preserve">Aston Martin</t>
        </is>
      </c>
      <c r="J112" s="46" t="inlineStr">
        <is>
          <t xml:space="preserve">DB12</t>
        </is>
      </c>
      <c r="K112" s="46" t="inlineStr">
        <is>
          <t xml:space="preserve">HAADK8PXLHHW6WYHJ</t>
        </is>
      </c>
      <c r="L112" s="48" t="inlineStr">
        <is>
          <t xml:space="preserve">02 - Sports / GT</t>
        </is>
      </c>
      <c r="M112" s="50">
        <v>710000</v>
      </c>
      <c r="N112" s="48" t="inlineStr">
        <is>
          <t xml:space="preserve">Personal</t>
        </is>
      </c>
      <c r="O112" s="46" t="inlineStr">
        <is>
          <t xml:space="preserve">Personal - regular use</t>
        </is>
      </c>
      <c r="P112" s="46" t="inlineStr">
        <is>
          <t xml:space="preserve">Under 1,000</t>
        </is>
      </c>
      <c r="Q112" s="46" t="inlineStr">
        <is>
          <t xml:space="preserve">New Jersey</t>
        </is>
      </c>
      <c r="R112" s="46" t="inlineStr">
        <is>
          <t xml:space="preserve">07102</t>
        </is>
      </c>
      <c r="S112" s="48" t="inlineStr">
        <is>
          <t xml:space="preserve">Tier 3 - Coastal wind (25-100 miles)</t>
        </is>
      </c>
      <c r="T112" s="36">
        <f>IF($A112="","",IF($S112="","",IFERROR(INDEX('[1]natural catastrophe'!$D$6:$D$17,MATCH($S112,'[1]natural catastrophe'!$B$6:$B$17,0)),"?")))</f>
      </c>
      <c r="U112" s="46" t="inlineStr">
        <is>
          <t xml:space="preserve">2% of agreed value, minimum $10,000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6030.07</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CANON-202607-007796</t>
        </is>
      </c>
      <c r="B113" s="30" t="inlineStr">
        <is>
          <t xml:space="preserve">Ingrid Vasquez</t>
        </is>
      </c>
      <c r="C113" s="31">
        <v>46222</v>
      </c>
      <c r="D113" s="32" t="inlineStr">
        <is>
          <t xml:space="preserve">Bound - within authority</t>
        </is>
      </c>
      <c r="E113" s="32" t="inlineStr">
        <is>
          <t xml:space="preserve">New business</t>
        </is>
      </c>
      <c r="F113" s="30" t="inlineStr">
        <is>
          <t xml:space="preserve">B1234EXOTIC26</t>
        </is>
      </c>
      <c r="G113" s="33">
        <f>IF($A113="","",IF($C113="","",YEAR($C113)))</f>
      </c>
      <c r="H113" s="34">
        <v>1983</v>
      </c>
      <c r="I113" s="30" t="inlineStr">
        <is>
          <t xml:space="preserve">BMW</t>
        </is>
      </c>
      <c r="J113" s="30" t="inlineStr">
        <is>
          <t xml:space="preserve">M8 Competition</t>
        </is>
      </c>
      <c r="K113" s="30" t="inlineStr">
        <is>
          <t xml:space="preserve">2UZH6TPZ6SGW21DG6</t>
        </is>
      </c>
      <c r="L113" s="32" t="inlineStr">
        <is>
          <t xml:space="preserve">02 - Sports / GT</t>
        </is>
      </c>
      <c r="M113" s="35">
        <v>1090000</v>
      </c>
      <c r="N113" s="32" t="inlineStr">
        <is>
          <t xml:space="preserve">Personal</t>
        </is>
      </c>
      <c r="O113" s="30" t="inlineStr">
        <is>
          <t xml:space="preserve">Personal - regular use</t>
        </is>
      </c>
      <c r="P113" s="30" t="inlineStr">
        <is>
          <t xml:space="preserve">Under 1,000</t>
        </is>
      </c>
      <c r="Q113" s="30" t="inlineStr">
        <is>
          <t xml:space="preserve">Idaho</t>
        </is>
      </c>
      <c r="R113" s="30" t="inlineStr">
        <is>
          <t xml:space="preserve">83702</t>
        </is>
      </c>
      <c r="S113" s="32" t="inlineStr">
        <is>
          <t xml:space="preserve">Wildfire - WUI high hazard</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8521.84</v>
      </c>
      <c r="AC113" s="37">
        <v>0</v>
      </c>
      <c r="AD113" s="38">
        <f>IF(ISNUMBER($AB113),$AB113*(1+N($AC113)),"")</f>
      </c>
      <c r="AE113" s="35">
        <v>350</v>
      </c>
      <c r="AF113" s="35">
        <v>250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CANON-202607-007797</t>
        </is>
      </c>
      <c r="B114" s="46" t="inlineStr">
        <is>
          <t xml:space="preserve">Ottilie Chattopadhyay</t>
        </is>
      </c>
      <c r="C114" s="47">
        <v>46230</v>
      </c>
      <c r="D114" s="48" t="inlineStr">
        <is>
          <t xml:space="preserve">Bound - within authority</t>
        </is>
      </c>
      <c r="E114" s="48" t="inlineStr">
        <is>
          <t xml:space="preserve">New business</t>
        </is>
      </c>
      <c r="F114" s="46" t="inlineStr">
        <is>
          <t xml:space="preserve">B1234EXOTIC26</t>
        </is>
      </c>
      <c r="G114" s="33">
        <f>IF($A114="","",IF($C114="","",YEAR($C114)))</f>
      </c>
      <c r="H114" s="49">
        <v>1976</v>
      </c>
      <c r="I114" s="46" t="inlineStr">
        <is>
          <t xml:space="preserve">Porsche</t>
        </is>
      </c>
      <c r="J114" s="46" t="inlineStr">
        <is>
          <t xml:space="preserve">911 Turbo S</t>
        </is>
      </c>
      <c r="K114" s="46" t="inlineStr">
        <is>
          <t xml:space="preserve">58FSKTU7RB9ZGYTKY</t>
        </is>
      </c>
      <c r="L114" s="48" t="inlineStr">
        <is>
          <t xml:space="preserve">02 - Sports / GT</t>
        </is>
      </c>
      <c r="M114" s="50">
        <v>200000</v>
      </c>
      <c r="N114" s="48" t="inlineStr">
        <is>
          <t xml:space="preserve">Personal</t>
        </is>
      </c>
      <c r="O114" s="46" t="inlineStr">
        <is>
          <t xml:space="preserve">Personal - regular use</t>
        </is>
      </c>
      <c r="P114" s="46" t="inlineStr">
        <is>
          <t xml:space="preserve">2,500 - 5,000</t>
        </is>
      </c>
      <c r="Q114" s="46" t="inlineStr">
        <is>
          <t xml:space="preserve">Utah</t>
        </is>
      </c>
      <c r="R114" s="46" t="inlineStr">
        <is>
          <t xml:space="preserve">84101</t>
        </is>
      </c>
      <c r="S114" s="48" t="inlineStr">
        <is>
          <t xml:space="preserve">Wildfire - WUI high hazard</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3566.65</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CANON-202607-007800</t>
        </is>
      </c>
      <c r="B115" s="30" t="inlineStr">
        <is>
          <t xml:space="preserve">Beatrix Kingsford</t>
        </is>
      </c>
      <c r="C115" s="31">
        <v>46226</v>
      </c>
      <c r="D115" s="32" t="inlineStr">
        <is>
          <t xml:space="preserve">Bound - within authority</t>
        </is>
      </c>
      <c r="E115" s="32" t="inlineStr">
        <is>
          <t xml:space="preserve">New business</t>
        </is>
      </c>
      <c r="F115" s="30" t="inlineStr">
        <is>
          <t xml:space="preserve">B1234EXOTIC26</t>
        </is>
      </c>
      <c r="G115" s="33">
        <f>IF($A115="","",IF($C115="","",YEAR($C115)))</f>
      </c>
      <c r="H115" s="34">
        <v>2024</v>
      </c>
      <c r="I115" s="30" t="inlineStr">
        <is>
          <t xml:space="preserve">Porsche</t>
        </is>
      </c>
      <c r="J115" s="30" t="inlineStr">
        <is>
          <t xml:space="preserve">911 Turbo S</t>
        </is>
      </c>
      <c r="K115" s="30" t="inlineStr">
        <is>
          <t xml:space="preserve">DBZ4J6EZE4P2Y5NVW</t>
        </is>
      </c>
      <c r="L115" s="32" t="inlineStr">
        <is>
          <t xml:space="preserve">02 - Sports / GT</t>
        </is>
      </c>
      <c r="M115" s="35">
        <v>1610000</v>
      </c>
      <c r="N115" s="32" t="inlineStr">
        <is>
          <t xml:space="preserve">Personal</t>
        </is>
      </c>
      <c r="O115" s="30" t="inlineStr">
        <is>
          <t xml:space="preserve">Personal - regular use</t>
        </is>
      </c>
      <c r="P115" s="30" t="inlineStr">
        <is>
          <t xml:space="preserve">Under 1,000</t>
        </is>
      </c>
      <c r="Q115" s="30" t="inlineStr">
        <is>
          <t xml:space="preserve">Kentucky</t>
        </is>
      </c>
      <c r="R115" s="30" t="inlineStr">
        <is>
          <t xml:space="preserve">40202</t>
        </is>
      </c>
      <c r="S115" s="32" t="inlineStr">
        <is>
          <t xml:space="preserve">Severe convective - hail / tornado (moderate)</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17037.35</v>
      </c>
      <c r="AC115" s="37">
        <v>0</v>
      </c>
      <c r="AD115" s="38">
        <f>IF(ISNUMBER($AB115),$AB115*(1+N($AC115)),"")</f>
      </c>
      <c r="AE115" s="35">
        <v>350</v>
      </c>
      <c r="AF115" s="35">
        <v>250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CANON-202607-007801</t>
        </is>
      </c>
      <c r="B116" s="46" t="inlineStr">
        <is>
          <t xml:space="preserve">Delphine Pennington</t>
        </is>
      </c>
      <c r="C116" s="47">
        <v>46223</v>
      </c>
      <c r="D116" s="48" t="inlineStr">
        <is>
          <t xml:space="preserve">Bound - within authority</t>
        </is>
      </c>
      <c r="E116" s="48" t="inlineStr">
        <is>
          <t xml:space="preserve">New business</t>
        </is>
      </c>
      <c r="F116" s="46" t="inlineStr">
        <is>
          <t xml:space="preserve">B1234EXOTIC26</t>
        </is>
      </c>
      <c r="G116" s="33">
        <f>IF($A116="","",IF($C116="","",YEAR($C116)))</f>
      </c>
      <c r="H116" s="49">
        <v>1971</v>
      </c>
      <c r="I116" s="46" t="inlineStr">
        <is>
          <t xml:space="preserve">Icon</t>
        </is>
      </c>
      <c r="J116" s="46" t="inlineStr">
        <is>
          <t xml:space="preserve">Derelict</t>
        </is>
      </c>
      <c r="K116" s="46" t="inlineStr">
        <is>
          <t xml:space="preserve">226US6Y0HCG92VC25</t>
        </is>
      </c>
      <c r="L116" s="48" t="inlineStr">
        <is>
          <t xml:space="preserve">11 - Restomod / Coachbuilt / Bespoke</t>
        </is>
      </c>
      <c r="M116" s="50">
        <v>505000</v>
      </c>
      <c r="N116" s="48" t="inlineStr">
        <is>
          <t xml:space="preserve">Personal</t>
        </is>
      </c>
      <c r="O116" s="46" t="inlineStr">
        <is>
          <t xml:space="preserve">Personal - regular use</t>
        </is>
      </c>
      <c r="P116" s="46" t="inlineStr">
        <is>
          <t xml:space="preserve">Under 1,000</t>
        </is>
      </c>
      <c r="Q116" s="46" t="inlineStr">
        <is>
          <t xml:space="preserve">New Jersey</t>
        </is>
      </c>
      <c r="R116" s="46" t="inlineStr">
        <is>
          <t xml:space="preserve">07102</t>
        </is>
      </c>
      <c r="S116" s="48" t="inlineStr">
        <is>
          <t xml:space="preserve">Tier 3 - Coastal wind (25-100 miles)</t>
        </is>
      </c>
      <c r="T116" s="36">
        <f>IF($A116="","",IF($S116="","",IFERROR(INDEX('[1]natural catastrophe'!$D$6:$D$17,MATCH($S116,'[1]natural catastrophe'!$B$6:$B$17,0)),"?")))</f>
      </c>
      <c r="U116" s="46" t="inlineStr">
        <is>
          <t xml:space="preserve">2% of agreed value, minimum $10,000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5146.79</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CANON-202607-007803</t>
        </is>
      </c>
      <c r="B117" s="30" t="inlineStr">
        <is>
          <t xml:space="preserve">Noor Bellandi</t>
        </is>
      </c>
      <c r="C117" s="31">
        <v>46230</v>
      </c>
      <c r="D117" s="32" t="inlineStr">
        <is>
          <t xml:space="preserve">Bound - within authority</t>
        </is>
      </c>
      <c r="E117" s="32" t="inlineStr">
        <is>
          <t xml:space="preserve">New business</t>
        </is>
      </c>
      <c r="F117" s="30" t="inlineStr">
        <is>
          <t xml:space="preserve">B1234EXOTIC26</t>
        </is>
      </c>
      <c r="G117" s="33">
        <f>IF($A117="","",IF($C117="","",YEAR($C117)))</f>
      </c>
      <c r="H117" s="34">
        <v>1962</v>
      </c>
      <c r="I117" s="30" t="inlineStr">
        <is>
          <t xml:space="preserve">Mercedes-Benz</t>
        </is>
      </c>
      <c r="J117" s="30" t="inlineStr">
        <is>
          <t xml:space="preserve">AMG GT</t>
        </is>
      </c>
      <c r="K117" s="30" t="inlineStr">
        <is>
          <t xml:space="preserve">1ARHTJ3JS9AKL344L</t>
        </is>
      </c>
      <c r="L117" s="32" t="inlineStr">
        <is>
          <t xml:space="preserve">02 - Sports / GT</t>
        </is>
      </c>
      <c r="M117" s="35">
        <v>290000</v>
      </c>
      <c r="N117" s="32" t="inlineStr">
        <is>
          <t xml:space="preserve">Personal</t>
        </is>
      </c>
      <c r="O117" s="30" t="inlineStr">
        <is>
          <t xml:space="preserve">Personal - regular use</t>
        </is>
      </c>
      <c r="P117" s="30" t="inlineStr">
        <is>
          <t xml:space="preserve">2,500 - 5,000</t>
        </is>
      </c>
      <c r="Q117" s="30" t="inlineStr">
        <is>
          <t xml:space="preserve">Alabama</t>
        </is>
      </c>
      <c r="R117" s="30" t="inlineStr">
        <is>
          <t xml:space="preserve">35203</t>
        </is>
      </c>
      <c r="S117" s="32" t="inlineStr">
        <is>
          <t xml:space="preserve">Tier 2 - Coastal wind (1-25 miles)</t>
        </is>
      </c>
      <c r="T117" s="36">
        <f>IF($A117="","",IF($S117="","",IFERROR(INDEX('[1]natural catastrophe'!$D$6:$D$17,MATCH($S117,'[1]natural catastrophe'!$B$6:$B$17,0)),"?")))</f>
      </c>
      <c r="U117" s="30" t="inlineStr">
        <is>
          <t xml:space="preserve">2% of agreed value, minimum $10,000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3966.17</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CANON-202607-007804</t>
        </is>
      </c>
      <c r="B118" s="46" t="inlineStr">
        <is>
          <t xml:space="preserve">Horace Ashcombe</t>
        </is>
      </c>
      <c r="C118" s="47">
        <v>46227</v>
      </c>
      <c r="D118" s="48" t="inlineStr">
        <is>
          <t xml:space="preserve">Bound - within authority</t>
        </is>
      </c>
      <c r="E118" s="48" t="inlineStr">
        <is>
          <t xml:space="preserve">New business</t>
        </is>
      </c>
      <c r="F118" s="46" t="inlineStr">
        <is>
          <t xml:space="preserve">B1234EXOTIC26</t>
        </is>
      </c>
      <c r="G118" s="33">
        <f>IF($A118="","",IF($C118="","",YEAR($C118)))</f>
      </c>
      <c r="H118" s="49">
        <v>1975</v>
      </c>
      <c r="I118" s="46" t="inlineStr">
        <is>
          <t xml:space="preserve">BMW</t>
        </is>
      </c>
      <c r="J118" s="46" t="inlineStr">
        <is>
          <t xml:space="preserve">M8 Competition</t>
        </is>
      </c>
      <c r="K118" s="46" t="inlineStr">
        <is>
          <t xml:space="preserve">H329FA1FUJBRVF3ZE</t>
        </is>
      </c>
      <c r="L118" s="48" t="inlineStr">
        <is>
          <t xml:space="preserve">02 - Sports / GT</t>
        </is>
      </c>
      <c r="M118" s="50">
        <v>560000</v>
      </c>
      <c r="N118" s="48" t="inlineStr">
        <is>
          <t xml:space="preserve">Personal</t>
        </is>
      </c>
      <c r="O118" s="46" t="inlineStr">
        <is>
          <t xml:space="preserve">Personal - regular use</t>
        </is>
      </c>
      <c r="P118" s="46" t="inlineStr">
        <is>
          <t xml:space="preserve">1,000 - 2,500</t>
        </is>
      </c>
      <c r="Q118" s="46" t="inlineStr">
        <is>
          <t xml:space="preserve">California</t>
        </is>
      </c>
      <c r="R118" s="46" t="inlineStr">
        <is>
          <t xml:space="preserve">90012</t>
        </is>
      </c>
      <c r="S118" s="48" t="inlineStr">
        <is>
          <t xml:space="preserve">Earthquake - high (CA, Cascadia, New Madrid)</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7055.76</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CANON-202607-007805</t>
        </is>
      </c>
      <c r="B119" s="30" t="inlineStr">
        <is>
          <t xml:space="preserve">Fenwick Whitlock</t>
        </is>
      </c>
      <c r="C119" s="31">
        <v>46205</v>
      </c>
      <c r="D119" s="32" t="inlineStr">
        <is>
          <t xml:space="preserve">Bound - within authority</t>
        </is>
      </c>
      <c r="E119" s="32" t="inlineStr">
        <is>
          <t xml:space="preserve">New business</t>
        </is>
      </c>
      <c r="F119" s="30" t="inlineStr">
        <is>
          <t xml:space="preserve">B1234EXOTIC26</t>
        </is>
      </c>
      <c r="G119" s="33">
        <f>IF($A119="","",IF($C119="","",YEAR($C119)))</f>
      </c>
      <c r="H119" s="34">
        <v>1958</v>
      </c>
      <c r="I119" s="30" t="inlineStr">
        <is>
          <t xml:space="preserve">Mercedes-Benz</t>
        </is>
      </c>
      <c r="J119" s="30" t="inlineStr">
        <is>
          <t xml:space="preserve">AMG GT</t>
        </is>
      </c>
      <c r="K119" s="30" t="inlineStr">
        <is>
          <t xml:space="preserve">UTTT6TFYF2YS6TBMY</t>
        </is>
      </c>
      <c r="L119" s="32" t="inlineStr">
        <is>
          <t xml:space="preserve">02 - Sports / GT</t>
        </is>
      </c>
      <c r="M119" s="35">
        <v>1555000</v>
      </c>
      <c r="N119" s="32" t="inlineStr">
        <is>
          <t xml:space="preserve">Personal</t>
        </is>
      </c>
      <c r="O119" s="30" t="inlineStr">
        <is>
          <t xml:space="preserve">Personal - regular use</t>
        </is>
      </c>
      <c r="P119" s="30" t="inlineStr">
        <is>
          <t xml:space="preserve">2,500 - 5,000</t>
        </is>
      </c>
      <c r="Q119" s="30" t="inlineStr">
        <is>
          <t xml:space="preserve">Minnesota</t>
        </is>
      </c>
      <c r="R119" s="30" t="inlineStr">
        <is>
          <t xml:space="preserve">55401</t>
        </is>
      </c>
      <c r="S119" s="32" t="inlineStr">
        <is>
          <t xml:space="preserve">Severe convective - hail / tornado (moderate)</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16209.73</v>
      </c>
      <c r="AC119" s="37">
        <v>0</v>
      </c>
      <c r="AD119" s="38">
        <f>IF(ISNUMBER($AB119),$AB119*(1+N($AC119)),"")</f>
      </c>
      <c r="AE119" s="35">
        <v>350</v>
      </c>
      <c r="AF119" s="35">
        <v>250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CANON-202607-007806</t>
        </is>
      </c>
      <c r="B120" s="46" t="inlineStr">
        <is>
          <t xml:space="preserve">Saoirse Whitlock</t>
        </is>
      </c>
      <c r="C120" s="47">
        <v>46209</v>
      </c>
      <c r="D120" s="48" t="inlineStr">
        <is>
          <t xml:space="preserve">Bound - within authority</t>
        </is>
      </c>
      <c r="E120" s="48" t="inlineStr">
        <is>
          <t xml:space="preserve">New business</t>
        </is>
      </c>
      <c r="F120" s="46" t="inlineStr">
        <is>
          <t xml:space="preserve">B1234EXOTIC26</t>
        </is>
      </c>
      <c r="G120" s="33">
        <f>IF($A120="","",IF($C120="","",YEAR($C120)))</f>
      </c>
      <c r="H120" s="49">
        <v>1975</v>
      </c>
      <c r="I120" s="46" t="inlineStr">
        <is>
          <t xml:space="preserve">Mercedes-Benz</t>
        </is>
      </c>
      <c r="J120" s="46" t="inlineStr">
        <is>
          <t xml:space="preserve">280SL Pagoda</t>
        </is>
      </c>
      <c r="K120" s="46" t="inlineStr">
        <is>
          <t xml:space="preserve">8MX9169UBY0U7T92R</t>
        </is>
      </c>
      <c r="L120" s="48" t="inlineStr">
        <is>
          <t xml:space="preserve">08 - Modern Classic (1973-1999)</t>
        </is>
      </c>
      <c r="M120" s="50">
        <v>680000</v>
      </c>
      <c r="N120" s="48" t="inlineStr">
        <is>
          <t xml:space="preserve">Personal</t>
        </is>
      </c>
      <c r="O120" s="46" t="inlineStr">
        <is>
          <t xml:space="preserve">Personal - regular use</t>
        </is>
      </c>
      <c r="P120" s="46" t="inlineStr">
        <is>
          <t xml:space="preserve">1,000 - 2,500</t>
        </is>
      </c>
      <c r="Q120" s="46" t="inlineStr">
        <is>
          <t xml:space="preserve">Kentucky</t>
        </is>
      </c>
      <c r="R120" s="46" t="inlineStr">
        <is>
          <t xml:space="preserve">40202</t>
        </is>
      </c>
      <c r="S120" s="48" t="inlineStr">
        <is>
          <t xml:space="preserve">Severe convective - hail / tornado (moderate)</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5625.88</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CANON-202607-007807</t>
        </is>
      </c>
      <c r="B121" s="30" t="inlineStr">
        <is>
          <t xml:space="preserve">Fenwick Larsson</t>
        </is>
      </c>
      <c r="C121" s="31">
        <v>46215</v>
      </c>
      <c r="D121" s="32" t="inlineStr">
        <is>
          <t xml:space="preserve">Bound - within authority</t>
        </is>
      </c>
      <c r="E121" s="32" t="inlineStr">
        <is>
          <t xml:space="preserve">New business</t>
        </is>
      </c>
      <c r="F121" s="30" t="inlineStr">
        <is>
          <t xml:space="preserve">B1234EXOTIC26</t>
        </is>
      </c>
      <c r="G121" s="33">
        <f>IF($A121="","",IF($C121="","",YEAR($C121)))</f>
      </c>
      <c r="H121" s="34">
        <v>2015</v>
      </c>
      <c r="I121" s="30" t="inlineStr">
        <is>
          <t xml:space="preserve">Ferrari</t>
        </is>
      </c>
      <c r="J121" s="30" t="inlineStr">
        <is>
          <t xml:space="preserve">296 GTB</t>
        </is>
      </c>
      <c r="K121" s="30" t="inlineStr">
        <is>
          <t xml:space="preserve">TZ4SZFALG3VADRYV6</t>
        </is>
      </c>
      <c r="L121" s="32" t="inlineStr">
        <is>
          <t xml:space="preserve">03 - Supercar</t>
        </is>
      </c>
      <c r="M121" s="35">
        <v>480000</v>
      </c>
      <c r="N121" s="32" t="inlineStr">
        <is>
          <t xml:space="preserve">Personal</t>
        </is>
      </c>
      <c r="O121" s="30" t="inlineStr">
        <is>
          <t xml:space="preserve">Personal - regular use</t>
        </is>
      </c>
      <c r="P121" s="30" t="inlineStr">
        <is>
          <t xml:space="preserve">Under 1,000</t>
        </is>
      </c>
      <c r="Q121" s="30" t="inlineStr">
        <is>
          <t xml:space="preserve">Nebraska</t>
        </is>
      </c>
      <c r="R121" s="30" t="inlineStr">
        <is>
          <t xml:space="preserve">68102</t>
        </is>
      </c>
      <c r="S121" s="32" t="inlineStr">
        <is>
          <t xml:space="preserve">Severe convective - hail alley (high)</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10303.65</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CANON-202607-007808</t>
        </is>
      </c>
      <c r="B122" s="46" t="inlineStr">
        <is>
          <t xml:space="preserve">Marisol Fairweather</t>
        </is>
      </c>
      <c r="C122" s="47">
        <v>46231</v>
      </c>
      <c r="D122" s="48" t="inlineStr">
        <is>
          <t xml:space="preserve">Bound - within authority</t>
        </is>
      </c>
      <c r="E122" s="48" t="inlineStr">
        <is>
          <t xml:space="preserve">New business</t>
        </is>
      </c>
      <c r="F122" s="46" t="inlineStr">
        <is>
          <t xml:space="preserve">B1234EXOTIC26</t>
        </is>
      </c>
      <c r="G122" s="33">
        <f>IF($A122="","",IF($C122="","",YEAR($C122)))</f>
      </c>
      <c r="H122" s="49">
        <v>2000</v>
      </c>
      <c r="I122" s="46" t="inlineStr">
        <is>
          <t xml:space="preserve">BMW</t>
        </is>
      </c>
      <c r="J122" s="46" t="inlineStr">
        <is>
          <t xml:space="preserve">M8 Competition</t>
        </is>
      </c>
      <c r="K122" s="46" t="inlineStr">
        <is>
          <t xml:space="preserve">VK263PGTTKAJMNJ3N</t>
        </is>
      </c>
      <c r="L122" s="48" t="inlineStr">
        <is>
          <t xml:space="preserve">02 - Sports / GT</t>
        </is>
      </c>
      <c r="M122" s="50">
        <v>630000</v>
      </c>
      <c r="N122" s="48" t="inlineStr">
        <is>
          <t xml:space="preserve">Personal</t>
        </is>
      </c>
      <c r="O122" s="46" t="inlineStr">
        <is>
          <t xml:space="preserve">Personal - regular use</t>
        </is>
      </c>
      <c r="P122" s="46" t="inlineStr">
        <is>
          <t xml:space="preserve">1,000 - 2,500</t>
        </is>
      </c>
      <c r="Q122" s="46" t="inlineStr">
        <is>
          <t xml:space="preserve">South Carolina</t>
        </is>
      </c>
      <c r="R122" s="46" t="inlineStr">
        <is>
          <t xml:space="preserve">29401</t>
        </is>
      </c>
      <c r="S122" s="48" t="inlineStr">
        <is>
          <t xml:space="preserve">Tier 2 - Coastal wind (1-25 miles)</t>
        </is>
      </c>
      <c r="T122" s="36">
        <f>IF($A122="","",IF($S122="","",IFERROR(INDEX('[1]natural catastrophe'!$D$6:$D$17,MATCH($S122,'[1]natural catastrophe'!$B$6:$B$17,0)),"?")))</f>
      </c>
      <c r="U122" s="46" t="inlineStr">
        <is>
          <t xml:space="preserve">2% of agreed value, minimum $10,000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7290.95</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CANON-202607-007809</t>
        </is>
      </c>
      <c r="B123" s="30" t="inlineStr">
        <is>
          <t xml:space="preserve">Mireille Fairweather</t>
        </is>
      </c>
      <c r="C123" s="31">
        <v>46227</v>
      </c>
      <c r="D123" s="32" t="inlineStr">
        <is>
          <t xml:space="preserve">Bound - within authority</t>
        </is>
      </c>
      <c r="E123" s="32" t="inlineStr">
        <is>
          <t xml:space="preserve">New business</t>
        </is>
      </c>
      <c r="F123" s="30" t="inlineStr">
        <is>
          <t xml:space="preserve">B1234EXOTIC26</t>
        </is>
      </c>
      <c r="G123" s="33">
        <f>IF($A123="","",IF($C123="","",YEAR($C123)))</f>
      </c>
      <c r="H123" s="34">
        <v>1970</v>
      </c>
      <c r="I123" s="30" t="inlineStr">
        <is>
          <t xml:space="preserve">Ferrari</t>
        </is>
      </c>
      <c r="J123" s="30" t="inlineStr">
        <is>
          <t xml:space="preserve">SF90 Stradale</t>
        </is>
      </c>
      <c r="K123" s="30" t="inlineStr">
        <is>
          <t xml:space="preserve">XTHAPAD783UDKV359</t>
        </is>
      </c>
      <c r="L123" s="32" t="inlineStr">
        <is>
          <t xml:space="preserve">03 - Supercar</t>
        </is>
      </c>
      <c r="M123" s="35">
        <v>1950000</v>
      </c>
      <c r="N123" s="32" t="inlineStr">
        <is>
          <t xml:space="preserve">Personal</t>
        </is>
      </c>
      <c r="O123" s="30" t="inlineStr">
        <is>
          <t xml:space="preserve">Personal - regular use</t>
        </is>
      </c>
      <c r="P123" s="30" t="inlineStr">
        <is>
          <t xml:space="preserve">1,000 - 2,500</t>
        </is>
      </c>
      <c r="Q123" s="30" t="inlineStr">
        <is>
          <t xml:space="preserve">Iowa</t>
        </is>
      </c>
      <c r="R123" s="30" t="inlineStr">
        <is>
          <t xml:space="preserve">50309</t>
        </is>
      </c>
      <c r="S123" s="32" t="inlineStr">
        <is>
          <t xml:space="preserve">Severe convective - hail alley (high)</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24639.17</v>
      </c>
      <c r="AC123" s="37">
        <v>0</v>
      </c>
      <c r="AD123" s="38">
        <f>IF(ISNUMBER($AB123),$AB123*(1+N($AC123)),"")</f>
      </c>
      <c r="AE123" s="35">
        <v>350</v>
      </c>
      <c r="AF123" s="35">
        <v>250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CANON-202607-007810</t>
        </is>
      </c>
      <c r="B124" s="46" t="inlineStr">
        <is>
          <t xml:space="preserve">Fitzgerald Ashcombe</t>
        </is>
      </c>
      <c r="C124" s="47">
        <v>46224</v>
      </c>
      <c r="D124" s="48" t="inlineStr">
        <is>
          <t xml:space="preserve">Bound - within authority</t>
        </is>
      </c>
      <c r="E124" s="48" t="inlineStr">
        <is>
          <t xml:space="preserve">New business</t>
        </is>
      </c>
      <c r="F124" s="46" t="inlineStr">
        <is>
          <t xml:space="preserve">B1234EXOTIC26</t>
        </is>
      </c>
      <c r="G124" s="33">
        <f>IF($A124="","",IF($C124="","",YEAR($C124)))</f>
      </c>
      <c r="H124" s="49">
        <v>1995</v>
      </c>
      <c r="I124" s="46" t="inlineStr">
        <is>
          <t xml:space="preserve">Maserati</t>
        </is>
      </c>
      <c r="J124" s="46" t="inlineStr">
        <is>
          <t xml:space="preserve">GranTurismo</t>
        </is>
      </c>
      <c r="K124" s="46" t="inlineStr">
        <is>
          <t xml:space="preserve">FSU6KT09UGVZLC32F</t>
        </is>
      </c>
      <c r="L124" s="48" t="inlineStr">
        <is>
          <t xml:space="preserve">02 - Sports / GT</t>
        </is>
      </c>
      <c r="M124" s="50">
        <v>985000</v>
      </c>
      <c r="N124" s="48" t="inlineStr">
        <is>
          <t xml:space="preserve">Personal</t>
        </is>
      </c>
      <c r="O124" s="46" t="inlineStr">
        <is>
          <t xml:space="preserve">Personal - regular use</t>
        </is>
      </c>
      <c r="P124" s="46" t="inlineStr">
        <is>
          <t xml:space="preserve">2,500 - 5,000</t>
        </is>
      </c>
      <c r="Q124" s="46" t="inlineStr">
        <is>
          <t xml:space="preserve">Pennsylvania</t>
        </is>
      </c>
      <c r="R124" s="46" t="inlineStr">
        <is>
          <t xml:space="preserve">19103</t>
        </is>
      </c>
      <c r="S124" s="48" t="inlineStr">
        <is>
          <t xml:space="preserve">Low hazard - inland benign</t>
        </is>
      </c>
      <c r="T124" s="36">
        <f>IF($A124="","",IF($S124="","",IFERROR(INDEX('[1]natural catastrophe'!$D$6:$D$17,MATCH($S124,'[1]natural catastrophe'!$B$6:$B$17,0)),"?")))</f>
      </c>
      <c r="U124" s="46" t="inlineStr">
        <is>
          <t xml:space="preserve">$5,000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9193.02</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CANON-202607-007811</t>
        </is>
      </c>
      <c r="B125" s="30" t="inlineStr">
        <is>
          <t xml:space="preserve">Thaddeus Bellandi</t>
        </is>
      </c>
      <c r="C125" s="31">
        <v>46206</v>
      </c>
      <c r="D125" s="32" t="inlineStr">
        <is>
          <t xml:space="preserve">Bound - within authority</t>
        </is>
      </c>
      <c r="E125" s="32" t="inlineStr">
        <is>
          <t xml:space="preserve">New business</t>
        </is>
      </c>
      <c r="F125" s="30" t="inlineStr">
        <is>
          <t xml:space="preserve">B1234EXOTIC26</t>
        </is>
      </c>
      <c r="G125" s="33">
        <f>IF($A125="","",IF($C125="","",YEAR($C125)))</f>
      </c>
      <c r="H125" s="34">
        <v>2012</v>
      </c>
      <c r="I125" s="30" t="inlineStr">
        <is>
          <t xml:space="preserve">Mercedes-Benz</t>
        </is>
      </c>
      <c r="J125" s="30" t="inlineStr">
        <is>
          <t xml:space="preserve">AMG GT</t>
        </is>
      </c>
      <c r="K125" s="30" t="inlineStr">
        <is>
          <t xml:space="preserve">REYEX5GT926USA9MN</t>
        </is>
      </c>
      <c r="L125" s="32" t="inlineStr">
        <is>
          <t xml:space="preserve">02 - Sports / GT</t>
        </is>
      </c>
      <c r="M125" s="35">
        <v>835000</v>
      </c>
      <c r="N125" s="32" t="inlineStr">
        <is>
          <t xml:space="preserve">Personal</t>
        </is>
      </c>
      <c r="O125" s="30" t="inlineStr">
        <is>
          <t xml:space="preserve">Personal - regular use</t>
        </is>
      </c>
      <c r="P125" s="30" t="inlineStr">
        <is>
          <t xml:space="preserve">2,500 - 5,000</t>
        </is>
      </c>
      <c r="Q125" s="30" t="inlineStr">
        <is>
          <t xml:space="preserve">Washington</t>
        </is>
      </c>
      <c r="R125" s="30" t="inlineStr">
        <is>
          <t xml:space="preserve">98101</t>
        </is>
      </c>
      <c r="S125" s="32" t="inlineStr">
        <is>
          <t xml:space="preserve">Earthquake - high (CA, Cascadia, New Madrid)</t>
        </is>
      </c>
      <c r="T125" s="36">
        <f>IF($A125="","",IF($S125="","",IFERROR(INDEX('[1]natural catastrophe'!$D$6:$D$17,MATCH($S125,'[1]natural catastrophe'!$B$6:$B$17,0)),"?")))</f>
      </c>
      <c r="U125" s="30" t="inlineStr">
        <is>
          <t xml:space="preserve">$5,000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7481.35</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CANON-202607-007813</t>
        </is>
      </c>
      <c r="B126" s="46" t="inlineStr">
        <is>
          <t xml:space="preserve">Leopold Blackwood</t>
        </is>
      </c>
      <c r="C126" s="47">
        <v>46205</v>
      </c>
      <c r="D126" s="48" t="inlineStr">
        <is>
          <t xml:space="preserve">Bound - within authority</t>
        </is>
      </c>
      <c r="E126" s="48" t="inlineStr">
        <is>
          <t xml:space="preserve">New business</t>
        </is>
      </c>
      <c r="F126" s="46" t="inlineStr">
        <is>
          <t xml:space="preserve">B1234EXOTIC26</t>
        </is>
      </c>
      <c r="G126" s="33">
        <f>IF($A126="","",IF($C126="","",YEAR($C126)))</f>
      </c>
      <c r="H126" s="49">
        <v>1958</v>
      </c>
      <c r="I126" s="46" t="inlineStr">
        <is>
          <t xml:space="preserve">Bentley</t>
        </is>
      </c>
      <c r="J126" s="46" t="inlineStr">
        <is>
          <t xml:space="preserve">4.5 Litre</t>
        </is>
      </c>
      <c r="K126" s="46" t="inlineStr">
        <is>
          <t xml:space="preserve">GFFVZCJA5DF915U8U</t>
        </is>
      </c>
      <c r="L126" s="48" t="inlineStr">
        <is>
          <t xml:space="preserve">07 - Post-War Classic (1946-1972)</t>
        </is>
      </c>
      <c r="M126" s="50">
        <v>535000</v>
      </c>
      <c r="N126" s="48" t="inlineStr">
        <is>
          <t xml:space="preserve">Personal</t>
        </is>
      </c>
      <c r="O126" s="46" t="inlineStr">
        <is>
          <t xml:space="preserve">Personal - regular use</t>
        </is>
      </c>
      <c r="P126" s="46" t="inlineStr">
        <is>
          <t xml:space="preserve">2,500 - 5,000</t>
        </is>
      </c>
      <c r="Q126" s="46" t="inlineStr">
        <is>
          <t xml:space="preserve">Oregon</t>
        </is>
      </c>
      <c r="R126" s="46" t="inlineStr">
        <is>
          <t xml:space="preserve">97204</t>
        </is>
      </c>
      <c r="S126" s="48" t="inlineStr">
        <is>
          <t xml:space="preserve">Earthquake - high (CA, Cascadia, New Madrid)</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3298.56</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CANON-202607-007814</t>
        </is>
      </c>
      <c r="B127" s="30" t="inlineStr">
        <is>
          <t xml:space="preserve">Delphine Chattopadhyay</t>
        </is>
      </c>
      <c r="C127" s="31">
        <v>46209</v>
      </c>
      <c r="D127" s="32" t="inlineStr">
        <is>
          <t xml:space="preserve">Bound - within authority</t>
        </is>
      </c>
      <c r="E127" s="32" t="inlineStr">
        <is>
          <t xml:space="preserve">New business</t>
        </is>
      </c>
      <c r="F127" s="30" t="inlineStr">
        <is>
          <t xml:space="preserve">B1234EXOTIC26</t>
        </is>
      </c>
      <c r="G127" s="33">
        <f>IF($A127="","",IF($C127="","",YEAR($C127)))</f>
      </c>
      <c r="H127" s="34">
        <v>1995</v>
      </c>
      <c r="I127" s="30" t="inlineStr">
        <is>
          <t xml:space="preserve">Maserati</t>
        </is>
      </c>
      <c r="J127" s="30" t="inlineStr">
        <is>
          <t xml:space="preserve">GranTurismo</t>
        </is>
      </c>
      <c r="K127" s="30" t="inlineStr">
        <is>
          <t xml:space="preserve">7BBJJN8MUG12LPCDE</t>
        </is>
      </c>
      <c r="L127" s="32" t="inlineStr">
        <is>
          <t xml:space="preserve">02 - Sports / GT</t>
        </is>
      </c>
      <c r="M127" s="35">
        <v>1695000</v>
      </c>
      <c r="N127" s="32" t="inlineStr">
        <is>
          <t xml:space="preserve">Personal</t>
        </is>
      </c>
      <c r="O127" s="30" t="inlineStr">
        <is>
          <t xml:space="preserve">Personal - regular use</t>
        </is>
      </c>
      <c r="P127" s="30" t="inlineStr">
        <is>
          <t xml:space="preserve">Under 1,000</t>
        </is>
      </c>
      <c r="Q127" s="30" t="inlineStr">
        <is>
          <t xml:space="preserve">Florida</t>
        </is>
      </c>
      <c r="R127" s="30" t="inlineStr">
        <is>
          <t xml:space="preserve">33139</t>
        </is>
      </c>
      <c r="S127" s="32" t="inlineStr">
        <is>
          <t xml:space="preserve">Tier 2 - Coastal wind (1-25 miles)</t>
        </is>
      </c>
      <c r="T127" s="36">
        <f>IF($A127="","",IF($S127="","",IFERROR(INDEX('[1]natural catastrophe'!$D$6:$D$17,MATCH($S127,'[1]natural catastrophe'!$B$6:$B$17,0)),"?")))</f>
      </c>
      <c r="U127" s="30" t="inlineStr">
        <is>
          <t xml:space="preserve">2% of agreed value, minimum $10,000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19007.69</v>
      </c>
      <c r="AC127" s="37">
        <v>0</v>
      </c>
      <c r="AD127" s="38">
        <f>IF(ISNUMBER($AB127),$AB127*(1+N($AC127)),"")</f>
      </c>
      <c r="AE127" s="35">
        <v>350</v>
      </c>
      <c r="AF127" s="35">
        <v>250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CANON-202607-007815</t>
        </is>
      </c>
      <c r="B128" s="46" t="inlineStr">
        <is>
          <t xml:space="preserve">Beatrix Castellanos</t>
        </is>
      </c>
      <c r="C128" s="47">
        <v>46222</v>
      </c>
      <c r="D128" s="48" t="inlineStr">
        <is>
          <t xml:space="preserve">Bound - within authority</t>
        </is>
      </c>
      <c r="E128" s="48" t="inlineStr">
        <is>
          <t xml:space="preserve">New business</t>
        </is>
      </c>
      <c r="F128" s="46" t="inlineStr">
        <is>
          <t xml:space="preserve">B1234EXOTIC26</t>
        </is>
      </c>
      <c r="G128" s="33">
        <f>IF($A128="","",IF($C128="","",YEAR($C128)))</f>
      </c>
      <c r="H128" s="49">
        <v>1975</v>
      </c>
      <c r="I128" s="46" t="inlineStr">
        <is>
          <t xml:space="preserve">BMW</t>
        </is>
      </c>
      <c r="J128" s="46" t="inlineStr">
        <is>
          <t xml:space="preserve">M8 Competition</t>
        </is>
      </c>
      <c r="K128" s="46" t="inlineStr">
        <is>
          <t xml:space="preserve">E4D9DR1WVCKMAZX4R</t>
        </is>
      </c>
      <c r="L128" s="48" t="inlineStr">
        <is>
          <t xml:space="preserve">02 - Sports / GT</t>
        </is>
      </c>
      <c r="M128" s="50">
        <v>945000</v>
      </c>
      <c r="N128" s="48" t="inlineStr">
        <is>
          <t xml:space="preserve">Personal</t>
        </is>
      </c>
      <c r="O128" s="46" t="inlineStr">
        <is>
          <t xml:space="preserve">Personal - regular use</t>
        </is>
      </c>
      <c r="P128" s="46" t="inlineStr">
        <is>
          <t xml:space="preserve">1,000 - 2,500</t>
        </is>
      </c>
      <c r="Q128" s="46" t="inlineStr">
        <is>
          <t xml:space="preserve">Connecticut</t>
        </is>
      </c>
      <c r="R128" s="46" t="inlineStr">
        <is>
          <t xml:space="preserve">06103</t>
        </is>
      </c>
      <c r="S128" s="48" t="inlineStr">
        <is>
          <t xml:space="preserve">Tier 3 - Coastal wind (25-100 miles)</t>
        </is>
      </c>
      <c r="T128" s="36">
        <f>IF($A128="","",IF($S128="","",IFERROR(INDEX('[1]natural catastrophe'!$D$6:$D$17,MATCH($S128,'[1]natural catastrophe'!$B$6:$B$17,0)),"?")))</f>
      </c>
      <c r="U128" s="46" t="inlineStr">
        <is>
          <t xml:space="preserve">2% of agreed value, minimum $10,000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9878.07</v>
      </c>
      <c r="AC128" s="51">
        <v>0</v>
      </c>
      <c r="AD128" s="38">
        <f>IF(ISNUMBER($AB128),$AB128*(1+N($AC128)),"")</f>
      </c>
      <c r="AE128" s="50">
        <v>350</v>
      </c>
      <c r="AF128" s="50">
        <v>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CANON-202607-007817</t>
        </is>
      </c>
      <c r="B129" s="30" t="inlineStr">
        <is>
          <t xml:space="preserve">Horace Bellandi</t>
        </is>
      </c>
      <c r="C129" s="31">
        <v>46206</v>
      </c>
      <c r="D129" s="32" t="inlineStr">
        <is>
          <t xml:space="preserve">Bound - within authority</t>
        </is>
      </c>
      <c r="E129" s="32" t="inlineStr">
        <is>
          <t xml:space="preserve">New business</t>
        </is>
      </c>
      <c r="F129" s="30" t="inlineStr">
        <is>
          <t xml:space="preserve">B1234EXOTIC26</t>
        </is>
      </c>
      <c r="G129" s="33">
        <f>IF($A129="","",IF($C129="","",YEAR($C129)))</f>
      </c>
      <c r="H129" s="34">
        <v>2024</v>
      </c>
      <c r="I129" s="30" t="inlineStr">
        <is>
          <t xml:space="preserve">Jaguar</t>
        </is>
      </c>
      <c r="J129" s="30" t="inlineStr">
        <is>
          <t xml:space="preserve">E-Type Series 1</t>
        </is>
      </c>
      <c r="K129" s="30" t="inlineStr">
        <is>
          <t xml:space="preserve">B2DM27P9U1RTD253M</t>
        </is>
      </c>
      <c r="L129" s="32" t="inlineStr">
        <is>
          <t xml:space="preserve">02 - Sports / GT</t>
        </is>
      </c>
      <c r="M129" s="35">
        <v>1490000</v>
      </c>
      <c r="N129" s="32" t="inlineStr">
        <is>
          <t xml:space="preserve">Personal</t>
        </is>
      </c>
      <c r="O129" s="30" t="inlineStr">
        <is>
          <t xml:space="preserve">Personal - regular use</t>
        </is>
      </c>
      <c r="P129" s="30" t="inlineStr">
        <is>
          <t xml:space="preserve">2,500 - 5,000</t>
        </is>
      </c>
      <c r="Q129" s="30" t="inlineStr">
        <is>
          <t xml:space="preserve">Delaware</t>
        </is>
      </c>
      <c r="R129" s="30" t="inlineStr">
        <is>
          <t xml:space="preserve">19801</t>
        </is>
      </c>
      <c r="S129" s="32" t="inlineStr">
        <is>
          <t xml:space="preserve">Tier 3 - Coastal wind (25-100 miles)</t>
        </is>
      </c>
      <c r="T129" s="36">
        <f>IF($A129="","",IF($S129="","",IFERROR(INDEX('[1]natural catastrophe'!$D$6:$D$17,MATCH($S129,'[1]natural catastrophe'!$B$6:$B$17,0)),"?")))</f>
      </c>
      <c r="U129" s="30" t="inlineStr">
        <is>
          <t xml:space="preserve">2% of agreed value, minimum $10,000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10162.22</v>
      </c>
      <c r="AC129" s="37">
        <v>0</v>
      </c>
      <c r="AD129" s="38">
        <f>IF(ISNUMBER($AB129),$AB129*(1+N($AC129)),"")</f>
      </c>
      <c r="AE129" s="35">
        <v>350</v>
      </c>
      <c r="AF129" s="35">
        <v>250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CANON-202607-007818</t>
        </is>
      </c>
      <c r="B130" s="46" t="inlineStr">
        <is>
          <t xml:space="preserve">Fenwick Farkas</t>
        </is>
      </c>
      <c r="C130" s="47">
        <v>46222</v>
      </c>
      <c r="D130" s="48" t="inlineStr">
        <is>
          <t xml:space="preserve">Bound - within authority</t>
        </is>
      </c>
      <c r="E130" s="48" t="inlineStr">
        <is>
          <t xml:space="preserve">New business</t>
        </is>
      </c>
      <c r="F130" s="46" t="inlineStr">
        <is>
          <t xml:space="preserve">B1234EXOTIC26</t>
        </is>
      </c>
      <c r="G130" s="33">
        <f>IF($A130="","",IF($C130="","",YEAR($C130)))</f>
      </c>
      <c r="H130" s="49">
        <v>2012</v>
      </c>
      <c r="I130" s="46" t="inlineStr">
        <is>
          <t xml:space="preserve">Aston Martin</t>
        </is>
      </c>
      <c r="J130" s="46" t="inlineStr">
        <is>
          <t xml:space="preserve">DB12</t>
        </is>
      </c>
      <c r="K130" s="46" t="inlineStr">
        <is>
          <t xml:space="preserve">6TZSRXY3E5R6TK35G</t>
        </is>
      </c>
      <c r="L130" s="48" t="inlineStr">
        <is>
          <t xml:space="preserve">02 - Sports / GT</t>
        </is>
      </c>
      <c r="M130" s="50">
        <v>540000</v>
      </c>
      <c r="N130" s="48" t="inlineStr">
        <is>
          <t xml:space="preserve">Personal</t>
        </is>
      </c>
      <c r="O130" s="46" t="inlineStr">
        <is>
          <t xml:space="preserve">Personal - regular use</t>
        </is>
      </c>
      <c r="P130" s="46" t="inlineStr">
        <is>
          <t xml:space="preserve">1,000 - 2,500</t>
        </is>
      </c>
      <c r="Q130" s="46" t="inlineStr">
        <is>
          <t xml:space="preserve">Louisiana</t>
        </is>
      </c>
      <c r="R130" s="46" t="inlineStr">
        <is>
          <t xml:space="preserve">70112</t>
        </is>
      </c>
      <c r="S130" s="48" t="inlineStr">
        <is>
          <t xml:space="preserve">Tier 2 - Coastal wind (1-25 miles)</t>
        </is>
      </c>
      <c r="T130" s="36">
        <f>IF($A130="","",IF($S130="","",IFERROR(INDEX('[1]natural catastrophe'!$D$6:$D$17,MATCH($S130,'[1]natural catastrophe'!$B$6:$B$17,0)),"?")))</f>
      </c>
      <c r="U130" s="46" t="inlineStr">
        <is>
          <t xml:space="preserve">2% of agreed value, minimum $10,000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6098.2</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CANON-202607-007819</t>
        </is>
      </c>
      <c r="B131" s="30" t="inlineStr">
        <is>
          <t xml:space="preserve">Beatrix Montoya</t>
        </is>
      </c>
      <c r="C131" s="31">
        <v>46224</v>
      </c>
      <c r="D131" s="32" t="inlineStr">
        <is>
          <t xml:space="preserve">Bound - within authority</t>
        </is>
      </c>
      <c r="E131" s="32" t="inlineStr">
        <is>
          <t xml:space="preserve">New business</t>
        </is>
      </c>
      <c r="F131" s="30" t="inlineStr">
        <is>
          <t xml:space="preserve">B1234EXOTIC26</t>
        </is>
      </c>
      <c r="G131" s="33">
        <f>IF($A131="","",IF($C131="","",YEAR($C131)))</f>
      </c>
      <c r="H131" s="34">
        <v>1984</v>
      </c>
      <c r="I131" s="30" t="inlineStr">
        <is>
          <t xml:space="preserve">BMW</t>
        </is>
      </c>
      <c r="J131" s="30" t="inlineStr">
        <is>
          <t xml:space="preserve">M8 Competition</t>
        </is>
      </c>
      <c r="K131" s="30" t="inlineStr">
        <is>
          <t xml:space="preserve">AVWP4WFG5N81R423B</t>
        </is>
      </c>
      <c r="L131" s="32" t="inlineStr">
        <is>
          <t xml:space="preserve">02 - Sports / GT</t>
        </is>
      </c>
      <c r="M131" s="35">
        <v>425000</v>
      </c>
      <c r="N131" s="32" t="inlineStr">
        <is>
          <t xml:space="preserve">Personal</t>
        </is>
      </c>
      <c r="O131" s="30" t="inlineStr">
        <is>
          <t xml:space="preserve">Personal - regular use</t>
        </is>
      </c>
      <c r="P131" s="30" t="inlineStr">
        <is>
          <t xml:space="preserve">2,500 - 5,000</t>
        </is>
      </c>
      <c r="Q131" s="30" t="inlineStr">
        <is>
          <t xml:space="preserve">Virginia</t>
        </is>
      </c>
      <c r="R131" s="30" t="inlineStr">
        <is>
          <t xml:space="preserve">23219</t>
        </is>
      </c>
      <c r="S131" s="32" t="inlineStr">
        <is>
          <t xml:space="preserve">Tier 3 - Coastal wind (25-100 miles)</t>
        </is>
      </c>
      <c r="T131" s="36">
        <f>IF($A131="","",IF($S131="","",IFERROR(INDEX('[1]natural catastrophe'!$D$6:$D$17,MATCH($S131,'[1]natural catastrophe'!$B$6:$B$17,0)),"?")))</f>
      </c>
      <c r="U131" s="30" t="inlineStr">
        <is>
          <t xml:space="preserve">2% of agreed value, minimum $10,000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4988.67</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CANON-202607-007820</t>
        </is>
      </c>
      <c r="B132" s="46" t="inlineStr">
        <is>
          <t xml:space="preserve">Horace Pennington</t>
        </is>
      </c>
      <c r="C132" s="47">
        <v>46213</v>
      </c>
      <c r="D132" s="48" t="inlineStr">
        <is>
          <t xml:space="preserve">Bound - within authority</t>
        </is>
      </c>
      <c r="E132" s="48" t="inlineStr">
        <is>
          <t xml:space="preserve">New business</t>
        </is>
      </c>
      <c r="F132" s="46" t="inlineStr">
        <is>
          <t xml:space="preserve">B1234EXOTIC26</t>
        </is>
      </c>
      <c r="G132" s="33">
        <f>IF($A132="","",IF($C132="","",YEAR($C132)))</f>
      </c>
      <c r="H132" s="49">
        <v>1960</v>
      </c>
      <c r="I132" s="46" t="inlineStr">
        <is>
          <t xml:space="preserve">Ferrari</t>
        </is>
      </c>
      <c r="J132" s="46" t="inlineStr">
        <is>
          <t xml:space="preserve">275 GTB/4</t>
        </is>
      </c>
      <c r="K132" s="46" t="inlineStr">
        <is>
          <t xml:space="preserve">T4ZLKH9EPR2FYB8U0</t>
        </is>
      </c>
      <c r="L132" s="48" t="inlineStr">
        <is>
          <t xml:space="preserve">07 - Post-War Classic (1946-1972)</t>
        </is>
      </c>
      <c r="M132" s="50">
        <v>270000</v>
      </c>
      <c r="N132" s="48" t="inlineStr">
        <is>
          <t xml:space="preserve">Personal</t>
        </is>
      </c>
      <c r="O132" s="46" t="inlineStr">
        <is>
          <t xml:space="preserve">Personal - regular use</t>
        </is>
      </c>
      <c r="P132" s="46" t="inlineStr">
        <is>
          <t xml:space="preserve">2,500 - 5,000</t>
        </is>
      </c>
      <c r="Q132" s="46" t="inlineStr">
        <is>
          <t xml:space="preserve">North Dakota</t>
        </is>
      </c>
      <c r="R132" s="46" t="inlineStr">
        <is>
          <t xml:space="preserve">58501</t>
        </is>
      </c>
      <c r="S132" s="48" t="inlineStr">
        <is>
          <t xml:space="preserve">Severe convective - hail alley (high)</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1898.08</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CANON-202607-007824</t>
        </is>
      </c>
      <c r="B133" s="30" t="inlineStr">
        <is>
          <t xml:space="preserve">Lorenzo Vandermeer</t>
        </is>
      </c>
      <c r="C133" s="31">
        <v>46208</v>
      </c>
      <c r="D133" s="32" t="inlineStr">
        <is>
          <t xml:space="preserve">Bound - within authority</t>
        </is>
      </c>
      <c r="E133" s="32" t="inlineStr">
        <is>
          <t xml:space="preserve">New business</t>
        </is>
      </c>
      <c r="F133" s="30" t="inlineStr">
        <is>
          <t xml:space="preserve">B1234EXOTIC26</t>
        </is>
      </c>
      <c r="G133" s="33">
        <f>IF($A133="","",IF($C133="","",YEAR($C133)))</f>
      </c>
      <c r="H133" s="34">
        <v>1965</v>
      </c>
      <c r="I133" s="30" t="inlineStr">
        <is>
          <t xml:space="preserve">Bentley</t>
        </is>
      </c>
      <c r="J133" s="30" t="inlineStr">
        <is>
          <t xml:space="preserve">4.5 Litre</t>
        </is>
      </c>
      <c r="K133" s="30" t="inlineStr">
        <is>
          <t xml:space="preserve">1NG8VUV2AKAGPFHWN</t>
        </is>
      </c>
      <c r="L133" s="32" t="inlineStr">
        <is>
          <t xml:space="preserve">07 - Post-War Classic (1946-1972)</t>
        </is>
      </c>
      <c r="M133" s="35">
        <v>700000</v>
      </c>
      <c r="N133" s="32" t="inlineStr">
        <is>
          <t xml:space="preserve">Personal</t>
        </is>
      </c>
      <c r="O133" s="30" t="inlineStr">
        <is>
          <t xml:space="preserve">Personal - regular use</t>
        </is>
      </c>
      <c r="P133" s="30" t="inlineStr">
        <is>
          <t xml:space="preserve">Under 1,000</t>
        </is>
      </c>
      <c r="Q133" s="30" t="inlineStr">
        <is>
          <t xml:space="preserve">Georgia</t>
        </is>
      </c>
      <c r="R133" s="30" t="inlineStr">
        <is>
          <t xml:space="preserve">30303</t>
        </is>
      </c>
      <c r="S133" s="32" t="inlineStr">
        <is>
          <t xml:space="preserve">Tier 2 - Coastal wind (1-25 miles)</t>
        </is>
      </c>
      <c r="T133" s="36">
        <f>IF($A133="","",IF($S133="","",IFERROR(INDEX('[1]natural catastrophe'!$D$6:$D$17,MATCH($S133,'[1]natural catastrophe'!$B$6:$B$17,0)),"?")))</f>
      </c>
      <c r="U133" s="30" t="inlineStr">
        <is>
          <t xml:space="preserve">2% of agreed value, minimum $10,000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4277.68</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CANON-202607-007825</t>
        </is>
      </c>
      <c r="B134" s="46" t="inlineStr">
        <is>
          <t xml:space="preserve">Wilhelmina Harrington</t>
        </is>
      </c>
      <c r="C134" s="47">
        <v>46217</v>
      </c>
      <c r="D134" s="48" t="inlineStr">
        <is>
          <t xml:space="preserve">Bound - within authority</t>
        </is>
      </c>
      <c r="E134" s="48" t="inlineStr">
        <is>
          <t xml:space="preserve">New business</t>
        </is>
      </c>
      <c r="F134" s="46" t="inlineStr">
        <is>
          <t xml:space="preserve">B1234EXOTIC26</t>
        </is>
      </c>
      <c r="G134" s="33">
        <f>IF($A134="","",IF($C134="","",YEAR($C134)))</f>
      </c>
      <c r="H134" s="49">
        <v>1991</v>
      </c>
      <c r="I134" s="46" t="inlineStr">
        <is>
          <t xml:space="preserve">Ringbrothers</t>
        </is>
      </c>
      <c r="J134" s="46" t="inlineStr">
        <is>
          <t xml:space="preserve">Mustang</t>
        </is>
      </c>
      <c r="K134" s="46" t="inlineStr">
        <is>
          <t xml:space="preserve">96TDK05HN9KUU5K2A</t>
        </is>
      </c>
      <c r="L134" s="48" t="inlineStr">
        <is>
          <t xml:space="preserve">11 - Restomod / Coachbuilt / Bespoke</t>
        </is>
      </c>
      <c r="M134" s="50">
        <v>380000</v>
      </c>
      <c r="N134" s="48" t="inlineStr">
        <is>
          <t xml:space="preserve">Personal</t>
        </is>
      </c>
      <c r="O134" s="46" t="inlineStr">
        <is>
          <t xml:space="preserve">Personal - regular use</t>
        </is>
      </c>
      <c r="P134" s="46" t="inlineStr">
        <is>
          <t xml:space="preserve">1,000 - 2,500</t>
        </is>
      </c>
      <c r="Q134" s="46" t="inlineStr">
        <is>
          <t xml:space="preserve">Georgia</t>
        </is>
      </c>
      <c r="R134" s="46" t="inlineStr">
        <is>
          <t xml:space="preserve">30303</t>
        </is>
      </c>
      <c r="S134" s="48" t="inlineStr">
        <is>
          <t xml:space="preserve">Tier 2 - Coastal wind (1-25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5377.66</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CANON-202607-007826</t>
        </is>
      </c>
      <c r="B135" s="30" t="inlineStr">
        <is>
          <t xml:space="preserve">Fitzgerald Pennington</t>
        </is>
      </c>
      <c r="C135" s="31">
        <v>46209</v>
      </c>
      <c r="D135" s="32" t="inlineStr">
        <is>
          <t xml:space="preserve">Bound - within authority</t>
        </is>
      </c>
      <c r="E135" s="32" t="inlineStr">
        <is>
          <t xml:space="preserve">New business</t>
        </is>
      </c>
      <c r="F135" s="30" t="inlineStr">
        <is>
          <t xml:space="preserve">B1234EXOTIC26</t>
        </is>
      </c>
      <c r="G135" s="33">
        <f>IF($A135="","",IF($C135="","",YEAR($C135)))</f>
      </c>
      <c r="H135" s="34">
        <v>1985</v>
      </c>
      <c r="I135" s="30" t="inlineStr">
        <is>
          <t xml:space="preserve">Maserati</t>
        </is>
      </c>
      <c r="J135" s="30" t="inlineStr">
        <is>
          <t xml:space="preserve">GranTurismo</t>
        </is>
      </c>
      <c r="K135" s="30" t="inlineStr">
        <is>
          <t xml:space="preserve">AJXL4T3KXH2N7LU6Z</t>
        </is>
      </c>
      <c r="L135" s="32" t="inlineStr">
        <is>
          <t xml:space="preserve">02 - Sports / GT</t>
        </is>
      </c>
      <c r="M135" s="35">
        <v>490000</v>
      </c>
      <c r="N135" s="32" t="inlineStr">
        <is>
          <t xml:space="preserve">Personal</t>
        </is>
      </c>
      <c r="O135" s="30" t="inlineStr">
        <is>
          <t xml:space="preserve">Personal - regular use</t>
        </is>
      </c>
      <c r="P135" s="30" t="inlineStr">
        <is>
          <t xml:space="preserve">2,500 - 5,000</t>
        </is>
      </c>
      <c r="Q135" s="30" t="inlineStr">
        <is>
          <t xml:space="preserve">New Mexico</t>
        </is>
      </c>
      <c r="R135" s="30" t="inlineStr">
        <is>
          <t xml:space="preserve">87501</t>
        </is>
      </c>
      <c r="S135" s="32" t="inlineStr">
        <is>
          <t xml:space="preserve">Wildfire - WUI high hazard</t>
        </is>
      </c>
      <c r="T135" s="36">
        <f>IF($A135="","",IF($S135="","",IFERROR(INDEX('[1]natural catastrophe'!$D$6:$D$17,MATCH($S135,'[1]natural catastrophe'!$B$6:$B$17,0)),"?")))</f>
      </c>
      <c r="U135" s="30" t="inlineStr">
        <is>
          <t xml:space="preserve">$5,000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6754.23</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CANON-202607-007827</t>
        </is>
      </c>
      <c r="B136" s="46" t="inlineStr">
        <is>
          <t xml:space="preserve">Noor Larsson</t>
        </is>
      </c>
      <c r="C136" s="47">
        <v>46224</v>
      </c>
      <c r="D136" s="48" t="inlineStr">
        <is>
          <t xml:space="preserve">Bound - within authority</t>
        </is>
      </c>
      <c r="E136" s="48" t="inlineStr">
        <is>
          <t xml:space="preserve">New business</t>
        </is>
      </c>
      <c r="F136" s="46" t="inlineStr">
        <is>
          <t xml:space="preserve">B1234EXOTIC26</t>
        </is>
      </c>
      <c r="G136" s="33">
        <f>IF($A136="","",IF($C136="","",YEAR($C136)))</f>
      </c>
      <c r="H136" s="49">
        <v>1973</v>
      </c>
      <c r="I136" s="46" t="inlineStr">
        <is>
          <t xml:space="preserve">Jaguar</t>
        </is>
      </c>
      <c r="J136" s="46" t="inlineStr">
        <is>
          <t xml:space="preserve">E-Type Series 1</t>
        </is>
      </c>
      <c r="K136" s="46" t="inlineStr">
        <is>
          <t xml:space="preserve">6V2YYV7LWEX7VP46H</t>
        </is>
      </c>
      <c r="L136" s="48" t="inlineStr">
        <is>
          <t xml:space="preserve">08 - Modern Classic (1973-1999)</t>
        </is>
      </c>
      <c r="M136" s="50">
        <v>155000</v>
      </c>
      <c r="N136" s="48" t="inlineStr">
        <is>
          <t xml:space="preserve">Personal</t>
        </is>
      </c>
      <c r="O136" s="46" t="inlineStr">
        <is>
          <t xml:space="preserve">Personal - regular use</t>
        </is>
      </c>
      <c r="P136" s="46" t="inlineStr">
        <is>
          <t xml:space="preserve">1,000 - 2,500</t>
        </is>
      </c>
      <c r="Q136" s="46" t="inlineStr">
        <is>
          <t xml:space="preserve">Delaware</t>
        </is>
      </c>
      <c r="R136" s="46" t="inlineStr">
        <is>
          <t xml:space="preserve">19801</t>
        </is>
      </c>
      <c r="S136" s="48" t="inlineStr">
        <is>
          <t xml:space="preserve">Tier 3 - Coastal wind (25-100 miles)</t>
        </is>
      </c>
      <c r="T136" s="36">
        <f>IF($A136="","",IF($S136="","",IFERROR(INDEX('[1]natural catastrophe'!$D$6:$D$17,MATCH($S136,'[1]natural catastrophe'!$B$6:$B$17,0)),"?")))</f>
      </c>
      <c r="U136" s="46" t="inlineStr">
        <is>
          <t xml:space="preserve">2% of agreed value, minimum $10,000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1585.72</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CANON-202607-007828</t>
        </is>
      </c>
      <c r="B137" s="30" t="inlineStr">
        <is>
          <t xml:space="preserve">Mireille Larsson</t>
        </is>
      </c>
      <c r="C137" s="31">
        <v>46206</v>
      </c>
      <c r="D137" s="32" t="inlineStr">
        <is>
          <t xml:space="preserve">Bound - within authority</t>
        </is>
      </c>
      <c r="E137" s="32" t="inlineStr">
        <is>
          <t xml:space="preserve">New business</t>
        </is>
      </c>
      <c r="F137" s="30" t="inlineStr">
        <is>
          <t xml:space="preserve">B1234EXOTIC26</t>
        </is>
      </c>
      <c r="G137" s="33">
        <f>IF($A137="","",IF($C137="","",YEAR($C137)))</f>
      </c>
      <c r="H137" s="34">
        <v>1982</v>
      </c>
      <c r="I137" s="30" t="inlineStr">
        <is>
          <t xml:space="preserve">Mercedes-Benz</t>
        </is>
      </c>
      <c r="J137" s="30" t="inlineStr">
        <is>
          <t xml:space="preserve">AMG GT</t>
        </is>
      </c>
      <c r="K137" s="30" t="inlineStr">
        <is>
          <t xml:space="preserve">55MV627HDTW2157D8</t>
        </is>
      </c>
      <c r="L137" s="32" t="inlineStr">
        <is>
          <t xml:space="preserve">02 - Sports / GT</t>
        </is>
      </c>
      <c r="M137" s="35">
        <v>310000</v>
      </c>
      <c r="N137" s="32" t="inlineStr">
        <is>
          <t xml:space="preserve">Personal</t>
        </is>
      </c>
      <c r="O137" s="30" t="inlineStr">
        <is>
          <t xml:space="preserve">Personal - regular use</t>
        </is>
      </c>
      <c r="P137" s="30" t="inlineStr">
        <is>
          <t xml:space="preserve">2,500 - 5,000</t>
        </is>
      </c>
      <c r="Q137" s="30" t="inlineStr">
        <is>
          <t xml:space="preserve">Iowa</t>
        </is>
      </c>
      <c r="R137" s="30" t="inlineStr">
        <is>
          <t xml:space="preserve">50309</t>
        </is>
      </c>
      <c r="S137" s="32" t="inlineStr">
        <is>
          <t xml:space="preserve">Severe convective - hail alley (high)</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3672.18</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CANON-202607-007829</t>
        </is>
      </c>
      <c r="B138" s="46" t="inlineStr">
        <is>
          <t xml:space="preserve">Aurelio Larsson</t>
        </is>
      </c>
      <c r="C138" s="47">
        <v>46224</v>
      </c>
      <c r="D138" s="48" t="inlineStr">
        <is>
          <t xml:space="preserve">Bound - within authority</t>
        </is>
      </c>
      <c r="E138" s="48" t="inlineStr">
        <is>
          <t xml:space="preserve">New business</t>
        </is>
      </c>
      <c r="F138" s="46" t="inlineStr">
        <is>
          <t xml:space="preserve">B1234EXOTIC26</t>
        </is>
      </c>
      <c r="G138" s="33">
        <f>IF($A138="","",IF($C138="","",YEAR($C138)))</f>
      </c>
      <c r="H138" s="49">
        <v>1989</v>
      </c>
      <c r="I138" s="46" t="inlineStr">
        <is>
          <t xml:space="preserve">Porsche</t>
        </is>
      </c>
      <c r="J138" s="46" t="inlineStr">
        <is>
          <t xml:space="preserve">911 Turbo S</t>
        </is>
      </c>
      <c r="K138" s="46" t="inlineStr">
        <is>
          <t xml:space="preserve">T674HZFGBGTP8A9VN</t>
        </is>
      </c>
      <c r="L138" s="48" t="inlineStr">
        <is>
          <t xml:space="preserve">02 - Sports / GT</t>
        </is>
      </c>
      <c r="M138" s="50">
        <v>510000</v>
      </c>
      <c r="N138" s="48" t="inlineStr">
        <is>
          <t xml:space="preserve">Personal</t>
        </is>
      </c>
      <c r="O138" s="46" t="inlineStr">
        <is>
          <t xml:space="preserve">Personal - regular use</t>
        </is>
      </c>
      <c r="P138" s="46" t="inlineStr">
        <is>
          <t xml:space="preserve">Under 1,000</t>
        </is>
      </c>
      <c r="Q138" s="46" t="inlineStr">
        <is>
          <t xml:space="preserve">Texas</t>
        </is>
      </c>
      <c r="R138" s="46" t="inlineStr">
        <is>
          <t xml:space="preserve">75201</t>
        </is>
      </c>
      <c r="S138" s="48" t="inlineStr">
        <is>
          <t xml:space="preserve">Tier 2 - Coastal wind (1-25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5473.81</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CANON-202607-007830</t>
        </is>
      </c>
      <c r="B139" s="30" t="inlineStr">
        <is>
          <t xml:space="preserve">Lorenzo Harrington</t>
        </is>
      </c>
      <c r="C139" s="31">
        <v>46217</v>
      </c>
      <c r="D139" s="32" t="inlineStr">
        <is>
          <t xml:space="preserve">Bound - within authority</t>
        </is>
      </c>
      <c r="E139" s="32" t="inlineStr">
        <is>
          <t xml:space="preserve">New business</t>
        </is>
      </c>
      <c r="F139" s="30" t="inlineStr">
        <is>
          <t xml:space="preserve">B1234EXOTIC26</t>
        </is>
      </c>
      <c r="G139" s="33">
        <f>IF($A139="","",IF($C139="","",YEAR($C139)))</f>
      </c>
      <c r="H139" s="34">
        <v>2015</v>
      </c>
      <c r="I139" s="30" t="inlineStr">
        <is>
          <t xml:space="preserve">Maserati</t>
        </is>
      </c>
      <c r="J139" s="30" t="inlineStr">
        <is>
          <t xml:space="preserve">GranTurismo</t>
        </is>
      </c>
      <c r="K139" s="30" t="inlineStr">
        <is>
          <t xml:space="preserve">0FPU19TBKFRN7XBSM</t>
        </is>
      </c>
      <c r="L139" s="32" t="inlineStr">
        <is>
          <t xml:space="preserve">02 - Sports / GT</t>
        </is>
      </c>
      <c r="M139" s="35">
        <v>875000</v>
      </c>
      <c r="N139" s="32" t="inlineStr">
        <is>
          <t xml:space="preserve">Personal</t>
        </is>
      </c>
      <c r="O139" s="30" t="inlineStr">
        <is>
          <t xml:space="preserve">Personal - regular use</t>
        </is>
      </c>
      <c r="P139" s="30" t="inlineStr">
        <is>
          <t xml:space="preserve">Under 1,000</t>
        </is>
      </c>
      <c r="Q139" s="30" t="inlineStr">
        <is>
          <t xml:space="preserve">Oregon</t>
        </is>
      </c>
      <c r="R139" s="30" t="inlineStr">
        <is>
          <t xml:space="preserve">97204</t>
        </is>
      </c>
      <c r="S139" s="32" t="inlineStr">
        <is>
          <t xml:space="preserve">Earthquake - high (CA, Cascadia, New Madrid)</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9228.02</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CANON-202607-007831</t>
        </is>
      </c>
      <c r="B140" s="46" t="inlineStr">
        <is>
          <t xml:space="preserve">Priya Montoya</t>
        </is>
      </c>
      <c r="C140" s="47">
        <v>46225</v>
      </c>
      <c r="D140" s="48" t="inlineStr">
        <is>
          <t xml:space="preserve">Bound - within authority</t>
        </is>
      </c>
      <c r="E140" s="48" t="inlineStr">
        <is>
          <t xml:space="preserve">New business</t>
        </is>
      </c>
      <c r="F140" s="46" t="inlineStr">
        <is>
          <t xml:space="preserve">B1234EXOTIC26</t>
        </is>
      </c>
      <c r="G140" s="33">
        <f>IF($A140="","",IF($C140="","",YEAR($C140)))</f>
      </c>
      <c r="H140" s="49">
        <v>2013</v>
      </c>
      <c r="I140" s="46" t="inlineStr">
        <is>
          <t xml:space="preserve">BMW</t>
        </is>
      </c>
      <c r="J140" s="46" t="inlineStr">
        <is>
          <t xml:space="preserve">M8 Competition</t>
        </is>
      </c>
      <c r="K140" s="46" t="inlineStr">
        <is>
          <t xml:space="preserve">ZFH28YAMACVNZ2UKX</t>
        </is>
      </c>
      <c r="L140" s="48" t="inlineStr">
        <is>
          <t xml:space="preserve">02 - Sports / GT</t>
        </is>
      </c>
      <c r="M140" s="50">
        <v>1735000</v>
      </c>
      <c r="N140" s="48" t="inlineStr">
        <is>
          <t xml:space="preserve">Personal</t>
        </is>
      </c>
      <c r="O140" s="46" t="inlineStr">
        <is>
          <t xml:space="preserve">Personal - regular use</t>
        </is>
      </c>
      <c r="P140" s="46" t="inlineStr">
        <is>
          <t xml:space="preserve">2,500 - 5,000</t>
        </is>
      </c>
      <c r="Q140" s="46" t="inlineStr">
        <is>
          <t xml:space="preserve">Florida</t>
        </is>
      </c>
      <c r="R140" s="46" t="inlineStr">
        <is>
          <t xml:space="preserve">33139</t>
        </is>
      </c>
      <c r="S140" s="48" t="inlineStr">
        <is>
          <t xml:space="preserve">Tier 2 - Coastal wind (1-25 miles)</t>
        </is>
      </c>
      <c r="T140" s="36">
        <f>IF($A140="","",IF($S140="","",IFERROR(INDEX('[1]natural catastrophe'!$D$6:$D$17,MATCH($S140,'[1]natural catastrophe'!$B$6:$B$17,0)),"?")))</f>
      </c>
      <c r="U140" s="46" t="inlineStr">
        <is>
          <t xml:space="preserve">2% of agreed value, minimum $10,000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19456.26</v>
      </c>
      <c r="AC140" s="51">
        <v>0</v>
      </c>
      <c r="AD140" s="38">
        <f>IF(ISNUMBER($AB140),$AB140*(1+N($AC140)),"")</f>
      </c>
      <c r="AE140" s="50">
        <v>350</v>
      </c>
      <c r="AF140" s="50">
        <v>250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CANON-202607-007832</t>
        </is>
      </c>
      <c r="B141" s="30" t="inlineStr">
        <is>
          <t xml:space="preserve">Everett Okonkwo</t>
        </is>
      </c>
      <c r="C141" s="31">
        <v>46204</v>
      </c>
      <c r="D141" s="32" t="inlineStr">
        <is>
          <t xml:space="preserve">Bound - within authority</t>
        </is>
      </c>
      <c r="E141" s="32" t="inlineStr">
        <is>
          <t xml:space="preserve">New business</t>
        </is>
      </c>
      <c r="F141" s="30" t="inlineStr">
        <is>
          <t xml:space="preserve">B1234EXOTIC26</t>
        </is>
      </c>
      <c r="G141" s="33">
        <f>IF($A141="","",IF($C141="","",YEAR($C141)))</f>
      </c>
      <c r="H141" s="34">
        <v>2001</v>
      </c>
      <c r="I141" s="30" t="inlineStr">
        <is>
          <t xml:space="preserve">Mercedes-Benz</t>
        </is>
      </c>
      <c r="J141" s="30" t="inlineStr">
        <is>
          <t xml:space="preserve">AMG GT</t>
        </is>
      </c>
      <c r="K141" s="30" t="inlineStr">
        <is>
          <t xml:space="preserve">PKFWZTFVFXBNN7YRU</t>
        </is>
      </c>
      <c r="L141" s="32" t="inlineStr">
        <is>
          <t xml:space="preserve">02 - Sports / GT</t>
        </is>
      </c>
      <c r="M141" s="35">
        <v>860000</v>
      </c>
      <c r="N141" s="32" t="inlineStr">
        <is>
          <t xml:space="preserve">Personal</t>
        </is>
      </c>
      <c r="O141" s="30" t="inlineStr">
        <is>
          <t xml:space="preserve">Personal - regular use</t>
        </is>
      </c>
      <c r="P141" s="30" t="inlineStr">
        <is>
          <t xml:space="preserve">Under 1,000</t>
        </is>
      </c>
      <c r="Q141" s="30" t="inlineStr">
        <is>
          <t xml:space="preserve">New York</t>
        </is>
      </c>
      <c r="R141" s="30" t="inlineStr">
        <is>
          <t xml:space="preserve">10022</t>
        </is>
      </c>
      <c r="S141" s="32" t="inlineStr">
        <is>
          <t xml:space="preserve">Tier 3 - Coastal wind (25-100 miles)</t>
        </is>
      </c>
      <c r="T141" s="36">
        <f>IF($A141="","",IF($S141="","",IFERROR(INDEX('[1]natural catastrophe'!$D$6:$D$17,MATCH($S141,'[1]natural catastrophe'!$B$6:$B$17,0)),"?")))</f>
      </c>
      <c r="U141" s="30" t="inlineStr">
        <is>
          <t xml:space="preserve">2% of agreed value, minimum $10,000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10273.79</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CANON-202607-007833</t>
        </is>
      </c>
      <c r="B142" s="46" t="inlineStr">
        <is>
          <t xml:space="preserve">Leopold Castellanos</t>
        </is>
      </c>
      <c r="C142" s="47">
        <v>46218</v>
      </c>
      <c r="D142" s="48" t="inlineStr">
        <is>
          <t xml:space="preserve">Bound - within authority</t>
        </is>
      </c>
      <c r="E142" s="48" t="inlineStr">
        <is>
          <t xml:space="preserve">New business</t>
        </is>
      </c>
      <c r="F142" s="46" t="inlineStr">
        <is>
          <t xml:space="preserve">B1234EXOTIC26</t>
        </is>
      </c>
      <c r="G142" s="33">
        <f>IF($A142="","",IF($C142="","",YEAR($C142)))</f>
      </c>
      <c r="H142" s="49">
        <v>1966</v>
      </c>
      <c r="I142" s="46" t="inlineStr">
        <is>
          <t xml:space="preserve">Bentley</t>
        </is>
      </c>
      <c r="J142" s="46" t="inlineStr">
        <is>
          <t xml:space="preserve">Continental GT</t>
        </is>
      </c>
      <c r="K142" s="46" t="inlineStr">
        <is>
          <t xml:space="preserve">YXE141FWUB5GATKEW</t>
        </is>
      </c>
      <c r="L142" s="48" t="inlineStr">
        <is>
          <t xml:space="preserve">02 - Sports / GT</t>
        </is>
      </c>
      <c r="M142" s="50">
        <v>915000</v>
      </c>
      <c r="N142" s="48" t="inlineStr">
        <is>
          <t xml:space="preserve">Personal</t>
        </is>
      </c>
      <c r="O142" s="46" t="inlineStr">
        <is>
          <t xml:space="preserve">Personal - regular use</t>
        </is>
      </c>
      <c r="P142" s="46" t="inlineStr">
        <is>
          <t xml:space="preserve">Under 1,000</t>
        </is>
      </c>
      <c r="Q142" s="46" t="inlineStr">
        <is>
          <t xml:space="preserve">Kentucky</t>
        </is>
      </c>
      <c r="R142" s="46" t="inlineStr">
        <is>
          <t xml:space="preserve">40202</t>
        </is>
      </c>
      <c r="S142" s="48" t="inlineStr">
        <is>
          <t xml:space="preserve">Severe convective - hail / tornado (moderate)</t>
        </is>
      </c>
      <c r="T142" s="36">
        <f>IF($A142="","",IF($S142="","",IFERROR(INDEX('[1]natural catastrophe'!$D$6:$D$17,MATCH($S142,'[1]natural catastrophe'!$B$6:$B$17,0)),"?")))</f>
      </c>
      <c r="U142" s="46" t="inlineStr">
        <is>
          <t xml:space="preserve">$5,000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11443.22</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CANON-202607-007835</t>
        </is>
      </c>
      <c r="B143" s="30" t="inlineStr">
        <is>
          <t xml:space="preserve">Everett Montoya</t>
        </is>
      </c>
      <c r="C143" s="31">
        <v>46217</v>
      </c>
      <c r="D143" s="32" t="inlineStr">
        <is>
          <t xml:space="preserve">Bound - within authority</t>
        </is>
      </c>
      <c r="E143" s="32" t="inlineStr">
        <is>
          <t xml:space="preserve">New business</t>
        </is>
      </c>
      <c r="F143" s="30" t="inlineStr">
        <is>
          <t xml:space="preserve">B1234EXOTIC26</t>
        </is>
      </c>
      <c r="G143" s="33">
        <f>IF($A143="","",IF($C143="","",YEAR($C143)))</f>
      </c>
      <c r="H143" s="34">
        <v>1996</v>
      </c>
      <c r="I143" s="30" t="inlineStr">
        <is>
          <t xml:space="preserve">Ferrari</t>
        </is>
      </c>
      <c r="J143" s="30" t="inlineStr">
        <is>
          <t xml:space="preserve">275 GTB/4</t>
        </is>
      </c>
      <c r="K143" s="30" t="inlineStr">
        <is>
          <t xml:space="preserve">Y2HNERPYAFZK00H04</t>
        </is>
      </c>
      <c r="L143" s="32" t="inlineStr">
        <is>
          <t xml:space="preserve">08 - Modern Classic (1973-1999)</t>
        </is>
      </c>
      <c r="M143" s="35">
        <v>550000</v>
      </c>
      <c r="N143" s="32" t="inlineStr">
        <is>
          <t xml:space="preserve">Personal</t>
        </is>
      </c>
      <c r="O143" s="30" t="inlineStr">
        <is>
          <t xml:space="preserve">Personal - regular use</t>
        </is>
      </c>
      <c r="P143" s="30" t="inlineStr">
        <is>
          <t xml:space="preserve">Under 1,000</t>
        </is>
      </c>
      <c r="Q143" s="30" t="inlineStr">
        <is>
          <t xml:space="preserve">Indiana</t>
        </is>
      </c>
      <c r="R143" s="30" t="inlineStr">
        <is>
          <t xml:space="preserve">46204</t>
        </is>
      </c>
      <c r="S143" s="32" t="inlineStr">
        <is>
          <t xml:space="preserve">Severe convective - hail / tornado (moderate)</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4176.81</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CANON-202607-007836</t>
        </is>
      </c>
      <c r="B144" s="46" t="inlineStr">
        <is>
          <t xml:space="preserve">Priya Pennington</t>
        </is>
      </c>
      <c r="C144" s="47">
        <v>46218</v>
      </c>
      <c r="D144" s="48" t="inlineStr">
        <is>
          <t xml:space="preserve">Bound - within authority</t>
        </is>
      </c>
      <c r="E144" s="48" t="inlineStr">
        <is>
          <t xml:space="preserve">New business</t>
        </is>
      </c>
      <c r="F144" s="46" t="inlineStr">
        <is>
          <t xml:space="preserve">B1234EXOTIC26</t>
        </is>
      </c>
      <c r="G144" s="33">
        <f>IF($A144="","",IF($C144="","",YEAR($C144)))</f>
      </c>
      <c r="H144" s="49">
        <v>1959</v>
      </c>
      <c r="I144" s="46" t="inlineStr">
        <is>
          <t xml:space="preserve">Lamborghini</t>
        </is>
      </c>
      <c r="J144" s="46" t="inlineStr">
        <is>
          <t xml:space="preserve">Huracan EVO</t>
        </is>
      </c>
      <c r="K144" s="46" t="inlineStr">
        <is>
          <t xml:space="preserve">WFHETAZL4R7B6UND5</t>
        </is>
      </c>
      <c r="L144" s="48" t="inlineStr">
        <is>
          <t xml:space="preserve">03 - Supercar</t>
        </is>
      </c>
      <c r="M144" s="50">
        <v>1950000</v>
      </c>
      <c r="N144" s="48" t="inlineStr">
        <is>
          <t xml:space="preserve">Personal</t>
        </is>
      </c>
      <c r="O144" s="46" t="inlineStr">
        <is>
          <t xml:space="preserve">Personal - regular use</t>
        </is>
      </c>
      <c r="P144" s="46" t="inlineStr">
        <is>
          <t xml:space="preserve">1,000 - 2,500</t>
        </is>
      </c>
      <c r="Q144" s="46" t="inlineStr">
        <is>
          <t xml:space="preserve">Alaska</t>
        </is>
      </c>
      <c r="R144" s="46" t="inlineStr">
        <is>
          <t xml:space="preserve">99501</t>
        </is>
      </c>
      <c r="S144" s="48" t="inlineStr">
        <is>
          <t xml:space="preserve">Earthquake - high (CA, Cascadia, New Madrid)</t>
        </is>
      </c>
      <c r="T144" s="36">
        <f>IF($A144="","",IF($S144="","",IFERROR(INDEX('[1]natural catastrophe'!$D$6:$D$17,MATCH($S144,'[1]natural catastrophe'!$B$6:$B$17,0)),"?")))</f>
      </c>
      <c r="U144" s="46" t="inlineStr">
        <is>
          <t xml:space="preserve">$5,000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25535.14</v>
      </c>
      <c r="AC144" s="51">
        <v>0</v>
      </c>
      <c r="AD144" s="38">
        <f>IF(ISNUMBER($AB144),$AB144*(1+N($AC144)),"")</f>
      </c>
      <c r="AE144" s="50">
        <v>350</v>
      </c>
      <c r="AF144" s="50">
        <v>250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CANON-202607-007837</t>
        </is>
      </c>
      <c r="B145" s="30" t="inlineStr">
        <is>
          <t xml:space="preserve">Aurelio Chattopadhyay</t>
        </is>
      </c>
      <c r="C145" s="31">
        <v>46213</v>
      </c>
      <c r="D145" s="32" t="inlineStr">
        <is>
          <t xml:space="preserve">Bound - within authority</t>
        </is>
      </c>
      <c r="E145" s="32" t="inlineStr">
        <is>
          <t xml:space="preserve">New business</t>
        </is>
      </c>
      <c r="F145" s="30" t="inlineStr">
        <is>
          <t xml:space="preserve">B1234EXOTIC26</t>
        </is>
      </c>
      <c r="G145" s="33">
        <f>IF($A145="","",IF($C145="","",YEAR($C145)))</f>
      </c>
      <c r="H145" s="34">
        <v>1978</v>
      </c>
      <c r="I145" s="30" t="inlineStr">
        <is>
          <t xml:space="preserve">Aston Martin</t>
        </is>
      </c>
      <c r="J145" s="30" t="inlineStr">
        <is>
          <t xml:space="preserve">DB5</t>
        </is>
      </c>
      <c r="K145" s="30" t="inlineStr">
        <is>
          <t xml:space="preserve">VZV0EVG6VAP9CLK0D</t>
        </is>
      </c>
      <c r="L145" s="32" t="inlineStr">
        <is>
          <t xml:space="preserve">08 - Modern Classic (1973-1999)</t>
        </is>
      </c>
      <c r="M145" s="35">
        <v>1950000</v>
      </c>
      <c r="N145" s="32" t="inlineStr">
        <is>
          <t xml:space="preserve">Personal</t>
        </is>
      </c>
      <c r="O145" s="30" t="inlineStr">
        <is>
          <t xml:space="preserve">Personal - regular use</t>
        </is>
      </c>
      <c r="P145" s="30" t="inlineStr">
        <is>
          <t xml:space="preserve">1,000 - 2,500</t>
        </is>
      </c>
      <c r="Q145" s="30" t="inlineStr">
        <is>
          <t xml:space="preserve">Tennessee</t>
        </is>
      </c>
      <c r="R145" s="30" t="inlineStr">
        <is>
          <t xml:space="preserve">37203</t>
        </is>
      </c>
      <c r="S145" s="32" t="inlineStr">
        <is>
          <t xml:space="preserve">Severe convective - hail / tornado (moderate)</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10426.85</v>
      </c>
      <c r="AC145" s="37">
        <v>0</v>
      </c>
      <c r="AD145" s="38">
        <f>IF(ISNUMBER($AB145),$AB145*(1+N($AC145)),"")</f>
      </c>
      <c r="AE145" s="35">
        <v>350</v>
      </c>
      <c r="AF145" s="35">
        <v>250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CANON-202607-007838</t>
        </is>
      </c>
      <c r="B146" s="46" t="inlineStr">
        <is>
          <t xml:space="preserve">Fenwick Castellanos</t>
        </is>
      </c>
      <c r="C146" s="47">
        <v>46225</v>
      </c>
      <c r="D146" s="48" t="inlineStr">
        <is>
          <t xml:space="preserve">Bound - within authority</t>
        </is>
      </c>
      <c r="E146" s="48" t="inlineStr">
        <is>
          <t xml:space="preserve">New business</t>
        </is>
      </c>
      <c r="F146" s="46" t="inlineStr">
        <is>
          <t xml:space="preserve">B1234EXOTIC26</t>
        </is>
      </c>
      <c r="G146" s="33">
        <f>IF($A146="","",IF($C146="","",YEAR($C146)))</f>
      </c>
      <c r="H146" s="49">
        <v>1976</v>
      </c>
      <c r="I146" s="46" t="inlineStr">
        <is>
          <t xml:space="preserve">Porsche</t>
        </is>
      </c>
      <c r="J146" s="46" t="inlineStr">
        <is>
          <t xml:space="preserve">911 Turbo S</t>
        </is>
      </c>
      <c r="K146" s="46" t="inlineStr">
        <is>
          <t xml:space="preserve">884V123CXVW9DXVPX</t>
        </is>
      </c>
      <c r="L146" s="48" t="inlineStr">
        <is>
          <t xml:space="preserve">02 - Sports / GT</t>
        </is>
      </c>
      <c r="M146" s="50">
        <v>875000</v>
      </c>
      <c r="N146" s="48" t="inlineStr">
        <is>
          <t xml:space="preserve">Personal</t>
        </is>
      </c>
      <c r="O146" s="46" t="inlineStr">
        <is>
          <t xml:space="preserve">Personal - regular use</t>
        </is>
      </c>
      <c r="P146" s="46" t="inlineStr">
        <is>
          <t xml:space="preserve">2,500 - 5,000</t>
        </is>
      </c>
      <c r="Q146" s="46" t="inlineStr">
        <is>
          <t xml:space="preserve">Florida</t>
        </is>
      </c>
      <c r="R146" s="46" t="inlineStr">
        <is>
          <t xml:space="preserve">33139</t>
        </is>
      </c>
      <c r="S146" s="48" t="inlineStr">
        <is>
          <t xml:space="preserve">Tier 2 - Coastal wind (1-25 miles)</t>
        </is>
      </c>
      <c r="T146" s="36">
        <f>IF($A146="","",IF($S146="","",IFERROR(INDEX('[1]natural catastrophe'!$D$6:$D$17,MATCH($S146,'[1]natural catastrophe'!$B$6:$B$17,0)),"?")))</f>
      </c>
      <c r="U146" s="46" t="inlineStr">
        <is>
          <t xml:space="preserve">2% of agreed value, minimum $10,000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11596.28</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CANON-202607-007839</t>
        </is>
      </c>
      <c r="B147" s="30" t="inlineStr">
        <is>
          <t xml:space="preserve">Wilhelmina Whitlock</t>
        </is>
      </c>
      <c r="C147" s="31">
        <v>46208</v>
      </c>
      <c r="D147" s="32" t="inlineStr">
        <is>
          <t xml:space="preserve">Bound - within authority</t>
        </is>
      </c>
      <c r="E147" s="32" t="inlineStr">
        <is>
          <t xml:space="preserve">New business</t>
        </is>
      </c>
      <c r="F147" s="30" t="inlineStr">
        <is>
          <t xml:space="preserve">B1234EXOTIC26</t>
        </is>
      </c>
      <c r="G147" s="33">
        <f>IF($A147="","",IF($C147="","",YEAR($C147)))</f>
      </c>
      <c r="H147" s="34">
        <v>1963</v>
      </c>
      <c r="I147" s="30" t="inlineStr">
        <is>
          <t xml:space="preserve">Porsche</t>
        </is>
      </c>
      <c r="J147" s="30" t="inlineStr">
        <is>
          <t xml:space="preserve">911 Turbo S</t>
        </is>
      </c>
      <c r="K147" s="30" t="inlineStr">
        <is>
          <t xml:space="preserve">N3BBFBN16YC847AYV</t>
        </is>
      </c>
      <c r="L147" s="32" t="inlineStr">
        <is>
          <t xml:space="preserve">02 - Sports / GT</t>
        </is>
      </c>
      <c r="M147" s="35">
        <v>945000</v>
      </c>
      <c r="N147" s="32" t="inlineStr">
        <is>
          <t xml:space="preserve">Personal</t>
        </is>
      </c>
      <c r="O147" s="30" t="inlineStr">
        <is>
          <t xml:space="preserve">Personal - regular use</t>
        </is>
      </c>
      <c r="P147" s="30" t="inlineStr">
        <is>
          <t xml:space="preserve">2,500 - 5,000</t>
        </is>
      </c>
      <c r="Q147" s="30" t="inlineStr">
        <is>
          <t xml:space="preserve">Missouri</t>
        </is>
      </c>
      <c r="R147" s="30" t="inlineStr">
        <is>
          <t xml:space="preserve">63101</t>
        </is>
      </c>
      <c r="S147" s="32" t="inlineStr">
        <is>
          <t xml:space="preserve">Severe convective - hail / tornado (moderate)</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9348.89</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CANON-202607-007840</t>
        </is>
      </c>
      <c r="B148" s="46" t="inlineStr">
        <is>
          <t xml:space="preserve">Fenwick Thistlewood</t>
        </is>
      </c>
      <c r="C148" s="47">
        <v>46228</v>
      </c>
      <c r="D148" s="48" t="inlineStr">
        <is>
          <t xml:space="preserve">Bound - within authority</t>
        </is>
      </c>
      <c r="E148" s="48" t="inlineStr">
        <is>
          <t xml:space="preserve">New business</t>
        </is>
      </c>
      <c r="F148" s="46" t="inlineStr">
        <is>
          <t xml:space="preserve">B1234EXOTIC26</t>
        </is>
      </c>
      <c r="G148" s="33">
        <f>IF($A148="","",IF($C148="","",YEAR($C148)))</f>
      </c>
      <c r="H148" s="49">
        <v>2020</v>
      </c>
      <c r="I148" s="46" t="inlineStr">
        <is>
          <t xml:space="preserve">Lamborghini</t>
        </is>
      </c>
      <c r="J148" s="46" t="inlineStr">
        <is>
          <t xml:space="preserve">Huracan EVO</t>
        </is>
      </c>
      <c r="K148" s="46" t="inlineStr">
        <is>
          <t xml:space="preserve">Y3UTAM2817NPB79X7</t>
        </is>
      </c>
      <c r="L148" s="48" t="inlineStr">
        <is>
          <t xml:space="preserve">03 - Supercar</t>
        </is>
      </c>
      <c r="M148" s="50">
        <v>690000</v>
      </c>
      <c r="N148" s="48" t="inlineStr">
        <is>
          <t xml:space="preserve">Personal</t>
        </is>
      </c>
      <c r="O148" s="46" t="inlineStr">
        <is>
          <t xml:space="preserve">Personal - regular use</t>
        </is>
      </c>
      <c r="P148" s="46" t="inlineStr">
        <is>
          <t xml:space="preserve">2,500 - 5,000</t>
        </is>
      </c>
      <c r="Q148" s="46" t="inlineStr">
        <is>
          <t xml:space="preserve">Alabama</t>
        </is>
      </c>
      <c r="R148" s="46" t="inlineStr">
        <is>
          <t xml:space="preserve">35203</t>
        </is>
      </c>
      <c r="S148" s="48" t="inlineStr">
        <is>
          <t xml:space="preserve">Tier 2 - Coastal wind (1-25 miles)</t>
        </is>
      </c>
      <c r="T148" s="36">
        <f>IF($A148="","",IF($S148="","",IFERROR(INDEX('[1]natural catastrophe'!$D$6:$D$17,MATCH($S148,'[1]natural catastrophe'!$B$6:$B$17,0)),"?")))</f>
      </c>
      <c r="U148" s="46" t="inlineStr">
        <is>
          <t xml:space="preserve">2% of agreed value, minimum $10,000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11953.22</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CANON-202607-007841</t>
        </is>
      </c>
      <c r="B149" s="30" t="inlineStr">
        <is>
          <t xml:space="preserve">Beatrix Whitlock</t>
        </is>
      </c>
      <c r="C149" s="31">
        <v>46227</v>
      </c>
      <c r="D149" s="32" t="inlineStr">
        <is>
          <t xml:space="preserve">Bound - within authority</t>
        </is>
      </c>
      <c r="E149" s="32" t="inlineStr">
        <is>
          <t xml:space="preserve">New business</t>
        </is>
      </c>
      <c r="F149" s="30" t="inlineStr">
        <is>
          <t xml:space="preserve">B1234EXOTIC26</t>
        </is>
      </c>
      <c r="G149" s="33">
        <f>IF($A149="","",IF($C149="","",YEAR($C149)))</f>
      </c>
      <c r="H149" s="34">
        <v>1981</v>
      </c>
      <c r="I149" s="30" t="inlineStr">
        <is>
          <t xml:space="preserve">Porsche</t>
        </is>
      </c>
      <c r="J149" s="30" t="inlineStr">
        <is>
          <t xml:space="preserve">911 Turbo S</t>
        </is>
      </c>
      <c r="K149" s="30" t="inlineStr">
        <is>
          <t xml:space="preserve">WKK11SGX9SWUAEDSE</t>
        </is>
      </c>
      <c r="L149" s="32" t="inlineStr">
        <is>
          <t xml:space="preserve">02 - Sports / GT</t>
        </is>
      </c>
      <c r="M149" s="35">
        <v>320000</v>
      </c>
      <c r="N149" s="32" t="inlineStr">
        <is>
          <t xml:space="preserve">Personal</t>
        </is>
      </c>
      <c r="O149" s="30" t="inlineStr">
        <is>
          <t xml:space="preserve">Personal - regular use</t>
        </is>
      </c>
      <c r="P149" s="30" t="inlineStr">
        <is>
          <t xml:space="preserve">2,500 - 5,000</t>
        </is>
      </c>
      <c r="Q149" s="30" t="inlineStr">
        <is>
          <t xml:space="preserve">Michigan</t>
        </is>
      </c>
      <c r="R149" s="30" t="inlineStr">
        <is>
          <t xml:space="preserve">48226</t>
        </is>
      </c>
      <c r="S149" s="32" t="inlineStr">
        <is>
          <t xml:space="preserve">Severe convective - hail / tornado (moderate)</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5341.36</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CANON-202607-007843</t>
        </is>
      </c>
      <c r="B150" s="46" t="inlineStr">
        <is>
          <t xml:space="preserve">Desmond Montoya</t>
        </is>
      </c>
      <c r="C150" s="47">
        <v>46210</v>
      </c>
      <c r="D150" s="48" t="inlineStr">
        <is>
          <t xml:space="preserve">Bound - within authority</t>
        </is>
      </c>
      <c r="E150" s="48" t="inlineStr">
        <is>
          <t xml:space="preserve">New business</t>
        </is>
      </c>
      <c r="F150" s="46" t="inlineStr">
        <is>
          <t xml:space="preserve">B1234EXOTIC26</t>
        </is>
      </c>
      <c r="G150" s="33">
        <f>IF($A150="","",IF($C150="","",YEAR($C150)))</f>
      </c>
      <c r="H150" s="49">
        <v>1985</v>
      </c>
      <c r="I150" s="46" t="inlineStr">
        <is>
          <t xml:space="preserve">Ringbrothers</t>
        </is>
      </c>
      <c r="J150" s="46" t="inlineStr">
        <is>
          <t xml:space="preserve">Mustang</t>
        </is>
      </c>
      <c r="K150" s="46" t="inlineStr">
        <is>
          <t xml:space="preserve">BCSGF9GJEJ9KA7CFJ</t>
        </is>
      </c>
      <c r="L150" s="48" t="inlineStr">
        <is>
          <t xml:space="preserve">11 - Restomod / Coachbuilt / Bespoke</t>
        </is>
      </c>
      <c r="M150" s="50">
        <v>670000</v>
      </c>
      <c r="N150" s="48" t="inlineStr">
        <is>
          <t xml:space="preserve">Personal</t>
        </is>
      </c>
      <c r="O150" s="46" t="inlineStr">
        <is>
          <t xml:space="preserve">Personal - regular use</t>
        </is>
      </c>
      <c r="P150" s="46" t="inlineStr">
        <is>
          <t xml:space="preserve">Under 1,000</t>
        </is>
      </c>
      <c r="Q150" s="46" t="inlineStr">
        <is>
          <t xml:space="preserve">Massachusetts</t>
        </is>
      </c>
      <c r="R150" s="46" t="inlineStr">
        <is>
          <t xml:space="preserve">02108</t>
        </is>
      </c>
      <c r="S150" s="48" t="inlineStr">
        <is>
          <t xml:space="preserve">Tier 3 - Coastal wind (25-100 miles)</t>
        </is>
      </c>
      <c r="T150" s="36">
        <f>IF($A150="","",IF($S150="","",IFERROR(INDEX('[1]natural catastrophe'!$D$6:$D$17,MATCH($S150,'[1]natural catastrophe'!$B$6:$B$17,0)),"?")))</f>
      </c>
      <c r="U150" s="46" t="inlineStr">
        <is>
          <t xml:space="preserve">2% of agreed value, minimum $10,000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9379.68</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CANON-202607-007844</t>
        </is>
      </c>
      <c r="B151" s="30" t="inlineStr">
        <is>
          <t xml:space="preserve">Ottilie Ashcombe</t>
        </is>
      </c>
      <c r="C151" s="31">
        <v>46226</v>
      </c>
      <c r="D151" s="32" t="inlineStr">
        <is>
          <t xml:space="preserve">Bound - within authority</t>
        </is>
      </c>
      <c r="E151" s="32" t="inlineStr">
        <is>
          <t xml:space="preserve">New business</t>
        </is>
      </c>
      <c r="F151" s="30" t="inlineStr">
        <is>
          <t xml:space="preserve">B1234EXOTIC26</t>
        </is>
      </c>
      <c r="G151" s="33">
        <f>IF($A151="","",IF($C151="","",YEAR($C151)))</f>
      </c>
      <c r="H151" s="34">
        <v>2014</v>
      </c>
      <c r="I151" s="30" t="inlineStr">
        <is>
          <t xml:space="preserve">Aston Martin</t>
        </is>
      </c>
      <c r="J151" s="30" t="inlineStr">
        <is>
          <t xml:space="preserve">DB5</t>
        </is>
      </c>
      <c r="K151" s="30" t="inlineStr">
        <is>
          <t xml:space="preserve">UFF22KMLC7A9SPJHH</t>
        </is>
      </c>
      <c r="L151" s="32" t="inlineStr">
        <is>
          <t xml:space="preserve">02 - Sports / GT</t>
        </is>
      </c>
      <c r="M151" s="35">
        <v>950000</v>
      </c>
      <c r="N151" s="32" t="inlineStr">
        <is>
          <t xml:space="preserve">Personal</t>
        </is>
      </c>
      <c r="O151" s="30" t="inlineStr">
        <is>
          <t xml:space="preserve">Personal - regular use</t>
        </is>
      </c>
      <c r="P151" s="30" t="inlineStr">
        <is>
          <t xml:space="preserve">Under 1,000</t>
        </is>
      </c>
      <c r="Q151" s="30" t="inlineStr">
        <is>
          <t xml:space="preserve">Utah</t>
        </is>
      </c>
      <c r="R151" s="30" t="inlineStr">
        <is>
          <t xml:space="preserve">84101</t>
        </is>
      </c>
      <c r="S151" s="32" t="inlineStr">
        <is>
          <t xml:space="preserve">Wildfire - WUI high hazard</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7918.35</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CANON-202607-007847</t>
        </is>
      </c>
      <c r="B152" s="46" t="inlineStr">
        <is>
          <t xml:space="preserve">Sunniva Vandermeer</t>
        </is>
      </c>
      <c r="C152" s="47">
        <v>46227</v>
      </c>
      <c r="D152" s="48" t="inlineStr">
        <is>
          <t xml:space="preserve">Bound - within authority</t>
        </is>
      </c>
      <c r="E152" s="48" t="inlineStr">
        <is>
          <t xml:space="preserve">New business</t>
        </is>
      </c>
      <c r="F152" s="46" t="inlineStr">
        <is>
          <t xml:space="preserve">B1234EXOTIC26</t>
        </is>
      </c>
      <c r="G152" s="33">
        <f>IF($A152="","",IF($C152="","",YEAR($C152)))</f>
      </c>
      <c r="H152" s="49">
        <v>2022</v>
      </c>
      <c r="I152" s="46" t="inlineStr">
        <is>
          <t xml:space="preserve">Lamborghini</t>
        </is>
      </c>
      <c r="J152" s="46" t="inlineStr">
        <is>
          <t xml:space="preserve">Huracan EVO</t>
        </is>
      </c>
      <c r="K152" s="46" t="inlineStr">
        <is>
          <t xml:space="preserve">ZBPRM50JFHX2NSRLE</t>
        </is>
      </c>
      <c r="L152" s="48" t="inlineStr">
        <is>
          <t xml:space="preserve">03 - Supercar</t>
        </is>
      </c>
      <c r="M152" s="50">
        <v>915000</v>
      </c>
      <c r="N152" s="48" t="inlineStr">
        <is>
          <t xml:space="preserve">Personal</t>
        </is>
      </c>
      <c r="O152" s="46" t="inlineStr">
        <is>
          <t xml:space="preserve">Personal - regular use</t>
        </is>
      </c>
      <c r="P152" s="46" t="inlineStr">
        <is>
          <t xml:space="preserve">1,000 - 2,500</t>
        </is>
      </c>
      <c r="Q152" s="46" t="inlineStr">
        <is>
          <t xml:space="preserve">Texas</t>
        </is>
      </c>
      <c r="R152" s="46" t="inlineStr">
        <is>
          <t xml:space="preserve">75201</t>
        </is>
      </c>
      <c r="S152" s="48" t="inlineStr">
        <is>
          <t xml:space="preserve">Tier 2 - Coastal wind (1-25 miles)</t>
        </is>
      </c>
      <c r="T152" s="36">
        <f>IF($A152="","",IF($S152="","",IFERROR(INDEX('[1]natural catastrophe'!$D$6:$D$17,MATCH($S152,'[1]natural catastrophe'!$B$6:$B$17,0)),"?")))</f>
      </c>
      <c r="U152" s="46" t="inlineStr">
        <is>
          <t xml:space="preserve">2% of agreed value, minimum $10,000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14353.28</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CANON-202607-007848</t>
        </is>
      </c>
      <c r="B153" s="30" t="inlineStr">
        <is>
          <t xml:space="preserve">Lorenzo Fairweather</t>
        </is>
      </c>
      <c r="C153" s="31">
        <v>46232</v>
      </c>
      <c r="D153" s="32" t="inlineStr">
        <is>
          <t xml:space="preserve">Bound - within authority</t>
        </is>
      </c>
      <c r="E153" s="32" t="inlineStr">
        <is>
          <t xml:space="preserve">New business</t>
        </is>
      </c>
      <c r="F153" s="30" t="inlineStr">
        <is>
          <t xml:space="preserve">B1234EXOTIC26</t>
        </is>
      </c>
      <c r="G153" s="33">
        <f>IF($A153="","",IF($C153="","",YEAR($C153)))</f>
      </c>
      <c r="H153" s="34">
        <v>1963</v>
      </c>
      <c r="I153" s="30" t="inlineStr">
        <is>
          <t xml:space="preserve">BMW</t>
        </is>
      </c>
      <c r="J153" s="30" t="inlineStr">
        <is>
          <t xml:space="preserve">M8 Competition</t>
        </is>
      </c>
      <c r="K153" s="30" t="inlineStr">
        <is>
          <t xml:space="preserve">DFWS2USZ0A9XLUTPZ</t>
        </is>
      </c>
      <c r="L153" s="32" t="inlineStr">
        <is>
          <t xml:space="preserve">02 - Sports / GT</t>
        </is>
      </c>
      <c r="M153" s="35">
        <v>235000</v>
      </c>
      <c r="N153" s="32" t="inlineStr">
        <is>
          <t xml:space="preserve">Personal</t>
        </is>
      </c>
      <c r="O153" s="30" t="inlineStr">
        <is>
          <t xml:space="preserve">Personal - regular use</t>
        </is>
      </c>
      <c r="P153" s="30" t="inlineStr">
        <is>
          <t xml:space="preserve">Under 1,000</t>
        </is>
      </c>
      <c r="Q153" s="30" t="inlineStr">
        <is>
          <t xml:space="preserve">Texas</t>
        </is>
      </c>
      <c r="R153" s="30" t="inlineStr">
        <is>
          <t xml:space="preserve">75201</t>
        </is>
      </c>
      <c r="S153" s="32" t="inlineStr">
        <is>
          <t xml:space="preserve">Tier 2 - Coastal wind (1-25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3569.95</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CANON-202607-007849</t>
        </is>
      </c>
      <c r="B154" s="46" t="inlineStr">
        <is>
          <t xml:space="preserve">Lorenzo Ashcombe</t>
        </is>
      </c>
      <c r="C154" s="47">
        <v>46215</v>
      </c>
      <c r="D154" s="48" t="inlineStr">
        <is>
          <t xml:space="preserve">Bound - within authority</t>
        </is>
      </c>
      <c r="E154" s="48" t="inlineStr">
        <is>
          <t xml:space="preserve">New business</t>
        </is>
      </c>
      <c r="F154" s="46" t="inlineStr">
        <is>
          <t xml:space="preserve">B1234EXOTIC26</t>
        </is>
      </c>
      <c r="G154" s="33">
        <f>IF($A154="","",IF($C154="","",YEAR($C154)))</f>
      </c>
      <c r="H154" s="49">
        <v>2013</v>
      </c>
      <c r="I154" s="46" t="inlineStr">
        <is>
          <t xml:space="preserve">Mercedes-Benz</t>
        </is>
      </c>
      <c r="J154" s="46" t="inlineStr">
        <is>
          <t xml:space="preserve">AMG GT</t>
        </is>
      </c>
      <c r="K154" s="46" t="inlineStr">
        <is>
          <t xml:space="preserve">U4L5C6GCHV8EBZGWS</t>
        </is>
      </c>
      <c r="L154" s="48" t="inlineStr">
        <is>
          <t xml:space="preserve">02 - Sports / GT</t>
        </is>
      </c>
      <c r="M154" s="50">
        <v>660000</v>
      </c>
      <c r="N154" s="48" t="inlineStr">
        <is>
          <t xml:space="preserve">Personal</t>
        </is>
      </c>
      <c r="O154" s="46" t="inlineStr">
        <is>
          <t xml:space="preserve">Personal - regular use</t>
        </is>
      </c>
      <c r="P154" s="46" t="inlineStr">
        <is>
          <t xml:space="preserve">2,500 - 5,000</t>
        </is>
      </c>
      <c r="Q154" s="46" t="inlineStr">
        <is>
          <t xml:space="preserve">Texas</t>
        </is>
      </c>
      <c r="R154" s="46" t="inlineStr">
        <is>
          <t xml:space="preserve">75201</t>
        </is>
      </c>
      <c r="S154" s="48" t="inlineStr">
        <is>
          <t xml:space="preserve">Tier 2 - Coastal wind (1-25 miles)</t>
        </is>
      </c>
      <c r="T154" s="36">
        <f>IF($A154="","",IF($S154="","",IFERROR(INDEX('[1]natural catastrophe'!$D$6:$D$17,MATCH($S154,'[1]natural catastrophe'!$B$6:$B$17,0)),"?")))</f>
      </c>
      <c r="U154" s="46" t="inlineStr">
        <is>
          <t xml:space="preserve">2% of agreed value, minimum $10,000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7083.76</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CANON-202607-007851</t>
        </is>
      </c>
      <c r="B155" s="30" t="inlineStr">
        <is>
          <t xml:space="preserve">Desmond Merriweather</t>
        </is>
      </c>
      <c r="C155" s="31">
        <v>46210</v>
      </c>
      <c r="D155" s="32" t="inlineStr">
        <is>
          <t xml:space="preserve">Bound - within authority</t>
        </is>
      </c>
      <c r="E155" s="32" t="inlineStr">
        <is>
          <t xml:space="preserve">New business</t>
        </is>
      </c>
      <c r="F155" s="30" t="inlineStr">
        <is>
          <t xml:space="preserve">B1234EXOTIC26</t>
        </is>
      </c>
      <c r="G155" s="33">
        <f>IF($A155="","",IF($C155="","",YEAR($C155)))</f>
      </c>
      <c r="H155" s="34">
        <v>1963</v>
      </c>
      <c r="I155" s="30" t="inlineStr">
        <is>
          <t xml:space="preserve">Ferrari</t>
        </is>
      </c>
      <c r="J155" s="30" t="inlineStr">
        <is>
          <t xml:space="preserve">SF90 Stradale</t>
        </is>
      </c>
      <c r="K155" s="30" t="inlineStr">
        <is>
          <t xml:space="preserve">D078GBK07LFFTDLMV</t>
        </is>
      </c>
      <c r="L155" s="32" t="inlineStr">
        <is>
          <t xml:space="preserve">03 - Supercar</t>
        </is>
      </c>
      <c r="M155" s="35">
        <v>1425000</v>
      </c>
      <c r="N155" s="32" t="inlineStr">
        <is>
          <t xml:space="preserve">Personal</t>
        </is>
      </c>
      <c r="O155" s="30" t="inlineStr">
        <is>
          <t xml:space="preserve">Personal - regular use</t>
        </is>
      </c>
      <c r="P155" s="30" t="inlineStr">
        <is>
          <t xml:space="preserve">2,500 - 5,000</t>
        </is>
      </c>
      <c r="Q155" s="30" t="inlineStr">
        <is>
          <t xml:space="preserve">Arkansas</t>
        </is>
      </c>
      <c r="R155" s="30" t="inlineStr">
        <is>
          <t xml:space="preserve">72201</t>
        </is>
      </c>
      <c r="S155" s="32" t="inlineStr">
        <is>
          <t xml:space="preserve">Severe convective - hail / tornado (moderate)</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22588.78</v>
      </c>
      <c r="AC155" s="37">
        <v>0</v>
      </c>
      <c r="AD155" s="38">
        <f>IF(ISNUMBER($AB155),$AB155*(1+N($AC155)),"")</f>
      </c>
      <c r="AE155" s="35">
        <v>350</v>
      </c>
      <c r="AF155" s="35">
        <v>250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CANON-202607-007852</t>
        </is>
      </c>
      <c r="B156" s="46" t="inlineStr">
        <is>
          <t xml:space="preserve">Leopold Harrington</t>
        </is>
      </c>
      <c r="C156" s="47">
        <v>46214</v>
      </c>
      <c r="D156" s="48" t="inlineStr">
        <is>
          <t xml:space="preserve">Bound - within authority</t>
        </is>
      </c>
      <c r="E156" s="48" t="inlineStr">
        <is>
          <t xml:space="preserve">New business</t>
        </is>
      </c>
      <c r="F156" s="46" t="inlineStr">
        <is>
          <t xml:space="preserve">B1234EXOTIC26</t>
        </is>
      </c>
      <c r="G156" s="33">
        <f>IF($A156="","",IF($C156="","",YEAR($C156)))</f>
      </c>
      <c r="H156" s="49">
        <v>1984</v>
      </c>
      <c r="I156" s="46" t="inlineStr">
        <is>
          <t xml:space="preserve">McLaren</t>
        </is>
      </c>
      <c r="J156" s="46" t="inlineStr">
        <is>
          <t xml:space="preserve">750S</t>
        </is>
      </c>
      <c r="K156" s="46" t="inlineStr">
        <is>
          <t xml:space="preserve">GN6ZMJD828M2319YS</t>
        </is>
      </c>
      <c r="L156" s="48" t="inlineStr">
        <is>
          <t xml:space="preserve">03 - Supercar</t>
        </is>
      </c>
      <c r="M156" s="50">
        <v>500000</v>
      </c>
      <c r="N156" s="48" t="inlineStr">
        <is>
          <t xml:space="preserve">Personal</t>
        </is>
      </c>
      <c r="O156" s="46" t="inlineStr">
        <is>
          <t xml:space="preserve">Personal - regular use</t>
        </is>
      </c>
      <c r="P156" s="46" t="inlineStr">
        <is>
          <t xml:space="preserve">2,500 - 5,000</t>
        </is>
      </c>
      <c r="Q156" s="46" t="inlineStr">
        <is>
          <t xml:space="preserve">Kansas</t>
        </is>
      </c>
      <c r="R156" s="46" t="inlineStr">
        <is>
          <t xml:space="preserve">66603</t>
        </is>
      </c>
      <c r="S156" s="48" t="inlineStr">
        <is>
          <t xml:space="preserve">Severe convective - hail alley (high)</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6615.68</v>
      </c>
      <c r="AC156" s="51">
        <v>0</v>
      </c>
      <c r="AD156" s="38">
        <f>IF(ISNUMBER($AB156),$AB156*(1+N($AC156)),"")</f>
      </c>
      <c r="AE156" s="50">
        <v>350</v>
      </c>
      <c r="AF156" s="50">
        <v>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CANON-202607-007853</t>
        </is>
      </c>
      <c r="B157" s="30" t="inlineStr">
        <is>
          <t xml:space="preserve">Ramona Kingsford</t>
        </is>
      </c>
      <c r="C157" s="31">
        <v>46221</v>
      </c>
      <c r="D157" s="32" t="inlineStr">
        <is>
          <t xml:space="preserve">Bound - within authority</t>
        </is>
      </c>
      <c r="E157" s="32" t="inlineStr">
        <is>
          <t xml:space="preserve">New business</t>
        </is>
      </c>
      <c r="F157" s="30" t="inlineStr">
        <is>
          <t xml:space="preserve">B1234EXOTIC26</t>
        </is>
      </c>
      <c r="G157" s="33">
        <f>IF($A157="","",IF($C157="","",YEAR($C157)))</f>
      </c>
      <c r="H157" s="34">
        <v>2009</v>
      </c>
      <c r="I157" s="30" t="inlineStr">
        <is>
          <t xml:space="preserve">Ferrari</t>
        </is>
      </c>
      <c r="J157" s="30" t="inlineStr">
        <is>
          <t xml:space="preserve">296 GTB</t>
        </is>
      </c>
      <c r="K157" s="30" t="inlineStr">
        <is>
          <t xml:space="preserve">TPRL1B5MFE52XBVNL</t>
        </is>
      </c>
      <c r="L157" s="32" t="inlineStr">
        <is>
          <t xml:space="preserve">03 - Supercar</t>
        </is>
      </c>
      <c r="M157" s="35">
        <v>1950000</v>
      </c>
      <c r="N157" s="32" t="inlineStr">
        <is>
          <t xml:space="preserve">Personal</t>
        </is>
      </c>
      <c r="O157" s="30" t="inlineStr">
        <is>
          <t xml:space="preserve">Personal - regular use</t>
        </is>
      </c>
      <c r="P157" s="30" t="inlineStr">
        <is>
          <t xml:space="preserve">Under 1,000</t>
        </is>
      </c>
      <c r="Q157" s="30" t="inlineStr">
        <is>
          <t xml:space="preserve">Wisconsin</t>
        </is>
      </c>
      <c r="R157" s="30" t="inlineStr">
        <is>
          <t xml:space="preserve">53202</t>
        </is>
      </c>
      <c r="S157" s="32" t="inlineStr">
        <is>
          <t xml:space="preserve">Severe convective - hail / tornado (moderate)</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26879.09</v>
      </c>
      <c r="AC157" s="37">
        <v>0</v>
      </c>
      <c r="AD157" s="38">
        <f>IF(ISNUMBER($AB157),$AB157*(1+N($AC157)),"")</f>
      </c>
      <c r="AE157" s="35">
        <v>350</v>
      </c>
      <c r="AF157" s="35">
        <v>250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CANON-202607-007854</t>
        </is>
      </c>
      <c r="B158" s="46" t="inlineStr">
        <is>
          <t xml:space="preserve">Marisol Delacroix</t>
        </is>
      </c>
      <c r="C158" s="47">
        <v>46214</v>
      </c>
      <c r="D158" s="48" t="inlineStr">
        <is>
          <t xml:space="preserve">Bound - within authority</t>
        </is>
      </c>
      <c r="E158" s="48" t="inlineStr">
        <is>
          <t xml:space="preserve">New business</t>
        </is>
      </c>
      <c r="F158" s="46" t="inlineStr">
        <is>
          <t xml:space="preserve">B1234EXOTIC26</t>
        </is>
      </c>
      <c r="G158" s="33">
        <f>IF($A158="","",IF($C158="","",YEAR($C158)))</f>
      </c>
      <c r="H158" s="49">
        <v>2015</v>
      </c>
      <c r="I158" s="46" t="inlineStr">
        <is>
          <t xml:space="preserve">Maserati</t>
        </is>
      </c>
      <c r="J158" s="46" t="inlineStr">
        <is>
          <t xml:space="preserve">GranTurismo</t>
        </is>
      </c>
      <c r="K158" s="46" t="inlineStr">
        <is>
          <t xml:space="preserve">NWMAL6H57RFDJ11M3</t>
        </is>
      </c>
      <c r="L158" s="48" t="inlineStr">
        <is>
          <t xml:space="preserve">02 - Sports / GT</t>
        </is>
      </c>
      <c r="M158" s="50">
        <v>805000</v>
      </c>
      <c r="N158" s="48" t="inlineStr">
        <is>
          <t xml:space="preserve">Personal</t>
        </is>
      </c>
      <c r="O158" s="46" t="inlineStr">
        <is>
          <t xml:space="preserve">Personal - regular use</t>
        </is>
      </c>
      <c r="P158" s="46" t="inlineStr">
        <is>
          <t xml:space="preserve">Under 1,000</t>
        </is>
      </c>
      <c r="Q158" s="46" t="inlineStr">
        <is>
          <t xml:space="preserve">Ohio</t>
        </is>
      </c>
      <c r="R158" s="46" t="inlineStr">
        <is>
          <t xml:space="preserve">43215</t>
        </is>
      </c>
      <c r="S158" s="48" t="inlineStr">
        <is>
          <t xml:space="preserve">Severe convective - hail / tornado (moderate)</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10443.18</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CANON-202607-007856</t>
        </is>
      </c>
      <c r="B159" s="30" t="inlineStr">
        <is>
          <t xml:space="preserve">Emiliano Delacroix</t>
        </is>
      </c>
      <c r="C159" s="31">
        <v>46234</v>
      </c>
      <c r="D159" s="32" t="inlineStr">
        <is>
          <t xml:space="preserve">Bound - within authority</t>
        </is>
      </c>
      <c r="E159" s="32" t="inlineStr">
        <is>
          <t xml:space="preserve">New business</t>
        </is>
      </c>
      <c r="F159" s="30" t="inlineStr">
        <is>
          <t xml:space="preserve">B1234EXOTIC26</t>
        </is>
      </c>
      <c r="G159" s="33">
        <f>IF($A159="","",IF($C159="","",YEAR($C159)))</f>
      </c>
      <c r="H159" s="34">
        <v>2017</v>
      </c>
      <c r="I159" s="30" t="inlineStr">
        <is>
          <t xml:space="preserve">Bentley</t>
        </is>
      </c>
      <c r="J159" s="30" t="inlineStr">
        <is>
          <t xml:space="preserve">Continental GT</t>
        </is>
      </c>
      <c r="K159" s="30" t="inlineStr">
        <is>
          <t xml:space="preserve">YZZ7LJ2MU2F56CGC0</t>
        </is>
      </c>
      <c r="L159" s="32" t="inlineStr">
        <is>
          <t xml:space="preserve">02 - Sports / GT</t>
        </is>
      </c>
      <c r="M159" s="35">
        <v>515000</v>
      </c>
      <c r="N159" s="32" t="inlineStr">
        <is>
          <t xml:space="preserve">Personal</t>
        </is>
      </c>
      <c r="O159" s="30" t="inlineStr">
        <is>
          <t xml:space="preserve">Personal - regular use</t>
        </is>
      </c>
      <c r="P159" s="30" t="inlineStr">
        <is>
          <t xml:space="preserve">2,500 - 5,000</t>
        </is>
      </c>
      <c r="Q159" s="30" t="inlineStr">
        <is>
          <t xml:space="preserve">South Dakota</t>
        </is>
      </c>
      <c r="R159" s="30" t="inlineStr">
        <is>
          <t xml:space="preserve">57501</t>
        </is>
      </c>
      <c r="S159" s="32" t="inlineStr">
        <is>
          <t xml:space="preserve">Severe convective - hail alley (high)</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5335.22</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CANON-202607-007857</t>
        </is>
      </c>
      <c r="B160" s="46" t="inlineStr">
        <is>
          <t xml:space="preserve">Mireille Chattopadhyay</t>
        </is>
      </c>
      <c r="C160" s="47">
        <v>46212</v>
      </c>
      <c r="D160" s="48" t="inlineStr">
        <is>
          <t xml:space="preserve">Bound - within authority</t>
        </is>
      </c>
      <c r="E160" s="48" t="inlineStr">
        <is>
          <t xml:space="preserve">New business</t>
        </is>
      </c>
      <c r="F160" s="46" t="inlineStr">
        <is>
          <t xml:space="preserve">B1234EXOTIC26</t>
        </is>
      </c>
      <c r="G160" s="33">
        <f>IF($A160="","",IF($C160="","",YEAR($C160)))</f>
      </c>
      <c r="H160" s="49">
        <v>2023</v>
      </c>
      <c r="I160" s="46" t="inlineStr">
        <is>
          <t xml:space="preserve">Singer</t>
        </is>
      </c>
      <c r="J160" s="46" t="inlineStr">
        <is>
          <t xml:space="preserve">911 Reimagined</t>
        </is>
      </c>
      <c r="K160" s="46" t="inlineStr">
        <is>
          <t xml:space="preserve">CTZFFVNEHNCA8GK9S</t>
        </is>
      </c>
      <c r="L160" s="48" t="inlineStr">
        <is>
          <t xml:space="preserve">11 - Restomod / Coachbuilt / Bespoke</t>
        </is>
      </c>
      <c r="M160" s="50">
        <v>575000</v>
      </c>
      <c r="N160" s="48" t="inlineStr">
        <is>
          <t xml:space="preserve">Personal</t>
        </is>
      </c>
      <c r="O160" s="46" t="inlineStr">
        <is>
          <t xml:space="preserve">Personal - regular use</t>
        </is>
      </c>
      <c r="P160" s="46" t="inlineStr">
        <is>
          <t xml:space="preserve">Under 1,000</t>
        </is>
      </c>
      <c r="Q160" s="46" t="inlineStr">
        <is>
          <t xml:space="preserve">Indiana</t>
        </is>
      </c>
      <c r="R160" s="46" t="inlineStr">
        <is>
          <t xml:space="preserve">46204</t>
        </is>
      </c>
      <c r="S160" s="48" t="inlineStr">
        <is>
          <t xml:space="preserve">Severe convective - hail / tornado (moderate)</t>
        </is>
      </c>
      <c r="T160" s="36">
        <f>IF($A160="","",IF($S160="","",IFERROR(INDEX('[1]natural catastrophe'!$D$6:$D$17,MATCH($S160,'[1]natural catastrophe'!$B$6:$B$17,0)),"?")))</f>
      </c>
      <c r="U160" s="46" t="inlineStr">
        <is>
          <t xml:space="preserve">$5,000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7920.93</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CANON-202607-007858</t>
        </is>
      </c>
      <c r="B161" s="30" t="inlineStr">
        <is>
          <t xml:space="preserve">Cassius Vandermeer</t>
        </is>
      </c>
      <c r="C161" s="31">
        <v>46220</v>
      </c>
      <c r="D161" s="32" t="inlineStr">
        <is>
          <t xml:space="preserve">Bound - within authority</t>
        </is>
      </c>
      <c r="E161" s="32" t="inlineStr">
        <is>
          <t xml:space="preserve">New business</t>
        </is>
      </c>
      <c r="F161" s="30" t="inlineStr">
        <is>
          <t xml:space="preserve">B1234EXOTIC26</t>
        </is>
      </c>
      <c r="G161" s="33">
        <f>IF($A161="","",IF($C161="","",YEAR($C161)))</f>
      </c>
      <c r="H161" s="34">
        <v>2021</v>
      </c>
      <c r="I161" s="30" t="inlineStr">
        <is>
          <t xml:space="preserve">Mercedes-Benz</t>
        </is>
      </c>
      <c r="J161" s="30" t="inlineStr">
        <is>
          <t xml:space="preserve">AMG GT</t>
        </is>
      </c>
      <c r="K161" s="30" t="inlineStr">
        <is>
          <t xml:space="preserve">LN1SW01W66KR1M4ZM</t>
        </is>
      </c>
      <c r="L161" s="32" t="inlineStr">
        <is>
          <t xml:space="preserve">02 - Sports / GT</t>
        </is>
      </c>
      <c r="M161" s="35">
        <v>460000</v>
      </c>
      <c r="N161" s="32" t="inlineStr">
        <is>
          <t xml:space="preserve">Personal</t>
        </is>
      </c>
      <c r="O161" s="30" t="inlineStr">
        <is>
          <t xml:space="preserve">Personal - regular use</t>
        </is>
      </c>
      <c r="P161" s="30" t="inlineStr">
        <is>
          <t xml:space="preserve">1,000 - 2,500</t>
        </is>
      </c>
      <c r="Q161" s="30" t="inlineStr">
        <is>
          <t xml:space="preserve">Illinois</t>
        </is>
      </c>
      <c r="R161" s="30" t="inlineStr">
        <is>
          <t xml:space="preserve">60601</t>
        </is>
      </c>
      <c r="S161" s="32" t="inlineStr">
        <is>
          <t xml:space="preserve">Severe convective - hail / tornado (moderate)</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6737</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CANON-202607-007861</t>
        </is>
      </c>
      <c r="B162" s="46" t="inlineStr">
        <is>
          <t xml:space="preserve">Mireille Underwood</t>
        </is>
      </c>
      <c r="C162" s="47">
        <v>46218</v>
      </c>
      <c r="D162" s="48" t="inlineStr">
        <is>
          <t xml:space="preserve">Bound - within authority</t>
        </is>
      </c>
      <c r="E162" s="48" t="inlineStr">
        <is>
          <t xml:space="preserve">New business</t>
        </is>
      </c>
      <c r="F162" s="46" t="inlineStr">
        <is>
          <t xml:space="preserve">B1234EXOTIC26</t>
        </is>
      </c>
      <c r="G162" s="33">
        <f>IF($A162="","",IF($C162="","",YEAR($C162)))</f>
      </c>
      <c r="H162" s="49">
        <v>2001</v>
      </c>
      <c r="I162" s="46" t="inlineStr">
        <is>
          <t xml:space="preserve">Mercedes-Benz</t>
        </is>
      </c>
      <c r="J162" s="46" t="inlineStr">
        <is>
          <t xml:space="preserve">280SL Pagoda</t>
        </is>
      </c>
      <c r="K162" s="46" t="inlineStr">
        <is>
          <t xml:space="preserve">RX391HD6JE7G8YHCX</t>
        </is>
      </c>
      <c r="L162" s="48" t="inlineStr">
        <is>
          <t xml:space="preserve">09 - Youngtimer / Collectible (2000-2010)</t>
        </is>
      </c>
      <c r="M162" s="50">
        <v>210000</v>
      </c>
      <c r="N162" s="48" t="inlineStr">
        <is>
          <t xml:space="preserve">Personal</t>
        </is>
      </c>
      <c r="O162" s="46" t="inlineStr">
        <is>
          <t xml:space="preserve">Personal - regular use</t>
        </is>
      </c>
      <c r="P162" s="46" t="inlineStr">
        <is>
          <t xml:space="preserve">1,000 - 2,500</t>
        </is>
      </c>
      <c r="Q162" s="46" t="inlineStr">
        <is>
          <t xml:space="preserve">New York</t>
        </is>
      </c>
      <c r="R162" s="46" t="inlineStr">
        <is>
          <t xml:space="preserve">10022</t>
        </is>
      </c>
      <c r="S162" s="48" t="inlineStr">
        <is>
          <t xml:space="preserve">Tier 3 - Coastal wind (25-100 miles)</t>
        </is>
      </c>
      <c r="T162" s="36">
        <f>IF($A162="","",IF($S162="","",IFERROR(INDEX('[1]natural catastrophe'!$D$6:$D$17,MATCH($S162,'[1]natural catastrophe'!$B$6:$B$17,0)),"?")))</f>
      </c>
      <c r="U162" s="46" t="inlineStr">
        <is>
          <t xml:space="preserve">2% of agreed value, minimum $10,000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2199.95</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CANON-202607-007862</t>
        </is>
      </c>
      <c r="B163" s="30" t="inlineStr">
        <is>
          <t xml:space="preserve">Sunniva Delacroix</t>
        </is>
      </c>
      <c r="C163" s="31">
        <v>46232</v>
      </c>
      <c r="D163" s="32" t="inlineStr">
        <is>
          <t xml:space="preserve">Bound - within authority</t>
        </is>
      </c>
      <c r="E163" s="32" t="inlineStr">
        <is>
          <t xml:space="preserve">New business</t>
        </is>
      </c>
      <c r="F163" s="30" t="inlineStr">
        <is>
          <t xml:space="preserve">B1234EXOTIC26</t>
        </is>
      </c>
      <c r="G163" s="33">
        <f>IF($A163="","",IF($C163="","",YEAR($C163)))</f>
      </c>
      <c r="H163" s="34">
        <v>1968</v>
      </c>
      <c r="I163" s="30" t="inlineStr">
        <is>
          <t xml:space="preserve">Ferrari</t>
        </is>
      </c>
      <c r="J163" s="30" t="inlineStr">
        <is>
          <t xml:space="preserve">296 GTB</t>
        </is>
      </c>
      <c r="K163" s="30" t="inlineStr">
        <is>
          <t xml:space="preserve">TSYMWEG176K1RCU44</t>
        </is>
      </c>
      <c r="L163" s="32" t="inlineStr">
        <is>
          <t xml:space="preserve">03 - Supercar</t>
        </is>
      </c>
      <c r="M163" s="35">
        <v>1035000</v>
      </c>
      <c r="N163" s="32" t="inlineStr">
        <is>
          <t xml:space="preserve">Personal</t>
        </is>
      </c>
      <c r="O163" s="30" t="inlineStr">
        <is>
          <t xml:space="preserve">Personal - regular use</t>
        </is>
      </c>
      <c r="P163" s="30" t="inlineStr">
        <is>
          <t xml:space="preserve">Under 1,000</t>
        </is>
      </c>
      <c r="Q163" s="30" t="inlineStr">
        <is>
          <t xml:space="preserve">Massachusetts</t>
        </is>
      </c>
      <c r="R163" s="30" t="inlineStr">
        <is>
          <t xml:space="preserve">02108</t>
        </is>
      </c>
      <c r="S163" s="32" t="inlineStr">
        <is>
          <t xml:space="preserve">Tier 3 - Coastal wind (25-100 miles)</t>
        </is>
      </c>
      <c r="T163" s="36">
        <f>IF($A163="","",IF($S163="","",IFERROR(INDEX('[1]natural catastrophe'!$D$6:$D$17,MATCH($S163,'[1]natural catastrophe'!$B$6:$B$17,0)),"?")))</f>
      </c>
      <c r="U163" s="30" t="inlineStr">
        <is>
          <t xml:space="preserve">2% of agreed value, minimum $10,000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14861.04</v>
      </c>
      <c r="AC163" s="37">
        <v>0</v>
      </c>
      <c r="AD163" s="38">
        <f>IF(ISNUMBER($AB163),$AB163*(1+N($AC163)),"")</f>
      </c>
      <c r="AE163" s="35">
        <v>350</v>
      </c>
      <c r="AF163" s="35">
        <v>250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CANON-202607-007864</t>
        </is>
      </c>
      <c r="B164" s="46" t="inlineStr">
        <is>
          <t xml:space="preserve">Beatrix Merriweather</t>
        </is>
      </c>
      <c r="C164" s="47">
        <v>46210</v>
      </c>
      <c r="D164" s="48" t="inlineStr">
        <is>
          <t xml:space="preserve">Bound - within authority</t>
        </is>
      </c>
      <c r="E164" s="48" t="inlineStr">
        <is>
          <t xml:space="preserve">New business</t>
        </is>
      </c>
      <c r="F164" s="46" t="inlineStr">
        <is>
          <t xml:space="preserve">B1234EXOTIC26</t>
        </is>
      </c>
      <c r="G164" s="33">
        <f>IF($A164="","",IF($C164="","",YEAR($C164)))</f>
      </c>
      <c r="H164" s="49">
        <v>1969</v>
      </c>
      <c r="I164" s="46" t="inlineStr">
        <is>
          <t xml:space="preserve">Ferrari</t>
        </is>
      </c>
      <c r="J164" s="46" t="inlineStr">
        <is>
          <t xml:space="preserve">296 GTB</t>
        </is>
      </c>
      <c r="K164" s="46" t="inlineStr">
        <is>
          <t xml:space="preserve">HERFCFJF6V7GD7XVW</t>
        </is>
      </c>
      <c r="L164" s="48" t="inlineStr">
        <is>
          <t xml:space="preserve">03 - Supercar</t>
        </is>
      </c>
      <c r="M164" s="50">
        <v>405000</v>
      </c>
      <c r="N164" s="48" t="inlineStr">
        <is>
          <t xml:space="preserve">Personal</t>
        </is>
      </c>
      <c r="O164" s="46" t="inlineStr">
        <is>
          <t xml:space="preserve">Personal - regular use</t>
        </is>
      </c>
      <c r="P164" s="46" t="inlineStr">
        <is>
          <t xml:space="preserve">1,000 - 2,500</t>
        </is>
      </c>
      <c r="Q164" s="46" t="inlineStr">
        <is>
          <t xml:space="preserve">Maryland</t>
        </is>
      </c>
      <c r="R164" s="46" t="inlineStr">
        <is>
          <t xml:space="preserve">21201</t>
        </is>
      </c>
      <c r="S164" s="48" t="inlineStr">
        <is>
          <t xml:space="preserve">Tier 3 - Coastal wind (25-100 miles)</t>
        </is>
      </c>
      <c r="T164" s="36">
        <f>IF($A164="","",IF($S164="","",IFERROR(INDEX('[1]natural catastrophe'!$D$6:$D$17,MATCH($S164,'[1]natural catastrophe'!$B$6:$B$17,0)),"?")))</f>
      </c>
      <c r="U164" s="46" t="inlineStr">
        <is>
          <t xml:space="preserve">2% of agreed value, minimum $10,000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6353.09</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CANON-202607-007865</t>
        </is>
      </c>
      <c r="B165" s="30" t="inlineStr">
        <is>
          <t xml:space="preserve">Cassius Okonkwo</t>
        </is>
      </c>
      <c r="C165" s="31">
        <v>46206</v>
      </c>
      <c r="D165" s="32" t="inlineStr">
        <is>
          <t xml:space="preserve">Bound - within authority</t>
        </is>
      </c>
      <c r="E165" s="32" t="inlineStr">
        <is>
          <t xml:space="preserve">New business</t>
        </is>
      </c>
      <c r="F165" s="30" t="inlineStr">
        <is>
          <t xml:space="preserve">B1234EXOTIC26</t>
        </is>
      </c>
      <c r="G165" s="33">
        <f>IF($A165="","",IF($C165="","",YEAR($C165)))</f>
      </c>
      <c r="H165" s="34">
        <v>2014</v>
      </c>
      <c r="I165" s="30" t="inlineStr">
        <is>
          <t xml:space="preserve">Porsche</t>
        </is>
      </c>
      <c r="J165" s="30" t="inlineStr">
        <is>
          <t xml:space="preserve">911 Turbo S</t>
        </is>
      </c>
      <c r="K165" s="30" t="inlineStr">
        <is>
          <t xml:space="preserve">BEHMU1HX63MTV9UG2</t>
        </is>
      </c>
      <c r="L165" s="32" t="inlineStr">
        <is>
          <t xml:space="preserve">02 - Sports / GT</t>
        </is>
      </c>
      <c r="M165" s="35">
        <v>550000</v>
      </c>
      <c r="N165" s="32" t="inlineStr">
        <is>
          <t xml:space="preserve">Personal</t>
        </is>
      </c>
      <c r="O165" s="30" t="inlineStr">
        <is>
          <t xml:space="preserve">Personal - regular use</t>
        </is>
      </c>
      <c r="P165" s="30" t="inlineStr">
        <is>
          <t xml:space="preserve">Under 1,000</t>
        </is>
      </c>
      <c r="Q165" s="30" t="inlineStr">
        <is>
          <t xml:space="preserve">Minnesota</t>
        </is>
      </c>
      <c r="R165" s="30" t="inlineStr">
        <is>
          <t xml:space="preserve">55401</t>
        </is>
      </c>
      <c r="S165" s="32" t="inlineStr">
        <is>
          <t xml:space="preserve">Severe convective - hail / tornado (moderate)</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6775.77</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CANON-202607-007866</t>
        </is>
      </c>
      <c r="B166" s="46" t="inlineStr">
        <is>
          <t xml:space="preserve">Horace Kingsford</t>
        </is>
      </c>
      <c r="C166" s="47">
        <v>46212</v>
      </c>
      <c r="D166" s="48" t="inlineStr">
        <is>
          <t xml:space="preserve">Bound - within authority</t>
        </is>
      </c>
      <c r="E166" s="48" t="inlineStr">
        <is>
          <t xml:space="preserve">New business</t>
        </is>
      </c>
      <c r="F166" s="46" t="inlineStr">
        <is>
          <t xml:space="preserve">B1234EXOTIC26</t>
        </is>
      </c>
      <c r="G166" s="33">
        <f>IF($A166="","",IF($C166="","",YEAR($C166)))</f>
      </c>
      <c r="H166" s="49">
        <v>1995</v>
      </c>
      <c r="I166" s="46" t="inlineStr">
        <is>
          <t xml:space="preserve">Ferrari</t>
        </is>
      </c>
      <c r="J166" s="46" t="inlineStr">
        <is>
          <t xml:space="preserve">SF90 Stradale</t>
        </is>
      </c>
      <c r="K166" s="46" t="inlineStr">
        <is>
          <t xml:space="preserve">PEW19VG2CCKL14JV4</t>
        </is>
      </c>
      <c r="L166" s="48" t="inlineStr">
        <is>
          <t xml:space="preserve">03 - Supercar</t>
        </is>
      </c>
      <c r="M166" s="50">
        <v>1950000</v>
      </c>
      <c r="N166" s="48" t="inlineStr">
        <is>
          <t xml:space="preserve">Personal</t>
        </is>
      </c>
      <c r="O166" s="46" t="inlineStr">
        <is>
          <t xml:space="preserve">Personal - regular use</t>
        </is>
      </c>
      <c r="P166" s="46" t="inlineStr">
        <is>
          <t xml:space="preserve">1,000 - 2,500</t>
        </is>
      </c>
      <c r="Q166" s="46" t="inlineStr">
        <is>
          <t xml:space="preserve">Texas</t>
        </is>
      </c>
      <c r="R166" s="46" t="inlineStr">
        <is>
          <t xml:space="preserve">75201</t>
        </is>
      </c>
      <c r="S166" s="48" t="inlineStr">
        <is>
          <t xml:space="preserve">Tier 2 - Coastal wind (1-25 miles)</t>
        </is>
      </c>
      <c r="T166" s="36">
        <f>IF($A166="","",IF($S166="","",IFERROR(INDEX('[1]natural catastrophe'!$D$6:$D$17,MATCH($S166,'[1]natural catastrophe'!$B$6:$B$17,0)),"?")))</f>
      </c>
      <c r="U166" s="46" t="inlineStr">
        <is>
          <t xml:space="preserve">2% of agreed value, minimum $10,000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25759.13</v>
      </c>
      <c r="AC166" s="51">
        <v>0</v>
      </c>
      <c r="AD166" s="38">
        <f>IF(ISNUMBER($AB166),$AB166*(1+N($AC166)),"")</f>
      </c>
      <c r="AE166" s="50">
        <v>350</v>
      </c>
      <c r="AF166" s="50">
        <v>250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CANON-202607-007867</t>
        </is>
      </c>
      <c r="B167" s="30" t="inlineStr">
        <is>
          <t xml:space="preserve">Callum Castellanos</t>
        </is>
      </c>
      <c r="C167" s="31">
        <v>46219</v>
      </c>
      <c r="D167" s="32" t="inlineStr">
        <is>
          <t xml:space="preserve">Bound - within authority</t>
        </is>
      </c>
      <c r="E167" s="32" t="inlineStr">
        <is>
          <t xml:space="preserve">New business</t>
        </is>
      </c>
      <c r="F167" s="30" t="inlineStr">
        <is>
          <t xml:space="preserve">B1234EXOTIC26</t>
        </is>
      </c>
      <c r="G167" s="33">
        <f>IF($A167="","",IF($C167="","",YEAR($C167)))</f>
      </c>
      <c r="H167" s="34">
        <v>1975</v>
      </c>
      <c r="I167" s="30" t="inlineStr">
        <is>
          <t xml:space="preserve">Ferrari</t>
        </is>
      </c>
      <c r="J167" s="30" t="inlineStr">
        <is>
          <t xml:space="preserve">275 GTB/4</t>
        </is>
      </c>
      <c r="K167" s="30" t="inlineStr">
        <is>
          <t xml:space="preserve">LPVHSZBLEGLDJ7483</t>
        </is>
      </c>
      <c r="L167" s="32" t="inlineStr">
        <is>
          <t xml:space="preserve">08 - Modern Classic (1973-1999)</t>
        </is>
      </c>
      <c r="M167" s="35">
        <v>550000</v>
      </c>
      <c r="N167" s="32" t="inlineStr">
        <is>
          <t xml:space="preserve">Personal</t>
        </is>
      </c>
      <c r="O167" s="30" t="inlineStr">
        <is>
          <t xml:space="preserve">Personal - regular use</t>
        </is>
      </c>
      <c r="P167" s="30" t="inlineStr">
        <is>
          <t xml:space="preserve">Under 1,000</t>
        </is>
      </c>
      <c r="Q167" s="30" t="inlineStr">
        <is>
          <t xml:space="preserve">West Virginia</t>
        </is>
      </c>
      <c r="R167" s="30" t="inlineStr">
        <is>
          <t xml:space="preserve">25301</t>
        </is>
      </c>
      <c r="S167" s="32" t="inlineStr">
        <is>
          <t xml:space="preserve">Low hazard - inland benign</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4516.39</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CANON-202607-007868</t>
        </is>
      </c>
      <c r="B168" s="46" t="inlineStr">
        <is>
          <t xml:space="preserve">Thaddeus Chattopadhyay</t>
        </is>
      </c>
      <c r="C168" s="47">
        <v>46225</v>
      </c>
      <c r="D168" s="48" t="inlineStr">
        <is>
          <t xml:space="preserve">Bound - within authority</t>
        </is>
      </c>
      <c r="E168" s="48" t="inlineStr">
        <is>
          <t xml:space="preserve">New business</t>
        </is>
      </c>
      <c r="F168" s="46" t="inlineStr">
        <is>
          <t xml:space="preserve">B1234EXOTIC26</t>
        </is>
      </c>
      <c r="G168" s="33">
        <f>IF($A168="","",IF($C168="","",YEAR($C168)))</f>
      </c>
      <c r="H168" s="49">
        <v>2015</v>
      </c>
      <c r="I168" s="46" t="inlineStr">
        <is>
          <t xml:space="preserve">BMW</t>
        </is>
      </c>
      <c r="J168" s="46" t="inlineStr">
        <is>
          <t xml:space="preserve">M8 Competition</t>
        </is>
      </c>
      <c r="K168" s="46" t="inlineStr">
        <is>
          <t xml:space="preserve">87N3GEKZ6KAGNAZ5S</t>
        </is>
      </c>
      <c r="L168" s="48" t="inlineStr">
        <is>
          <t xml:space="preserve">02 - Sports / GT</t>
        </is>
      </c>
      <c r="M168" s="50">
        <v>530000</v>
      </c>
      <c r="N168" s="48" t="inlineStr">
        <is>
          <t xml:space="preserve">Personal</t>
        </is>
      </c>
      <c r="O168" s="46" t="inlineStr">
        <is>
          <t xml:space="preserve">Personal - regular use</t>
        </is>
      </c>
      <c r="P168" s="46" t="inlineStr">
        <is>
          <t xml:space="preserve">2,500 - 5,000</t>
        </is>
      </c>
      <c r="Q168" s="46" t="inlineStr">
        <is>
          <t xml:space="preserve">Oregon</t>
        </is>
      </c>
      <c r="R168" s="46" t="inlineStr">
        <is>
          <t xml:space="preserve">97204</t>
        </is>
      </c>
      <c r="S168" s="48" t="inlineStr">
        <is>
          <t xml:space="preserve">Earthquake - high (CA, Cascadia, New Madrid)</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5589.55</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CANON-202607-007870</t>
        </is>
      </c>
      <c r="B169" s="30" t="inlineStr">
        <is>
          <t xml:space="preserve">Ingrid Bellandi</t>
        </is>
      </c>
      <c r="C169" s="31">
        <v>46228</v>
      </c>
      <c r="D169" s="32" t="inlineStr">
        <is>
          <t xml:space="preserve">Bound - within authority</t>
        </is>
      </c>
      <c r="E169" s="32" t="inlineStr">
        <is>
          <t xml:space="preserve">New business</t>
        </is>
      </c>
      <c r="F169" s="30" t="inlineStr">
        <is>
          <t xml:space="preserve">B1234EXOTIC26</t>
        </is>
      </c>
      <c r="G169" s="33">
        <f>IF($A169="","",IF($C169="","",YEAR($C169)))</f>
      </c>
      <c r="H169" s="34">
        <v>1994</v>
      </c>
      <c r="I169" s="30" t="inlineStr">
        <is>
          <t xml:space="preserve">Porsche</t>
        </is>
      </c>
      <c r="J169" s="30" t="inlineStr">
        <is>
          <t xml:space="preserve">911 Turbo S</t>
        </is>
      </c>
      <c r="K169" s="30" t="inlineStr">
        <is>
          <t xml:space="preserve">2AWSJJXA71VZ8MJ99</t>
        </is>
      </c>
      <c r="L169" s="32" t="inlineStr">
        <is>
          <t xml:space="preserve">02 - Sports / GT</t>
        </is>
      </c>
      <c r="M169" s="35">
        <v>440000</v>
      </c>
      <c r="N169" s="32" t="inlineStr">
        <is>
          <t xml:space="preserve">Personal</t>
        </is>
      </c>
      <c r="O169" s="30" t="inlineStr">
        <is>
          <t xml:space="preserve">Personal - regular use</t>
        </is>
      </c>
      <c r="P169" s="30" t="inlineStr">
        <is>
          <t xml:space="preserve">2,500 - 5,000</t>
        </is>
      </c>
      <c r="Q169" s="30" t="inlineStr">
        <is>
          <t xml:space="preserve">Tennessee</t>
        </is>
      </c>
      <c r="R169" s="30" t="inlineStr">
        <is>
          <t xml:space="preserve">37203</t>
        </is>
      </c>
      <c r="S169" s="32" t="inlineStr">
        <is>
          <t xml:space="preserve">Severe convective - hail / tornado (moderate)</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4643.54</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CANON-202607-007871</t>
        </is>
      </c>
      <c r="B170" s="46" t="inlineStr">
        <is>
          <t xml:space="preserve">Mireille Castellanos</t>
        </is>
      </c>
      <c r="C170" s="47">
        <v>46210</v>
      </c>
      <c r="D170" s="48" t="inlineStr">
        <is>
          <t xml:space="preserve">Bound - within authority</t>
        </is>
      </c>
      <c r="E170" s="48" t="inlineStr">
        <is>
          <t xml:space="preserve">New business</t>
        </is>
      </c>
      <c r="F170" s="46" t="inlineStr">
        <is>
          <t xml:space="preserve">B1234EXOTIC26</t>
        </is>
      </c>
      <c r="G170" s="33">
        <f>IF($A170="","",IF($C170="","",YEAR($C170)))</f>
      </c>
      <c r="H170" s="49">
        <v>2018</v>
      </c>
      <c r="I170" s="46" t="inlineStr">
        <is>
          <t xml:space="preserve">McLaren</t>
        </is>
      </c>
      <c r="J170" s="46" t="inlineStr">
        <is>
          <t xml:space="preserve">750S</t>
        </is>
      </c>
      <c r="K170" s="46" t="inlineStr">
        <is>
          <t xml:space="preserve">0H4EE3JEC5R2LA8Z1</t>
        </is>
      </c>
      <c r="L170" s="48" t="inlineStr">
        <is>
          <t xml:space="preserve">03 - Supercar</t>
        </is>
      </c>
      <c r="M170" s="50">
        <v>1190000</v>
      </c>
      <c r="N170" s="48" t="inlineStr">
        <is>
          <t xml:space="preserve">Personal</t>
        </is>
      </c>
      <c r="O170" s="46" t="inlineStr">
        <is>
          <t xml:space="preserve">Personal - regular use</t>
        </is>
      </c>
      <c r="P170" s="46" t="inlineStr">
        <is>
          <t xml:space="preserve">Under 1,000</t>
        </is>
      </c>
      <c r="Q170" s="46" t="inlineStr">
        <is>
          <t xml:space="preserve">Connecticut</t>
        </is>
      </c>
      <c r="R170" s="46" t="inlineStr">
        <is>
          <t xml:space="preserve">06103</t>
        </is>
      </c>
      <c r="S170" s="48" t="inlineStr">
        <is>
          <t xml:space="preserve">Tier 3 - Coastal wind (25-100 miles)</t>
        </is>
      </c>
      <c r="T170" s="36">
        <f>IF($A170="","",IF($S170="","",IFERROR(INDEX('[1]natural catastrophe'!$D$6:$D$17,MATCH($S170,'[1]natural catastrophe'!$B$6:$B$17,0)),"?")))</f>
      </c>
      <c r="U170" s="46" t="inlineStr">
        <is>
          <t xml:space="preserve">2% of agreed value, minimum $10,000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15309.6</v>
      </c>
      <c r="AC170" s="51">
        <v>0</v>
      </c>
      <c r="AD170" s="38">
        <f>IF(ISNUMBER($AB170),$AB170*(1+N($AC170)),"")</f>
      </c>
      <c r="AE170" s="50">
        <v>350</v>
      </c>
      <c r="AF170" s="50">
        <v>250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CANON-202607-007872</t>
        </is>
      </c>
      <c r="B171" s="30" t="inlineStr">
        <is>
          <t xml:space="preserve">Ingrid Kingsford</t>
        </is>
      </c>
      <c r="C171" s="31">
        <v>46217</v>
      </c>
      <c r="D171" s="32" t="inlineStr">
        <is>
          <t xml:space="preserve">Bound - within authority</t>
        </is>
      </c>
      <c r="E171" s="32" t="inlineStr">
        <is>
          <t xml:space="preserve">New business</t>
        </is>
      </c>
      <c r="F171" s="30" t="inlineStr">
        <is>
          <t xml:space="preserve">B1234EXOTIC26</t>
        </is>
      </c>
      <c r="G171" s="33">
        <f>IF($A171="","",IF($C171="","",YEAR($C171)))</f>
      </c>
      <c r="H171" s="34">
        <v>1959</v>
      </c>
      <c r="I171" s="30" t="inlineStr">
        <is>
          <t xml:space="preserve">Aston Martin</t>
        </is>
      </c>
      <c r="J171" s="30" t="inlineStr">
        <is>
          <t xml:space="preserve">DB12</t>
        </is>
      </c>
      <c r="K171" s="30" t="inlineStr">
        <is>
          <t xml:space="preserve">CCL2936PKADLYTTAF</t>
        </is>
      </c>
      <c r="L171" s="32" t="inlineStr">
        <is>
          <t xml:space="preserve">02 - Sports / GT</t>
        </is>
      </c>
      <c r="M171" s="35">
        <v>240000</v>
      </c>
      <c r="N171" s="32" t="inlineStr">
        <is>
          <t xml:space="preserve">Personal</t>
        </is>
      </c>
      <c r="O171" s="30" t="inlineStr">
        <is>
          <t xml:space="preserve">Personal - regular use</t>
        </is>
      </c>
      <c r="P171" s="30" t="inlineStr">
        <is>
          <t xml:space="preserve">1,000 - 2,500</t>
        </is>
      </c>
      <c r="Q171" s="30" t="inlineStr">
        <is>
          <t xml:space="preserve">New Jersey</t>
        </is>
      </c>
      <c r="R171" s="30" t="inlineStr">
        <is>
          <t xml:space="preserve">07102</t>
        </is>
      </c>
      <c r="S171" s="32" t="inlineStr">
        <is>
          <t xml:space="preserve">Tier 3 - Coastal wind (25-100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2885.02</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CANON-202607-007873</t>
        </is>
      </c>
      <c r="B172" s="46" t="inlineStr">
        <is>
          <t xml:space="preserve">Emiliano Kingsford</t>
        </is>
      </c>
      <c r="C172" s="47">
        <v>46224</v>
      </c>
      <c r="D172" s="48" t="inlineStr">
        <is>
          <t xml:space="preserve">Bound - within authority</t>
        </is>
      </c>
      <c r="E172" s="48" t="inlineStr">
        <is>
          <t xml:space="preserve">New business</t>
        </is>
      </c>
      <c r="F172" s="46" t="inlineStr">
        <is>
          <t xml:space="preserve">B1234EXOTIC26</t>
        </is>
      </c>
      <c r="G172" s="33">
        <f>IF($A172="","",IF($C172="","",YEAR($C172)))</f>
      </c>
      <c r="H172" s="49">
        <v>1988</v>
      </c>
      <c r="I172" s="46" t="inlineStr">
        <is>
          <t xml:space="preserve">Aston Martin</t>
        </is>
      </c>
      <c r="J172" s="46" t="inlineStr">
        <is>
          <t xml:space="preserve">DB12</t>
        </is>
      </c>
      <c r="K172" s="46" t="inlineStr">
        <is>
          <t xml:space="preserve">U7HH5D2HTDFK5GKAF</t>
        </is>
      </c>
      <c r="L172" s="48" t="inlineStr">
        <is>
          <t xml:space="preserve">02 - Sports / GT</t>
        </is>
      </c>
      <c r="M172" s="50">
        <v>340000</v>
      </c>
      <c r="N172" s="48" t="inlineStr">
        <is>
          <t xml:space="preserve">Personal</t>
        </is>
      </c>
      <c r="O172" s="46" t="inlineStr">
        <is>
          <t xml:space="preserve">Personal - regular use</t>
        </is>
      </c>
      <c r="P172" s="46" t="inlineStr">
        <is>
          <t xml:space="preserve">2,500 - 5,000</t>
        </is>
      </c>
      <c r="Q172" s="46" t="inlineStr">
        <is>
          <t xml:space="preserve">Texas</t>
        </is>
      </c>
      <c r="R172" s="46" t="inlineStr">
        <is>
          <t xml:space="preserve">75201</t>
        </is>
      </c>
      <c r="S172" s="48" t="inlineStr">
        <is>
          <t xml:space="preserve">Tier 2 - Coastal wind (1-25 miles)</t>
        </is>
      </c>
      <c r="T172" s="36">
        <f>IF($A172="","",IF($S172="","",IFERROR(INDEX('[1]natural catastrophe'!$D$6:$D$17,MATCH($S172,'[1]natural catastrophe'!$B$6:$B$17,0)),"?")))</f>
      </c>
      <c r="U172" s="46" t="inlineStr">
        <is>
          <t xml:space="preserve">2% of agreed value, minimum $10,000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4210.63</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CANON-202607-007875</t>
        </is>
      </c>
      <c r="B173" s="30" t="inlineStr">
        <is>
          <t xml:space="preserve">Ottilie Merriweather</t>
        </is>
      </c>
      <c r="C173" s="31">
        <v>46205</v>
      </c>
      <c r="D173" s="32" t="inlineStr">
        <is>
          <t xml:space="preserve">Bound - within authority</t>
        </is>
      </c>
      <c r="E173" s="32" t="inlineStr">
        <is>
          <t xml:space="preserve">New business</t>
        </is>
      </c>
      <c r="F173" s="30" t="inlineStr">
        <is>
          <t xml:space="preserve">B1234EXOTIC26</t>
        </is>
      </c>
      <c r="G173" s="33">
        <f>IF($A173="","",IF($C173="","",YEAR($C173)))</f>
      </c>
      <c r="H173" s="34">
        <v>1989</v>
      </c>
      <c r="I173" s="30" t="inlineStr">
        <is>
          <t xml:space="preserve">BMW</t>
        </is>
      </c>
      <c r="J173" s="30" t="inlineStr">
        <is>
          <t xml:space="preserve">M8 Competition</t>
        </is>
      </c>
      <c r="K173" s="30" t="inlineStr">
        <is>
          <t xml:space="preserve">PH5YJCSKA0KT3Y47B</t>
        </is>
      </c>
      <c r="L173" s="32" t="inlineStr">
        <is>
          <t xml:space="preserve">02 - Sports / GT</t>
        </is>
      </c>
      <c r="M173" s="35">
        <v>370000</v>
      </c>
      <c r="N173" s="32" t="inlineStr">
        <is>
          <t xml:space="preserve">Personal</t>
        </is>
      </c>
      <c r="O173" s="30" t="inlineStr">
        <is>
          <t xml:space="preserve">Personal - regular use</t>
        </is>
      </c>
      <c r="P173" s="30" t="inlineStr">
        <is>
          <t xml:space="preserve">2,500 - 5,000</t>
        </is>
      </c>
      <c r="Q173" s="30" t="inlineStr">
        <is>
          <t xml:space="preserve">New Jersey</t>
        </is>
      </c>
      <c r="R173" s="30" t="inlineStr">
        <is>
          <t xml:space="preserve">07102</t>
        </is>
      </c>
      <c r="S173" s="32" t="inlineStr">
        <is>
          <t xml:space="preserve">Tier 3 - Coastal wind (25-100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3625.88</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CANON-202607-007876</t>
        </is>
      </c>
      <c r="B174" s="46" t="inlineStr">
        <is>
          <t xml:space="preserve">Everett Vasquez</t>
        </is>
      </c>
      <c r="C174" s="47">
        <v>46225</v>
      </c>
      <c r="D174" s="48" t="inlineStr">
        <is>
          <t xml:space="preserve">Bound - within authority</t>
        </is>
      </c>
      <c r="E174" s="48" t="inlineStr">
        <is>
          <t xml:space="preserve">New business</t>
        </is>
      </c>
      <c r="F174" s="46" t="inlineStr">
        <is>
          <t xml:space="preserve">B1234EXOTIC26</t>
        </is>
      </c>
      <c r="G174" s="33">
        <f>IF($A174="","",IF($C174="","",YEAR($C174)))</f>
      </c>
      <c r="H174" s="49">
        <v>1961</v>
      </c>
      <c r="I174" s="46" t="inlineStr">
        <is>
          <t xml:space="preserve">Ferrari</t>
        </is>
      </c>
      <c r="J174" s="46" t="inlineStr">
        <is>
          <t xml:space="preserve">SF90 Stradale</t>
        </is>
      </c>
      <c r="K174" s="46" t="inlineStr">
        <is>
          <t xml:space="preserve">U4UFVC6GPKGE0DX5R</t>
        </is>
      </c>
      <c r="L174" s="48" t="inlineStr">
        <is>
          <t xml:space="preserve">03 - Supercar</t>
        </is>
      </c>
      <c r="M174" s="50">
        <v>560000</v>
      </c>
      <c r="N174" s="48" t="inlineStr">
        <is>
          <t xml:space="preserve">Personal</t>
        </is>
      </c>
      <c r="O174" s="46" t="inlineStr">
        <is>
          <t xml:space="preserve">Personal - regular use</t>
        </is>
      </c>
      <c r="P174" s="46" t="inlineStr">
        <is>
          <t xml:space="preserve">Under 1,000</t>
        </is>
      </c>
      <c r="Q174" s="46" t="inlineStr">
        <is>
          <t xml:space="preserve">California</t>
        </is>
      </c>
      <c r="R174" s="46" t="inlineStr">
        <is>
          <t xml:space="preserve">90012</t>
        </is>
      </c>
      <c r="S174" s="48" t="inlineStr">
        <is>
          <t xml:space="preserve">Earthquake - high (CA, Cascadia, New Madrid)</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10312.27</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CANON-202607-007878</t>
        </is>
      </c>
      <c r="B175" s="30" t="inlineStr">
        <is>
          <t xml:space="preserve">Cassius Bellandi</t>
        </is>
      </c>
      <c r="C175" s="31">
        <v>46223</v>
      </c>
      <c r="D175" s="32" t="inlineStr">
        <is>
          <t xml:space="preserve">Bound - within authority</t>
        </is>
      </c>
      <c r="E175" s="32" t="inlineStr">
        <is>
          <t xml:space="preserve">New business</t>
        </is>
      </c>
      <c r="F175" s="30" t="inlineStr">
        <is>
          <t xml:space="preserve">B1234EXOTIC26</t>
        </is>
      </c>
      <c r="G175" s="33">
        <f>IF($A175="","",IF($C175="","",YEAR($C175)))</f>
      </c>
      <c r="H175" s="34">
        <v>2002</v>
      </c>
      <c r="I175" s="30" t="inlineStr">
        <is>
          <t xml:space="preserve">Bentley</t>
        </is>
      </c>
      <c r="J175" s="30" t="inlineStr">
        <is>
          <t xml:space="preserve">Continental GT</t>
        </is>
      </c>
      <c r="K175" s="30" t="inlineStr">
        <is>
          <t xml:space="preserve">A6UC1DK29SZMREF4H</t>
        </is>
      </c>
      <c r="L175" s="32" t="inlineStr">
        <is>
          <t xml:space="preserve">02 - Sports / GT</t>
        </is>
      </c>
      <c r="M175" s="35">
        <v>1545000</v>
      </c>
      <c r="N175" s="32" t="inlineStr">
        <is>
          <t xml:space="preserve">Personal</t>
        </is>
      </c>
      <c r="O175" s="30" t="inlineStr">
        <is>
          <t xml:space="preserve">Personal - regular use</t>
        </is>
      </c>
      <c r="P175" s="30" t="inlineStr">
        <is>
          <t xml:space="preserve">2,500 - 5,000</t>
        </is>
      </c>
      <c r="Q175" s="30" t="inlineStr">
        <is>
          <t xml:space="preserve">Delaware</t>
        </is>
      </c>
      <c r="R175" s="30" t="inlineStr">
        <is>
          <t xml:space="preserve">19801</t>
        </is>
      </c>
      <c r="S175" s="32" t="inlineStr">
        <is>
          <t xml:space="preserve">Tier 3 - Coastal wind (25-100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15251.41</v>
      </c>
      <c r="AC175" s="37">
        <v>0</v>
      </c>
      <c r="AD175" s="38">
        <f>IF(ISNUMBER($AB175),$AB175*(1+N($AC175)),"")</f>
      </c>
      <c r="AE175" s="35">
        <v>350</v>
      </c>
      <c r="AF175" s="35">
        <v>250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CANON-202607-007879</t>
        </is>
      </c>
      <c r="B176" s="46" t="inlineStr">
        <is>
          <t xml:space="preserve">Ottilie Castellanos</t>
        </is>
      </c>
      <c r="C176" s="47">
        <v>46210</v>
      </c>
      <c r="D176" s="48" t="inlineStr">
        <is>
          <t xml:space="preserve">Bound - within authority</t>
        </is>
      </c>
      <c r="E176" s="48" t="inlineStr">
        <is>
          <t xml:space="preserve">New business</t>
        </is>
      </c>
      <c r="F176" s="46" t="inlineStr">
        <is>
          <t xml:space="preserve">B1234EXOTIC26</t>
        </is>
      </c>
      <c r="G176" s="33">
        <f>IF($A176="","",IF($C176="","",YEAR($C176)))</f>
      </c>
      <c r="H176" s="49">
        <v>2010</v>
      </c>
      <c r="I176" s="46" t="inlineStr">
        <is>
          <t xml:space="preserve">Mercedes-Benz</t>
        </is>
      </c>
      <c r="J176" s="46" t="inlineStr">
        <is>
          <t xml:space="preserve">280SL Pagoda</t>
        </is>
      </c>
      <c r="K176" s="46" t="inlineStr">
        <is>
          <t xml:space="preserve">03VKHYYZGG00YSXL1</t>
        </is>
      </c>
      <c r="L176" s="48" t="inlineStr">
        <is>
          <t xml:space="preserve">09 - Youngtimer / Collectible (2000-2010)</t>
        </is>
      </c>
      <c r="M176" s="50">
        <v>825000</v>
      </c>
      <c r="N176" s="48" t="inlineStr">
        <is>
          <t xml:space="preserve">Personal</t>
        </is>
      </c>
      <c r="O176" s="46" t="inlineStr">
        <is>
          <t xml:space="preserve">Personal - regular use</t>
        </is>
      </c>
      <c r="P176" s="46" t="inlineStr">
        <is>
          <t xml:space="preserve">Under 1,000</t>
        </is>
      </c>
      <c r="Q176" s="46" t="inlineStr">
        <is>
          <t xml:space="preserve">Texas</t>
        </is>
      </c>
      <c r="R176" s="46" t="inlineStr">
        <is>
          <t xml:space="preserve">75201</t>
        </is>
      </c>
      <c r="S176" s="48" t="inlineStr">
        <is>
          <t xml:space="preserve">Tier 2 - Coastal wind (1-25 miles)</t>
        </is>
      </c>
      <c r="T176" s="36">
        <f>IF($A176="","",IF($S176="","",IFERROR(INDEX('[1]natural catastrophe'!$D$6:$D$17,MATCH($S176,'[1]natural catastrophe'!$B$6:$B$17,0)),"?")))</f>
      </c>
      <c r="U176" s="46" t="inlineStr">
        <is>
          <t xml:space="preserve">2% of agreed value, minimum $10,000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5857.73</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CANON-202607-007881</t>
        </is>
      </c>
      <c r="B177" s="30" t="inlineStr">
        <is>
          <t xml:space="preserve">Fitzgerald Vandermeer</t>
        </is>
      </c>
      <c r="C177" s="31">
        <v>46221</v>
      </c>
      <c r="D177" s="32" t="inlineStr">
        <is>
          <t xml:space="preserve">Bound - within authority</t>
        </is>
      </c>
      <c r="E177" s="32" t="inlineStr">
        <is>
          <t xml:space="preserve">New business</t>
        </is>
      </c>
      <c r="F177" s="30" t="inlineStr">
        <is>
          <t xml:space="preserve">B1234EXOTIC26</t>
        </is>
      </c>
      <c r="G177" s="33">
        <f>IF($A177="","",IF($C177="","",YEAR($C177)))</f>
      </c>
      <c r="H177" s="34">
        <v>2006</v>
      </c>
      <c r="I177" s="30" t="inlineStr">
        <is>
          <t xml:space="preserve">Bentley</t>
        </is>
      </c>
      <c r="J177" s="30" t="inlineStr">
        <is>
          <t xml:space="preserve">Continental GT</t>
        </is>
      </c>
      <c r="K177" s="30" t="inlineStr">
        <is>
          <t xml:space="preserve">KT46158YLYMG7KS8V</t>
        </is>
      </c>
      <c r="L177" s="32" t="inlineStr">
        <is>
          <t xml:space="preserve">02 - Sports / GT</t>
        </is>
      </c>
      <c r="M177" s="35">
        <v>525000</v>
      </c>
      <c r="N177" s="32" t="inlineStr">
        <is>
          <t xml:space="preserve">Personal</t>
        </is>
      </c>
      <c r="O177" s="30" t="inlineStr">
        <is>
          <t xml:space="preserve">Personal - regular use</t>
        </is>
      </c>
      <c r="P177" s="30" t="inlineStr">
        <is>
          <t xml:space="preserve">Under 1,000</t>
        </is>
      </c>
      <c r="Q177" s="30" t="inlineStr">
        <is>
          <t xml:space="preserve">Colorado</t>
        </is>
      </c>
      <c r="R177" s="30" t="inlineStr">
        <is>
          <t xml:space="preserve">80202</t>
        </is>
      </c>
      <c r="S177" s="32" t="inlineStr">
        <is>
          <t xml:space="preserve">Severe convective - hail alley (high)</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5389.82</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CANON-202607-007883</t>
        </is>
      </c>
      <c r="B178" s="46" t="inlineStr">
        <is>
          <t xml:space="preserve">Leopold Kingsford</t>
        </is>
      </c>
      <c r="C178" s="47">
        <v>46217</v>
      </c>
      <c r="D178" s="48" t="inlineStr">
        <is>
          <t xml:space="preserve">Bound - within authority</t>
        </is>
      </c>
      <c r="E178" s="48" t="inlineStr">
        <is>
          <t xml:space="preserve">New business</t>
        </is>
      </c>
      <c r="F178" s="46" t="inlineStr">
        <is>
          <t xml:space="preserve">B1234EXOTIC26</t>
        </is>
      </c>
      <c r="G178" s="33">
        <f>IF($A178="","",IF($C178="","",YEAR($C178)))</f>
      </c>
      <c r="H178" s="49">
        <v>2021</v>
      </c>
      <c r="I178" s="46" t="inlineStr">
        <is>
          <t xml:space="preserve">Mercedes-Benz</t>
        </is>
      </c>
      <c r="J178" s="46" t="inlineStr">
        <is>
          <t xml:space="preserve">280SL Pagoda</t>
        </is>
      </c>
      <c r="K178" s="46" t="inlineStr">
        <is>
          <t xml:space="preserve">TETHRR8BGBW2686DC</t>
        </is>
      </c>
      <c r="L178" s="48" t="inlineStr">
        <is>
          <t xml:space="preserve">02 - Sports / GT</t>
        </is>
      </c>
      <c r="M178" s="50">
        <v>1950000</v>
      </c>
      <c r="N178" s="48" t="inlineStr">
        <is>
          <t xml:space="preserve">Personal</t>
        </is>
      </c>
      <c r="O178" s="46" t="inlineStr">
        <is>
          <t xml:space="preserve">Personal - regular use</t>
        </is>
      </c>
      <c r="P178" s="46" t="inlineStr">
        <is>
          <t xml:space="preserve">Under 1,000</t>
        </is>
      </c>
      <c r="Q178" s="46" t="inlineStr">
        <is>
          <t xml:space="preserve">Illinois</t>
        </is>
      </c>
      <c r="R178" s="46" t="inlineStr">
        <is>
          <t xml:space="preserve">60601</t>
        </is>
      </c>
      <c r="S178" s="48" t="inlineStr">
        <is>
          <t xml:space="preserve">Severe convective - hail / tornado (moderate)</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14469.91</v>
      </c>
      <c r="AC178" s="51">
        <v>0</v>
      </c>
      <c r="AD178" s="38">
        <f>IF(ISNUMBER($AB178),$AB178*(1+N($AC178)),"")</f>
      </c>
      <c r="AE178" s="50">
        <v>350</v>
      </c>
      <c r="AF178" s="50">
        <v>250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CANON-202607-007884</t>
        </is>
      </c>
      <c r="B179" s="30" t="inlineStr">
        <is>
          <t xml:space="preserve">Leopold Larsson</t>
        </is>
      </c>
      <c r="C179" s="31">
        <v>46212</v>
      </c>
      <c r="D179" s="32" t="inlineStr">
        <is>
          <t xml:space="preserve">Bound - within authority</t>
        </is>
      </c>
      <c r="E179" s="32" t="inlineStr">
        <is>
          <t xml:space="preserve">New business</t>
        </is>
      </c>
      <c r="F179" s="30" t="inlineStr">
        <is>
          <t xml:space="preserve">B1234EXOTIC26</t>
        </is>
      </c>
      <c r="G179" s="33">
        <f>IF($A179="","",IF($C179="","",YEAR($C179)))</f>
      </c>
      <c r="H179" s="34">
        <v>2010</v>
      </c>
      <c r="I179" s="30" t="inlineStr">
        <is>
          <t xml:space="preserve">Ferrari</t>
        </is>
      </c>
      <c r="J179" s="30" t="inlineStr">
        <is>
          <t xml:space="preserve">296 GTB</t>
        </is>
      </c>
      <c r="K179" s="30" t="inlineStr">
        <is>
          <t xml:space="preserve">98CBGXW2DLS93CF3K</t>
        </is>
      </c>
      <c r="L179" s="32" t="inlineStr">
        <is>
          <t xml:space="preserve">03 - Supercar</t>
        </is>
      </c>
      <c r="M179" s="35">
        <v>505000</v>
      </c>
      <c r="N179" s="32" t="inlineStr">
        <is>
          <t xml:space="preserve">Personal</t>
        </is>
      </c>
      <c r="O179" s="30" t="inlineStr">
        <is>
          <t xml:space="preserve">Personal - regular use</t>
        </is>
      </c>
      <c r="P179" s="30" t="inlineStr">
        <is>
          <t xml:space="preserve">Under 1,000</t>
        </is>
      </c>
      <c r="Q179" s="30" t="inlineStr">
        <is>
          <t xml:space="preserve">South Carolina</t>
        </is>
      </c>
      <c r="R179" s="30" t="inlineStr">
        <is>
          <t xml:space="preserve">29401</t>
        </is>
      </c>
      <c r="S179" s="32" t="inlineStr">
        <is>
          <t xml:space="preserve">Tier 2 - Coastal wind (1-25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8541.72</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CANON-202607-007886</t>
        </is>
      </c>
      <c r="B180" s="46" t="inlineStr">
        <is>
          <t xml:space="preserve">Noor Merriweather</t>
        </is>
      </c>
      <c r="C180" s="47">
        <v>46207</v>
      </c>
      <c r="D180" s="48" t="inlineStr">
        <is>
          <t xml:space="preserve">Bound - within authority</t>
        </is>
      </c>
      <c r="E180" s="48" t="inlineStr">
        <is>
          <t xml:space="preserve">New business</t>
        </is>
      </c>
      <c r="F180" s="46" t="inlineStr">
        <is>
          <t xml:space="preserve">B1234EXOTIC26</t>
        </is>
      </c>
      <c r="G180" s="33">
        <f>IF($A180="","",IF($C180="","",YEAR($C180)))</f>
      </c>
      <c r="H180" s="49">
        <v>1966</v>
      </c>
      <c r="I180" s="46" t="inlineStr">
        <is>
          <t xml:space="preserve">BMW</t>
        </is>
      </c>
      <c r="J180" s="46" t="inlineStr">
        <is>
          <t xml:space="preserve">M8 Competition</t>
        </is>
      </c>
      <c r="K180" s="46" t="inlineStr">
        <is>
          <t xml:space="preserve">H4MZWEN4WM32DJEWA</t>
        </is>
      </c>
      <c r="L180" s="48" t="inlineStr">
        <is>
          <t xml:space="preserve">02 - Sports / GT</t>
        </is>
      </c>
      <c r="M180" s="50">
        <v>330000</v>
      </c>
      <c r="N180" s="48" t="inlineStr">
        <is>
          <t xml:space="preserve">Personal</t>
        </is>
      </c>
      <c r="O180" s="46" t="inlineStr">
        <is>
          <t xml:space="preserve">Personal - regular use</t>
        </is>
      </c>
      <c r="P180" s="46" t="inlineStr">
        <is>
          <t xml:space="preserve">Under 1,000</t>
        </is>
      </c>
      <c r="Q180" s="46" t="inlineStr">
        <is>
          <t xml:space="preserve">Georgia</t>
        </is>
      </c>
      <c r="R180" s="46" t="inlineStr">
        <is>
          <t xml:space="preserve">30303</t>
        </is>
      </c>
      <c r="S180" s="48" t="inlineStr">
        <is>
          <t xml:space="preserve">Tier 2 - Coastal wind (1-25 miles)</t>
        </is>
      </c>
      <c r="T180" s="36">
        <f>IF($A180="","",IF($S180="","",IFERROR(INDEX('[1]natural catastrophe'!$D$6:$D$17,MATCH($S180,'[1]natural catastrophe'!$B$6:$B$17,0)),"?")))</f>
      </c>
      <c r="U180" s="46" t="inlineStr">
        <is>
          <t xml:space="preserve">2% of agreed value, minimum $10,000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3980.17</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CANON-202607-007887</t>
        </is>
      </c>
      <c r="B181" s="30" t="inlineStr">
        <is>
          <t xml:space="preserve">Anouk Montoya</t>
        </is>
      </c>
      <c r="C181" s="31">
        <v>46231</v>
      </c>
      <c r="D181" s="32" t="inlineStr">
        <is>
          <t xml:space="preserve">Bound - within authority</t>
        </is>
      </c>
      <c r="E181" s="32" t="inlineStr">
        <is>
          <t xml:space="preserve">New business</t>
        </is>
      </c>
      <c r="F181" s="30" t="inlineStr">
        <is>
          <t xml:space="preserve">B1234EXOTIC26</t>
        </is>
      </c>
      <c r="G181" s="33">
        <f>IF($A181="","",IF($C181="","",YEAR($C181)))</f>
      </c>
      <c r="H181" s="34">
        <v>1962</v>
      </c>
      <c r="I181" s="30" t="inlineStr">
        <is>
          <t xml:space="preserve">McLaren</t>
        </is>
      </c>
      <c r="J181" s="30" t="inlineStr">
        <is>
          <t xml:space="preserve">750S</t>
        </is>
      </c>
      <c r="K181" s="30" t="inlineStr">
        <is>
          <t xml:space="preserve">RR7Z82CHHE50KC1DP</t>
        </is>
      </c>
      <c r="L181" s="32" t="inlineStr">
        <is>
          <t xml:space="preserve">03 - Supercar</t>
        </is>
      </c>
      <c r="M181" s="35">
        <v>830000</v>
      </c>
      <c r="N181" s="32" t="inlineStr">
        <is>
          <t xml:space="preserve">Personal</t>
        </is>
      </c>
      <c r="O181" s="30" t="inlineStr">
        <is>
          <t xml:space="preserve">Personal - regular use</t>
        </is>
      </c>
      <c r="P181" s="30" t="inlineStr">
        <is>
          <t xml:space="preserve">Under 1,000</t>
        </is>
      </c>
      <c r="Q181" s="30" t="inlineStr">
        <is>
          <t xml:space="preserve">Rhode Island</t>
        </is>
      </c>
      <c r="R181" s="30" t="inlineStr">
        <is>
          <t xml:space="preserve">02903</t>
        </is>
      </c>
      <c r="S181" s="32" t="inlineStr">
        <is>
          <t xml:space="preserve">Tier 3 - Coastal wind (25-100 miles)</t>
        </is>
      </c>
      <c r="T181" s="36">
        <f>IF($A181="","",IF($S181="","",IFERROR(INDEX('[1]natural catastrophe'!$D$6:$D$17,MATCH($S181,'[1]natural catastrophe'!$B$6:$B$17,0)),"?")))</f>
      </c>
      <c r="U181" s="30" t="inlineStr">
        <is>
          <t xml:space="preserve">2% of agreed value, minimum $10,000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15510.69</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CANON-202607-007888</t>
        </is>
      </c>
      <c r="B182" s="46" t="inlineStr">
        <is>
          <t xml:space="preserve">Emiliano Farkas</t>
        </is>
      </c>
      <c r="C182" s="47">
        <v>46225</v>
      </c>
      <c r="D182" s="48" t="inlineStr">
        <is>
          <t xml:space="preserve">Bound - within authority</t>
        </is>
      </c>
      <c r="E182" s="48" t="inlineStr">
        <is>
          <t xml:space="preserve">New business</t>
        </is>
      </c>
      <c r="F182" s="46" t="inlineStr">
        <is>
          <t xml:space="preserve">B1234EXOTIC26</t>
        </is>
      </c>
      <c r="G182" s="33">
        <f>IF($A182="","",IF($C182="","",YEAR($C182)))</f>
      </c>
      <c r="H182" s="49">
        <v>1988</v>
      </c>
      <c r="I182" s="46" t="inlineStr">
        <is>
          <t xml:space="preserve">Maserati</t>
        </is>
      </c>
      <c r="J182" s="46" t="inlineStr">
        <is>
          <t xml:space="preserve">GranTurismo</t>
        </is>
      </c>
      <c r="K182" s="46" t="inlineStr">
        <is>
          <t xml:space="preserve">R05WGZ2BKUM1CF8BK</t>
        </is>
      </c>
      <c r="L182" s="48" t="inlineStr">
        <is>
          <t xml:space="preserve">02 - Sports / GT</t>
        </is>
      </c>
      <c r="M182" s="50">
        <v>770000</v>
      </c>
      <c r="N182" s="48" t="inlineStr">
        <is>
          <t xml:space="preserve">Personal</t>
        </is>
      </c>
      <c r="O182" s="46" t="inlineStr">
        <is>
          <t xml:space="preserve">Personal - regular use</t>
        </is>
      </c>
      <c r="P182" s="46" t="inlineStr">
        <is>
          <t xml:space="preserve">2,500 - 5,000</t>
        </is>
      </c>
      <c r="Q182" s="46" t="inlineStr">
        <is>
          <t xml:space="preserve">North Carolina</t>
        </is>
      </c>
      <c r="R182" s="46" t="inlineStr">
        <is>
          <t xml:space="preserve">28202</t>
        </is>
      </c>
      <c r="S182" s="48" t="inlineStr">
        <is>
          <t xml:space="preserve">Tier 2 - Coastal wind (1-25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8264.39</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CANON-202607-007889</t>
        </is>
      </c>
      <c r="B183" s="30" t="inlineStr">
        <is>
          <t xml:space="preserve">Noor Okonkwo</t>
        </is>
      </c>
      <c r="C183" s="31">
        <v>46212</v>
      </c>
      <c r="D183" s="32" t="inlineStr">
        <is>
          <t xml:space="preserve">Bound - within authority</t>
        </is>
      </c>
      <c r="E183" s="32" t="inlineStr">
        <is>
          <t xml:space="preserve">New business</t>
        </is>
      </c>
      <c r="F183" s="30" t="inlineStr">
        <is>
          <t xml:space="preserve">B1234EXOTIC26</t>
        </is>
      </c>
      <c r="G183" s="33">
        <f>IF($A183="","",IF($C183="","",YEAR($C183)))</f>
      </c>
      <c r="H183" s="34">
        <v>2019</v>
      </c>
      <c r="I183" s="30" t="inlineStr">
        <is>
          <t xml:space="preserve">Ferrari</t>
        </is>
      </c>
      <c r="J183" s="30" t="inlineStr">
        <is>
          <t xml:space="preserve">296 GTB</t>
        </is>
      </c>
      <c r="K183" s="30" t="inlineStr">
        <is>
          <t xml:space="preserve">KJEVRUACBGML99TCB</t>
        </is>
      </c>
      <c r="L183" s="32" t="inlineStr">
        <is>
          <t xml:space="preserve">03 - Supercar</t>
        </is>
      </c>
      <c r="M183" s="35">
        <v>990000</v>
      </c>
      <c r="N183" s="32" t="inlineStr">
        <is>
          <t xml:space="preserve">Personal</t>
        </is>
      </c>
      <c r="O183" s="30" t="inlineStr">
        <is>
          <t xml:space="preserve">Personal - regular use</t>
        </is>
      </c>
      <c r="P183" s="30" t="inlineStr">
        <is>
          <t xml:space="preserve">Under 1,000</t>
        </is>
      </c>
      <c r="Q183" s="30" t="inlineStr">
        <is>
          <t xml:space="preserve">California</t>
        </is>
      </c>
      <c r="R183" s="30" t="inlineStr">
        <is>
          <t xml:space="preserve">90012</t>
        </is>
      </c>
      <c r="S183" s="32" t="inlineStr">
        <is>
          <t xml:space="preserve">Earthquake - high (CA, Cascadia, New Madrid)</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18230.61</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CANON-202607-007891</t>
        </is>
      </c>
      <c r="B184" s="46" t="inlineStr">
        <is>
          <t xml:space="preserve">Cassius Kingsford</t>
        </is>
      </c>
      <c r="C184" s="47">
        <v>46218</v>
      </c>
      <c r="D184" s="48" t="inlineStr">
        <is>
          <t xml:space="preserve">Bound - within authority</t>
        </is>
      </c>
      <c r="E184" s="48" t="inlineStr">
        <is>
          <t xml:space="preserve">New business</t>
        </is>
      </c>
      <c r="F184" s="46" t="inlineStr">
        <is>
          <t xml:space="preserve">B1234EXOTIC26</t>
        </is>
      </c>
      <c r="G184" s="33">
        <f>IF($A184="","",IF($C184="","",YEAR($C184)))</f>
      </c>
      <c r="H184" s="49">
        <v>1955</v>
      </c>
      <c r="I184" s="46" t="inlineStr">
        <is>
          <t xml:space="preserve">Aston Martin</t>
        </is>
      </c>
      <c r="J184" s="46" t="inlineStr">
        <is>
          <t xml:space="preserve">DB12</t>
        </is>
      </c>
      <c r="K184" s="46" t="inlineStr">
        <is>
          <t xml:space="preserve">9Y6KUJ85SGMX2D8A3</t>
        </is>
      </c>
      <c r="L184" s="48" t="inlineStr">
        <is>
          <t xml:space="preserve">02 - Sports / GT</t>
        </is>
      </c>
      <c r="M184" s="50">
        <v>990000</v>
      </c>
      <c r="N184" s="48" t="inlineStr">
        <is>
          <t xml:space="preserve">Personal</t>
        </is>
      </c>
      <c r="O184" s="46" t="inlineStr">
        <is>
          <t xml:space="preserve">Personal - regular use</t>
        </is>
      </c>
      <c r="P184" s="46" t="inlineStr">
        <is>
          <t xml:space="preserve">1,000 - 2,500</t>
        </is>
      </c>
      <c r="Q184" s="46" t="inlineStr">
        <is>
          <t xml:space="preserve">North Carolina</t>
        </is>
      </c>
      <c r="R184" s="46" t="inlineStr">
        <is>
          <t xml:space="preserve">28202</t>
        </is>
      </c>
      <c r="S184" s="48" t="inlineStr">
        <is>
          <t xml:space="preserve">Tier 2 - Coastal wind (1-25 miles)</t>
        </is>
      </c>
      <c r="T184" s="36">
        <f>IF($A184="","",IF($S184="","",IFERROR(INDEX('[1]natural catastrophe'!$D$6:$D$17,MATCH($S184,'[1]natural catastrophe'!$B$6:$B$17,0)),"?")))</f>
      </c>
      <c r="U184" s="46" t="inlineStr">
        <is>
          <t xml:space="preserve">2% of agreed value, minimum $10,000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10625.65</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CANON-202607-007892</t>
        </is>
      </c>
      <c r="B185" s="30" t="inlineStr">
        <is>
          <t xml:space="preserve">Callum Pennington</t>
        </is>
      </c>
      <c r="C185" s="31">
        <v>46206</v>
      </c>
      <c r="D185" s="32" t="inlineStr">
        <is>
          <t xml:space="preserve">Bound - within authority</t>
        </is>
      </c>
      <c r="E185" s="32" t="inlineStr">
        <is>
          <t xml:space="preserve">New business</t>
        </is>
      </c>
      <c r="F185" s="30" t="inlineStr">
        <is>
          <t xml:space="preserve">B1234EXOTIC26</t>
        </is>
      </c>
      <c r="G185" s="33">
        <f>IF($A185="","",IF($C185="","",YEAR($C185)))</f>
      </c>
      <c r="H185" s="34">
        <v>1977</v>
      </c>
      <c r="I185" s="30" t="inlineStr">
        <is>
          <t xml:space="preserve">Aston Martin</t>
        </is>
      </c>
      <c r="J185" s="30" t="inlineStr">
        <is>
          <t xml:space="preserve">DB12</t>
        </is>
      </c>
      <c r="K185" s="30" t="inlineStr">
        <is>
          <t xml:space="preserve">GTGKRV9N9B4D88P09</t>
        </is>
      </c>
      <c r="L185" s="32" t="inlineStr">
        <is>
          <t xml:space="preserve">02 - Sports / GT</t>
        </is>
      </c>
      <c r="M185" s="35">
        <v>1575000</v>
      </c>
      <c r="N185" s="32" t="inlineStr">
        <is>
          <t xml:space="preserve">Personal</t>
        </is>
      </c>
      <c r="O185" s="30" t="inlineStr">
        <is>
          <t xml:space="preserve">Personal - regular use</t>
        </is>
      </c>
      <c r="P185" s="30" t="inlineStr">
        <is>
          <t xml:space="preserve">Under 1,000</t>
        </is>
      </c>
      <c r="Q185" s="30" t="inlineStr">
        <is>
          <t xml:space="preserve">Arkansas</t>
        </is>
      </c>
      <c r="R185" s="30" t="inlineStr">
        <is>
          <t xml:space="preserve">72201</t>
        </is>
      </c>
      <c r="S185" s="32" t="inlineStr">
        <is>
          <t xml:space="preserve">Severe convective - hail / tornado (moderate)</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17164.5</v>
      </c>
      <c r="AC185" s="37">
        <v>0</v>
      </c>
      <c r="AD185" s="38">
        <f>IF(ISNUMBER($AB185),$AB185*(1+N($AC185)),"")</f>
      </c>
      <c r="AE185" s="35">
        <v>350</v>
      </c>
      <c r="AF185" s="35">
        <v>250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CANON-202607-007893</t>
        </is>
      </c>
      <c r="B186" s="46" t="inlineStr">
        <is>
          <t xml:space="preserve">Beatrix Chattopadhyay</t>
        </is>
      </c>
      <c r="C186" s="47">
        <v>46220</v>
      </c>
      <c r="D186" s="48" t="inlineStr">
        <is>
          <t xml:space="preserve">Bound - within authority</t>
        </is>
      </c>
      <c r="E186" s="48" t="inlineStr">
        <is>
          <t xml:space="preserve">New business</t>
        </is>
      </c>
      <c r="F186" s="46" t="inlineStr">
        <is>
          <t xml:space="preserve">B1234EXOTIC26</t>
        </is>
      </c>
      <c r="G186" s="33">
        <f>IF($A186="","",IF($C186="","",YEAR($C186)))</f>
      </c>
      <c r="H186" s="49">
        <v>1983</v>
      </c>
      <c r="I186" s="46" t="inlineStr">
        <is>
          <t xml:space="preserve">Jaguar</t>
        </is>
      </c>
      <c r="J186" s="46" t="inlineStr">
        <is>
          <t xml:space="preserve">E-Type Series 1</t>
        </is>
      </c>
      <c r="K186" s="46" t="inlineStr">
        <is>
          <t xml:space="preserve">PJ1534JGGW52Y68E2</t>
        </is>
      </c>
      <c r="L186" s="48" t="inlineStr">
        <is>
          <t xml:space="preserve">08 - Modern Classic (1973-1999)</t>
        </is>
      </c>
      <c r="M186" s="50">
        <v>1950000</v>
      </c>
      <c r="N186" s="48" t="inlineStr">
        <is>
          <t xml:space="preserve">Personal</t>
        </is>
      </c>
      <c r="O186" s="46" t="inlineStr">
        <is>
          <t xml:space="preserve">Personal - regular use</t>
        </is>
      </c>
      <c r="P186" s="46" t="inlineStr">
        <is>
          <t xml:space="preserve">1,000 - 2,500</t>
        </is>
      </c>
      <c r="Q186" s="46" t="inlineStr">
        <is>
          <t xml:space="preserve">Texas</t>
        </is>
      </c>
      <c r="R186" s="46" t="inlineStr">
        <is>
          <t xml:space="preserve">75201</t>
        </is>
      </c>
      <c r="S186" s="48" t="inlineStr">
        <is>
          <t xml:space="preserve">Tier 2 - Coastal wind (1-25 miles)</t>
        </is>
      </c>
      <c r="T186" s="36">
        <f>IF($A186="","",IF($S186="","",IFERROR(INDEX('[1]natural catastrophe'!$D$6:$D$17,MATCH($S186,'[1]natural catastrophe'!$B$6:$B$17,0)),"?")))</f>
      </c>
      <c r="U186" s="46" t="inlineStr">
        <is>
          <t xml:space="preserve">2% of agreed value, minimum $10,000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12235.59</v>
      </c>
      <c r="AC186" s="51">
        <v>0</v>
      </c>
      <c r="AD186" s="38">
        <f>IF(ISNUMBER($AB186),$AB186*(1+N($AC186)),"")</f>
      </c>
      <c r="AE186" s="50">
        <v>350</v>
      </c>
      <c r="AF186" s="50">
        <v>250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CANON-202607-007895</t>
        </is>
      </c>
      <c r="B187" s="30" t="inlineStr">
        <is>
          <t xml:space="preserve">Desmond Chattopadhyay</t>
        </is>
      </c>
      <c r="C187" s="31">
        <v>46210</v>
      </c>
      <c r="D187" s="32" t="inlineStr">
        <is>
          <t xml:space="preserve">Bound - within authority</t>
        </is>
      </c>
      <c r="E187" s="32" t="inlineStr">
        <is>
          <t xml:space="preserve">New business</t>
        </is>
      </c>
      <c r="F187" s="30" t="inlineStr">
        <is>
          <t xml:space="preserve">B1234EXOTIC26</t>
        </is>
      </c>
      <c r="G187" s="33">
        <f>IF($A187="","",IF($C187="","",YEAR($C187)))</f>
      </c>
      <c r="H187" s="34">
        <v>1992</v>
      </c>
      <c r="I187" s="30" t="inlineStr">
        <is>
          <t xml:space="preserve">BMW</t>
        </is>
      </c>
      <c r="J187" s="30" t="inlineStr">
        <is>
          <t xml:space="preserve">M8 Competition</t>
        </is>
      </c>
      <c r="K187" s="30" t="inlineStr">
        <is>
          <t xml:space="preserve">B2332JCZFN37UR5V3</t>
        </is>
      </c>
      <c r="L187" s="32" t="inlineStr">
        <is>
          <t xml:space="preserve">02 - Sports / GT</t>
        </is>
      </c>
      <c r="M187" s="35">
        <v>210000</v>
      </c>
      <c r="N187" s="32" t="inlineStr">
        <is>
          <t xml:space="preserve">Personal</t>
        </is>
      </c>
      <c r="O187" s="30" t="inlineStr">
        <is>
          <t xml:space="preserve">Personal - regular use</t>
        </is>
      </c>
      <c r="P187" s="30" t="inlineStr">
        <is>
          <t xml:space="preserve">2,500 - 5,000</t>
        </is>
      </c>
      <c r="Q187" s="30" t="inlineStr">
        <is>
          <t xml:space="preserve">Nevada</t>
        </is>
      </c>
      <c r="R187" s="30" t="inlineStr">
        <is>
          <t xml:space="preserve">89101</t>
        </is>
      </c>
      <c r="S187" s="32" t="inlineStr">
        <is>
          <t xml:space="preserve">Wildfire - WUI high hazard</t>
        </is>
      </c>
      <c r="T187" s="36">
        <f>IF($A187="","",IF($S187="","",IFERROR(INDEX('[1]natural catastrophe'!$D$6:$D$17,MATCH($S187,'[1]natural catastrophe'!$B$6:$B$17,0)),"?")))</f>
      </c>
      <c r="U187" s="30" t="inlineStr">
        <is>
          <t xml:space="preserve">$5,000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3245.65</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CANON-202607-007896</t>
        </is>
      </c>
      <c r="B188" s="46" t="inlineStr">
        <is>
          <t xml:space="preserve">Aurelio Farkas</t>
        </is>
      </c>
      <c r="C188" s="47">
        <v>46206</v>
      </c>
      <c r="D188" s="48" t="inlineStr">
        <is>
          <t xml:space="preserve">Bound - within authority</t>
        </is>
      </c>
      <c r="E188" s="48" t="inlineStr">
        <is>
          <t xml:space="preserve">New business</t>
        </is>
      </c>
      <c r="F188" s="46" t="inlineStr">
        <is>
          <t xml:space="preserve">B1234EXOTIC26</t>
        </is>
      </c>
      <c r="G188" s="33">
        <f>IF($A188="","",IF($C188="","",YEAR($C188)))</f>
      </c>
      <c r="H188" s="49">
        <v>1959</v>
      </c>
      <c r="I188" s="46" t="inlineStr">
        <is>
          <t xml:space="preserve">Ferrari</t>
        </is>
      </c>
      <c r="J188" s="46" t="inlineStr">
        <is>
          <t xml:space="preserve">296 GTB</t>
        </is>
      </c>
      <c r="K188" s="46" t="inlineStr">
        <is>
          <t xml:space="preserve">294TGAANS35T12W1E</t>
        </is>
      </c>
      <c r="L188" s="48" t="inlineStr">
        <is>
          <t xml:space="preserve">03 - Supercar</t>
        </is>
      </c>
      <c r="M188" s="50">
        <v>405000</v>
      </c>
      <c r="N188" s="48" t="inlineStr">
        <is>
          <t xml:space="preserve">Personal</t>
        </is>
      </c>
      <c r="O188" s="46" t="inlineStr">
        <is>
          <t xml:space="preserve">Personal - regular use</t>
        </is>
      </c>
      <c r="P188" s="46" t="inlineStr">
        <is>
          <t xml:space="preserve">1,000 - 2,500</t>
        </is>
      </c>
      <c r="Q188" s="46" t="inlineStr">
        <is>
          <t xml:space="preserve">Michigan</t>
        </is>
      </c>
      <c r="R188" s="46" t="inlineStr">
        <is>
          <t xml:space="preserve">48226</t>
        </is>
      </c>
      <c r="S188" s="48" t="inlineStr">
        <is>
          <t xml:space="preserve">Severe convective - hail / tornado (moderate)</t>
        </is>
      </c>
      <c r="T188" s="36">
        <f>IF($A188="","",IF($S188="","",IFERROR(INDEX('[1]natural catastrophe'!$D$6:$D$17,MATCH($S188,'[1]natural catastrophe'!$B$6:$B$17,0)),"?")))</f>
      </c>
      <c r="U188" s="46" t="inlineStr">
        <is>
          <t xml:space="preserve">$5,000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10365.57</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CANON-202607-007897</t>
        </is>
      </c>
      <c r="B189" s="30" t="inlineStr">
        <is>
          <t xml:space="preserve">Saoirse Merriweather</t>
        </is>
      </c>
      <c r="C189" s="31">
        <v>46223</v>
      </c>
      <c r="D189" s="32" t="inlineStr">
        <is>
          <t xml:space="preserve">Bound - within authority</t>
        </is>
      </c>
      <c r="E189" s="32" t="inlineStr">
        <is>
          <t xml:space="preserve">New business</t>
        </is>
      </c>
      <c r="F189" s="30" t="inlineStr">
        <is>
          <t xml:space="preserve">B1234EXOTIC26</t>
        </is>
      </c>
      <c r="G189" s="33">
        <f>IF($A189="","",IF($C189="","",YEAR($C189)))</f>
      </c>
      <c r="H189" s="34">
        <v>1988</v>
      </c>
      <c r="I189" s="30" t="inlineStr">
        <is>
          <t xml:space="preserve">Mercedes-Benz</t>
        </is>
      </c>
      <c r="J189" s="30" t="inlineStr">
        <is>
          <t xml:space="preserve">AMG GT</t>
        </is>
      </c>
      <c r="K189" s="30" t="inlineStr">
        <is>
          <t xml:space="preserve">F8078WNB857200YSZ</t>
        </is>
      </c>
      <c r="L189" s="32" t="inlineStr">
        <is>
          <t xml:space="preserve">02 - Sports / GT</t>
        </is>
      </c>
      <c r="M189" s="35">
        <v>495000</v>
      </c>
      <c r="N189" s="32" t="inlineStr">
        <is>
          <t xml:space="preserve">Personal</t>
        </is>
      </c>
      <c r="O189" s="30" t="inlineStr">
        <is>
          <t xml:space="preserve">Personal - regular use</t>
        </is>
      </c>
      <c r="P189" s="30" t="inlineStr">
        <is>
          <t xml:space="preserve">Under 1,000</t>
        </is>
      </c>
      <c r="Q189" s="30" t="inlineStr">
        <is>
          <t xml:space="preserve">Alabama</t>
        </is>
      </c>
      <c r="R189" s="30" t="inlineStr">
        <is>
          <t xml:space="preserve">35203</t>
        </is>
      </c>
      <c r="S189" s="32" t="inlineStr">
        <is>
          <t xml:space="preserve">Tier 2 - Coastal wind (1-25 miles)</t>
        </is>
      </c>
      <c r="T189" s="36">
        <f>IF($A189="","",IF($S189="","",IFERROR(INDEX('[1]natural catastrophe'!$D$6:$D$17,MATCH($S189,'[1]natural catastrophe'!$B$6:$B$17,0)),"?")))</f>
      </c>
      <c r="U189" s="30" t="inlineStr">
        <is>
          <t xml:space="preserve">2% of agreed value, minimum $10,000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6769.85</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CANON-202607-007899</t>
        </is>
      </c>
      <c r="B190" s="46" t="inlineStr">
        <is>
          <t xml:space="preserve">Desmond Underwood</t>
        </is>
      </c>
      <c r="C190" s="47">
        <v>46221</v>
      </c>
      <c r="D190" s="48" t="inlineStr">
        <is>
          <t xml:space="preserve">Bound - within authority</t>
        </is>
      </c>
      <c r="E190" s="48" t="inlineStr">
        <is>
          <t xml:space="preserve">New business</t>
        </is>
      </c>
      <c r="F190" s="46" t="inlineStr">
        <is>
          <t xml:space="preserve">B1234EXOTIC26</t>
        </is>
      </c>
      <c r="G190" s="33">
        <f>IF($A190="","",IF($C190="","",YEAR($C190)))</f>
      </c>
      <c r="H190" s="49">
        <v>1995</v>
      </c>
      <c r="I190" s="46" t="inlineStr">
        <is>
          <t xml:space="preserve">BMW</t>
        </is>
      </c>
      <c r="J190" s="46" t="inlineStr">
        <is>
          <t xml:space="preserve">M8 Competition</t>
        </is>
      </c>
      <c r="K190" s="46" t="inlineStr">
        <is>
          <t xml:space="preserve">NRK0BPTRMUP4CCL0T</t>
        </is>
      </c>
      <c r="L190" s="48" t="inlineStr">
        <is>
          <t xml:space="preserve">02 - Sports / GT</t>
        </is>
      </c>
      <c r="M190" s="50">
        <v>635000</v>
      </c>
      <c r="N190" s="48" t="inlineStr">
        <is>
          <t xml:space="preserve">Personal</t>
        </is>
      </c>
      <c r="O190" s="46" t="inlineStr">
        <is>
          <t xml:space="preserve">Personal - regular use</t>
        </is>
      </c>
      <c r="P190" s="46" t="inlineStr">
        <is>
          <t xml:space="preserve">2,500 - 5,000</t>
        </is>
      </c>
      <c r="Q190" s="46" t="inlineStr">
        <is>
          <t xml:space="preserve">California</t>
        </is>
      </c>
      <c r="R190" s="46" t="inlineStr">
        <is>
          <t xml:space="preserve">90012</t>
        </is>
      </c>
      <c r="S190" s="48" t="inlineStr">
        <is>
          <t xml:space="preserve">Earthquake - high (CA, Cascadia, New Madrid)</t>
        </is>
      </c>
      <c r="T190" s="36">
        <f>IF($A190="","",IF($S190="","",IFERROR(INDEX('[1]natural catastrophe'!$D$6:$D$17,MATCH($S190,'[1]natural catastrophe'!$B$6:$B$17,0)),"?")))</f>
      </c>
      <c r="U190" s="46" t="inlineStr">
        <is>
          <t xml:space="preserve">$5,000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8000.73</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CANON-202607-007902</t>
        </is>
      </c>
      <c r="B191" s="30" t="inlineStr">
        <is>
          <t xml:space="preserve">Sunniva Pennington</t>
        </is>
      </c>
      <c r="C191" s="31">
        <v>46234</v>
      </c>
      <c r="D191" s="32" t="inlineStr">
        <is>
          <t xml:space="preserve">Bound - within authority</t>
        </is>
      </c>
      <c r="E191" s="32" t="inlineStr">
        <is>
          <t xml:space="preserve">New business</t>
        </is>
      </c>
      <c r="F191" s="30" t="inlineStr">
        <is>
          <t xml:space="preserve">B1234EXOTIC26</t>
        </is>
      </c>
      <c r="G191" s="33">
        <f>IF($A191="","",IF($C191="","",YEAR($C191)))</f>
      </c>
      <c r="H191" s="34">
        <v>1975</v>
      </c>
      <c r="I191" s="30" t="inlineStr">
        <is>
          <t xml:space="preserve">Mercedes-Benz</t>
        </is>
      </c>
      <c r="J191" s="30" t="inlineStr">
        <is>
          <t xml:space="preserve">AMG GT</t>
        </is>
      </c>
      <c r="K191" s="30" t="inlineStr">
        <is>
          <t xml:space="preserve">JK7GVZVWLAD3E0AL6</t>
        </is>
      </c>
      <c r="L191" s="32" t="inlineStr">
        <is>
          <t xml:space="preserve">02 - Sports / GT</t>
        </is>
      </c>
      <c r="M191" s="35">
        <v>570000</v>
      </c>
      <c r="N191" s="32" t="inlineStr">
        <is>
          <t xml:space="preserve">Personal</t>
        </is>
      </c>
      <c r="O191" s="30" t="inlineStr">
        <is>
          <t xml:space="preserve">Personal - regular use</t>
        </is>
      </c>
      <c r="P191" s="30" t="inlineStr">
        <is>
          <t xml:space="preserve">1,000 - 2,500</t>
        </is>
      </c>
      <c r="Q191" s="30" t="inlineStr">
        <is>
          <t xml:space="preserve">New Hampshire</t>
        </is>
      </c>
      <c r="R191" s="30" t="inlineStr">
        <is>
          <t xml:space="preserve">03301</t>
        </is>
      </c>
      <c r="S191" s="32" t="inlineStr">
        <is>
          <t xml:space="preserve">Tier 3 - Coastal wind (25-100 miles)</t>
        </is>
      </c>
      <c r="T191" s="36">
        <f>IF($A191="","",IF($S191="","",IFERROR(INDEX('[1]natural catastrophe'!$D$6:$D$17,MATCH($S191,'[1]natural catastrophe'!$B$6:$B$17,0)),"?")))</f>
      </c>
      <c r="U191" s="30" t="inlineStr">
        <is>
          <t xml:space="preserve">2% of agreed value, minimum $10,000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5532.61</v>
      </c>
      <c r="AC191" s="37">
        <v>0</v>
      </c>
      <c r="AD191" s="38">
        <f>IF(ISNUMBER($AB191),$AB191*(1+N($AC191)),"")</f>
      </c>
      <c r="AE191" s="35">
        <v>350</v>
      </c>
      <c r="AF191" s="35">
        <v>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CANON-202607-007903</t>
        </is>
      </c>
      <c r="B192" s="46" t="inlineStr">
        <is>
          <t xml:space="preserve">Cassius Farkas</t>
        </is>
      </c>
      <c r="C192" s="47">
        <v>46233</v>
      </c>
      <c r="D192" s="48" t="inlineStr">
        <is>
          <t xml:space="preserve">Bound - within authority</t>
        </is>
      </c>
      <c r="E192" s="48" t="inlineStr">
        <is>
          <t xml:space="preserve">New business</t>
        </is>
      </c>
      <c r="F192" s="46" t="inlineStr">
        <is>
          <t xml:space="preserve">B1234EXOTIC26</t>
        </is>
      </c>
      <c r="G192" s="33">
        <f>IF($A192="","",IF($C192="","",YEAR($C192)))</f>
      </c>
      <c r="H192" s="49">
        <v>2001</v>
      </c>
      <c r="I192" s="46" t="inlineStr">
        <is>
          <t xml:space="preserve">Ferrari</t>
        </is>
      </c>
      <c r="J192" s="46" t="inlineStr">
        <is>
          <t xml:space="preserve">SF90 Stradale</t>
        </is>
      </c>
      <c r="K192" s="46" t="inlineStr">
        <is>
          <t xml:space="preserve">S1AEAE7ED91N0Z63X</t>
        </is>
      </c>
      <c r="L192" s="48" t="inlineStr">
        <is>
          <t xml:space="preserve">03 - Supercar</t>
        </is>
      </c>
      <c r="M192" s="50">
        <v>435000</v>
      </c>
      <c r="N192" s="48" t="inlineStr">
        <is>
          <t xml:space="preserve">Personal</t>
        </is>
      </c>
      <c r="O192" s="46" t="inlineStr">
        <is>
          <t xml:space="preserve">Personal - regular use</t>
        </is>
      </c>
      <c r="P192" s="46" t="inlineStr">
        <is>
          <t xml:space="preserve">1,000 - 2,500</t>
        </is>
      </c>
      <c r="Q192" s="46" t="inlineStr">
        <is>
          <t xml:space="preserve">Arizona</t>
        </is>
      </c>
      <c r="R192" s="46" t="inlineStr">
        <is>
          <t xml:space="preserve">85001</t>
        </is>
      </c>
      <c r="S192" s="48" t="inlineStr">
        <is>
          <t xml:space="preserve">Wildfire - WUI high hazard</t>
        </is>
      </c>
      <c r="T192" s="36">
        <f>IF($A192="","",IF($S192="","",IFERROR(INDEX('[1]natural catastrophe'!$D$6:$D$17,MATCH($S192,'[1]natural catastrophe'!$B$6:$B$17,0)),"?")))</f>
      </c>
      <c r="U192" s="46" t="inlineStr">
        <is>
          <t xml:space="preserve">$5,000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7254.67</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CANON-202607-007904</t>
        </is>
      </c>
      <c r="B193" s="30" t="inlineStr">
        <is>
          <t xml:space="preserve">Cassius Pennington</t>
        </is>
      </c>
      <c r="C193" s="31">
        <v>46216</v>
      </c>
      <c r="D193" s="32" t="inlineStr">
        <is>
          <t xml:space="preserve">Bound - within authority</t>
        </is>
      </c>
      <c r="E193" s="32" t="inlineStr">
        <is>
          <t xml:space="preserve">New business</t>
        </is>
      </c>
      <c r="F193" s="30" t="inlineStr">
        <is>
          <t xml:space="preserve">B1234EXOTIC26</t>
        </is>
      </c>
      <c r="G193" s="33">
        <f>IF($A193="","",IF($C193="","",YEAR($C193)))</f>
      </c>
      <c r="H193" s="34">
        <v>1970</v>
      </c>
      <c r="I193" s="30" t="inlineStr">
        <is>
          <t xml:space="preserve">Aston Martin</t>
        </is>
      </c>
      <c r="J193" s="30" t="inlineStr">
        <is>
          <t xml:space="preserve">DB12</t>
        </is>
      </c>
      <c r="K193" s="30" t="inlineStr">
        <is>
          <t xml:space="preserve">TUW2AMNB9ZA8CHJ7E</t>
        </is>
      </c>
      <c r="L193" s="32" t="inlineStr">
        <is>
          <t xml:space="preserve">02 - Sports / GT</t>
        </is>
      </c>
      <c r="M193" s="35">
        <v>235000</v>
      </c>
      <c r="N193" s="32" t="inlineStr">
        <is>
          <t xml:space="preserve">Personal</t>
        </is>
      </c>
      <c r="O193" s="30" t="inlineStr">
        <is>
          <t xml:space="preserve">Personal - regular use</t>
        </is>
      </c>
      <c r="P193" s="30" t="inlineStr">
        <is>
          <t xml:space="preserve">1,000 - 2,500</t>
        </is>
      </c>
      <c r="Q193" s="30" t="inlineStr">
        <is>
          <t xml:space="preserve">Maryland</t>
        </is>
      </c>
      <c r="R193" s="30" t="inlineStr">
        <is>
          <t xml:space="preserve">21201</t>
        </is>
      </c>
      <c r="S193" s="32" t="inlineStr">
        <is>
          <t xml:space="preserve">Tier 3 - Coastal wind (25-100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2949.09</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CANON-202607-007906</t>
        </is>
      </c>
      <c r="B194" s="46" t="inlineStr">
        <is>
          <t xml:space="preserve">Anouk Castellanos</t>
        </is>
      </c>
      <c r="C194" s="47">
        <v>46210</v>
      </c>
      <c r="D194" s="48" t="inlineStr">
        <is>
          <t xml:space="preserve">Bound - within authority</t>
        </is>
      </c>
      <c r="E194" s="48" t="inlineStr">
        <is>
          <t xml:space="preserve">New business</t>
        </is>
      </c>
      <c r="F194" s="46" t="inlineStr">
        <is>
          <t xml:space="preserve">B1234EXOTIC26</t>
        </is>
      </c>
      <c r="G194" s="33">
        <f>IF($A194="","",IF($C194="","",YEAR($C194)))</f>
      </c>
      <c r="H194" s="49">
        <v>1974</v>
      </c>
      <c r="I194" s="46" t="inlineStr">
        <is>
          <t xml:space="preserve">Porsche</t>
        </is>
      </c>
      <c r="J194" s="46" t="inlineStr">
        <is>
          <t xml:space="preserve">911 Turbo S</t>
        </is>
      </c>
      <c r="K194" s="46" t="inlineStr">
        <is>
          <t xml:space="preserve">9YUBWDXRVT8B3CB9L</t>
        </is>
      </c>
      <c r="L194" s="48" t="inlineStr">
        <is>
          <t xml:space="preserve">02 - Sports / GT</t>
        </is>
      </c>
      <c r="M194" s="50">
        <v>905000</v>
      </c>
      <c r="N194" s="48" t="inlineStr">
        <is>
          <t xml:space="preserve">Personal</t>
        </is>
      </c>
      <c r="O194" s="46" t="inlineStr">
        <is>
          <t xml:space="preserve">Personal - regular use</t>
        </is>
      </c>
      <c r="P194" s="46" t="inlineStr">
        <is>
          <t xml:space="preserve">Under 1,000</t>
        </is>
      </c>
      <c r="Q194" s="46" t="inlineStr">
        <is>
          <t xml:space="preserve">Ohio</t>
        </is>
      </c>
      <c r="R194" s="46" t="inlineStr">
        <is>
          <t xml:space="preserve">43215</t>
        </is>
      </c>
      <c r="S194" s="48" t="inlineStr">
        <is>
          <t xml:space="preserve">Severe convective - hail / tornado (moderate)</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11740.47</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CANON-202607-007911</t>
        </is>
      </c>
      <c r="B195" s="30" t="inlineStr">
        <is>
          <t xml:space="preserve">Horace Vandermeer</t>
        </is>
      </c>
      <c r="C195" s="31">
        <v>46215</v>
      </c>
      <c r="D195" s="32" t="inlineStr">
        <is>
          <t xml:space="preserve">Bound - within authority</t>
        </is>
      </c>
      <c r="E195" s="32" t="inlineStr">
        <is>
          <t xml:space="preserve">New business</t>
        </is>
      </c>
      <c r="F195" s="30" t="inlineStr">
        <is>
          <t xml:space="preserve">B1234EXOTIC26</t>
        </is>
      </c>
      <c r="G195" s="33">
        <f>IF($A195="","",IF($C195="","",YEAR($C195)))</f>
      </c>
      <c r="H195" s="34">
        <v>2010</v>
      </c>
      <c r="I195" s="30" t="inlineStr">
        <is>
          <t xml:space="preserve">Porsche</t>
        </is>
      </c>
      <c r="J195" s="30" t="inlineStr">
        <is>
          <t xml:space="preserve">911 Turbo S</t>
        </is>
      </c>
      <c r="K195" s="30" t="inlineStr">
        <is>
          <t xml:space="preserve">K17LDT7L3NBDU2ULD</t>
        </is>
      </c>
      <c r="L195" s="32" t="inlineStr">
        <is>
          <t xml:space="preserve">02 - Sports / GT</t>
        </is>
      </c>
      <c r="M195" s="35">
        <v>600000</v>
      </c>
      <c r="N195" s="32" t="inlineStr">
        <is>
          <t xml:space="preserve">Personal</t>
        </is>
      </c>
      <c r="O195" s="30" t="inlineStr">
        <is>
          <t xml:space="preserve">Personal - regular use</t>
        </is>
      </c>
      <c r="P195" s="30" t="inlineStr">
        <is>
          <t xml:space="preserve">1,000 - 2,500</t>
        </is>
      </c>
      <c r="Q195" s="30" t="inlineStr">
        <is>
          <t xml:space="preserve">Wisconsin</t>
        </is>
      </c>
      <c r="R195" s="30" t="inlineStr">
        <is>
          <t xml:space="preserve">53202</t>
        </is>
      </c>
      <c r="S195" s="32" t="inlineStr">
        <is>
          <t xml:space="preserve">Severe convective - hail / tornado (moderate)</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6719.77</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CANON-202607-007913</t>
        </is>
      </c>
      <c r="B196" s="46" t="inlineStr">
        <is>
          <t xml:space="preserve">Saoirse Fairweather</t>
        </is>
      </c>
      <c r="C196" s="47">
        <v>46224</v>
      </c>
      <c r="D196" s="48" t="inlineStr">
        <is>
          <t xml:space="preserve">Bound - within authority</t>
        </is>
      </c>
      <c r="E196" s="48" t="inlineStr">
        <is>
          <t xml:space="preserve">New business</t>
        </is>
      </c>
      <c r="F196" s="46" t="inlineStr">
        <is>
          <t xml:space="preserve">B1234EXOTIC26</t>
        </is>
      </c>
      <c r="G196" s="33">
        <f>IF($A196="","",IF($C196="","",YEAR($C196)))</f>
      </c>
      <c r="H196" s="49">
        <v>2008</v>
      </c>
      <c r="I196" s="46" t="inlineStr">
        <is>
          <t xml:space="preserve">Aston Martin</t>
        </is>
      </c>
      <c r="J196" s="46" t="inlineStr">
        <is>
          <t xml:space="preserve">DB12</t>
        </is>
      </c>
      <c r="K196" s="46" t="inlineStr">
        <is>
          <t xml:space="preserve">XSEP8N5WDXLZ8UYE2</t>
        </is>
      </c>
      <c r="L196" s="48" t="inlineStr">
        <is>
          <t xml:space="preserve">02 - Sports / GT</t>
        </is>
      </c>
      <c r="M196" s="50">
        <v>315000</v>
      </c>
      <c r="N196" s="48" t="inlineStr">
        <is>
          <t xml:space="preserve">Personal</t>
        </is>
      </c>
      <c r="O196" s="46" t="inlineStr">
        <is>
          <t xml:space="preserve">Personal - regular use</t>
        </is>
      </c>
      <c r="P196" s="46" t="inlineStr">
        <is>
          <t xml:space="preserve">Under 1,000</t>
        </is>
      </c>
      <c r="Q196" s="46" t="inlineStr">
        <is>
          <t xml:space="preserve">Oklahoma</t>
        </is>
      </c>
      <c r="R196" s="46" t="inlineStr">
        <is>
          <t xml:space="preserve">73102</t>
        </is>
      </c>
      <c r="S196" s="48" t="inlineStr">
        <is>
          <t xml:space="preserve">Severe convective - hail alley (high)</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4274.16</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CANON-202607-007914</t>
        </is>
      </c>
      <c r="B197" s="30" t="inlineStr">
        <is>
          <t xml:space="preserve">Ingrid Farkas</t>
        </is>
      </c>
      <c r="C197" s="31">
        <v>46219</v>
      </c>
      <c r="D197" s="32" t="inlineStr">
        <is>
          <t xml:space="preserve">Bound - within authority</t>
        </is>
      </c>
      <c r="E197" s="32" t="inlineStr">
        <is>
          <t xml:space="preserve">New business</t>
        </is>
      </c>
      <c r="F197" s="30" t="inlineStr">
        <is>
          <t xml:space="preserve">B1234EXOTIC26</t>
        </is>
      </c>
      <c r="G197" s="33">
        <f>IF($A197="","",IF($C197="","",YEAR($C197)))</f>
      </c>
      <c r="H197" s="34">
        <v>2015</v>
      </c>
      <c r="I197" s="30" t="inlineStr">
        <is>
          <t xml:space="preserve">Bugatti</t>
        </is>
      </c>
      <c r="J197" s="30" t="inlineStr">
        <is>
          <t xml:space="preserve">Type 57</t>
        </is>
      </c>
      <c r="K197" s="30" t="inlineStr">
        <is>
          <t xml:space="preserve">TW7DZDAVWSDBJVSNB</t>
        </is>
      </c>
      <c r="L197" s="32" t="inlineStr">
        <is>
          <t xml:space="preserve">02 - Sports / GT</t>
        </is>
      </c>
      <c r="M197" s="35">
        <v>690000</v>
      </c>
      <c r="N197" s="32" t="inlineStr">
        <is>
          <t xml:space="preserve">Personal</t>
        </is>
      </c>
      <c r="O197" s="30" t="inlineStr">
        <is>
          <t xml:space="preserve">Personal - regular use</t>
        </is>
      </c>
      <c r="P197" s="30" t="inlineStr">
        <is>
          <t xml:space="preserve">Under 1,000</t>
        </is>
      </c>
      <c r="Q197" s="30" t="inlineStr">
        <is>
          <t xml:space="preserve">Tennessee</t>
        </is>
      </c>
      <c r="R197" s="30" t="inlineStr">
        <is>
          <t xml:space="preserve">37203</t>
        </is>
      </c>
      <c r="S197" s="32" t="inlineStr">
        <is>
          <t xml:space="preserve">Severe convective - hail / tornado (moderate)</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3689.5</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CANON-202607-007915</t>
        </is>
      </c>
      <c r="B198" s="46" t="inlineStr">
        <is>
          <t xml:space="preserve">Delphine Merriweather</t>
        </is>
      </c>
      <c r="C198" s="47">
        <v>46233</v>
      </c>
      <c r="D198" s="48" t="inlineStr">
        <is>
          <t xml:space="preserve">Bound - within authority</t>
        </is>
      </c>
      <c r="E198" s="48" t="inlineStr">
        <is>
          <t xml:space="preserve">New business</t>
        </is>
      </c>
      <c r="F198" s="46" t="inlineStr">
        <is>
          <t xml:space="preserve">B1234EXOTIC26</t>
        </is>
      </c>
      <c r="G198" s="33">
        <f>IF($A198="","",IF($C198="","",YEAR($C198)))</f>
      </c>
      <c r="H198" s="49">
        <v>1990</v>
      </c>
      <c r="I198" s="46" t="inlineStr">
        <is>
          <t xml:space="preserve">Maserati</t>
        </is>
      </c>
      <c r="J198" s="46" t="inlineStr">
        <is>
          <t xml:space="preserve">GranTurismo</t>
        </is>
      </c>
      <c r="K198" s="46" t="inlineStr">
        <is>
          <t xml:space="preserve">GU4ZR6J4ELTKMEECL</t>
        </is>
      </c>
      <c r="L198" s="48" t="inlineStr">
        <is>
          <t xml:space="preserve">02 - Sports / GT</t>
        </is>
      </c>
      <c r="M198" s="50">
        <v>250000</v>
      </c>
      <c r="N198" s="48" t="inlineStr">
        <is>
          <t xml:space="preserve">Personal</t>
        </is>
      </c>
      <c r="O198" s="46" t="inlineStr">
        <is>
          <t xml:space="preserve">Personal - regular use</t>
        </is>
      </c>
      <c r="P198" s="46" t="inlineStr">
        <is>
          <t xml:space="preserve">1,000 - 2,500</t>
        </is>
      </c>
      <c r="Q198" s="46" t="inlineStr">
        <is>
          <t xml:space="preserve">Wisconsin</t>
        </is>
      </c>
      <c r="R198" s="46" t="inlineStr">
        <is>
          <t xml:space="preserve">53202</t>
        </is>
      </c>
      <c r="S198" s="48" t="inlineStr">
        <is>
          <t xml:space="preserve">Severe convective - hail / tornado (moderate)</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3230.66</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CANON-202607-007920</t>
        </is>
      </c>
      <c r="B199" s="30" t="inlineStr">
        <is>
          <t xml:space="preserve">Emiliano Underwood</t>
        </is>
      </c>
      <c r="C199" s="31">
        <v>46232</v>
      </c>
      <c r="D199" s="32" t="inlineStr">
        <is>
          <t xml:space="preserve">Bound - within authority</t>
        </is>
      </c>
      <c r="E199" s="32" t="inlineStr">
        <is>
          <t xml:space="preserve">New business</t>
        </is>
      </c>
      <c r="F199" s="30" t="inlineStr">
        <is>
          <t xml:space="preserve">B1234EXOTIC26</t>
        </is>
      </c>
      <c r="G199" s="33">
        <f>IF($A199="","",IF($C199="","",YEAR($C199)))</f>
      </c>
      <c r="H199" s="34">
        <v>2005</v>
      </c>
      <c r="I199" s="30" t="inlineStr">
        <is>
          <t xml:space="preserve">Singer</t>
        </is>
      </c>
      <c r="J199" s="30" t="inlineStr">
        <is>
          <t xml:space="preserve">911 Reimagined</t>
        </is>
      </c>
      <c r="K199" s="30" t="inlineStr">
        <is>
          <t xml:space="preserve">ZFFAC1PUE4W7261N7</t>
        </is>
      </c>
      <c r="L199" s="32" t="inlineStr">
        <is>
          <t xml:space="preserve">11 - Restomod / Coachbuilt / Bespoke</t>
        </is>
      </c>
      <c r="M199" s="35">
        <v>180000</v>
      </c>
      <c r="N199" s="32" t="inlineStr">
        <is>
          <t xml:space="preserve">Personal</t>
        </is>
      </c>
      <c r="O199" s="30" t="inlineStr">
        <is>
          <t xml:space="preserve">Personal - regular use</t>
        </is>
      </c>
      <c r="P199" s="30" t="inlineStr">
        <is>
          <t xml:space="preserve">Under 1,000</t>
        </is>
      </c>
      <c r="Q199" s="30" t="inlineStr">
        <is>
          <t xml:space="preserve">Nebraska</t>
        </is>
      </c>
      <c r="R199" s="30" t="inlineStr">
        <is>
          <t xml:space="preserve">68102</t>
        </is>
      </c>
      <c r="S199" s="32" t="inlineStr">
        <is>
          <t xml:space="preserve">Severe convective - hail alley (high)</t>
        </is>
      </c>
      <c r="T199" s="36">
        <f>IF($A199="","",IF($S199="","",IFERROR(INDEX('[1]natural catastrophe'!$D$6:$D$17,MATCH($S199,'[1]natural catastrophe'!$B$6:$B$17,0)),"?")))</f>
      </c>
      <c r="U199" s="30" t="inlineStr">
        <is>
          <t xml:space="preserve">$5,000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3527.88</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CANON-202607-007921</t>
        </is>
      </c>
      <c r="B200" s="46" t="inlineStr">
        <is>
          <t xml:space="preserve">Marisol Whitlock</t>
        </is>
      </c>
      <c r="C200" s="47">
        <v>46207</v>
      </c>
      <c r="D200" s="48" t="inlineStr">
        <is>
          <t xml:space="preserve">Bound - within authority</t>
        </is>
      </c>
      <c r="E200" s="48" t="inlineStr">
        <is>
          <t xml:space="preserve">New business</t>
        </is>
      </c>
      <c r="F200" s="46" t="inlineStr">
        <is>
          <t xml:space="preserve">B1234EXOTIC26</t>
        </is>
      </c>
      <c r="G200" s="33">
        <f>IF($A200="","",IF($C200="","",YEAR($C200)))</f>
      </c>
      <c r="H200" s="49">
        <v>1977</v>
      </c>
      <c r="I200" s="46" t="inlineStr">
        <is>
          <t xml:space="preserve">Singer</t>
        </is>
      </c>
      <c r="J200" s="46" t="inlineStr">
        <is>
          <t xml:space="preserve">911 Reimagined</t>
        </is>
      </c>
      <c r="K200" s="46" t="inlineStr">
        <is>
          <t xml:space="preserve">DN1YM6CWNA4YS6WF8</t>
        </is>
      </c>
      <c r="L200" s="48" t="inlineStr">
        <is>
          <t xml:space="preserve">11 - Restomod / Coachbuilt / Bespoke</t>
        </is>
      </c>
      <c r="M200" s="50">
        <v>835000</v>
      </c>
      <c r="N200" s="48" t="inlineStr">
        <is>
          <t xml:space="preserve">Personal</t>
        </is>
      </c>
      <c r="O200" s="46" t="inlineStr">
        <is>
          <t xml:space="preserve">Personal - regular use</t>
        </is>
      </c>
      <c r="P200" s="46" t="inlineStr">
        <is>
          <t xml:space="preserve">1,000 - 2,500</t>
        </is>
      </c>
      <c r="Q200" s="46" t="inlineStr">
        <is>
          <t xml:space="preserve">Virginia</t>
        </is>
      </c>
      <c r="R200" s="46" t="inlineStr">
        <is>
          <t xml:space="preserve">23219</t>
        </is>
      </c>
      <c r="S200" s="48" t="inlineStr">
        <is>
          <t xml:space="preserve">Tier 3 - Coastal wind (25-100 miles)</t>
        </is>
      </c>
      <c r="T200" s="36">
        <f>IF($A200="","",IF($S200="","",IFERROR(INDEX('[1]natural catastrophe'!$D$6:$D$17,MATCH($S200,'[1]natural catastrophe'!$B$6:$B$17,0)),"?")))</f>
      </c>
      <c r="U200" s="46" t="inlineStr">
        <is>
          <t xml:space="preserve">2% of agreed value, minimum $10,000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10193.34</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CANON-202607-007923</t>
        </is>
      </c>
      <c r="B201" s="30" t="inlineStr">
        <is>
          <t xml:space="preserve">Sunniva Delacroix</t>
        </is>
      </c>
      <c r="C201" s="31">
        <v>46225</v>
      </c>
      <c r="D201" s="32" t="inlineStr">
        <is>
          <t xml:space="preserve">Bound - within authority</t>
        </is>
      </c>
      <c r="E201" s="32" t="inlineStr">
        <is>
          <t xml:space="preserve">New business</t>
        </is>
      </c>
      <c r="F201" s="30" t="inlineStr">
        <is>
          <t xml:space="preserve">B1234EXOTIC26</t>
        </is>
      </c>
      <c r="G201" s="33">
        <f>IF($A201="","",IF($C201="","",YEAR($C201)))</f>
      </c>
      <c r="H201" s="34">
        <v>1975</v>
      </c>
      <c r="I201" s="30" t="inlineStr">
        <is>
          <t xml:space="preserve">Aston Martin</t>
        </is>
      </c>
      <c r="J201" s="30" t="inlineStr">
        <is>
          <t xml:space="preserve">DB12</t>
        </is>
      </c>
      <c r="K201" s="30" t="inlineStr">
        <is>
          <t xml:space="preserve">XNW1V7UL4U9KCA2YR</t>
        </is>
      </c>
      <c r="L201" s="32" t="inlineStr">
        <is>
          <t xml:space="preserve">02 - Sports / GT</t>
        </is>
      </c>
      <c r="M201" s="35">
        <v>1005000</v>
      </c>
      <c r="N201" s="32" t="inlineStr">
        <is>
          <t xml:space="preserve">Personal</t>
        </is>
      </c>
      <c r="O201" s="30" t="inlineStr">
        <is>
          <t xml:space="preserve">Personal - regular use</t>
        </is>
      </c>
      <c r="P201" s="30" t="inlineStr">
        <is>
          <t xml:space="preserve">2,500 - 5,000</t>
        </is>
      </c>
      <c r="Q201" s="30" t="inlineStr">
        <is>
          <t xml:space="preserve">Idaho</t>
        </is>
      </c>
      <c r="R201" s="30" t="inlineStr">
        <is>
          <t xml:space="preserve">83702</t>
        </is>
      </c>
      <c r="S201" s="32" t="inlineStr">
        <is>
          <t xml:space="preserve">Wildfire - WUI high hazard</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7857.29</v>
      </c>
      <c r="AC201" s="37">
        <v>0</v>
      </c>
      <c r="AD201" s="38">
        <f>IF(ISNUMBER($AB201),$AB201*(1+N($AC201)),"")</f>
      </c>
      <c r="AE201" s="35">
        <v>350</v>
      </c>
      <c r="AF201" s="35">
        <v>250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CANON-202607-007924</t>
        </is>
      </c>
      <c r="B202" s="46" t="inlineStr">
        <is>
          <t xml:space="preserve">Saoirse Kingsford</t>
        </is>
      </c>
      <c r="C202" s="47">
        <v>46213</v>
      </c>
      <c r="D202" s="48" t="inlineStr">
        <is>
          <t xml:space="preserve">Bound - within authority</t>
        </is>
      </c>
      <c r="E202" s="48" t="inlineStr">
        <is>
          <t xml:space="preserve">New business</t>
        </is>
      </c>
      <c r="F202" s="46" t="inlineStr">
        <is>
          <t xml:space="preserve">B1234EXOTIC26</t>
        </is>
      </c>
      <c r="G202" s="33">
        <f>IF($A202="","",IF($C202="","",YEAR($C202)))</f>
      </c>
      <c r="H202" s="49">
        <v>1993</v>
      </c>
      <c r="I202" s="46" t="inlineStr">
        <is>
          <t xml:space="preserve">Bentley</t>
        </is>
      </c>
      <c r="J202" s="46" t="inlineStr">
        <is>
          <t xml:space="preserve">Continental GT</t>
        </is>
      </c>
      <c r="K202" s="46" t="inlineStr">
        <is>
          <t xml:space="preserve">LYY84BSZP83T0P30K</t>
        </is>
      </c>
      <c r="L202" s="48" t="inlineStr">
        <is>
          <t xml:space="preserve">02 - Sports / GT</t>
        </is>
      </c>
      <c r="M202" s="50">
        <v>440000</v>
      </c>
      <c r="N202" s="48" t="inlineStr">
        <is>
          <t xml:space="preserve">Personal</t>
        </is>
      </c>
      <c r="O202" s="46" t="inlineStr">
        <is>
          <t xml:space="preserve">Personal - regular use</t>
        </is>
      </c>
      <c r="P202" s="46" t="inlineStr">
        <is>
          <t xml:space="preserve">2,500 - 5,000</t>
        </is>
      </c>
      <c r="Q202" s="46" t="inlineStr">
        <is>
          <t xml:space="preserve">Iowa</t>
        </is>
      </c>
      <c r="R202" s="46" t="inlineStr">
        <is>
          <t xml:space="preserve">50309</t>
        </is>
      </c>
      <c r="S202" s="48" t="inlineStr">
        <is>
          <t xml:space="preserve">Severe convective - hail alley (high)</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5212.13</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CANON-202607-007925</t>
        </is>
      </c>
      <c r="B203" s="30" t="inlineStr">
        <is>
          <t xml:space="preserve">Cassius Blackwood</t>
        </is>
      </c>
      <c r="C203" s="31">
        <v>46216</v>
      </c>
      <c r="D203" s="32" t="inlineStr">
        <is>
          <t xml:space="preserve">Bound - within authority</t>
        </is>
      </c>
      <c r="E203" s="32" t="inlineStr">
        <is>
          <t xml:space="preserve">New business</t>
        </is>
      </c>
      <c r="F203" s="30" t="inlineStr">
        <is>
          <t xml:space="preserve">B1234EXOTIC26</t>
        </is>
      </c>
      <c r="G203" s="33">
        <f>IF($A203="","",IF($C203="","",YEAR($C203)))</f>
      </c>
      <c r="H203" s="34">
        <v>1963</v>
      </c>
      <c r="I203" s="30" t="inlineStr">
        <is>
          <t xml:space="preserve">Aston Martin</t>
        </is>
      </c>
      <c r="J203" s="30" t="inlineStr">
        <is>
          <t xml:space="preserve">DB5</t>
        </is>
      </c>
      <c r="K203" s="30" t="inlineStr">
        <is>
          <t xml:space="preserve">TJ4ZEAADV0NG7EYS2</t>
        </is>
      </c>
      <c r="L203" s="32" t="inlineStr">
        <is>
          <t xml:space="preserve">07 - Post-War Classic (1946-1972)</t>
        </is>
      </c>
      <c r="M203" s="35">
        <v>745000</v>
      </c>
      <c r="N203" s="32" t="inlineStr">
        <is>
          <t xml:space="preserve">Personal</t>
        </is>
      </c>
      <c r="O203" s="30" t="inlineStr">
        <is>
          <t xml:space="preserve">Personal - regular use</t>
        </is>
      </c>
      <c r="P203" s="30" t="inlineStr">
        <is>
          <t xml:space="preserve">2,500 - 5,000</t>
        </is>
      </c>
      <c r="Q203" s="30" t="inlineStr">
        <is>
          <t xml:space="preserve">Massachusetts</t>
        </is>
      </c>
      <c r="R203" s="30" t="inlineStr">
        <is>
          <t xml:space="preserve">02108</t>
        </is>
      </c>
      <c r="S203" s="32" t="inlineStr">
        <is>
          <t xml:space="preserve">Tier 3 - Coastal wind (25-100 miles)</t>
        </is>
      </c>
      <c r="T203" s="36">
        <f>IF($A203="","",IF($S203="","",IFERROR(INDEX('[1]natural catastrophe'!$D$6:$D$17,MATCH($S203,'[1]natural catastrophe'!$B$6:$B$17,0)),"?")))</f>
      </c>
      <c r="U203" s="30" t="inlineStr">
        <is>
          <t xml:space="preserve">2% of agreed value, minimum $10,000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5749.67</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CANON-202607-007926</t>
        </is>
      </c>
      <c r="B204" s="46" t="inlineStr">
        <is>
          <t xml:space="preserve">Ottilie Kingsford</t>
        </is>
      </c>
      <c r="C204" s="47">
        <v>46209</v>
      </c>
      <c r="D204" s="48" t="inlineStr">
        <is>
          <t xml:space="preserve">Bound - within authority</t>
        </is>
      </c>
      <c r="E204" s="48" t="inlineStr">
        <is>
          <t xml:space="preserve">New business</t>
        </is>
      </c>
      <c r="F204" s="46" t="inlineStr">
        <is>
          <t xml:space="preserve">B1234EXOTIC26</t>
        </is>
      </c>
      <c r="G204" s="33">
        <f>IF($A204="","",IF($C204="","",YEAR($C204)))</f>
      </c>
      <c r="H204" s="49">
        <v>2006</v>
      </c>
      <c r="I204" s="46" t="inlineStr">
        <is>
          <t xml:space="preserve">Mercedes-Benz</t>
        </is>
      </c>
      <c r="J204" s="46" t="inlineStr">
        <is>
          <t xml:space="preserve">AMG GT</t>
        </is>
      </c>
      <c r="K204" s="46" t="inlineStr">
        <is>
          <t xml:space="preserve">K8K2B1SK816WT3JM2</t>
        </is>
      </c>
      <c r="L204" s="48" t="inlineStr">
        <is>
          <t xml:space="preserve">02 - Sports / GT</t>
        </is>
      </c>
      <c r="M204" s="50">
        <v>445000</v>
      </c>
      <c r="N204" s="48" t="inlineStr">
        <is>
          <t xml:space="preserve">Personal</t>
        </is>
      </c>
      <c r="O204" s="46" t="inlineStr">
        <is>
          <t xml:space="preserve">Personal - regular use</t>
        </is>
      </c>
      <c r="P204" s="46" t="inlineStr">
        <is>
          <t xml:space="preserve">1,000 - 2,500</t>
        </is>
      </c>
      <c r="Q204" s="46" t="inlineStr">
        <is>
          <t xml:space="preserve">Virginia</t>
        </is>
      </c>
      <c r="R204" s="46" t="inlineStr">
        <is>
          <t xml:space="preserve">23219</t>
        </is>
      </c>
      <c r="S204" s="48" t="inlineStr">
        <is>
          <t xml:space="preserve">Tier 3 - Coastal wind (25-100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5223.44</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CANON-202607-007927</t>
        </is>
      </c>
      <c r="B205" s="30" t="inlineStr">
        <is>
          <t xml:space="preserve">Cassius Fairweather</t>
        </is>
      </c>
      <c r="C205" s="31">
        <v>46213</v>
      </c>
      <c r="D205" s="32" t="inlineStr">
        <is>
          <t xml:space="preserve">Bound - within authority</t>
        </is>
      </c>
      <c r="E205" s="32" t="inlineStr">
        <is>
          <t xml:space="preserve">New business</t>
        </is>
      </c>
      <c r="F205" s="30" t="inlineStr">
        <is>
          <t xml:space="preserve">B1234EXOTIC26</t>
        </is>
      </c>
      <c r="G205" s="33">
        <f>IF($A205="","",IF($C205="","",YEAR($C205)))</f>
      </c>
      <c r="H205" s="34">
        <v>1984</v>
      </c>
      <c r="I205" s="30" t="inlineStr">
        <is>
          <t xml:space="preserve">Jaguar</t>
        </is>
      </c>
      <c r="J205" s="30" t="inlineStr">
        <is>
          <t xml:space="preserve">E-Type Series 1</t>
        </is>
      </c>
      <c r="K205" s="30" t="inlineStr">
        <is>
          <t xml:space="preserve">CG5A0845RB43DH86A</t>
        </is>
      </c>
      <c r="L205" s="32" t="inlineStr">
        <is>
          <t xml:space="preserve">08 - Modern Classic (1973-1999)</t>
        </is>
      </c>
      <c r="M205" s="35">
        <v>520000</v>
      </c>
      <c r="N205" s="32" t="inlineStr">
        <is>
          <t xml:space="preserve">Personal</t>
        </is>
      </c>
      <c r="O205" s="30" t="inlineStr">
        <is>
          <t xml:space="preserve">Personal - regular use</t>
        </is>
      </c>
      <c r="P205" s="30" t="inlineStr">
        <is>
          <t xml:space="preserve">2,500 - 5,000</t>
        </is>
      </c>
      <c r="Q205" s="30" t="inlineStr">
        <is>
          <t xml:space="preserve">Vermont</t>
        </is>
      </c>
      <c r="R205" s="30" t="inlineStr">
        <is>
          <t xml:space="preserve">05601</t>
        </is>
      </c>
      <c r="S205" s="32" t="inlineStr">
        <is>
          <t xml:space="preserve">Low hazard - inland benign</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3916.88</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CANON-202607-007928</t>
        </is>
      </c>
      <c r="B206" s="46" t="inlineStr">
        <is>
          <t xml:space="preserve">Fenwick Okonkwo</t>
        </is>
      </c>
      <c r="C206" s="47">
        <v>46227</v>
      </c>
      <c r="D206" s="48" t="inlineStr">
        <is>
          <t xml:space="preserve">Bound - within authority</t>
        </is>
      </c>
      <c r="E206" s="48" t="inlineStr">
        <is>
          <t xml:space="preserve">New business</t>
        </is>
      </c>
      <c r="F206" s="46" t="inlineStr">
        <is>
          <t xml:space="preserve">B1234EXOTIC26</t>
        </is>
      </c>
      <c r="G206" s="33">
        <f>IF($A206="","",IF($C206="","",YEAR($C206)))</f>
      </c>
      <c r="H206" s="49">
        <v>1958</v>
      </c>
      <c r="I206" s="46" t="inlineStr">
        <is>
          <t xml:space="preserve">Maserati</t>
        </is>
      </c>
      <c r="J206" s="46" t="inlineStr">
        <is>
          <t xml:space="preserve">GranTurismo</t>
        </is>
      </c>
      <c r="K206" s="46" t="inlineStr">
        <is>
          <t xml:space="preserve">V0S7MW6DGFM6LX4YE</t>
        </is>
      </c>
      <c r="L206" s="48" t="inlineStr">
        <is>
          <t xml:space="preserve">02 - Sports / GT</t>
        </is>
      </c>
      <c r="M206" s="50">
        <v>700000</v>
      </c>
      <c r="N206" s="48" t="inlineStr">
        <is>
          <t xml:space="preserve">Personal</t>
        </is>
      </c>
      <c r="O206" s="46" t="inlineStr">
        <is>
          <t xml:space="preserve">Personal - regular use</t>
        </is>
      </c>
      <c r="P206" s="46" t="inlineStr">
        <is>
          <t xml:space="preserve">1,000 - 2,500</t>
        </is>
      </c>
      <c r="Q206" s="46" t="inlineStr">
        <is>
          <t xml:space="preserve">New Jersey</t>
        </is>
      </c>
      <c r="R206" s="46" t="inlineStr">
        <is>
          <t xml:space="preserve">07102</t>
        </is>
      </c>
      <c r="S206" s="48" t="inlineStr">
        <is>
          <t xml:space="preserve">Tier 3 - Coastal wind (25-100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5945.13</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CANON-202607-007929</t>
        </is>
      </c>
      <c r="B207" s="30" t="inlineStr">
        <is>
          <t xml:space="preserve">Ottilie Rourke</t>
        </is>
      </c>
      <c r="C207" s="31">
        <v>46208</v>
      </c>
      <c r="D207" s="32" t="inlineStr">
        <is>
          <t xml:space="preserve">Bound - within authority</t>
        </is>
      </c>
      <c r="E207" s="32" t="inlineStr">
        <is>
          <t xml:space="preserve">New business</t>
        </is>
      </c>
      <c r="F207" s="30" t="inlineStr">
        <is>
          <t xml:space="preserve">B1234EXOTIC26</t>
        </is>
      </c>
      <c r="G207" s="33">
        <f>IF($A207="","",IF($C207="","",YEAR($C207)))</f>
      </c>
      <c r="H207" s="34">
        <v>1988</v>
      </c>
      <c r="I207" s="30" t="inlineStr">
        <is>
          <t xml:space="preserve">Mercedes-Benz</t>
        </is>
      </c>
      <c r="J207" s="30" t="inlineStr">
        <is>
          <t xml:space="preserve">AMG GT</t>
        </is>
      </c>
      <c r="K207" s="30" t="inlineStr">
        <is>
          <t xml:space="preserve">CA4J32AA6J9KDNJJ7</t>
        </is>
      </c>
      <c r="L207" s="32" t="inlineStr">
        <is>
          <t xml:space="preserve">02 - Sports / GT</t>
        </is>
      </c>
      <c r="M207" s="35">
        <v>945000</v>
      </c>
      <c r="N207" s="32" t="inlineStr">
        <is>
          <t xml:space="preserve">Personal</t>
        </is>
      </c>
      <c r="O207" s="30" t="inlineStr">
        <is>
          <t xml:space="preserve">Personal - regular use</t>
        </is>
      </c>
      <c r="P207" s="30" t="inlineStr">
        <is>
          <t xml:space="preserve">Under 1,000</t>
        </is>
      </c>
      <c r="Q207" s="30" t="inlineStr">
        <is>
          <t xml:space="preserve">New Mexico</t>
        </is>
      </c>
      <c r="R207" s="30" t="inlineStr">
        <is>
          <t xml:space="preserve">87501</t>
        </is>
      </c>
      <c r="S207" s="32" t="inlineStr">
        <is>
          <t xml:space="preserve">Wildfire - WUI high hazard</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11289.22</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CANON-202607-007930</t>
        </is>
      </c>
      <c r="B208" s="46" t="inlineStr">
        <is>
          <t xml:space="preserve">Leopold Underwood</t>
        </is>
      </c>
      <c r="C208" s="47">
        <v>46216</v>
      </c>
      <c r="D208" s="48" t="inlineStr">
        <is>
          <t xml:space="preserve">Bound - within authority</t>
        </is>
      </c>
      <c r="E208" s="48" t="inlineStr">
        <is>
          <t xml:space="preserve">New business</t>
        </is>
      </c>
      <c r="F208" s="46" t="inlineStr">
        <is>
          <t xml:space="preserve">B1234EXOTIC26</t>
        </is>
      </c>
      <c r="G208" s="33">
        <f>IF($A208="","",IF($C208="","",YEAR($C208)))</f>
      </c>
      <c r="H208" s="49">
        <v>1995</v>
      </c>
      <c r="I208" s="46" t="inlineStr">
        <is>
          <t xml:space="preserve">Ferrari</t>
        </is>
      </c>
      <c r="J208" s="46" t="inlineStr">
        <is>
          <t xml:space="preserve">275 GTB/4</t>
        </is>
      </c>
      <c r="K208" s="46" t="inlineStr">
        <is>
          <t xml:space="preserve">SLE897JSKDHUZNXK0</t>
        </is>
      </c>
      <c r="L208" s="48" t="inlineStr">
        <is>
          <t xml:space="preserve">08 - Modern Classic (1973-1999)</t>
        </is>
      </c>
      <c r="M208" s="50">
        <v>1950000</v>
      </c>
      <c r="N208" s="48" t="inlineStr">
        <is>
          <t xml:space="preserve">Personal</t>
        </is>
      </c>
      <c r="O208" s="46" t="inlineStr">
        <is>
          <t xml:space="preserve">Personal - regular use</t>
        </is>
      </c>
      <c r="P208" s="46" t="inlineStr">
        <is>
          <t xml:space="preserve">Under 1,000</t>
        </is>
      </c>
      <c r="Q208" s="46" t="inlineStr">
        <is>
          <t xml:space="preserve">Maryland</t>
        </is>
      </c>
      <c r="R208" s="46" t="inlineStr">
        <is>
          <t xml:space="preserve">21201</t>
        </is>
      </c>
      <c r="S208" s="48" t="inlineStr">
        <is>
          <t xml:space="preserve">Tier 3 - Coastal wind (25-100 miles)</t>
        </is>
      </c>
      <c r="T208" s="36">
        <f>IF($A208="","",IF($S208="","",IFERROR(INDEX('[1]natural catastrophe'!$D$6:$D$17,MATCH($S208,'[1]natural catastrophe'!$B$6:$B$17,0)),"?")))</f>
      </c>
      <c r="U208" s="46" t="inlineStr">
        <is>
          <t xml:space="preserve">2% of agreed value, minimum $10,000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10107.66</v>
      </c>
      <c r="AC208" s="51">
        <v>0</v>
      </c>
      <c r="AD208" s="38">
        <f>IF(ISNUMBER($AB208),$AB208*(1+N($AC208)),"")</f>
      </c>
      <c r="AE208" s="50">
        <v>350</v>
      </c>
      <c r="AF208" s="50">
        <v>250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CANON-202607-007932</t>
        </is>
      </c>
      <c r="B209" s="30" t="inlineStr">
        <is>
          <t xml:space="preserve">Leopold Whitlock</t>
        </is>
      </c>
      <c r="C209" s="31">
        <v>46209</v>
      </c>
      <c r="D209" s="32" t="inlineStr">
        <is>
          <t xml:space="preserve">Bound - within authority</t>
        </is>
      </c>
      <c r="E209" s="32" t="inlineStr">
        <is>
          <t xml:space="preserve">New business</t>
        </is>
      </c>
      <c r="F209" s="30" t="inlineStr">
        <is>
          <t xml:space="preserve">B1234EXOTIC26</t>
        </is>
      </c>
      <c r="G209" s="33">
        <f>IF($A209="","",IF($C209="","",YEAR($C209)))</f>
      </c>
      <c r="H209" s="34">
        <v>1968</v>
      </c>
      <c r="I209" s="30" t="inlineStr">
        <is>
          <t xml:space="preserve">McLaren</t>
        </is>
      </c>
      <c r="J209" s="30" t="inlineStr">
        <is>
          <t xml:space="preserve">750S</t>
        </is>
      </c>
      <c r="K209" s="30" t="inlineStr">
        <is>
          <t xml:space="preserve">GAXAYZS3013AEXW7J</t>
        </is>
      </c>
      <c r="L209" s="32" t="inlineStr">
        <is>
          <t xml:space="preserve">03 - Supercar</t>
        </is>
      </c>
      <c r="M209" s="35">
        <v>545000</v>
      </c>
      <c r="N209" s="32" t="inlineStr">
        <is>
          <t xml:space="preserve">Personal</t>
        </is>
      </c>
      <c r="O209" s="30" t="inlineStr">
        <is>
          <t xml:space="preserve">Personal - regular use</t>
        </is>
      </c>
      <c r="P209" s="30" t="inlineStr">
        <is>
          <t xml:space="preserve">2,500 - 5,000</t>
        </is>
      </c>
      <c r="Q209" s="30" t="inlineStr">
        <is>
          <t xml:space="preserve">Florida</t>
        </is>
      </c>
      <c r="R209" s="30" t="inlineStr">
        <is>
          <t xml:space="preserve">33139</t>
        </is>
      </c>
      <c r="S209" s="32" t="inlineStr">
        <is>
          <t xml:space="preserve">Tier 2 - Coastal wind (1-25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10556.43</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CANON-202607-007934</t>
        </is>
      </c>
      <c r="B210" s="46" t="inlineStr">
        <is>
          <t xml:space="preserve">Lorenzo Fairweather</t>
        </is>
      </c>
      <c r="C210" s="47">
        <v>46232</v>
      </c>
      <c r="D210" s="48" t="inlineStr">
        <is>
          <t xml:space="preserve">Bound - within authority</t>
        </is>
      </c>
      <c r="E210" s="48" t="inlineStr">
        <is>
          <t xml:space="preserve">New business</t>
        </is>
      </c>
      <c r="F210" s="46" t="inlineStr">
        <is>
          <t xml:space="preserve">B1234EXOTIC26</t>
        </is>
      </c>
      <c r="G210" s="33">
        <f>IF($A210="","",IF($C210="","",YEAR($C210)))</f>
      </c>
      <c r="H210" s="49">
        <v>2003</v>
      </c>
      <c r="I210" s="46" t="inlineStr">
        <is>
          <t xml:space="preserve">BMW</t>
        </is>
      </c>
      <c r="J210" s="46" t="inlineStr">
        <is>
          <t xml:space="preserve">M8 Competition</t>
        </is>
      </c>
      <c r="K210" s="46" t="inlineStr">
        <is>
          <t xml:space="preserve">7NFL95VBHR4D00ENL</t>
        </is>
      </c>
      <c r="L210" s="48" t="inlineStr">
        <is>
          <t xml:space="preserve">02 - Sports / GT</t>
        </is>
      </c>
      <c r="M210" s="50">
        <v>220000</v>
      </c>
      <c r="N210" s="48" t="inlineStr">
        <is>
          <t xml:space="preserve">Personal</t>
        </is>
      </c>
      <c r="O210" s="46" t="inlineStr">
        <is>
          <t xml:space="preserve">Personal - regular use</t>
        </is>
      </c>
      <c r="P210" s="46" t="inlineStr">
        <is>
          <t xml:space="preserve">2,500 - 5,000</t>
        </is>
      </c>
      <c r="Q210" s="46" t="inlineStr">
        <is>
          <t xml:space="preserve">Ohio</t>
        </is>
      </c>
      <c r="R210" s="46" t="inlineStr">
        <is>
          <t xml:space="preserve">43215</t>
        </is>
      </c>
      <c r="S210" s="48" t="inlineStr">
        <is>
          <t xml:space="preserve">Severe convective - hail / tornado (moderate)</t>
        </is>
      </c>
      <c r="T210" s="36">
        <f>IF($A210="","",IF($S210="","",IFERROR(INDEX('[1]natural catastrophe'!$D$6:$D$17,MATCH($S210,'[1]natural catastrophe'!$B$6:$B$17,0)),"?")))</f>
      </c>
      <c r="U210" s="46" t="inlineStr">
        <is>
          <t xml:space="preserve">$5,000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4039.56</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CANON-202607-007935</t>
        </is>
      </c>
      <c r="B211" s="30" t="inlineStr">
        <is>
          <t xml:space="preserve">Desmond Vasquez</t>
        </is>
      </c>
      <c r="C211" s="31">
        <v>46207</v>
      </c>
      <c r="D211" s="32" t="inlineStr">
        <is>
          <t xml:space="preserve">Bound - within authority</t>
        </is>
      </c>
      <c r="E211" s="32" t="inlineStr">
        <is>
          <t xml:space="preserve">New business</t>
        </is>
      </c>
      <c r="F211" s="30" t="inlineStr">
        <is>
          <t xml:space="preserve">B1234EXOTIC26</t>
        </is>
      </c>
      <c r="G211" s="33">
        <f>IF($A211="","",IF($C211="","",YEAR($C211)))</f>
      </c>
      <c r="H211" s="34">
        <v>1985</v>
      </c>
      <c r="I211" s="30" t="inlineStr">
        <is>
          <t xml:space="preserve">Mercedes-Benz</t>
        </is>
      </c>
      <c r="J211" s="30" t="inlineStr">
        <is>
          <t xml:space="preserve">AMG GT</t>
        </is>
      </c>
      <c r="K211" s="30" t="inlineStr">
        <is>
          <t xml:space="preserve">1BVRKPEEX5XXT2M4T</t>
        </is>
      </c>
      <c r="L211" s="32" t="inlineStr">
        <is>
          <t xml:space="preserve">02 - Sports / GT</t>
        </is>
      </c>
      <c r="M211" s="35">
        <v>755000</v>
      </c>
      <c r="N211" s="32" t="inlineStr">
        <is>
          <t xml:space="preserve">Personal</t>
        </is>
      </c>
      <c r="O211" s="30" t="inlineStr">
        <is>
          <t xml:space="preserve">Personal - regular use</t>
        </is>
      </c>
      <c r="P211" s="30" t="inlineStr">
        <is>
          <t xml:space="preserve">2,500 - 5,000</t>
        </is>
      </c>
      <c r="Q211" s="30" t="inlineStr">
        <is>
          <t xml:space="preserve">Pennsylvania</t>
        </is>
      </c>
      <c r="R211" s="30" t="inlineStr">
        <is>
          <t xml:space="preserve">19103</t>
        </is>
      </c>
      <c r="S211" s="32" t="inlineStr">
        <is>
          <t xml:space="preserve">Low hazard - inland benign</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7046.43</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CANON-202607-007936</t>
        </is>
      </c>
      <c r="B212" s="46" t="inlineStr">
        <is>
          <t xml:space="preserve">Emiliano Underwood</t>
        </is>
      </c>
      <c r="C212" s="47">
        <v>46209</v>
      </c>
      <c r="D212" s="48" t="inlineStr">
        <is>
          <t xml:space="preserve">Bound - within authority</t>
        </is>
      </c>
      <c r="E212" s="48" t="inlineStr">
        <is>
          <t xml:space="preserve">New business</t>
        </is>
      </c>
      <c r="F212" s="46" t="inlineStr">
        <is>
          <t xml:space="preserve">B1234EXOTIC26</t>
        </is>
      </c>
      <c r="G212" s="33">
        <f>IF($A212="","",IF($C212="","",YEAR($C212)))</f>
      </c>
      <c r="H212" s="49">
        <v>1979</v>
      </c>
      <c r="I212" s="46" t="inlineStr">
        <is>
          <t xml:space="preserve">Aston Martin</t>
        </is>
      </c>
      <c r="J212" s="46" t="inlineStr">
        <is>
          <t xml:space="preserve">DB5</t>
        </is>
      </c>
      <c r="K212" s="46" t="inlineStr">
        <is>
          <t xml:space="preserve">33HUKN7KUGDG565ZL</t>
        </is>
      </c>
      <c r="L212" s="48" t="inlineStr">
        <is>
          <t xml:space="preserve">08 - Modern Classic (1973-1999)</t>
        </is>
      </c>
      <c r="M212" s="50">
        <v>1335000</v>
      </c>
      <c r="N212" s="48" t="inlineStr">
        <is>
          <t xml:space="preserve">Personal</t>
        </is>
      </c>
      <c r="O212" s="46" t="inlineStr">
        <is>
          <t xml:space="preserve">Personal - regular use</t>
        </is>
      </c>
      <c r="P212" s="46" t="inlineStr">
        <is>
          <t xml:space="preserve">Under 1,000</t>
        </is>
      </c>
      <c r="Q212" s="46" t="inlineStr">
        <is>
          <t xml:space="preserve">New Hampshire</t>
        </is>
      </c>
      <c r="R212" s="46" t="inlineStr">
        <is>
          <t xml:space="preserve">03301</t>
        </is>
      </c>
      <c r="S212" s="48" t="inlineStr">
        <is>
          <t xml:space="preserve">Tier 3 - Coastal wind (25-100 miles)</t>
        </is>
      </c>
      <c r="T212" s="36">
        <f>IF($A212="","",IF($S212="","",IFERROR(INDEX('[1]natural catastrophe'!$D$6:$D$17,MATCH($S212,'[1]natural catastrophe'!$B$6:$B$17,0)),"?")))</f>
      </c>
      <c r="U212" s="46" t="inlineStr">
        <is>
          <t xml:space="preserve">2% of agreed value, minimum $10,000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7575.43</v>
      </c>
      <c r="AC212" s="51">
        <v>0</v>
      </c>
      <c r="AD212" s="38">
        <f>IF(ISNUMBER($AB212),$AB212*(1+N($AC212)),"")</f>
      </c>
      <c r="AE212" s="50">
        <v>350</v>
      </c>
      <c r="AF212" s="50">
        <v>250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CANON-202607-007937</t>
        </is>
      </c>
      <c r="B213" s="30" t="inlineStr">
        <is>
          <t xml:space="preserve">Fenwick Delacroix</t>
        </is>
      </c>
      <c r="C213" s="31">
        <v>46212</v>
      </c>
      <c r="D213" s="32" t="inlineStr">
        <is>
          <t xml:space="preserve">Bound - within authority</t>
        </is>
      </c>
      <c r="E213" s="32" t="inlineStr">
        <is>
          <t xml:space="preserve">New business</t>
        </is>
      </c>
      <c r="F213" s="30" t="inlineStr">
        <is>
          <t xml:space="preserve">B1234EXOTIC26</t>
        </is>
      </c>
      <c r="G213" s="33">
        <f>IF($A213="","",IF($C213="","",YEAR($C213)))</f>
      </c>
      <c r="H213" s="34">
        <v>1978</v>
      </c>
      <c r="I213" s="30" t="inlineStr">
        <is>
          <t xml:space="preserve">Mercedes-Benz</t>
        </is>
      </c>
      <c r="J213" s="30" t="inlineStr">
        <is>
          <t xml:space="preserve">AMG GT</t>
        </is>
      </c>
      <c r="K213" s="30" t="inlineStr">
        <is>
          <t xml:space="preserve">X2F7JWRXY85VJZAS4</t>
        </is>
      </c>
      <c r="L213" s="32" t="inlineStr">
        <is>
          <t xml:space="preserve">02 - Sports / GT</t>
        </is>
      </c>
      <c r="M213" s="35">
        <v>340000</v>
      </c>
      <c r="N213" s="32" t="inlineStr">
        <is>
          <t xml:space="preserve">Personal</t>
        </is>
      </c>
      <c r="O213" s="30" t="inlineStr">
        <is>
          <t xml:space="preserve">Personal - regular use</t>
        </is>
      </c>
      <c r="P213" s="30" t="inlineStr">
        <is>
          <t xml:space="preserve">2,500 - 5,000</t>
        </is>
      </c>
      <c r="Q213" s="30" t="inlineStr">
        <is>
          <t xml:space="preserve">Virginia</t>
        </is>
      </c>
      <c r="R213" s="30" t="inlineStr">
        <is>
          <t xml:space="preserve">23219</t>
        </is>
      </c>
      <c r="S213" s="32" t="inlineStr">
        <is>
          <t xml:space="preserve">Tier 3 - Coastal wind (25-100 miles)</t>
        </is>
      </c>
      <c r="T213" s="36">
        <f>IF($A213="","",IF($S213="","",IFERROR(INDEX('[1]natural catastrophe'!$D$6:$D$17,MATCH($S213,'[1]natural catastrophe'!$B$6:$B$17,0)),"?")))</f>
      </c>
      <c r="U213" s="30" t="inlineStr">
        <is>
          <t xml:space="preserve">2% of agreed value, minimum $10,000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3990.94</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CANON-202607-007938</t>
        </is>
      </c>
      <c r="B214" s="46" t="inlineStr">
        <is>
          <t xml:space="preserve">Ottilie Fairweather</t>
        </is>
      </c>
      <c r="C214" s="47">
        <v>46226</v>
      </c>
      <c r="D214" s="48" t="inlineStr">
        <is>
          <t xml:space="preserve">Bound - within authority</t>
        </is>
      </c>
      <c r="E214" s="48" t="inlineStr">
        <is>
          <t xml:space="preserve">New business</t>
        </is>
      </c>
      <c r="F214" s="46" t="inlineStr">
        <is>
          <t xml:space="preserve">B1234EXOTIC26</t>
        </is>
      </c>
      <c r="G214" s="33">
        <f>IF($A214="","",IF($C214="","",YEAR($C214)))</f>
      </c>
      <c r="H214" s="49">
        <v>1961</v>
      </c>
      <c r="I214" s="46" t="inlineStr">
        <is>
          <t xml:space="preserve">Porsche</t>
        </is>
      </c>
      <c r="J214" s="46" t="inlineStr">
        <is>
          <t xml:space="preserve">911 Turbo S</t>
        </is>
      </c>
      <c r="K214" s="46" t="inlineStr">
        <is>
          <t xml:space="preserve">7XJ2K8CBGD29VL5HR</t>
        </is>
      </c>
      <c r="L214" s="48" t="inlineStr">
        <is>
          <t xml:space="preserve">02 - Sports / GT</t>
        </is>
      </c>
      <c r="M214" s="50">
        <v>420000</v>
      </c>
      <c r="N214" s="48" t="inlineStr">
        <is>
          <t xml:space="preserve">Personal</t>
        </is>
      </c>
      <c r="O214" s="46" t="inlineStr">
        <is>
          <t xml:space="preserve">Personal - regular use</t>
        </is>
      </c>
      <c r="P214" s="46" t="inlineStr">
        <is>
          <t xml:space="preserve">1,000 - 2,500</t>
        </is>
      </c>
      <c r="Q214" s="46" t="inlineStr">
        <is>
          <t xml:space="preserve">Michigan</t>
        </is>
      </c>
      <c r="R214" s="46" t="inlineStr">
        <is>
          <t xml:space="preserve">48226</t>
        </is>
      </c>
      <c r="S214" s="48" t="inlineStr">
        <is>
          <t xml:space="preserve">Severe convective - hail / tornado (moderate)</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7010.53</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CANON-202607-007940</t>
        </is>
      </c>
      <c r="B215" s="30" t="inlineStr">
        <is>
          <t xml:space="preserve">Horace Merriweather</t>
        </is>
      </c>
      <c r="C215" s="31">
        <v>46215</v>
      </c>
      <c r="D215" s="32" t="inlineStr">
        <is>
          <t xml:space="preserve">Bound - within authority</t>
        </is>
      </c>
      <c r="E215" s="32" t="inlineStr">
        <is>
          <t xml:space="preserve">New business</t>
        </is>
      </c>
      <c r="F215" s="30" t="inlineStr">
        <is>
          <t xml:space="preserve">B1234EXOTIC26</t>
        </is>
      </c>
      <c r="G215" s="33">
        <f>IF($A215="","",IF($C215="","",YEAR($C215)))</f>
      </c>
      <c r="H215" s="34">
        <v>1957</v>
      </c>
      <c r="I215" s="30" t="inlineStr">
        <is>
          <t xml:space="preserve">Mercedes-Benz</t>
        </is>
      </c>
      <c r="J215" s="30" t="inlineStr">
        <is>
          <t xml:space="preserve">AMG GT</t>
        </is>
      </c>
      <c r="K215" s="30" t="inlineStr">
        <is>
          <t xml:space="preserve">JFJMW8N7FZBRU9FK1</t>
        </is>
      </c>
      <c r="L215" s="32" t="inlineStr">
        <is>
          <t xml:space="preserve">02 - Sports / GT</t>
        </is>
      </c>
      <c r="M215" s="35">
        <v>515000</v>
      </c>
      <c r="N215" s="32" t="inlineStr">
        <is>
          <t xml:space="preserve">Personal</t>
        </is>
      </c>
      <c r="O215" s="30" t="inlineStr">
        <is>
          <t xml:space="preserve">Personal - regular use</t>
        </is>
      </c>
      <c r="P215" s="30" t="inlineStr">
        <is>
          <t xml:space="preserve">Under 1,000</t>
        </is>
      </c>
      <c r="Q215" s="30" t="inlineStr">
        <is>
          <t xml:space="preserve">Kansas</t>
        </is>
      </c>
      <c r="R215" s="30" t="inlineStr">
        <is>
          <t xml:space="preserve">66603</t>
        </is>
      </c>
      <c r="S215" s="32" t="inlineStr">
        <is>
          <t xml:space="preserve">Severe convective - hail alley (high)</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4662.31</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CANON-202607-007941</t>
        </is>
      </c>
      <c r="B216" s="46" t="inlineStr">
        <is>
          <t xml:space="preserve">Marisol Chattopadhyay</t>
        </is>
      </c>
      <c r="C216" s="47">
        <v>46219</v>
      </c>
      <c r="D216" s="48" t="inlineStr">
        <is>
          <t xml:space="preserve">Bound - within authority</t>
        </is>
      </c>
      <c r="E216" s="48" t="inlineStr">
        <is>
          <t xml:space="preserve">New business</t>
        </is>
      </c>
      <c r="F216" s="46" t="inlineStr">
        <is>
          <t xml:space="preserve">B1234EXOTIC26</t>
        </is>
      </c>
      <c r="G216" s="33">
        <f>IF($A216="","",IF($C216="","",YEAR($C216)))</f>
      </c>
      <c r="H216" s="49">
        <v>2010</v>
      </c>
      <c r="I216" s="46" t="inlineStr">
        <is>
          <t xml:space="preserve">Jaguar</t>
        </is>
      </c>
      <c r="J216" s="46" t="inlineStr">
        <is>
          <t xml:space="preserve">E-Type Series 1</t>
        </is>
      </c>
      <c r="K216" s="46" t="inlineStr">
        <is>
          <t xml:space="preserve">VJXEBYRUKGATMBU0G</t>
        </is>
      </c>
      <c r="L216" s="48" t="inlineStr">
        <is>
          <t xml:space="preserve">09 - Youngtimer / Collectible (2000-2010)</t>
        </is>
      </c>
      <c r="M216" s="50">
        <v>460000</v>
      </c>
      <c r="N216" s="48" t="inlineStr">
        <is>
          <t xml:space="preserve">Personal</t>
        </is>
      </c>
      <c r="O216" s="46" t="inlineStr">
        <is>
          <t xml:space="preserve">Personal - regular use</t>
        </is>
      </c>
      <c r="P216" s="46" t="inlineStr">
        <is>
          <t xml:space="preserve">1,000 - 2,500</t>
        </is>
      </c>
      <c r="Q216" s="46" t="inlineStr">
        <is>
          <t xml:space="preserve">New York</t>
        </is>
      </c>
      <c r="R216" s="46" t="inlineStr">
        <is>
          <t xml:space="preserve">10022</t>
        </is>
      </c>
      <c r="S216" s="48" t="inlineStr">
        <is>
          <t xml:space="preserve">Tier 3 - Coastal wind (25-100 miles)</t>
        </is>
      </c>
      <c r="T216" s="36">
        <f>IF($A216="","",IF($S216="","",IFERROR(INDEX('[1]natural catastrophe'!$D$6:$D$17,MATCH($S216,'[1]natural catastrophe'!$B$6:$B$17,0)),"?")))</f>
      </c>
      <c r="U216" s="46" t="inlineStr">
        <is>
          <t xml:space="preserve">2% of agreed value, minimum $10,000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4058.06</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CANON-202607-007942</t>
        </is>
      </c>
      <c r="B217" s="30" t="inlineStr">
        <is>
          <t xml:space="preserve">Priya Blackwood</t>
        </is>
      </c>
      <c r="C217" s="31">
        <v>46207</v>
      </c>
      <c r="D217" s="32" t="inlineStr">
        <is>
          <t xml:space="preserve">Bound - within authority</t>
        </is>
      </c>
      <c r="E217" s="32" t="inlineStr">
        <is>
          <t xml:space="preserve">New business</t>
        </is>
      </c>
      <c r="F217" s="30" t="inlineStr">
        <is>
          <t xml:space="preserve">B1234EXOTIC26</t>
        </is>
      </c>
      <c r="G217" s="33">
        <f>IF($A217="","",IF($C217="","",YEAR($C217)))</f>
      </c>
      <c r="H217" s="34">
        <v>2018</v>
      </c>
      <c r="I217" s="30" t="inlineStr">
        <is>
          <t xml:space="preserve">Mercedes-Benz</t>
        </is>
      </c>
      <c r="J217" s="30" t="inlineStr">
        <is>
          <t xml:space="preserve">280SL Pagoda</t>
        </is>
      </c>
      <c r="K217" s="30" t="inlineStr">
        <is>
          <t xml:space="preserve">BY7D2ND28FNZA1LDT</t>
        </is>
      </c>
      <c r="L217" s="32" t="inlineStr">
        <is>
          <t xml:space="preserve">02 - Sports / GT</t>
        </is>
      </c>
      <c r="M217" s="35">
        <v>330000</v>
      </c>
      <c r="N217" s="32" t="inlineStr">
        <is>
          <t xml:space="preserve">Personal</t>
        </is>
      </c>
      <c r="O217" s="30" t="inlineStr">
        <is>
          <t xml:space="preserve">Personal - regular use</t>
        </is>
      </c>
      <c r="P217" s="30" t="inlineStr">
        <is>
          <t xml:space="preserve">1,000 - 2,500</t>
        </is>
      </c>
      <c r="Q217" s="30" t="inlineStr">
        <is>
          <t xml:space="preserve">New Hampshire</t>
        </is>
      </c>
      <c r="R217" s="30" t="inlineStr">
        <is>
          <t xml:space="preserve">03301</t>
        </is>
      </c>
      <c r="S217" s="32" t="inlineStr">
        <is>
          <t xml:space="preserve">Tier 3 - Coastal wind (25-100 miles)</t>
        </is>
      </c>
      <c r="T217" s="36">
        <f>IF($A217="","",IF($S217="","",IFERROR(INDEX('[1]natural catastrophe'!$D$6:$D$17,MATCH($S217,'[1]natural catastrophe'!$B$6:$B$17,0)),"?")))</f>
      </c>
      <c r="U217" s="30" t="inlineStr">
        <is>
          <t xml:space="preserve">2% of agreed value, minimum $10,000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2365.36</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CANON-202607-007943</t>
        </is>
      </c>
      <c r="B218" s="46" t="inlineStr">
        <is>
          <t xml:space="preserve">Delphine Delacroix</t>
        </is>
      </c>
      <c r="C218" s="47">
        <v>46224</v>
      </c>
      <c r="D218" s="48" t="inlineStr">
        <is>
          <t xml:space="preserve">Bound - within authority</t>
        </is>
      </c>
      <c r="E218" s="48" t="inlineStr">
        <is>
          <t xml:space="preserve">New business</t>
        </is>
      </c>
      <c r="F218" s="46" t="inlineStr">
        <is>
          <t xml:space="preserve">B1234EXOTIC26</t>
        </is>
      </c>
      <c r="G218" s="33">
        <f>IF($A218="","",IF($C218="","",YEAR($C218)))</f>
      </c>
      <c r="H218" s="49">
        <v>1981</v>
      </c>
      <c r="I218" s="46" t="inlineStr">
        <is>
          <t xml:space="preserve">Lamborghini</t>
        </is>
      </c>
      <c r="J218" s="46" t="inlineStr">
        <is>
          <t xml:space="preserve">Huracan EVO</t>
        </is>
      </c>
      <c r="K218" s="46" t="inlineStr">
        <is>
          <t xml:space="preserve">HPVC40DY8B4K7JCH6</t>
        </is>
      </c>
      <c r="L218" s="48" t="inlineStr">
        <is>
          <t xml:space="preserve">03 - Supercar</t>
        </is>
      </c>
      <c r="M218" s="50">
        <v>725000</v>
      </c>
      <c r="N218" s="48" t="inlineStr">
        <is>
          <t xml:space="preserve">Personal</t>
        </is>
      </c>
      <c r="O218" s="46" t="inlineStr">
        <is>
          <t xml:space="preserve">Personal - regular use</t>
        </is>
      </c>
      <c r="P218" s="46" t="inlineStr">
        <is>
          <t xml:space="preserve">Under 1,000</t>
        </is>
      </c>
      <c r="Q218" s="46" t="inlineStr">
        <is>
          <t xml:space="preserve">Utah</t>
        </is>
      </c>
      <c r="R218" s="46" t="inlineStr">
        <is>
          <t xml:space="preserve">84101</t>
        </is>
      </c>
      <c r="S218" s="48" t="inlineStr">
        <is>
          <t xml:space="preserve">Wildfire - WUI high hazard</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13350.7</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CANON-202607-007945</t>
        </is>
      </c>
      <c r="B219" s="30" t="inlineStr">
        <is>
          <t xml:space="preserve">Mireille Merriweather</t>
        </is>
      </c>
      <c r="C219" s="31">
        <v>46224</v>
      </c>
      <c r="D219" s="32" t="inlineStr">
        <is>
          <t xml:space="preserve">Bound - within authority</t>
        </is>
      </c>
      <c r="E219" s="32" t="inlineStr">
        <is>
          <t xml:space="preserve">New business</t>
        </is>
      </c>
      <c r="F219" s="30" t="inlineStr">
        <is>
          <t xml:space="preserve">B1234EXOTIC26</t>
        </is>
      </c>
      <c r="G219" s="33">
        <f>IF($A219="","",IF($C219="","",YEAR($C219)))</f>
      </c>
      <c r="H219" s="34">
        <v>1962</v>
      </c>
      <c r="I219" s="30" t="inlineStr">
        <is>
          <t xml:space="preserve">Bentley</t>
        </is>
      </c>
      <c r="J219" s="30" t="inlineStr">
        <is>
          <t xml:space="preserve">4.5 Litre</t>
        </is>
      </c>
      <c r="K219" s="30" t="inlineStr">
        <is>
          <t xml:space="preserve">8ZWBSMC8UY3719EYN</t>
        </is>
      </c>
      <c r="L219" s="32" t="inlineStr">
        <is>
          <t xml:space="preserve">07 - Post-War Classic (1946-1972)</t>
        </is>
      </c>
      <c r="M219" s="35">
        <v>445000</v>
      </c>
      <c r="N219" s="32" t="inlineStr">
        <is>
          <t xml:space="preserve">Personal</t>
        </is>
      </c>
      <c r="O219" s="30" t="inlineStr">
        <is>
          <t xml:space="preserve">Personal - regular use</t>
        </is>
      </c>
      <c r="P219" s="30" t="inlineStr">
        <is>
          <t xml:space="preserve">2,500 - 5,000</t>
        </is>
      </c>
      <c r="Q219" s="30" t="inlineStr">
        <is>
          <t xml:space="preserve">Michigan</t>
        </is>
      </c>
      <c r="R219" s="30" t="inlineStr">
        <is>
          <t xml:space="preserve">48226</t>
        </is>
      </c>
      <c r="S219" s="32" t="inlineStr">
        <is>
          <t xml:space="preserve">Severe convective - hail / tornado (moderate)</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4159.58</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CANON-202607-007947</t>
        </is>
      </c>
      <c r="B220" s="46" t="inlineStr">
        <is>
          <t xml:space="preserve">Anouk Nakashima</t>
        </is>
      </c>
      <c r="C220" s="47">
        <v>46230</v>
      </c>
      <c r="D220" s="48" t="inlineStr">
        <is>
          <t xml:space="preserve">Bound - within authority</t>
        </is>
      </c>
      <c r="E220" s="48" t="inlineStr">
        <is>
          <t xml:space="preserve">New business</t>
        </is>
      </c>
      <c r="F220" s="46" t="inlineStr">
        <is>
          <t xml:space="preserve">B1234EXOTIC26</t>
        </is>
      </c>
      <c r="G220" s="33">
        <f>IF($A220="","",IF($C220="","",YEAR($C220)))</f>
      </c>
      <c r="H220" s="49">
        <v>1981</v>
      </c>
      <c r="I220" s="46" t="inlineStr">
        <is>
          <t xml:space="preserve">Lamborghini</t>
        </is>
      </c>
      <c r="J220" s="46" t="inlineStr">
        <is>
          <t xml:space="preserve">Huracan EVO</t>
        </is>
      </c>
      <c r="K220" s="46" t="inlineStr">
        <is>
          <t xml:space="preserve">JKSMHXS182FSYBZW0</t>
        </is>
      </c>
      <c r="L220" s="48" t="inlineStr">
        <is>
          <t xml:space="preserve">03 - Supercar</t>
        </is>
      </c>
      <c r="M220" s="50">
        <v>225000</v>
      </c>
      <c r="N220" s="48" t="inlineStr">
        <is>
          <t xml:space="preserve">Personal</t>
        </is>
      </c>
      <c r="O220" s="46" t="inlineStr">
        <is>
          <t xml:space="preserve">Personal - regular use</t>
        </is>
      </c>
      <c r="P220" s="46" t="inlineStr">
        <is>
          <t xml:space="preserve">Under 1,000</t>
        </is>
      </c>
      <c r="Q220" s="46" t="inlineStr">
        <is>
          <t xml:space="preserve">North Dakota</t>
        </is>
      </c>
      <c r="R220" s="46" t="inlineStr">
        <is>
          <t xml:space="preserve">58501</t>
        </is>
      </c>
      <c r="S220" s="48" t="inlineStr">
        <is>
          <t xml:space="preserve">Severe convective - hail alley (high)</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4679.29</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CANON-202607-007949</t>
        </is>
      </c>
      <c r="B221" s="30" t="inlineStr">
        <is>
          <t xml:space="preserve">Horace Bellandi</t>
        </is>
      </c>
      <c r="C221" s="31">
        <v>46218</v>
      </c>
      <c r="D221" s="32" t="inlineStr">
        <is>
          <t xml:space="preserve">Bound - within authority</t>
        </is>
      </c>
      <c r="E221" s="32" t="inlineStr">
        <is>
          <t xml:space="preserve">New business</t>
        </is>
      </c>
      <c r="F221" s="30" t="inlineStr">
        <is>
          <t xml:space="preserve">B1234EXOTIC26</t>
        </is>
      </c>
      <c r="G221" s="33">
        <f>IF($A221="","",IF($C221="","",YEAR($C221)))</f>
      </c>
      <c r="H221" s="34">
        <v>1986</v>
      </c>
      <c r="I221" s="30" t="inlineStr">
        <is>
          <t xml:space="preserve">Aston Martin</t>
        </is>
      </c>
      <c r="J221" s="30" t="inlineStr">
        <is>
          <t xml:space="preserve">DB5</t>
        </is>
      </c>
      <c r="K221" s="30" t="inlineStr">
        <is>
          <t xml:space="preserve">VHMSAE8Y54ZVY46J1</t>
        </is>
      </c>
      <c r="L221" s="32" t="inlineStr">
        <is>
          <t xml:space="preserve">08 - Modern Classic (1973-1999)</t>
        </is>
      </c>
      <c r="M221" s="35">
        <v>235000</v>
      </c>
      <c r="N221" s="32" t="inlineStr">
        <is>
          <t xml:space="preserve">Personal</t>
        </is>
      </c>
      <c r="O221" s="30" t="inlineStr">
        <is>
          <t xml:space="preserve">Personal - regular use</t>
        </is>
      </c>
      <c r="P221" s="30" t="inlineStr">
        <is>
          <t xml:space="preserve">2,500 - 5,000</t>
        </is>
      </c>
      <c r="Q221" s="30" t="inlineStr">
        <is>
          <t xml:space="preserve">New Mexico</t>
        </is>
      </c>
      <c r="R221" s="30" t="inlineStr">
        <is>
          <t xml:space="preserve">87501</t>
        </is>
      </c>
      <c r="S221" s="32" t="inlineStr">
        <is>
          <t xml:space="preserve">Wildfire - WUI high hazard</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2461.85</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CANON-202607-007954</t>
        </is>
      </c>
      <c r="B222" s="46" t="inlineStr">
        <is>
          <t xml:space="preserve">Lorenzo Bellandi</t>
        </is>
      </c>
      <c r="C222" s="47">
        <v>46230</v>
      </c>
      <c r="D222" s="48" t="inlineStr">
        <is>
          <t xml:space="preserve">Bound - within authority</t>
        </is>
      </c>
      <c r="E222" s="48" t="inlineStr">
        <is>
          <t xml:space="preserve">New business</t>
        </is>
      </c>
      <c r="F222" s="46" t="inlineStr">
        <is>
          <t xml:space="preserve">B1234EXOTIC26</t>
        </is>
      </c>
      <c r="G222" s="33">
        <f>IF($A222="","",IF($C222="","",YEAR($C222)))</f>
      </c>
      <c r="H222" s="49">
        <v>2020</v>
      </c>
      <c r="I222" s="46" t="inlineStr">
        <is>
          <t xml:space="preserve">Mercedes-Benz</t>
        </is>
      </c>
      <c r="J222" s="46" t="inlineStr">
        <is>
          <t xml:space="preserve">280SL Pagoda</t>
        </is>
      </c>
      <c r="K222" s="46" t="inlineStr">
        <is>
          <t xml:space="preserve">1RB0GX24K0H3RCY8P</t>
        </is>
      </c>
      <c r="L222" s="48" t="inlineStr">
        <is>
          <t xml:space="preserve">02 - Sports / GT</t>
        </is>
      </c>
      <c r="M222" s="50">
        <v>730000</v>
      </c>
      <c r="N222" s="48" t="inlineStr">
        <is>
          <t xml:space="preserve">Personal</t>
        </is>
      </c>
      <c r="O222" s="46" t="inlineStr">
        <is>
          <t xml:space="preserve">Personal - regular use</t>
        </is>
      </c>
      <c r="P222" s="46" t="inlineStr">
        <is>
          <t xml:space="preserve">1,000 - 2,500</t>
        </is>
      </c>
      <c r="Q222" s="46" t="inlineStr">
        <is>
          <t xml:space="preserve">Texas</t>
        </is>
      </c>
      <c r="R222" s="46" t="inlineStr">
        <is>
          <t xml:space="preserve">75201</t>
        </is>
      </c>
      <c r="S222" s="48" t="inlineStr">
        <is>
          <t xml:space="preserve">Tier 2 - Coastal wind (1-25 miles)</t>
        </is>
      </c>
      <c r="T222" s="36">
        <f>IF($A222="","",IF($S222="","",IFERROR(INDEX('[1]natural catastrophe'!$D$6:$D$17,MATCH($S222,'[1]natural catastrophe'!$B$6:$B$17,0)),"?")))</f>
      </c>
      <c r="U222" s="46" t="inlineStr">
        <is>
          <t xml:space="preserve">2% of agreed value, minimum $10,000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5183.2</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CANON-202607-007956</t>
        </is>
      </c>
      <c r="B223" s="30" t="inlineStr">
        <is>
          <t xml:space="preserve">Noor Fairweather</t>
        </is>
      </c>
      <c r="C223" s="31">
        <v>46234</v>
      </c>
      <c r="D223" s="32" t="inlineStr">
        <is>
          <t xml:space="preserve">Bound - within authority</t>
        </is>
      </c>
      <c r="E223" s="32" t="inlineStr">
        <is>
          <t xml:space="preserve">New business</t>
        </is>
      </c>
      <c r="F223" s="30" t="inlineStr">
        <is>
          <t xml:space="preserve">B1234EXOTIC26</t>
        </is>
      </c>
      <c r="G223" s="33">
        <f>IF($A223="","",IF($C223="","",YEAR($C223)))</f>
      </c>
      <c r="H223" s="34">
        <v>2001</v>
      </c>
      <c r="I223" s="30" t="inlineStr">
        <is>
          <t xml:space="preserve">BMW</t>
        </is>
      </c>
      <c r="J223" s="30" t="inlineStr">
        <is>
          <t xml:space="preserve">M8 Competition</t>
        </is>
      </c>
      <c r="K223" s="30" t="inlineStr">
        <is>
          <t xml:space="preserve">VP71VXJJ6JJYZ9K8T</t>
        </is>
      </c>
      <c r="L223" s="32" t="inlineStr">
        <is>
          <t xml:space="preserve">02 - Sports / GT</t>
        </is>
      </c>
      <c r="M223" s="35">
        <v>280000</v>
      </c>
      <c r="N223" s="32" t="inlineStr">
        <is>
          <t xml:space="preserve">Personal</t>
        </is>
      </c>
      <c r="O223" s="30" t="inlineStr">
        <is>
          <t xml:space="preserve">Personal - regular use</t>
        </is>
      </c>
      <c r="P223" s="30" t="inlineStr">
        <is>
          <t xml:space="preserve">Under 1,000</t>
        </is>
      </c>
      <c r="Q223" s="30" t="inlineStr">
        <is>
          <t xml:space="preserve">Tennessee</t>
        </is>
      </c>
      <c r="R223" s="30" t="inlineStr">
        <is>
          <t xml:space="preserve">37203</t>
        </is>
      </c>
      <c r="S223" s="32" t="inlineStr">
        <is>
          <t xml:space="preserve">Severe convective - hail / tornado (moderate)</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2954.98</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CANON-202607-007957</t>
        </is>
      </c>
      <c r="B224" s="46" t="inlineStr">
        <is>
          <t xml:space="preserve">Priya Okonkwo</t>
        </is>
      </c>
      <c r="C224" s="47">
        <v>46212</v>
      </c>
      <c r="D224" s="48" t="inlineStr">
        <is>
          <t xml:space="preserve">Bound - within authority</t>
        </is>
      </c>
      <c r="E224" s="48" t="inlineStr">
        <is>
          <t xml:space="preserve">New business</t>
        </is>
      </c>
      <c r="F224" s="46" t="inlineStr">
        <is>
          <t xml:space="preserve">B1234EXOTIC26</t>
        </is>
      </c>
      <c r="G224" s="33">
        <f>IF($A224="","",IF($C224="","",YEAR($C224)))</f>
      </c>
      <c r="H224" s="49">
        <v>1998</v>
      </c>
      <c r="I224" s="46" t="inlineStr">
        <is>
          <t xml:space="preserve">Aston Martin</t>
        </is>
      </c>
      <c r="J224" s="46" t="inlineStr">
        <is>
          <t xml:space="preserve">DB12</t>
        </is>
      </c>
      <c r="K224" s="46" t="inlineStr">
        <is>
          <t xml:space="preserve">J5UW1BVT9KMJ6J30H</t>
        </is>
      </c>
      <c r="L224" s="48" t="inlineStr">
        <is>
          <t xml:space="preserve">02 - Sports / GT</t>
        </is>
      </c>
      <c r="M224" s="50">
        <v>450000</v>
      </c>
      <c r="N224" s="48" t="inlineStr">
        <is>
          <t xml:space="preserve">Personal</t>
        </is>
      </c>
      <c r="O224" s="46" t="inlineStr">
        <is>
          <t xml:space="preserve">Personal - regular use</t>
        </is>
      </c>
      <c r="P224" s="46" t="inlineStr">
        <is>
          <t xml:space="preserve">2,500 - 5,000</t>
        </is>
      </c>
      <c r="Q224" s="46" t="inlineStr">
        <is>
          <t xml:space="preserve">Connecticut</t>
        </is>
      </c>
      <c r="R224" s="46" t="inlineStr">
        <is>
          <t xml:space="preserve">06103</t>
        </is>
      </c>
      <c r="S224" s="48" t="inlineStr">
        <is>
          <t xml:space="preserve">Tier 3 - Coastal wind (25-100 miles)</t>
        </is>
      </c>
      <c r="T224" s="36">
        <f>IF($A224="","",IF($S224="","",IFERROR(INDEX('[1]natural catastrophe'!$D$6:$D$17,MATCH($S224,'[1]natural catastrophe'!$B$6:$B$17,0)),"?")))</f>
      </c>
      <c r="U224" s="46" t="inlineStr">
        <is>
          <t xml:space="preserve">2% of agreed value, minimum $10,000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5427.51</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CANON-202607-007959</t>
        </is>
      </c>
      <c r="B225" s="30" t="inlineStr">
        <is>
          <t xml:space="preserve">Anouk Kingsford</t>
        </is>
      </c>
      <c r="C225" s="31">
        <v>46223</v>
      </c>
      <c r="D225" s="32" t="inlineStr">
        <is>
          <t xml:space="preserve">Bound - within authority</t>
        </is>
      </c>
      <c r="E225" s="32" t="inlineStr">
        <is>
          <t xml:space="preserve">New business</t>
        </is>
      </c>
      <c r="F225" s="30" t="inlineStr">
        <is>
          <t xml:space="preserve">B1234EXOTIC26</t>
        </is>
      </c>
      <c r="G225" s="33">
        <f>IF($A225="","",IF($C225="","",YEAR($C225)))</f>
      </c>
      <c r="H225" s="34">
        <v>2008</v>
      </c>
      <c r="I225" s="30" t="inlineStr">
        <is>
          <t xml:space="preserve">Porsche</t>
        </is>
      </c>
      <c r="J225" s="30" t="inlineStr">
        <is>
          <t xml:space="preserve">911 Turbo S</t>
        </is>
      </c>
      <c r="K225" s="30" t="inlineStr">
        <is>
          <t xml:space="preserve">9C7U5A2H20E8JK40H</t>
        </is>
      </c>
      <c r="L225" s="32" t="inlineStr">
        <is>
          <t xml:space="preserve">02 - Sports / GT</t>
        </is>
      </c>
      <c r="M225" s="35">
        <v>340000</v>
      </c>
      <c r="N225" s="32" t="inlineStr">
        <is>
          <t xml:space="preserve">Personal</t>
        </is>
      </c>
      <c r="O225" s="30" t="inlineStr">
        <is>
          <t xml:space="preserve">Personal - regular use</t>
        </is>
      </c>
      <c r="P225" s="30" t="inlineStr">
        <is>
          <t xml:space="preserve">2,500 - 5,000</t>
        </is>
      </c>
      <c r="Q225" s="30" t="inlineStr">
        <is>
          <t xml:space="preserve">Pennsylvania</t>
        </is>
      </c>
      <c r="R225" s="30" t="inlineStr">
        <is>
          <t xml:space="preserve">19103</t>
        </is>
      </c>
      <c r="S225" s="32" t="inlineStr">
        <is>
          <t xml:space="preserve">Low hazard - inland benign</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3661.41</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CANON-202607-007960</t>
        </is>
      </c>
      <c r="B226" s="46" t="inlineStr">
        <is>
          <t xml:space="preserve">Cassius Rourke</t>
        </is>
      </c>
      <c r="C226" s="47">
        <v>46208</v>
      </c>
      <c r="D226" s="48" t="inlineStr">
        <is>
          <t xml:space="preserve">Bound - within authority</t>
        </is>
      </c>
      <c r="E226" s="48" t="inlineStr">
        <is>
          <t xml:space="preserve">New business</t>
        </is>
      </c>
      <c r="F226" s="46" t="inlineStr">
        <is>
          <t xml:space="preserve">B1234EXOTIC26</t>
        </is>
      </c>
      <c r="G226" s="33">
        <f>IF($A226="","",IF($C226="","",YEAR($C226)))</f>
      </c>
      <c r="H226" s="49">
        <v>1957</v>
      </c>
      <c r="I226" s="46" t="inlineStr">
        <is>
          <t xml:space="preserve">McLaren</t>
        </is>
      </c>
      <c r="J226" s="46" t="inlineStr">
        <is>
          <t xml:space="preserve">750S</t>
        </is>
      </c>
      <c r="K226" s="46" t="inlineStr">
        <is>
          <t xml:space="preserve">R2UGKUG35X5REZ8RK</t>
        </is>
      </c>
      <c r="L226" s="48" t="inlineStr">
        <is>
          <t xml:space="preserve">03 - Supercar</t>
        </is>
      </c>
      <c r="M226" s="50">
        <v>340000</v>
      </c>
      <c r="N226" s="48" t="inlineStr">
        <is>
          <t xml:space="preserve">Personal</t>
        </is>
      </c>
      <c r="O226" s="46" t="inlineStr">
        <is>
          <t xml:space="preserve">Personal - regular use</t>
        </is>
      </c>
      <c r="P226" s="46" t="inlineStr">
        <is>
          <t xml:space="preserve">Under 1,000</t>
        </is>
      </c>
      <c r="Q226" s="46" t="inlineStr">
        <is>
          <t xml:space="preserve">Massachusetts</t>
        </is>
      </c>
      <c r="R226" s="46" t="inlineStr">
        <is>
          <t xml:space="preserve">02108</t>
        </is>
      </c>
      <c r="S226" s="48" t="inlineStr">
        <is>
          <t xml:space="preserve">Tier 3 - Coastal wind (25-100 miles)</t>
        </is>
      </c>
      <c r="T226" s="36">
        <f>IF($A226="","",IF($S226="","",IFERROR(INDEX('[1]natural catastrophe'!$D$6:$D$17,MATCH($S226,'[1]natural catastrophe'!$B$6:$B$17,0)),"?")))</f>
      </c>
      <c r="U226" s="46" t="inlineStr">
        <is>
          <t xml:space="preserve">2% of agreed value, minimum $10,000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7017.71</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CANON-202607-007961</t>
        </is>
      </c>
      <c r="B227" s="30" t="inlineStr">
        <is>
          <t xml:space="preserve">Anouk Ashcombe</t>
        </is>
      </c>
      <c r="C227" s="31">
        <v>46206</v>
      </c>
      <c r="D227" s="32" t="inlineStr">
        <is>
          <t xml:space="preserve">Bound - within authority</t>
        </is>
      </c>
      <c r="E227" s="32" t="inlineStr">
        <is>
          <t xml:space="preserve">New business</t>
        </is>
      </c>
      <c r="F227" s="30" t="inlineStr">
        <is>
          <t xml:space="preserve">B1234EXOTIC26</t>
        </is>
      </c>
      <c r="G227" s="33">
        <f>IF($A227="","",IF($C227="","",YEAR($C227)))</f>
      </c>
      <c r="H227" s="34">
        <v>1998</v>
      </c>
      <c r="I227" s="30" t="inlineStr">
        <is>
          <t xml:space="preserve">BMW</t>
        </is>
      </c>
      <c r="J227" s="30" t="inlineStr">
        <is>
          <t xml:space="preserve">M8 Competition</t>
        </is>
      </c>
      <c r="K227" s="30" t="inlineStr">
        <is>
          <t xml:space="preserve">T5YURUBTG5KXUW1H2</t>
        </is>
      </c>
      <c r="L227" s="32" t="inlineStr">
        <is>
          <t xml:space="preserve">02 - Sports / GT</t>
        </is>
      </c>
      <c r="M227" s="35">
        <v>715000</v>
      </c>
      <c r="N227" s="32" t="inlineStr">
        <is>
          <t xml:space="preserve">Personal</t>
        </is>
      </c>
      <c r="O227" s="30" t="inlineStr">
        <is>
          <t xml:space="preserve">Personal - regular use</t>
        </is>
      </c>
      <c r="P227" s="30" t="inlineStr">
        <is>
          <t xml:space="preserve">2,500 - 5,000</t>
        </is>
      </c>
      <c r="Q227" s="30" t="inlineStr">
        <is>
          <t xml:space="preserve">Connecticut</t>
        </is>
      </c>
      <c r="R227" s="30" t="inlineStr">
        <is>
          <t xml:space="preserve">06103</t>
        </is>
      </c>
      <c r="S227" s="32" t="inlineStr">
        <is>
          <t xml:space="preserve">Tier 3 - Coastal wind (25-100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7473.88</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CANON-202607-007962</t>
        </is>
      </c>
      <c r="B228" s="46" t="inlineStr">
        <is>
          <t xml:space="preserve">Anouk Larsson</t>
        </is>
      </c>
      <c r="C228" s="47">
        <v>46222</v>
      </c>
      <c r="D228" s="48" t="inlineStr">
        <is>
          <t xml:space="preserve">Bound - within authority</t>
        </is>
      </c>
      <c r="E228" s="48" t="inlineStr">
        <is>
          <t xml:space="preserve">New business</t>
        </is>
      </c>
      <c r="F228" s="46" t="inlineStr">
        <is>
          <t xml:space="preserve">B1234EXOTIC26</t>
        </is>
      </c>
      <c r="G228" s="33">
        <f>IF($A228="","",IF($C228="","",YEAR($C228)))</f>
      </c>
      <c r="H228" s="49">
        <v>1981</v>
      </c>
      <c r="I228" s="46" t="inlineStr">
        <is>
          <t xml:space="preserve">Porsche</t>
        </is>
      </c>
      <c r="J228" s="46" t="inlineStr">
        <is>
          <t xml:space="preserve">911 Turbo S</t>
        </is>
      </c>
      <c r="K228" s="46" t="inlineStr">
        <is>
          <t xml:space="preserve">M7TLT8ZZ8HX1AJD8M</t>
        </is>
      </c>
      <c r="L228" s="48" t="inlineStr">
        <is>
          <t xml:space="preserve">02 - Sports / GT</t>
        </is>
      </c>
      <c r="M228" s="50">
        <v>280000</v>
      </c>
      <c r="N228" s="48" t="inlineStr">
        <is>
          <t xml:space="preserve">Personal</t>
        </is>
      </c>
      <c r="O228" s="46" t="inlineStr">
        <is>
          <t xml:space="preserve">Personal - regular use</t>
        </is>
      </c>
      <c r="P228" s="46" t="inlineStr">
        <is>
          <t xml:space="preserve">1,000 - 2,500</t>
        </is>
      </c>
      <c r="Q228" s="46" t="inlineStr">
        <is>
          <t xml:space="preserve">Illinois</t>
        </is>
      </c>
      <c r="R228" s="46" t="inlineStr">
        <is>
          <t xml:space="preserve">60601</t>
        </is>
      </c>
      <c r="S228" s="48" t="inlineStr">
        <is>
          <t xml:space="preserve">Severe convective - hail / tornado (moderate)</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4100.79</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CANON-202607-007963</t>
        </is>
      </c>
      <c r="B229" s="30" t="inlineStr">
        <is>
          <t xml:space="preserve">Aurelio Nakashima</t>
        </is>
      </c>
      <c r="C229" s="31">
        <v>46215</v>
      </c>
      <c r="D229" s="32" t="inlineStr">
        <is>
          <t xml:space="preserve">Bound - within authority</t>
        </is>
      </c>
      <c r="E229" s="32" t="inlineStr">
        <is>
          <t xml:space="preserve">New business</t>
        </is>
      </c>
      <c r="F229" s="30" t="inlineStr">
        <is>
          <t xml:space="preserve">B1234EXOTIC26</t>
        </is>
      </c>
      <c r="G229" s="33">
        <f>IF($A229="","",IF($C229="","",YEAR($C229)))</f>
      </c>
      <c r="H229" s="34">
        <v>2006</v>
      </c>
      <c r="I229" s="30" t="inlineStr">
        <is>
          <t xml:space="preserve">Porsche</t>
        </is>
      </c>
      <c r="J229" s="30" t="inlineStr">
        <is>
          <t xml:space="preserve">911 Turbo S</t>
        </is>
      </c>
      <c r="K229" s="30" t="inlineStr">
        <is>
          <t xml:space="preserve">TBEPVEWK9RARLVF5G</t>
        </is>
      </c>
      <c r="L229" s="32" t="inlineStr">
        <is>
          <t xml:space="preserve">02 - Sports / GT</t>
        </is>
      </c>
      <c r="M229" s="35">
        <v>1465000</v>
      </c>
      <c r="N229" s="32" t="inlineStr">
        <is>
          <t xml:space="preserve">Personal</t>
        </is>
      </c>
      <c r="O229" s="30" t="inlineStr">
        <is>
          <t xml:space="preserve">Personal - regular use</t>
        </is>
      </c>
      <c r="P229" s="30" t="inlineStr">
        <is>
          <t xml:space="preserve">2,500 - 5,000</t>
        </is>
      </c>
      <c r="Q229" s="30" t="inlineStr">
        <is>
          <t xml:space="preserve">South Dakota</t>
        </is>
      </c>
      <c r="R229" s="30" t="inlineStr">
        <is>
          <t xml:space="preserve">57501</t>
        </is>
      </c>
      <c r="S229" s="32" t="inlineStr">
        <is>
          <t xml:space="preserve">Severe convective - hail alley (high)</t>
        </is>
      </c>
      <c r="T229" s="36">
        <f>IF($A229="","",IF($S229="","",IFERROR(INDEX('[1]natural catastrophe'!$D$6:$D$17,MATCH($S229,'[1]natural catastrophe'!$B$6:$B$17,0)),"?")))</f>
      </c>
      <c r="U229" s="30" t="inlineStr">
        <is>
          <t xml:space="preserve">$5,000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12841.98</v>
      </c>
      <c r="AC229" s="37">
        <v>0</v>
      </c>
      <c r="AD229" s="38">
        <f>IF(ISNUMBER($AB229),$AB229*(1+N($AC229)),"")</f>
      </c>
      <c r="AE229" s="35">
        <v>350</v>
      </c>
      <c r="AF229" s="35">
        <v>250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CANON-202607-007964</t>
        </is>
      </c>
      <c r="B230" s="46" t="inlineStr">
        <is>
          <t xml:space="preserve">Lorenzo Merriweather</t>
        </is>
      </c>
      <c r="C230" s="47">
        <v>46217</v>
      </c>
      <c r="D230" s="48" t="inlineStr">
        <is>
          <t xml:space="preserve">Bound - within authority</t>
        </is>
      </c>
      <c r="E230" s="48" t="inlineStr">
        <is>
          <t xml:space="preserve">New business</t>
        </is>
      </c>
      <c r="F230" s="46" t="inlineStr">
        <is>
          <t xml:space="preserve">B1234EXOTIC26</t>
        </is>
      </c>
      <c r="G230" s="33">
        <f>IF($A230="","",IF($C230="","",YEAR($C230)))</f>
      </c>
      <c r="H230" s="49">
        <v>1992</v>
      </c>
      <c r="I230" s="46" t="inlineStr">
        <is>
          <t xml:space="preserve">Ferrari</t>
        </is>
      </c>
      <c r="J230" s="46" t="inlineStr">
        <is>
          <t xml:space="preserve">SF90 Stradale</t>
        </is>
      </c>
      <c r="K230" s="46" t="inlineStr">
        <is>
          <t xml:space="preserve">NX4HBBTGTYY6RT4D3</t>
        </is>
      </c>
      <c r="L230" s="48" t="inlineStr">
        <is>
          <t xml:space="preserve">03 - Supercar</t>
        </is>
      </c>
      <c r="M230" s="50">
        <v>1120000</v>
      </c>
      <c r="N230" s="48" t="inlineStr">
        <is>
          <t xml:space="preserve">Personal</t>
        </is>
      </c>
      <c r="O230" s="46" t="inlineStr">
        <is>
          <t xml:space="preserve">Personal - regular use</t>
        </is>
      </c>
      <c r="P230" s="46" t="inlineStr">
        <is>
          <t xml:space="preserve">1,000 - 2,500</t>
        </is>
      </c>
      <c r="Q230" s="46" t="inlineStr">
        <is>
          <t xml:space="preserve">Kansas</t>
        </is>
      </c>
      <c r="R230" s="46" t="inlineStr">
        <is>
          <t xml:space="preserve">66603</t>
        </is>
      </c>
      <c r="S230" s="48" t="inlineStr">
        <is>
          <t xml:space="preserve">Severe convective - hail alley (high)</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12479.25</v>
      </c>
      <c r="AC230" s="51">
        <v>0</v>
      </c>
      <c r="AD230" s="38">
        <f>IF(ISNUMBER($AB230),$AB230*(1+N($AC230)),"")</f>
      </c>
      <c r="AE230" s="50">
        <v>350</v>
      </c>
      <c r="AF230" s="50">
        <v>250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CANON-202607-007965</t>
        </is>
      </c>
      <c r="B231" s="30" t="inlineStr">
        <is>
          <t xml:space="preserve">Cassius Bellandi</t>
        </is>
      </c>
      <c r="C231" s="31">
        <v>46215</v>
      </c>
      <c r="D231" s="32" t="inlineStr">
        <is>
          <t xml:space="preserve">Bound - within authority</t>
        </is>
      </c>
      <c r="E231" s="32" t="inlineStr">
        <is>
          <t xml:space="preserve">New business</t>
        </is>
      </c>
      <c r="F231" s="30" t="inlineStr">
        <is>
          <t xml:space="preserve">B1234EXOTIC26</t>
        </is>
      </c>
      <c r="G231" s="33">
        <f>IF($A231="","",IF($C231="","",YEAR($C231)))</f>
      </c>
      <c r="H231" s="34">
        <v>2018</v>
      </c>
      <c r="I231" s="30" t="inlineStr">
        <is>
          <t xml:space="preserve">Lamborghini</t>
        </is>
      </c>
      <c r="J231" s="30" t="inlineStr">
        <is>
          <t xml:space="preserve">Huracan EVO</t>
        </is>
      </c>
      <c r="K231" s="30" t="inlineStr">
        <is>
          <t xml:space="preserve">47WJHP5BLGCFDAED6</t>
        </is>
      </c>
      <c r="L231" s="32" t="inlineStr">
        <is>
          <t xml:space="preserve">03 - Supercar</t>
        </is>
      </c>
      <c r="M231" s="35">
        <v>640000</v>
      </c>
      <c r="N231" s="32" t="inlineStr">
        <is>
          <t xml:space="preserve">Personal</t>
        </is>
      </c>
      <c r="O231" s="30" t="inlineStr">
        <is>
          <t xml:space="preserve">Personal - regular use</t>
        </is>
      </c>
      <c r="P231" s="30" t="inlineStr">
        <is>
          <t xml:space="preserve">2,500 - 5,000</t>
        </is>
      </c>
      <c r="Q231" s="30" t="inlineStr">
        <is>
          <t xml:space="preserve">Utah</t>
        </is>
      </c>
      <c r="R231" s="30" t="inlineStr">
        <is>
          <t xml:space="preserve">84101</t>
        </is>
      </c>
      <c r="S231" s="32" t="inlineStr">
        <is>
          <t xml:space="preserve">Wildfire - WUI high hazard</t>
        </is>
      </c>
      <c r="T231" s="36">
        <f>IF($A231="","",IF($S231="","",IFERROR(INDEX('[1]natural catastrophe'!$D$6:$D$17,MATCH($S231,'[1]natural catastrophe'!$B$6:$B$17,0)),"?")))</f>
      </c>
      <c r="U231" s="30" t="inlineStr">
        <is>
          <t xml:space="preserve">$5,000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11785.45</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CANON-202607-007967</t>
        </is>
      </c>
      <c r="B232" s="46" t="inlineStr">
        <is>
          <t xml:space="preserve">Thaddeus Pennington</t>
        </is>
      </c>
      <c r="C232" s="47">
        <v>46218</v>
      </c>
      <c r="D232" s="48" t="inlineStr">
        <is>
          <t xml:space="preserve">Bound - within authority</t>
        </is>
      </c>
      <c r="E232" s="48" t="inlineStr">
        <is>
          <t xml:space="preserve">New business</t>
        </is>
      </c>
      <c r="F232" s="46" t="inlineStr">
        <is>
          <t xml:space="preserve">B1234EXOTIC26</t>
        </is>
      </c>
      <c r="G232" s="33">
        <f>IF($A232="","",IF($C232="","",YEAR($C232)))</f>
      </c>
      <c r="H232" s="49">
        <v>1956</v>
      </c>
      <c r="I232" s="46" t="inlineStr">
        <is>
          <t xml:space="preserve">Aston Martin</t>
        </is>
      </c>
      <c r="J232" s="46" t="inlineStr">
        <is>
          <t xml:space="preserve">DB12</t>
        </is>
      </c>
      <c r="K232" s="46" t="inlineStr">
        <is>
          <t xml:space="preserve">T4GGY3WCY7U3EPKZP</t>
        </is>
      </c>
      <c r="L232" s="48" t="inlineStr">
        <is>
          <t xml:space="preserve">02 - Sports / GT</t>
        </is>
      </c>
      <c r="M232" s="50">
        <v>270000</v>
      </c>
      <c r="N232" s="48" t="inlineStr">
        <is>
          <t xml:space="preserve">Personal</t>
        </is>
      </c>
      <c r="O232" s="46" t="inlineStr">
        <is>
          <t xml:space="preserve">Personal - regular use</t>
        </is>
      </c>
      <c r="P232" s="46" t="inlineStr">
        <is>
          <t xml:space="preserve">Under 1,000</t>
        </is>
      </c>
      <c r="Q232" s="46" t="inlineStr">
        <is>
          <t xml:space="preserve">North Dakota</t>
        </is>
      </c>
      <c r="R232" s="46" t="inlineStr">
        <is>
          <t xml:space="preserve">58501</t>
        </is>
      </c>
      <c r="S232" s="48" t="inlineStr">
        <is>
          <t xml:space="preserve">Severe convective - hail alley (high)</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2965.75</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CANON-202607-007968</t>
        </is>
      </c>
      <c r="B233" s="30" t="inlineStr">
        <is>
          <t xml:space="preserve">Thaddeus Farkas</t>
        </is>
      </c>
      <c r="C233" s="31">
        <v>46219</v>
      </c>
      <c r="D233" s="32" t="inlineStr">
        <is>
          <t xml:space="preserve">Bound - within authority</t>
        </is>
      </c>
      <c r="E233" s="32" t="inlineStr">
        <is>
          <t xml:space="preserve">New business</t>
        </is>
      </c>
      <c r="F233" s="30" t="inlineStr">
        <is>
          <t xml:space="preserve">B1234EXOTIC26</t>
        </is>
      </c>
      <c r="G233" s="33">
        <f>IF($A233="","",IF($C233="","",YEAR($C233)))</f>
      </c>
      <c r="H233" s="34">
        <v>1992</v>
      </c>
      <c r="I233" s="30" t="inlineStr">
        <is>
          <t xml:space="preserve">BMW</t>
        </is>
      </c>
      <c r="J233" s="30" t="inlineStr">
        <is>
          <t xml:space="preserve">M8 Competition</t>
        </is>
      </c>
      <c r="K233" s="30" t="inlineStr">
        <is>
          <t xml:space="preserve">H1C6WRCWJ6UFHTSBL</t>
        </is>
      </c>
      <c r="L233" s="32" t="inlineStr">
        <is>
          <t xml:space="preserve">02 - Sports / GT</t>
        </is>
      </c>
      <c r="M233" s="35">
        <v>445000</v>
      </c>
      <c r="N233" s="32" t="inlineStr">
        <is>
          <t xml:space="preserve">Personal</t>
        </is>
      </c>
      <c r="O233" s="30" t="inlineStr">
        <is>
          <t xml:space="preserve">Personal - regular use</t>
        </is>
      </c>
      <c r="P233" s="30" t="inlineStr">
        <is>
          <t xml:space="preserve">2,500 - 5,000</t>
        </is>
      </c>
      <c r="Q233" s="30" t="inlineStr">
        <is>
          <t xml:space="preserve">Florida</t>
        </is>
      </c>
      <c r="R233" s="30" t="inlineStr">
        <is>
          <t xml:space="preserve">33139</t>
        </is>
      </c>
      <c r="S233" s="32" t="inlineStr">
        <is>
          <t xml:space="preserve">Tier 2 - Coastal wind (1-25 miles)</t>
        </is>
      </c>
      <c r="T233" s="36">
        <f>IF($A233="","",IF($S233="","",IFERROR(INDEX('[1]natural catastrophe'!$D$6:$D$17,MATCH($S233,'[1]natural catastrophe'!$B$6:$B$17,0)),"?")))</f>
      </c>
      <c r="U233" s="30" t="inlineStr">
        <is>
          <t xml:space="preserve">2% of agreed value, minimum $10,000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6804.85</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CANON-202607-007971</t>
        </is>
      </c>
      <c r="B234" s="46" t="inlineStr">
        <is>
          <t xml:space="preserve">Cassius Bellandi</t>
        </is>
      </c>
      <c r="C234" s="47">
        <v>46227</v>
      </c>
      <c r="D234" s="48" t="inlineStr">
        <is>
          <t xml:space="preserve">Bound - within authority</t>
        </is>
      </c>
      <c r="E234" s="48" t="inlineStr">
        <is>
          <t xml:space="preserve">New business</t>
        </is>
      </c>
      <c r="F234" s="46" t="inlineStr">
        <is>
          <t xml:space="preserve">B1234EXOTIC26</t>
        </is>
      </c>
      <c r="G234" s="33">
        <f>IF($A234="","",IF($C234="","",YEAR($C234)))</f>
      </c>
      <c r="H234" s="49">
        <v>2022</v>
      </c>
      <c r="I234" s="46" t="inlineStr">
        <is>
          <t xml:space="preserve">Bugatti</t>
        </is>
      </c>
      <c r="J234" s="46" t="inlineStr">
        <is>
          <t xml:space="preserve">Type 57</t>
        </is>
      </c>
      <c r="K234" s="46" t="inlineStr">
        <is>
          <t xml:space="preserve">F486PGF64W628DHEJ</t>
        </is>
      </c>
      <c r="L234" s="48" t="inlineStr">
        <is>
          <t xml:space="preserve">02 - Sports / GT</t>
        </is>
      </c>
      <c r="M234" s="50">
        <v>140000</v>
      </c>
      <c r="N234" s="48" t="inlineStr">
        <is>
          <t xml:space="preserve">Personal</t>
        </is>
      </c>
      <c r="O234" s="46" t="inlineStr">
        <is>
          <t xml:space="preserve">Personal - regular use</t>
        </is>
      </c>
      <c r="P234" s="46" t="inlineStr">
        <is>
          <t xml:space="preserve">Under 1,000</t>
        </is>
      </c>
      <c r="Q234" s="46" t="inlineStr">
        <is>
          <t xml:space="preserve">Pennsylvania</t>
        </is>
      </c>
      <c r="R234" s="46" t="inlineStr">
        <is>
          <t xml:space="preserve">19103</t>
        </is>
      </c>
      <c r="S234" s="48" t="inlineStr">
        <is>
          <t xml:space="preserve">Low hazard - inland benign</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1005.09</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CANON-202607-007972</t>
        </is>
      </c>
      <c r="B235" s="30" t="inlineStr">
        <is>
          <t xml:space="preserve">Ramona Chattopadhyay</t>
        </is>
      </c>
      <c r="C235" s="31">
        <v>46222</v>
      </c>
      <c r="D235" s="32" t="inlineStr">
        <is>
          <t xml:space="preserve">Bound - within authority</t>
        </is>
      </c>
      <c r="E235" s="32" t="inlineStr">
        <is>
          <t xml:space="preserve">New business</t>
        </is>
      </c>
      <c r="F235" s="30" t="inlineStr">
        <is>
          <t xml:space="preserve">B1234EXOTIC26</t>
        </is>
      </c>
      <c r="G235" s="33">
        <f>IF($A235="","",IF($C235="","",YEAR($C235)))</f>
      </c>
      <c r="H235" s="34">
        <v>2004</v>
      </c>
      <c r="I235" s="30" t="inlineStr">
        <is>
          <t xml:space="preserve">Alfa Romeo</t>
        </is>
      </c>
      <c r="J235" s="30" t="inlineStr">
        <is>
          <t xml:space="preserve">8C 2900</t>
        </is>
      </c>
      <c r="K235" s="30" t="inlineStr">
        <is>
          <t xml:space="preserve">VA725E7B6AGAKEWXP</t>
        </is>
      </c>
      <c r="L235" s="32" t="inlineStr">
        <is>
          <t xml:space="preserve">09 - Youngtimer / Collectible (2000-2010)</t>
        </is>
      </c>
      <c r="M235" s="35">
        <v>655000</v>
      </c>
      <c r="N235" s="32" t="inlineStr">
        <is>
          <t xml:space="preserve">Personal</t>
        </is>
      </c>
      <c r="O235" s="30" t="inlineStr">
        <is>
          <t xml:space="preserve">Personal - regular use</t>
        </is>
      </c>
      <c r="P235" s="30" t="inlineStr">
        <is>
          <t xml:space="preserve">Under 1,000</t>
        </is>
      </c>
      <c r="Q235" s="30" t="inlineStr">
        <is>
          <t xml:space="preserve">Washington</t>
        </is>
      </c>
      <c r="R235" s="30" t="inlineStr">
        <is>
          <t xml:space="preserve">98101</t>
        </is>
      </c>
      <c r="S235" s="32" t="inlineStr">
        <is>
          <t xml:space="preserve">Earthquake - high (CA, Cascadia, New Madrid)</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3430.88</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CANON-202607-007974</t>
        </is>
      </c>
      <c r="B236" s="46" t="inlineStr">
        <is>
          <t xml:space="preserve">Wilhelmina Thistlewood</t>
        </is>
      </c>
      <c r="C236" s="47">
        <v>46227</v>
      </c>
      <c r="D236" s="48" t="inlineStr">
        <is>
          <t xml:space="preserve">Bound - within authority</t>
        </is>
      </c>
      <c r="E236" s="48" t="inlineStr">
        <is>
          <t xml:space="preserve">New business</t>
        </is>
      </c>
      <c r="F236" s="46" t="inlineStr">
        <is>
          <t xml:space="preserve">B1234EXOTIC26</t>
        </is>
      </c>
      <c r="G236" s="33">
        <f>IF($A236="","",IF($C236="","",YEAR($C236)))</f>
      </c>
      <c r="H236" s="49">
        <v>1987</v>
      </c>
      <c r="I236" s="46" t="inlineStr">
        <is>
          <t xml:space="preserve">Bentley</t>
        </is>
      </c>
      <c r="J236" s="46" t="inlineStr">
        <is>
          <t xml:space="preserve">Continental GT</t>
        </is>
      </c>
      <c r="K236" s="46" t="inlineStr">
        <is>
          <t xml:space="preserve">W326KMGWLMFHVBU2R</t>
        </is>
      </c>
      <c r="L236" s="48" t="inlineStr">
        <is>
          <t xml:space="preserve">02 - Sports / GT</t>
        </is>
      </c>
      <c r="M236" s="50">
        <v>175000</v>
      </c>
      <c r="N236" s="48" t="inlineStr">
        <is>
          <t xml:space="preserve">Personal</t>
        </is>
      </c>
      <c r="O236" s="46" t="inlineStr">
        <is>
          <t xml:space="preserve">Personal - regular use</t>
        </is>
      </c>
      <c r="P236" s="46" t="inlineStr">
        <is>
          <t xml:space="preserve">2,500 - 5,000</t>
        </is>
      </c>
      <c r="Q236" s="46" t="inlineStr">
        <is>
          <t xml:space="preserve">New Mexico</t>
        </is>
      </c>
      <c r="R236" s="46" t="inlineStr">
        <is>
          <t xml:space="preserve">87501</t>
        </is>
      </c>
      <c r="S236" s="48" t="inlineStr">
        <is>
          <t xml:space="preserve">Wildfire - WUI high hazard</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2959</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CANON-202607-007975</t>
        </is>
      </c>
      <c r="B237" s="30" t="inlineStr">
        <is>
          <t xml:space="preserve">Fenwick Kingsford</t>
        </is>
      </c>
      <c r="C237" s="31">
        <v>46224</v>
      </c>
      <c r="D237" s="32" t="inlineStr">
        <is>
          <t xml:space="preserve">Bound - within authority</t>
        </is>
      </c>
      <c r="E237" s="32" t="inlineStr">
        <is>
          <t xml:space="preserve">New business</t>
        </is>
      </c>
      <c r="F237" s="30" t="inlineStr">
        <is>
          <t xml:space="preserve">B1234EXOTIC26</t>
        </is>
      </c>
      <c r="G237" s="33">
        <f>IF($A237="","",IF($C237="","",YEAR($C237)))</f>
      </c>
      <c r="H237" s="34">
        <v>1970</v>
      </c>
      <c r="I237" s="30" t="inlineStr">
        <is>
          <t xml:space="preserve">Mercedes-Benz</t>
        </is>
      </c>
      <c r="J237" s="30" t="inlineStr">
        <is>
          <t xml:space="preserve">AMG GT</t>
        </is>
      </c>
      <c r="K237" s="30" t="inlineStr">
        <is>
          <t xml:space="preserve">4MKMUX6HP48WSXZYN</t>
        </is>
      </c>
      <c r="L237" s="32" t="inlineStr">
        <is>
          <t xml:space="preserve">02 - Sports / GT</t>
        </is>
      </c>
      <c r="M237" s="35">
        <v>655000</v>
      </c>
      <c r="N237" s="32" t="inlineStr">
        <is>
          <t xml:space="preserve">Personal</t>
        </is>
      </c>
      <c r="O237" s="30" t="inlineStr">
        <is>
          <t xml:space="preserve">Personal - regular use</t>
        </is>
      </c>
      <c r="P237" s="30" t="inlineStr">
        <is>
          <t xml:space="preserve">1,000 - 2,500</t>
        </is>
      </c>
      <c r="Q237" s="30" t="inlineStr">
        <is>
          <t xml:space="preserve">Pennsylvania</t>
        </is>
      </c>
      <c r="R237" s="30" t="inlineStr">
        <is>
          <t xml:space="preserve">19103</t>
        </is>
      </c>
      <c r="S237" s="32" t="inlineStr">
        <is>
          <t xml:space="preserve">Low hazard - inland benign</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6113.13</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CANON-202607-007976</t>
        </is>
      </c>
      <c r="B238" s="46" t="inlineStr">
        <is>
          <t xml:space="preserve">Saoirse Larsson</t>
        </is>
      </c>
      <c r="C238" s="47">
        <v>46213</v>
      </c>
      <c r="D238" s="48" t="inlineStr">
        <is>
          <t xml:space="preserve">Bound - within authority</t>
        </is>
      </c>
      <c r="E238" s="48" t="inlineStr">
        <is>
          <t xml:space="preserve">New business</t>
        </is>
      </c>
      <c r="F238" s="46" t="inlineStr">
        <is>
          <t xml:space="preserve">B1234EXOTIC26</t>
        </is>
      </c>
      <c r="G238" s="33">
        <f>IF($A238="","",IF($C238="","",YEAR($C238)))</f>
      </c>
      <c r="H238" s="49">
        <v>1985</v>
      </c>
      <c r="I238" s="46" t="inlineStr">
        <is>
          <t xml:space="preserve">BMW</t>
        </is>
      </c>
      <c r="J238" s="46" t="inlineStr">
        <is>
          <t xml:space="preserve">M8 Competition</t>
        </is>
      </c>
      <c r="K238" s="46" t="inlineStr">
        <is>
          <t xml:space="preserve">VUU89W70V9J5FYSKU</t>
        </is>
      </c>
      <c r="L238" s="48" t="inlineStr">
        <is>
          <t xml:space="preserve">02 - Sports / GT</t>
        </is>
      </c>
      <c r="M238" s="50">
        <v>350000</v>
      </c>
      <c r="N238" s="48" t="inlineStr">
        <is>
          <t xml:space="preserve">Personal</t>
        </is>
      </c>
      <c r="O238" s="46" t="inlineStr">
        <is>
          <t xml:space="preserve">Personal - regular use</t>
        </is>
      </c>
      <c r="P238" s="46" t="inlineStr">
        <is>
          <t xml:space="preserve">2,500 - 5,000</t>
        </is>
      </c>
      <c r="Q238" s="46" t="inlineStr">
        <is>
          <t xml:space="preserve">Florida</t>
        </is>
      </c>
      <c r="R238" s="46" t="inlineStr">
        <is>
          <t xml:space="preserve">33139</t>
        </is>
      </c>
      <c r="S238" s="48" t="inlineStr">
        <is>
          <t xml:space="preserve">Tier 2 - Coastal wind (1-25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5352.13</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CANON-202607-007977</t>
        </is>
      </c>
      <c r="B239" s="30" t="inlineStr">
        <is>
          <t xml:space="preserve">Horace Okonkwo</t>
        </is>
      </c>
      <c r="C239" s="31">
        <v>46204</v>
      </c>
      <c r="D239" s="32" t="inlineStr">
        <is>
          <t xml:space="preserve">Bound - within authority</t>
        </is>
      </c>
      <c r="E239" s="32" t="inlineStr">
        <is>
          <t xml:space="preserve">New business</t>
        </is>
      </c>
      <c r="F239" s="30" t="inlineStr">
        <is>
          <t xml:space="preserve">B1234EXOTIC26</t>
        </is>
      </c>
      <c r="G239" s="33">
        <f>IF($A239="","",IF($C239="","",YEAR($C239)))</f>
      </c>
      <c r="H239" s="34">
        <v>2016</v>
      </c>
      <c r="I239" s="30" t="inlineStr">
        <is>
          <t xml:space="preserve">Mercedes-Benz</t>
        </is>
      </c>
      <c r="J239" s="30" t="inlineStr">
        <is>
          <t xml:space="preserve">AMG GT</t>
        </is>
      </c>
      <c r="K239" s="30" t="inlineStr">
        <is>
          <t xml:space="preserve">KA141FTAH45PB01AX</t>
        </is>
      </c>
      <c r="L239" s="32" t="inlineStr">
        <is>
          <t xml:space="preserve">02 - Sports / GT</t>
        </is>
      </c>
      <c r="M239" s="35">
        <v>735000</v>
      </c>
      <c r="N239" s="32" t="inlineStr">
        <is>
          <t xml:space="preserve">Personal</t>
        </is>
      </c>
      <c r="O239" s="30" t="inlineStr">
        <is>
          <t xml:space="preserve">Personal - regular use</t>
        </is>
      </c>
      <c r="P239" s="30" t="inlineStr">
        <is>
          <t xml:space="preserve">1,000 - 2,500</t>
        </is>
      </c>
      <c r="Q239" s="30" t="inlineStr">
        <is>
          <t xml:space="preserve">Washington</t>
        </is>
      </c>
      <c r="R239" s="30" t="inlineStr">
        <is>
          <t xml:space="preserve">98101</t>
        </is>
      </c>
      <c r="S239" s="32" t="inlineStr">
        <is>
          <t xml:space="preserve">Earthquake - high (CA, Cascadia, New Madrid)</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6585.37</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CANON-202607-007979</t>
        </is>
      </c>
      <c r="B240" s="46" t="inlineStr">
        <is>
          <t xml:space="preserve">Cassius Underwood</t>
        </is>
      </c>
      <c r="C240" s="47">
        <v>46219</v>
      </c>
      <c r="D240" s="48" t="inlineStr">
        <is>
          <t xml:space="preserve">Bound - within authority</t>
        </is>
      </c>
      <c r="E240" s="48" t="inlineStr">
        <is>
          <t xml:space="preserve">New business</t>
        </is>
      </c>
      <c r="F240" s="46" t="inlineStr">
        <is>
          <t xml:space="preserve">B1234EXOTIC26</t>
        </is>
      </c>
      <c r="G240" s="33">
        <f>IF($A240="","",IF($C240="","",YEAR($C240)))</f>
      </c>
      <c r="H240" s="49">
        <v>1972</v>
      </c>
      <c r="I240" s="46" t="inlineStr">
        <is>
          <t xml:space="preserve">Jaguar</t>
        </is>
      </c>
      <c r="J240" s="46" t="inlineStr">
        <is>
          <t xml:space="preserve">E-Type Series 1</t>
        </is>
      </c>
      <c r="K240" s="46" t="inlineStr">
        <is>
          <t xml:space="preserve">Z1KHX771CUH17EYN6</t>
        </is>
      </c>
      <c r="L240" s="48" t="inlineStr">
        <is>
          <t xml:space="preserve">07 - Post-War Classic (1946-1972)</t>
        </is>
      </c>
      <c r="M240" s="50">
        <v>585000</v>
      </c>
      <c r="N240" s="48" t="inlineStr">
        <is>
          <t xml:space="preserve">Personal</t>
        </is>
      </c>
      <c r="O240" s="46" t="inlineStr">
        <is>
          <t xml:space="preserve">Personal - regular use</t>
        </is>
      </c>
      <c r="P240" s="46" t="inlineStr">
        <is>
          <t xml:space="preserve">2,500 - 5,000</t>
        </is>
      </c>
      <c r="Q240" s="46" t="inlineStr">
        <is>
          <t xml:space="preserve">Vermont</t>
        </is>
      </c>
      <c r="R240" s="46" t="inlineStr">
        <is>
          <t xml:space="preserve">05601</t>
        </is>
      </c>
      <c r="S240" s="48" t="inlineStr">
        <is>
          <t xml:space="preserve">Low hazard - inland benign</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4406.49</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CANON-202607-007980</t>
        </is>
      </c>
      <c r="B241" s="30" t="inlineStr">
        <is>
          <t xml:space="preserve">Desmond Ashcombe</t>
        </is>
      </c>
      <c r="C241" s="31">
        <v>46221</v>
      </c>
      <c r="D241" s="32" t="inlineStr">
        <is>
          <t xml:space="preserve">Bound - within authority</t>
        </is>
      </c>
      <c r="E241" s="32" t="inlineStr">
        <is>
          <t xml:space="preserve">New business</t>
        </is>
      </c>
      <c r="F241" s="30" t="inlineStr">
        <is>
          <t xml:space="preserve">B1234EXOTIC26</t>
        </is>
      </c>
      <c r="G241" s="33">
        <f>IF($A241="","",IF($C241="","",YEAR($C241)))</f>
      </c>
      <c r="H241" s="34">
        <v>2006</v>
      </c>
      <c r="I241" s="30" t="inlineStr">
        <is>
          <t xml:space="preserve">Porsche</t>
        </is>
      </c>
      <c r="J241" s="30" t="inlineStr">
        <is>
          <t xml:space="preserve">911 Turbo S</t>
        </is>
      </c>
      <c r="K241" s="30" t="inlineStr">
        <is>
          <t xml:space="preserve">2XTELTM3J0JM77R4D</t>
        </is>
      </c>
      <c r="L241" s="32" t="inlineStr">
        <is>
          <t xml:space="preserve">02 - Sports / GT</t>
        </is>
      </c>
      <c r="M241" s="35">
        <v>330000</v>
      </c>
      <c r="N241" s="32" t="inlineStr">
        <is>
          <t xml:space="preserve">Personal</t>
        </is>
      </c>
      <c r="O241" s="30" t="inlineStr">
        <is>
          <t xml:space="preserve">Personal - regular use</t>
        </is>
      </c>
      <c r="P241" s="30" t="inlineStr">
        <is>
          <t xml:space="preserve">2,500 - 5,000</t>
        </is>
      </c>
      <c r="Q241" s="30" t="inlineStr">
        <is>
          <t xml:space="preserve">Rhode Island</t>
        </is>
      </c>
      <c r="R241" s="30" t="inlineStr">
        <is>
          <t xml:space="preserve">02903</t>
        </is>
      </c>
      <c r="S241" s="32" t="inlineStr">
        <is>
          <t xml:space="preserve">Tier 3 - Coastal wind (25-100 miles)</t>
        </is>
      </c>
      <c r="T241" s="36">
        <f>IF($A241="","",IF($S241="","",IFERROR(INDEX('[1]natural catastrophe'!$D$6:$D$17,MATCH($S241,'[1]natural catastrophe'!$B$6:$B$17,0)),"?")))</f>
      </c>
      <c r="U241" s="30" t="inlineStr">
        <is>
          <t xml:space="preserve">2% of agreed value, minimum $10,000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4868.6</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CANON-202607-007981</t>
        </is>
      </c>
      <c r="B242" s="46" t="inlineStr">
        <is>
          <t xml:space="preserve">Leopold Delacroix</t>
        </is>
      </c>
      <c r="C242" s="47">
        <v>46208</v>
      </c>
      <c r="D242" s="48" t="inlineStr">
        <is>
          <t xml:space="preserve">Bound - within authority</t>
        </is>
      </c>
      <c r="E242" s="48" t="inlineStr">
        <is>
          <t xml:space="preserve">New business</t>
        </is>
      </c>
      <c r="F242" s="46" t="inlineStr">
        <is>
          <t xml:space="preserve">B1234EXOTIC26</t>
        </is>
      </c>
      <c r="G242" s="33">
        <f>IF($A242="","",IF($C242="","",YEAR($C242)))</f>
      </c>
      <c r="H242" s="49">
        <v>2020</v>
      </c>
      <c r="I242" s="46" t="inlineStr">
        <is>
          <t xml:space="preserve">BMW</t>
        </is>
      </c>
      <c r="J242" s="46" t="inlineStr">
        <is>
          <t xml:space="preserve">M8 Competition</t>
        </is>
      </c>
      <c r="K242" s="46" t="inlineStr">
        <is>
          <t xml:space="preserve">VU1ZB5SGDZR76CNZX</t>
        </is>
      </c>
      <c r="L242" s="48" t="inlineStr">
        <is>
          <t xml:space="preserve">02 - Sports / GT</t>
        </is>
      </c>
      <c r="M242" s="50">
        <v>1770000</v>
      </c>
      <c r="N242" s="48" t="inlineStr">
        <is>
          <t xml:space="preserve">Personal</t>
        </is>
      </c>
      <c r="O242" s="46" t="inlineStr">
        <is>
          <t xml:space="preserve">Personal - regular use</t>
        </is>
      </c>
      <c r="P242" s="46" t="inlineStr">
        <is>
          <t xml:space="preserve">Under 1,000</t>
        </is>
      </c>
      <c r="Q242" s="46" t="inlineStr">
        <is>
          <t xml:space="preserve">Illinois</t>
        </is>
      </c>
      <c r="R242" s="46" t="inlineStr">
        <is>
          <t xml:space="preserve">60601</t>
        </is>
      </c>
      <c r="S242" s="48" t="inlineStr">
        <is>
          <t xml:space="preserve">Severe convective - hail / tornado (moderate)</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19010.07</v>
      </c>
      <c r="AC242" s="51">
        <v>0</v>
      </c>
      <c r="AD242" s="38">
        <f>IF(ISNUMBER($AB242),$AB242*(1+N($AC242)),"")</f>
      </c>
      <c r="AE242" s="50">
        <v>350</v>
      </c>
      <c r="AF242" s="50">
        <v>250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CANON-202607-007982</t>
        </is>
      </c>
      <c r="B243" s="30" t="inlineStr">
        <is>
          <t xml:space="preserve">Anouk Blackwood</t>
        </is>
      </c>
      <c r="C243" s="31">
        <v>46231</v>
      </c>
      <c r="D243" s="32" t="inlineStr">
        <is>
          <t xml:space="preserve">Bound - within authority</t>
        </is>
      </c>
      <c r="E243" s="32" t="inlineStr">
        <is>
          <t xml:space="preserve">New business</t>
        </is>
      </c>
      <c r="F243" s="30" t="inlineStr">
        <is>
          <t xml:space="preserve">B1234EXOTIC26</t>
        </is>
      </c>
      <c r="G243" s="33">
        <f>IF($A243="","",IF($C243="","",YEAR($C243)))</f>
      </c>
      <c r="H243" s="34">
        <v>1971</v>
      </c>
      <c r="I243" s="30" t="inlineStr">
        <is>
          <t xml:space="preserve">Mercedes-Benz</t>
        </is>
      </c>
      <c r="J243" s="30" t="inlineStr">
        <is>
          <t xml:space="preserve">280SL Pagoda</t>
        </is>
      </c>
      <c r="K243" s="30" t="inlineStr">
        <is>
          <t xml:space="preserve">YPM24X1BTD06G2W47</t>
        </is>
      </c>
      <c r="L243" s="32" t="inlineStr">
        <is>
          <t xml:space="preserve">07 - Post-War Classic (1946-1972)</t>
        </is>
      </c>
      <c r="M243" s="35">
        <v>1950000</v>
      </c>
      <c r="N243" s="32" t="inlineStr">
        <is>
          <t xml:space="preserve">Personal</t>
        </is>
      </c>
      <c r="O243" s="30" t="inlineStr">
        <is>
          <t xml:space="preserve">Personal - regular use</t>
        </is>
      </c>
      <c r="P243" s="30" t="inlineStr">
        <is>
          <t xml:space="preserve">2,500 - 5,000</t>
        </is>
      </c>
      <c r="Q243" s="30" t="inlineStr">
        <is>
          <t xml:space="preserve">Vermont</t>
        </is>
      </c>
      <c r="R243" s="30" t="inlineStr">
        <is>
          <t xml:space="preserve">05601</t>
        </is>
      </c>
      <c r="S243" s="32" t="inlineStr">
        <is>
          <t xml:space="preserve">Low hazard - inland benign</t>
        </is>
      </c>
      <c r="T243" s="36">
        <f>IF($A243="","",IF($S243="","",IFERROR(INDEX('[1]natural catastrophe'!$D$6:$D$17,MATCH($S243,'[1]natural catastrophe'!$B$6:$B$17,0)),"?")))</f>
      </c>
      <c r="U243" s="30" t="inlineStr">
        <is>
          <t xml:space="preserve">$5,000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12980.36</v>
      </c>
      <c r="AC243" s="37">
        <v>0</v>
      </c>
      <c r="AD243" s="38">
        <f>IF(ISNUMBER($AB243),$AB243*(1+N($AC243)),"")</f>
      </c>
      <c r="AE243" s="35">
        <v>350</v>
      </c>
      <c r="AF243" s="35">
        <v>250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CANON-202607-007983</t>
        </is>
      </c>
      <c r="B244" s="46" t="inlineStr">
        <is>
          <t xml:space="preserve">Callum Nakashima</t>
        </is>
      </c>
      <c r="C244" s="47">
        <v>46234</v>
      </c>
      <c r="D244" s="48" t="inlineStr">
        <is>
          <t xml:space="preserve">Bound - within authority</t>
        </is>
      </c>
      <c r="E244" s="48" t="inlineStr">
        <is>
          <t xml:space="preserve">New business</t>
        </is>
      </c>
      <c r="F244" s="46" t="inlineStr">
        <is>
          <t xml:space="preserve">B1234EXOTIC26</t>
        </is>
      </c>
      <c r="G244" s="33">
        <f>IF($A244="","",IF($C244="","",YEAR($C244)))</f>
      </c>
      <c r="H244" s="49">
        <v>1980</v>
      </c>
      <c r="I244" s="46" t="inlineStr">
        <is>
          <t xml:space="preserve">Mercedes-Benz</t>
        </is>
      </c>
      <c r="J244" s="46" t="inlineStr">
        <is>
          <t xml:space="preserve">AMG GT</t>
        </is>
      </c>
      <c r="K244" s="46" t="inlineStr">
        <is>
          <t xml:space="preserve">315LFE7E8L0MD022Z</t>
        </is>
      </c>
      <c r="L244" s="48" t="inlineStr">
        <is>
          <t xml:space="preserve">02 - Sports / GT</t>
        </is>
      </c>
      <c r="M244" s="50">
        <v>710000</v>
      </c>
      <c r="N244" s="48" t="inlineStr">
        <is>
          <t xml:space="preserve">Personal</t>
        </is>
      </c>
      <c r="O244" s="46" t="inlineStr">
        <is>
          <t xml:space="preserve">Personal - regular use</t>
        </is>
      </c>
      <c r="P244" s="46" t="inlineStr">
        <is>
          <t xml:space="preserve">1,000 - 2,500</t>
        </is>
      </c>
      <c r="Q244" s="46" t="inlineStr">
        <is>
          <t xml:space="preserve">Wisconsin</t>
        </is>
      </c>
      <c r="R244" s="46" t="inlineStr">
        <is>
          <t xml:space="preserve">53202</t>
        </is>
      </c>
      <c r="S244" s="48" t="inlineStr">
        <is>
          <t xml:space="preserve">Severe convective - hail / tornado (moderate)</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7951.73</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CANON-202607-007984</t>
        </is>
      </c>
      <c r="B245" s="30" t="inlineStr">
        <is>
          <t xml:space="preserve">Saoirse Castellanos</t>
        </is>
      </c>
      <c r="C245" s="31">
        <v>46216</v>
      </c>
      <c r="D245" s="32" t="inlineStr">
        <is>
          <t xml:space="preserve">Bound - within authority</t>
        </is>
      </c>
      <c r="E245" s="32" t="inlineStr">
        <is>
          <t xml:space="preserve">New business</t>
        </is>
      </c>
      <c r="F245" s="30" t="inlineStr">
        <is>
          <t xml:space="preserve">B1234EXOTIC26</t>
        </is>
      </c>
      <c r="G245" s="33">
        <f>IF($A245="","",IF($C245="","",YEAR($C245)))</f>
      </c>
      <c r="H245" s="34">
        <v>1964</v>
      </c>
      <c r="I245" s="30" t="inlineStr">
        <is>
          <t xml:space="preserve">McLaren</t>
        </is>
      </c>
      <c r="J245" s="30" t="inlineStr">
        <is>
          <t xml:space="preserve">750S</t>
        </is>
      </c>
      <c r="K245" s="30" t="inlineStr">
        <is>
          <t xml:space="preserve">ZHGD6CD4YTGNY2X5C</t>
        </is>
      </c>
      <c r="L245" s="32" t="inlineStr">
        <is>
          <t xml:space="preserve">03 - Supercar</t>
        </is>
      </c>
      <c r="M245" s="35">
        <v>1000000</v>
      </c>
      <c r="N245" s="32" t="inlineStr">
        <is>
          <t xml:space="preserve">Personal</t>
        </is>
      </c>
      <c r="O245" s="30" t="inlineStr">
        <is>
          <t xml:space="preserve">Personal - regular use</t>
        </is>
      </c>
      <c r="P245" s="30" t="inlineStr">
        <is>
          <t xml:space="preserve">1,000 - 2,500</t>
        </is>
      </c>
      <c r="Q245" s="30" t="inlineStr">
        <is>
          <t xml:space="preserve">Massachusetts</t>
        </is>
      </c>
      <c r="R245" s="30" t="inlineStr">
        <is>
          <t xml:space="preserve">02108</t>
        </is>
      </c>
      <c r="S245" s="32" t="inlineStr">
        <is>
          <t xml:space="preserve">Tier 3 - Coastal wind (25-100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14358.49</v>
      </c>
      <c r="AC245" s="37">
        <v>0</v>
      </c>
      <c r="AD245" s="38">
        <f>IF(ISNUMBER($AB245),$AB245*(1+N($AC245)),"")</f>
      </c>
      <c r="AE245" s="35">
        <v>350</v>
      </c>
      <c r="AF245" s="35">
        <v>250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CANON-202607-007985</t>
        </is>
      </c>
      <c r="B246" s="46" t="inlineStr">
        <is>
          <t xml:space="preserve">Marisol Merriweather</t>
        </is>
      </c>
      <c r="C246" s="47">
        <v>46227</v>
      </c>
      <c r="D246" s="48" t="inlineStr">
        <is>
          <t xml:space="preserve">Bound - within authority</t>
        </is>
      </c>
      <c r="E246" s="48" t="inlineStr">
        <is>
          <t xml:space="preserve">New business</t>
        </is>
      </c>
      <c r="F246" s="46" t="inlineStr">
        <is>
          <t xml:space="preserve">B1234EXOTIC26</t>
        </is>
      </c>
      <c r="G246" s="33">
        <f>IF($A246="","",IF($C246="","",YEAR($C246)))</f>
      </c>
      <c r="H246" s="49">
        <v>1979</v>
      </c>
      <c r="I246" s="46" t="inlineStr">
        <is>
          <t xml:space="preserve">Porsche</t>
        </is>
      </c>
      <c r="J246" s="46" t="inlineStr">
        <is>
          <t xml:space="preserve">911 Turbo S</t>
        </is>
      </c>
      <c r="K246" s="46" t="inlineStr">
        <is>
          <t xml:space="preserve">KP11J445850WD4YZ6</t>
        </is>
      </c>
      <c r="L246" s="48" t="inlineStr">
        <is>
          <t xml:space="preserve">02 - Sports / GT</t>
        </is>
      </c>
      <c r="M246" s="50">
        <v>355000</v>
      </c>
      <c r="N246" s="48" t="inlineStr">
        <is>
          <t xml:space="preserve">Personal</t>
        </is>
      </c>
      <c r="O246" s="46" t="inlineStr">
        <is>
          <t xml:space="preserve">Personal - regular use</t>
        </is>
      </c>
      <c r="P246" s="46" t="inlineStr">
        <is>
          <t xml:space="preserve">Under 1,000</t>
        </is>
      </c>
      <c r="Q246" s="46" t="inlineStr">
        <is>
          <t xml:space="preserve">Idaho</t>
        </is>
      </c>
      <c r="R246" s="46" t="inlineStr">
        <is>
          <t xml:space="preserve">83702</t>
        </is>
      </c>
      <c r="S246" s="48" t="inlineStr">
        <is>
          <t xml:space="preserve">Wildfire - WUI high hazard</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3784.72</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CANON-202607-007986</t>
        </is>
      </c>
      <c r="B247" s="30" t="inlineStr">
        <is>
          <t xml:space="preserve">Saoirse Blackwood</t>
        </is>
      </c>
      <c r="C247" s="31">
        <v>46224</v>
      </c>
      <c r="D247" s="32" t="inlineStr">
        <is>
          <t xml:space="preserve">Bound - within authority</t>
        </is>
      </c>
      <c r="E247" s="32" t="inlineStr">
        <is>
          <t xml:space="preserve">New business</t>
        </is>
      </c>
      <c r="F247" s="30" t="inlineStr">
        <is>
          <t xml:space="preserve">B1234EXOTIC26</t>
        </is>
      </c>
      <c r="G247" s="33">
        <f>IF($A247="","",IF($C247="","",YEAR($C247)))</f>
      </c>
      <c r="H247" s="34">
        <v>2010</v>
      </c>
      <c r="I247" s="30" t="inlineStr">
        <is>
          <t xml:space="preserve">Lamborghini</t>
        </is>
      </c>
      <c r="J247" s="30" t="inlineStr">
        <is>
          <t xml:space="preserve">Huracan EVO</t>
        </is>
      </c>
      <c r="K247" s="30" t="inlineStr">
        <is>
          <t xml:space="preserve">AF0G7WWYT2B0YS98T</t>
        </is>
      </c>
      <c r="L247" s="32" t="inlineStr">
        <is>
          <t xml:space="preserve">03 - Supercar</t>
        </is>
      </c>
      <c r="M247" s="35">
        <v>585000</v>
      </c>
      <c r="N247" s="32" t="inlineStr">
        <is>
          <t xml:space="preserve">Personal</t>
        </is>
      </c>
      <c r="O247" s="30" t="inlineStr">
        <is>
          <t xml:space="preserve">Personal - regular use</t>
        </is>
      </c>
      <c r="P247" s="30" t="inlineStr">
        <is>
          <t xml:space="preserve">2,500 - 5,000</t>
        </is>
      </c>
      <c r="Q247" s="30" t="inlineStr">
        <is>
          <t xml:space="preserve">Indiana</t>
        </is>
      </c>
      <c r="R247" s="30" t="inlineStr">
        <is>
          <t xml:space="preserve">46204</t>
        </is>
      </c>
      <c r="S247" s="32" t="inlineStr">
        <is>
          <t xml:space="preserve">Severe convective - hail / tornado (moderate)</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9815.07</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CANON-202607-007987</t>
        </is>
      </c>
      <c r="B248" s="46" t="inlineStr">
        <is>
          <t xml:space="preserve">Ingrid Delacroix</t>
        </is>
      </c>
      <c r="C248" s="47">
        <v>46230</v>
      </c>
      <c r="D248" s="48" t="inlineStr">
        <is>
          <t xml:space="preserve">Bound - within authority</t>
        </is>
      </c>
      <c r="E248" s="48" t="inlineStr">
        <is>
          <t xml:space="preserve">New business</t>
        </is>
      </c>
      <c r="F248" s="46" t="inlineStr">
        <is>
          <t xml:space="preserve">B1234EXOTIC26</t>
        </is>
      </c>
      <c r="G248" s="33">
        <f>IF($A248="","",IF($C248="","",YEAR($C248)))</f>
      </c>
      <c r="H248" s="49">
        <v>1958</v>
      </c>
      <c r="I248" s="46" t="inlineStr">
        <is>
          <t xml:space="preserve">Aston Martin</t>
        </is>
      </c>
      <c r="J248" s="46" t="inlineStr">
        <is>
          <t xml:space="preserve">DB12</t>
        </is>
      </c>
      <c r="K248" s="46" t="inlineStr">
        <is>
          <t xml:space="preserve">1NC0UDZ8J3CKVBE32</t>
        </is>
      </c>
      <c r="L248" s="48" t="inlineStr">
        <is>
          <t xml:space="preserve">02 - Sports / GT</t>
        </is>
      </c>
      <c r="M248" s="50">
        <v>375000</v>
      </c>
      <c r="N248" s="48" t="inlineStr">
        <is>
          <t xml:space="preserve">Personal</t>
        </is>
      </c>
      <c r="O248" s="46" t="inlineStr">
        <is>
          <t xml:space="preserve">Personal - regular use</t>
        </is>
      </c>
      <c r="P248" s="46" t="inlineStr">
        <is>
          <t xml:space="preserve">1,000 - 2,500</t>
        </is>
      </c>
      <c r="Q248" s="46" t="inlineStr">
        <is>
          <t xml:space="preserve">Ohio</t>
        </is>
      </c>
      <c r="R248" s="46" t="inlineStr">
        <is>
          <t xml:space="preserve">43215</t>
        </is>
      </c>
      <c r="S248" s="48" t="inlineStr">
        <is>
          <t xml:space="preserve">Severe convective - hail / tornado (moderate)</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5613.27</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CANON-202607-007988</t>
        </is>
      </c>
      <c r="B249" s="30" t="inlineStr">
        <is>
          <t xml:space="preserve">Horace Merriweather</t>
        </is>
      </c>
      <c r="C249" s="31">
        <v>46223</v>
      </c>
      <c r="D249" s="32" t="inlineStr">
        <is>
          <t xml:space="preserve">Bound - within authority</t>
        </is>
      </c>
      <c r="E249" s="32" t="inlineStr">
        <is>
          <t xml:space="preserve">New business</t>
        </is>
      </c>
      <c r="F249" s="30" t="inlineStr">
        <is>
          <t xml:space="preserve">B1234EXOTIC26</t>
        </is>
      </c>
      <c r="G249" s="33">
        <f>IF($A249="","",IF($C249="","",YEAR($C249)))</f>
      </c>
      <c r="H249" s="34">
        <v>1994</v>
      </c>
      <c r="I249" s="30" t="inlineStr">
        <is>
          <t xml:space="preserve">Bentley</t>
        </is>
      </c>
      <c r="J249" s="30" t="inlineStr">
        <is>
          <t xml:space="preserve">Continental GT</t>
        </is>
      </c>
      <c r="K249" s="30" t="inlineStr">
        <is>
          <t xml:space="preserve">JMEVNNFKXGY6RC137</t>
        </is>
      </c>
      <c r="L249" s="32" t="inlineStr">
        <is>
          <t xml:space="preserve">02 - Sports / GT</t>
        </is>
      </c>
      <c r="M249" s="35">
        <v>330000</v>
      </c>
      <c r="N249" s="32" t="inlineStr">
        <is>
          <t xml:space="preserve">Personal</t>
        </is>
      </c>
      <c r="O249" s="30" t="inlineStr">
        <is>
          <t xml:space="preserve">Personal - regular use</t>
        </is>
      </c>
      <c r="P249" s="30" t="inlineStr">
        <is>
          <t xml:space="preserve">2,500 - 5,000</t>
        </is>
      </c>
      <c r="Q249" s="30" t="inlineStr">
        <is>
          <t xml:space="preserve">Washington</t>
        </is>
      </c>
      <c r="R249" s="30" t="inlineStr">
        <is>
          <t xml:space="preserve">98101</t>
        </is>
      </c>
      <c r="S249" s="32" t="inlineStr">
        <is>
          <t xml:space="preserve">Earthquake - high (CA, Cascadia, New Madrid)</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3411.58</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CANON-202607-007989</t>
        </is>
      </c>
      <c r="B250" s="46" t="inlineStr">
        <is>
          <t xml:space="preserve">Fenwick Chattopadhyay</t>
        </is>
      </c>
      <c r="C250" s="47">
        <v>46227</v>
      </c>
      <c r="D250" s="48" t="inlineStr">
        <is>
          <t xml:space="preserve">Bound - within authority</t>
        </is>
      </c>
      <c r="E250" s="48" t="inlineStr">
        <is>
          <t xml:space="preserve">New business</t>
        </is>
      </c>
      <c r="F250" s="46" t="inlineStr">
        <is>
          <t xml:space="preserve">B1234EXOTIC26</t>
        </is>
      </c>
      <c r="G250" s="33">
        <f>IF($A250="","",IF($C250="","",YEAR($C250)))</f>
      </c>
      <c r="H250" s="49">
        <v>2014</v>
      </c>
      <c r="I250" s="46" t="inlineStr">
        <is>
          <t xml:space="preserve">Ferrari</t>
        </is>
      </c>
      <c r="J250" s="46" t="inlineStr">
        <is>
          <t xml:space="preserve">296 GTB</t>
        </is>
      </c>
      <c r="K250" s="46" t="inlineStr">
        <is>
          <t xml:space="preserve">WZU0VU1SLAHMD7LUZ</t>
        </is>
      </c>
      <c r="L250" s="48" t="inlineStr">
        <is>
          <t xml:space="preserve">03 - Supercar</t>
        </is>
      </c>
      <c r="M250" s="50">
        <v>950000</v>
      </c>
      <c r="N250" s="48" t="inlineStr">
        <is>
          <t xml:space="preserve">Personal</t>
        </is>
      </c>
      <c r="O250" s="46" t="inlineStr">
        <is>
          <t xml:space="preserve">Personal - regular use</t>
        </is>
      </c>
      <c r="P250" s="46" t="inlineStr">
        <is>
          <t xml:space="preserve">Under 1,000</t>
        </is>
      </c>
      <c r="Q250" s="46" t="inlineStr">
        <is>
          <t xml:space="preserve">Vermont</t>
        </is>
      </c>
      <c r="R250" s="46" t="inlineStr">
        <is>
          <t xml:space="preserve">05601</t>
        </is>
      </c>
      <c r="S250" s="48" t="inlineStr">
        <is>
          <t xml:space="preserve">Low hazard - inland benign</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15809.42</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CANON-202607-007991</t>
        </is>
      </c>
      <c r="B251" s="30" t="inlineStr">
        <is>
          <t xml:space="preserve">Fenwick Pennington</t>
        </is>
      </c>
      <c r="C251" s="31">
        <v>46219</v>
      </c>
      <c r="D251" s="32" t="inlineStr">
        <is>
          <t xml:space="preserve">Bound - within authority</t>
        </is>
      </c>
      <c r="E251" s="32" t="inlineStr">
        <is>
          <t xml:space="preserve">New business</t>
        </is>
      </c>
      <c r="F251" s="30" t="inlineStr">
        <is>
          <t xml:space="preserve">B1234EXOTIC26</t>
        </is>
      </c>
      <c r="G251" s="33">
        <f>IF($A251="","",IF($C251="","",YEAR($C251)))</f>
      </c>
      <c r="H251" s="34">
        <v>2020</v>
      </c>
      <c r="I251" s="30" t="inlineStr">
        <is>
          <t xml:space="preserve">Ferrari</t>
        </is>
      </c>
      <c r="J251" s="30" t="inlineStr">
        <is>
          <t xml:space="preserve">SF90 Stradale</t>
        </is>
      </c>
      <c r="K251" s="30" t="inlineStr">
        <is>
          <t xml:space="preserve">4WB1JH5TC985R5MG9</t>
        </is>
      </c>
      <c r="L251" s="32" t="inlineStr">
        <is>
          <t xml:space="preserve">03 - Supercar</t>
        </is>
      </c>
      <c r="M251" s="35">
        <v>1740000</v>
      </c>
      <c r="N251" s="32" t="inlineStr">
        <is>
          <t xml:space="preserve">Personal</t>
        </is>
      </c>
      <c r="O251" s="30" t="inlineStr">
        <is>
          <t xml:space="preserve">Personal - regular use</t>
        </is>
      </c>
      <c r="P251" s="30" t="inlineStr">
        <is>
          <t xml:space="preserve">1,000 - 2,500</t>
        </is>
      </c>
      <c r="Q251" s="30" t="inlineStr">
        <is>
          <t xml:space="preserve">Connecticut</t>
        </is>
      </c>
      <c r="R251" s="30" t="inlineStr">
        <is>
          <t xml:space="preserve">06103</t>
        </is>
      </c>
      <c r="S251" s="32" t="inlineStr">
        <is>
          <t xml:space="preserve">Tier 3 - Coastal wind (25-100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22385.46</v>
      </c>
      <c r="AC251" s="37">
        <v>0</v>
      </c>
      <c r="AD251" s="38">
        <f>IF(ISNUMBER($AB251),$AB251*(1+N($AC251)),"")</f>
      </c>
      <c r="AE251" s="35">
        <v>350</v>
      </c>
      <c r="AF251" s="35">
        <v>250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CANON-202607-007992</t>
        </is>
      </c>
      <c r="B252" s="46" t="inlineStr">
        <is>
          <t xml:space="preserve">Ottilie Farkas</t>
        </is>
      </c>
      <c r="C252" s="47">
        <v>46221</v>
      </c>
      <c r="D252" s="48" t="inlineStr">
        <is>
          <t xml:space="preserve">Bound - within authority</t>
        </is>
      </c>
      <c r="E252" s="48" t="inlineStr">
        <is>
          <t xml:space="preserve">New business</t>
        </is>
      </c>
      <c r="F252" s="46" t="inlineStr">
        <is>
          <t xml:space="preserve">B1234EXOTIC26</t>
        </is>
      </c>
      <c r="G252" s="33">
        <f>IF($A252="","",IF($C252="","",YEAR($C252)))</f>
      </c>
      <c r="H252" s="49">
        <v>2000</v>
      </c>
      <c r="I252" s="46" t="inlineStr">
        <is>
          <t xml:space="preserve">Mercedes-Benz</t>
        </is>
      </c>
      <c r="J252" s="46" t="inlineStr">
        <is>
          <t xml:space="preserve">AMG GT</t>
        </is>
      </c>
      <c r="K252" s="46" t="inlineStr">
        <is>
          <t xml:space="preserve">60FMM6AHEG6MEBJT6</t>
        </is>
      </c>
      <c r="L252" s="48" t="inlineStr">
        <is>
          <t xml:space="preserve">02 - Sports / GT</t>
        </is>
      </c>
      <c r="M252" s="50">
        <v>400000</v>
      </c>
      <c r="N252" s="48" t="inlineStr">
        <is>
          <t xml:space="preserve">Personal</t>
        </is>
      </c>
      <c r="O252" s="46" t="inlineStr">
        <is>
          <t xml:space="preserve">Personal - regular use</t>
        </is>
      </c>
      <c r="P252" s="46" t="inlineStr">
        <is>
          <t xml:space="preserve">1,000 - 2,500</t>
        </is>
      </c>
      <c r="Q252" s="46" t="inlineStr">
        <is>
          <t xml:space="preserve">Montana</t>
        </is>
      </c>
      <c r="R252" s="46" t="inlineStr">
        <is>
          <t xml:space="preserve">59601</t>
        </is>
      </c>
      <c r="S252" s="48" t="inlineStr">
        <is>
          <t xml:space="preserve">Wildfire - WUI high hazard</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4006.02</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CANON-202607-007993</t>
        </is>
      </c>
      <c r="B253" s="30" t="inlineStr">
        <is>
          <t xml:space="preserve">Sunniva Nakashima</t>
        </is>
      </c>
      <c r="C253" s="31">
        <v>46222</v>
      </c>
      <c r="D253" s="32" t="inlineStr">
        <is>
          <t xml:space="preserve">Bound - within authority</t>
        </is>
      </c>
      <c r="E253" s="32" t="inlineStr">
        <is>
          <t xml:space="preserve">New business</t>
        </is>
      </c>
      <c r="F253" s="30" t="inlineStr">
        <is>
          <t xml:space="preserve">B1234EXOTIC26</t>
        </is>
      </c>
      <c r="G253" s="33">
        <f>IF($A253="","",IF($C253="","",YEAR($C253)))</f>
      </c>
      <c r="H253" s="34">
        <v>1966</v>
      </c>
      <c r="I253" s="30" t="inlineStr">
        <is>
          <t xml:space="preserve">Bentley</t>
        </is>
      </c>
      <c r="J253" s="30" t="inlineStr">
        <is>
          <t xml:space="preserve">Continental GT</t>
        </is>
      </c>
      <c r="K253" s="30" t="inlineStr">
        <is>
          <t xml:space="preserve">YU6EEZXLGWCCFW7UM</t>
        </is>
      </c>
      <c r="L253" s="32" t="inlineStr">
        <is>
          <t xml:space="preserve">02 - Sports / GT</t>
        </is>
      </c>
      <c r="M253" s="35">
        <v>870000</v>
      </c>
      <c r="N253" s="32" t="inlineStr">
        <is>
          <t xml:space="preserve">Personal</t>
        </is>
      </c>
      <c r="O253" s="30" t="inlineStr">
        <is>
          <t xml:space="preserve">Personal - regular use</t>
        </is>
      </c>
      <c r="P253" s="30" t="inlineStr">
        <is>
          <t xml:space="preserve">2,500 - 5,000</t>
        </is>
      </c>
      <c r="Q253" s="30" t="inlineStr">
        <is>
          <t xml:space="preserve">Nevada</t>
        </is>
      </c>
      <c r="R253" s="30" t="inlineStr">
        <is>
          <t xml:space="preserve">89101</t>
        </is>
      </c>
      <c r="S253" s="32" t="inlineStr">
        <is>
          <t xml:space="preserve">Wildfire - WUI high hazard</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9500.08</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CANON-202607-007996</t>
        </is>
      </c>
      <c r="B254" s="46" t="inlineStr">
        <is>
          <t xml:space="preserve">Thaddeus Blackwood</t>
        </is>
      </c>
      <c r="C254" s="47">
        <v>46225</v>
      </c>
      <c r="D254" s="48" t="inlineStr">
        <is>
          <t xml:space="preserve">Bound - within authority</t>
        </is>
      </c>
      <c r="E254" s="48" t="inlineStr">
        <is>
          <t xml:space="preserve">New business</t>
        </is>
      </c>
      <c r="F254" s="46" t="inlineStr">
        <is>
          <t xml:space="preserve">B1234EXOTIC26</t>
        </is>
      </c>
      <c r="G254" s="33">
        <f>IF($A254="","",IF($C254="","",YEAR($C254)))</f>
      </c>
      <c r="H254" s="49">
        <v>1969</v>
      </c>
      <c r="I254" s="46" t="inlineStr">
        <is>
          <t xml:space="preserve">Bentley</t>
        </is>
      </c>
      <c r="J254" s="46" t="inlineStr">
        <is>
          <t xml:space="preserve">Continental GT</t>
        </is>
      </c>
      <c r="K254" s="46" t="inlineStr">
        <is>
          <t xml:space="preserve">11CJNHA0242CZ002E</t>
        </is>
      </c>
      <c r="L254" s="48" t="inlineStr">
        <is>
          <t xml:space="preserve">02 - Sports / GT</t>
        </is>
      </c>
      <c r="M254" s="50">
        <v>795000</v>
      </c>
      <c r="N254" s="48" t="inlineStr">
        <is>
          <t xml:space="preserve">Personal</t>
        </is>
      </c>
      <c r="O254" s="46" t="inlineStr">
        <is>
          <t xml:space="preserve">Personal - regular use</t>
        </is>
      </c>
      <c r="P254" s="46" t="inlineStr">
        <is>
          <t xml:space="preserve">1,000 - 2,500</t>
        </is>
      </c>
      <c r="Q254" s="46" t="inlineStr">
        <is>
          <t xml:space="preserve">Massachusetts</t>
        </is>
      </c>
      <c r="R254" s="46" t="inlineStr">
        <is>
          <t xml:space="preserve">02108</t>
        </is>
      </c>
      <c r="S254" s="48" t="inlineStr">
        <is>
          <t xml:space="preserve">Tier 3 - Coastal wind (25-100 miles)</t>
        </is>
      </c>
      <c r="T254" s="36">
        <f>IF($A254="","",IF($S254="","",IFERROR(INDEX('[1]natural catastrophe'!$D$6:$D$17,MATCH($S254,'[1]natural catastrophe'!$B$6:$B$17,0)),"?")))</f>
      </c>
      <c r="U254" s="46" t="inlineStr">
        <is>
          <t xml:space="preserve">2% of agreed value, minimum $10,000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9274.69</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CANON-202607-007997</t>
        </is>
      </c>
      <c r="B255" s="30" t="inlineStr">
        <is>
          <t xml:space="preserve">Marisol Farkas</t>
        </is>
      </c>
      <c r="C255" s="31">
        <v>46209</v>
      </c>
      <c r="D255" s="32" t="inlineStr">
        <is>
          <t xml:space="preserve">Bound - within authority</t>
        </is>
      </c>
      <c r="E255" s="32" t="inlineStr">
        <is>
          <t xml:space="preserve">New business</t>
        </is>
      </c>
      <c r="F255" s="30" t="inlineStr">
        <is>
          <t xml:space="preserve">B1234EXOTIC26</t>
        </is>
      </c>
      <c r="G255" s="33">
        <f>IF($A255="","",IF($C255="","",YEAR($C255)))</f>
      </c>
      <c r="H255" s="34">
        <v>1982</v>
      </c>
      <c r="I255" s="30" t="inlineStr">
        <is>
          <t xml:space="preserve">Mercedes-Benz</t>
        </is>
      </c>
      <c r="J255" s="30" t="inlineStr">
        <is>
          <t xml:space="preserve">AMG GT</t>
        </is>
      </c>
      <c r="K255" s="30" t="inlineStr">
        <is>
          <t xml:space="preserve">D6SHE5JK5AHMHJ7J6</t>
        </is>
      </c>
      <c r="L255" s="32" t="inlineStr">
        <is>
          <t xml:space="preserve">02 - Sports / GT</t>
        </is>
      </c>
      <c r="M255" s="35">
        <v>505000</v>
      </c>
      <c r="N255" s="32" t="inlineStr">
        <is>
          <t xml:space="preserve">Personal</t>
        </is>
      </c>
      <c r="O255" s="30" t="inlineStr">
        <is>
          <t xml:space="preserve">Personal - regular use</t>
        </is>
      </c>
      <c r="P255" s="30" t="inlineStr">
        <is>
          <t xml:space="preserve">Under 1,000</t>
        </is>
      </c>
      <c r="Q255" s="30" t="inlineStr">
        <is>
          <t xml:space="preserve">California</t>
        </is>
      </c>
      <c r="R255" s="30" t="inlineStr">
        <is>
          <t xml:space="preserve">90012</t>
        </is>
      </c>
      <c r="S255" s="32" t="inlineStr">
        <is>
          <t xml:space="preserve">Earthquake - high (CA, Cascadia, New Madrid)</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6362.78</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CANON-202607-007998</t>
        </is>
      </c>
      <c r="B256" s="46" t="inlineStr">
        <is>
          <t xml:space="preserve">Emiliano Fairweather</t>
        </is>
      </c>
      <c r="C256" s="47">
        <v>46227</v>
      </c>
      <c r="D256" s="48" t="inlineStr">
        <is>
          <t xml:space="preserve">Bound - within authority</t>
        </is>
      </c>
      <c r="E256" s="48" t="inlineStr">
        <is>
          <t xml:space="preserve">New business</t>
        </is>
      </c>
      <c r="F256" s="46" t="inlineStr">
        <is>
          <t xml:space="preserve">B1234EXOTIC26</t>
        </is>
      </c>
      <c r="G256" s="33">
        <f>IF($A256="","",IF($C256="","",YEAR($C256)))</f>
      </c>
      <c r="H256" s="49">
        <v>1972</v>
      </c>
      <c r="I256" s="46" t="inlineStr">
        <is>
          <t xml:space="preserve">Ferrari</t>
        </is>
      </c>
      <c r="J256" s="46" t="inlineStr">
        <is>
          <t xml:space="preserve">SF90 Stradale</t>
        </is>
      </c>
      <c r="K256" s="46" t="inlineStr">
        <is>
          <t xml:space="preserve">F96BK7NC2BDV9YJ6G</t>
        </is>
      </c>
      <c r="L256" s="48" t="inlineStr">
        <is>
          <t xml:space="preserve">03 - Supercar</t>
        </is>
      </c>
      <c r="M256" s="50">
        <v>1040000</v>
      </c>
      <c r="N256" s="48" t="inlineStr">
        <is>
          <t xml:space="preserve">Personal</t>
        </is>
      </c>
      <c r="O256" s="46" t="inlineStr">
        <is>
          <t xml:space="preserve">Personal - regular use</t>
        </is>
      </c>
      <c r="P256" s="46" t="inlineStr">
        <is>
          <t xml:space="preserve">Under 1,000</t>
        </is>
      </c>
      <c r="Q256" s="46" t="inlineStr">
        <is>
          <t xml:space="preserve">Pennsylvania</t>
        </is>
      </c>
      <c r="R256" s="46" t="inlineStr">
        <is>
          <t xml:space="preserve">19103</t>
        </is>
      </c>
      <c r="S256" s="48" t="inlineStr">
        <is>
          <t xml:space="preserve">Low hazard - inland benign</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11946.26</v>
      </c>
      <c r="AC256" s="51">
        <v>0</v>
      </c>
      <c r="AD256" s="38">
        <f>IF(ISNUMBER($AB256),$AB256*(1+N($AC256)),"")</f>
      </c>
      <c r="AE256" s="50">
        <v>350</v>
      </c>
      <c r="AF256" s="50">
        <v>250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CANON-202607-008000</t>
        </is>
      </c>
      <c r="B257" s="30" t="inlineStr">
        <is>
          <t xml:space="preserve">Emiliano Chattopadhyay</t>
        </is>
      </c>
      <c r="C257" s="31">
        <v>46210</v>
      </c>
      <c r="D257" s="32" t="inlineStr">
        <is>
          <t xml:space="preserve">Bound - within authority</t>
        </is>
      </c>
      <c r="E257" s="32" t="inlineStr">
        <is>
          <t xml:space="preserve">New business</t>
        </is>
      </c>
      <c r="F257" s="30" t="inlineStr">
        <is>
          <t xml:space="preserve">B1234EXOTIC26</t>
        </is>
      </c>
      <c r="G257" s="33">
        <f>IF($A257="","",IF($C257="","",YEAR($C257)))</f>
      </c>
      <c r="H257" s="34">
        <v>2023</v>
      </c>
      <c r="I257" s="30" t="inlineStr">
        <is>
          <t xml:space="preserve">Porsche</t>
        </is>
      </c>
      <c r="J257" s="30" t="inlineStr">
        <is>
          <t xml:space="preserve">911 Turbo S</t>
        </is>
      </c>
      <c r="K257" s="30" t="inlineStr">
        <is>
          <t xml:space="preserve">KNLMGT2JA2R70FHY6</t>
        </is>
      </c>
      <c r="L257" s="32" t="inlineStr">
        <is>
          <t xml:space="preserve">02 - Sports / GT</t>
        </is>
      </c>
      <c r="M257" s="35">
        <v>270000</v>
      </c>
      <c r="N257" s="32" t="inlineStr">
        <is>
          <t xml:space="preserve">Personal</t>
        </is>
      </c>
      <c r="O257" s="30" t="inlineStr">
        <is>
          <t xml:space="preserve">Personal - regular use</t>
        </is>
      </c>
      <c r="P257" s="30" t="inlineStr">
        <is>
          <t xml:space="preserve">2,500 - 5,000</t>
        </is>
      </c>
      <c r="Q257" s="30" t="inlineStr">
        <is>
          <t xml:space="preserve">Delaware</t>
        </is>
      </c>
      <c r="R257" s="30" t="inlineStr">
        <is>
          <t xml:space="preserve">19801</t>
        </is>
      </c>
      <c r="S257" s="32" t="inlineStr">
        <is>
          <t xml:space="preserve">Tier 3 - Coastal wind (25-100 miles)</t>
        </is>
      </c>
      <c r="T257" s="36">
        <f>IF($A257="","",IF($S257="","",IFERROR(INDEX('[1]natural catastrophe'!$D$6:$D$17,MATCH($S257,'[1]natural catastrophe'!$B$6:$B$17,0)),"?")))</f>
      </c>
      <c r="U257" s="30" t="inlineStr">
        <is>
          <t xml:space="preserve">2% of agreed value, minimum $10,000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3634.49</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CANON-202607-008002</t>
        </is>
      </c>
      <c r="B258" s="46" t="inlineStr">
        <is>
          <t xml:space="preserve">Delphine Larsson</t>
        </is>
      </c>
      <c r="C258" s="47">
        <v>46232</v>
      </c>
      <c r="D258" s="48" t="inlineStr">
        <is>
          <t xml:space="preserve">Bound - within authority</t>
        </is>
      </c>
      <c r="E258" s="48" t="inlineStr">
        <is>
          <t xml:space="preserve">New business</t>
        </is>
      </c>
      <c r="F258" s="46" t="inlineStr">
        <is>
          <t xml:space="preserve">B1234EXOTIC26</t>
        </is>
      </c>
      <c r="G258" s="33">
        <f>IF($A258="","",IF($C258="","",YEAR($C258)))</f>
      </c>
      <c r="H258" s="49">
        <v>2019</v>
      </c>
      <c r="I258" s="46" t="inlineStr">
        <is>
          <t xml:space="preserve">Aston Martin</t>
        </is>
      </c>
      <c r="J258" s="46" t="inlineStr">
        <is>
          <t xml:space="preserve">DB12</t>
        </is>
      </c>
      <c r="K258" s="46" t="inlineStr">
        <is>
          <t xml:space="preserve">D8V8GPDLYULVXH6TZ</t>
        </is>
      </c>
      <c r="L258" s="48" t="inlineStr">
        <is>
          <t xml:space="preserve">02 - Sports / GT</t>
        </is>
      </c>
      <c r="M258" s="50">
        <v>1950000</v>
      </c>
      <c r="N258" s="48" t="inlineStr">
        <is>
          <t xml:space="preserve">Personal</t>
        </is>
      </c>
      <c r="O258" s="46" t="inlineStr">
        <is>
          <t xml:space="preserve">Personal - regular use</t>
        </is>
      </c>
      <c r="P258" s="46" t="inlineStr">
        <is>
          <t xml:space="preserve">1,000 - 2,500</t>
        </is>
      </c>
      <c r="Q258" s="46" t="inlineStr">
        <is>
          <t xml:space="preserve">Massachusetts</t>
        </is>
      </c>
      <c r="R258" s="46" t="inlineStr">
        <is>
          <t xml:space="preserve">02108</t>
        </is>
      </c>
      <c r="S258" s="48" t="inlineStr">
        <is>
          <t xml:space="preserve">Tier 3 - Coastal wind (25-100 miles)</t>
        </is>
      </c>
      <c r="T258" s="36">
        <f>IF($A258="","",IF($S258="","",IFERROR(INDEX('[1]natural catastrophe'!$D$6:$D$17,MATCH($S258,'[1]natural catastrophe'!$B$6:$B$17,0)),"?")))</f>
      </c>
      <c r="U258" s="46" t="inlineStr">
        <is>
          <t xml:space="preserve">2% of agreed value, minimum $10,000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19249.35</v>
      </c>
      <c r="AC258" s="51">
        <v>0</v>
      </c>
      <c r="AD258" s="38">
        <f>IF(ISNUMBER($AB258),$AB258*(1+N($AC258)),"")</f>
      </c>
      <c r="AE258" s="50">
        <v>350</v>
      </c>
      <c r="AF258" s="50">
        <v>250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CANON-202607-008003</t>
        </is>
      </c>
      <c r="B259" s="30" t="inlineStr">
        <is>
          <t xml:space="preserve">Mireille Merriweather</t>
        </is>
      </c>
      <c r="C259" s="31">
        <v>46222</v>
      </c>
      <c r="D259" s="32" t="inlineStr">
        <is>
          <t xml:space="preserve">Bound - within authority</t>
        </is>
      </c>
      <c r="E259" s="32" t="inlineStr">
        <is>
          <t xml:space="preserve">New business</t>
        </is>
      </c>
      <c r="F259" s="30" t="inlineStr">
        <is>
          <t xml:space="preserve">B1234EXOTIC26</t>
        </is>
      </c>
      <c r="G259" s="33">
        <f>IF($A259="","",IF($C259="","",YEAR($C259)))</f>
      </c>
      <c r="H259" s="34">
        <v>1961</v>
      </c>
      <c r="I259" s="30" t="inlineStr">
        <is>
          <t xml:space="preserve">Porsche</t>
        </is>
      </c>
      <c r="J259" s="30" t="inlineStr">
        <is>
          <t xml:space="preserve">911 Turbo S</t>
        </is>
      </c>
      <c r="K259" s="30" t="inlineStr">
        <is>
          <t xml:space="preserve">ZGY5T8X1FXY112PLS</t>
        </is>
      </c>
      <c r="L259" s="32" t="inlineStr">
        <is>
          <t xml:space="preserve">02 - Sports / GT</t>
        </is>
      </c>
      <c r="M259" s="35">
        <v>1175000</v>
      </c>
      <c r="N259" s="32" t="inlineStr">
        <is>
          <t xml:space="preserve">Personal</t>
        </is>
      </c>
      <c r="O259" s="30" t="inlineStr">
        <is>
          <t xml:space="preserve">Personal - regular use</t>
        </is>
      </c>
      <c r="P259" s="30" t="inlineStr">
        <is>
          <t xml:space="preserve">2,500 - 5,000</t>
        </is>
      </c>
      <c r="Q259" s="30" t="inlineStr">
        <is>
          <t xml:space="preserve">Hawaii</t>
        </is>
      </c>
      <c r="R259" s="30" t="inlineStr">
        <is>
          <t xml:space="preserve">96813</t>
        </is>
      </c>
      <c r="S259" s="32" t="inlineStr">
        <is>
          <t xml:space="preserve">Earthquake - high (CA, Cascadia, New Madrid)</t>
        </is>
      </c>
      <c r="T259" s="36">
        <f>IF($A259="","",IF($S259="","",IFERROR(INDEX('[1]natural catastrophe'!$D$6:$D$17,MATCH($S259,'[1]natural catastrophe'!$B$6:$B$17,0)),"?")))</f>
      </c>
      <c r="U259" s="30" t="inlineStr">
        <is>
          <t xml:space="preserve">$5,000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12062.93</v>
      </c>
      <c r="AC259" s="37">
        <v>0</v>
      </c>
      <c r="AD259" s="38">
        <f>IF(ISNUMBER($AB259),$AB259*(1+N($AC259)),"")</f>
      </c>
      <c r="AE259" s="35">
        <v>350</v>
      </c>
      <c r="AF259" s="35">
        <v>250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CANON-202607-008004</t>
        </is>
      </c>
      <c r="B260" s="46" t="inlineStr">
        <is>
          <t xml:space="preserve">Delphine Farkas</t>
        </is>
      </c>
      <c r="C260" s="47">
        <v>46227</v>
      </c>
      <c r="D260" s="48" t="inlineStr">
        <is>
          <t xml:space="preserve">Bound - within authority</t>
        </is>
      </c>
      <c r="E260" s="48" t="inlineStr">
        <is>
          <t xml:space="preserve">New business</t>
        </is>
      </c>
      <c r="F260" s="46" t="inlineStr">
        <is>
          <t xml:space="preserve">B1234EXOTIC26</t>
        </is>
      </c>
      <c r="G260" s="33">
        <f>IF($A260="","",IF($C260="","",YEAR($C260)))</f>
      </c>
      <c r="H260" s="49">
        <v>1992</v>
      </c>
      <c r="I260" s="46" t="inlineStr">
        <is>
          <t xml:space="preserve">Mercedes-Benz</t>
        </is>
      </c>
      <c r="J260" s="46" t="inlineStr">
        <is>
          <t xml:space="preserve">AMG GT</t>
        </is>
      </c>
      <c r="K260" s="46" t="inlineStr">
        <is>
          <t xml:space="preserve">JBC7YDCRC3ZSBP7WX</t>
        </is>
      </c>
      <c r="L260" s="48" t="inlineStr">
        <is>
          <t xml:space="preserve">02 - Sports / GT</t>
        </is>
      </c>
      <c r="M260" s="50">
        <v>225000</v>
      </c>
      <c r="N260" s="48" t="inlineStr">
        <is>
          <t xml:space="preserve">Personal</t>
        </is>
      </c>
      <c r="O260" s="46" t="inlineStr">
        <is>
          <t xml:space="preserve">Personal - regular use</t>
        </is>
      </c>
      <c r="P260" s="46" t="inlineStr">
        <is>
          <t xml:space="preserve">2,500 - 5,000</t>
        </is>
      </c>
      <c r="Q260" s="46" t="inlineStr">
        <is>
          <t xml:space="preserve">West Virginia</t>
        </is>
      </c>
      <c r="R260" s="46" t="inlineStr">
        <is>
          <t xml:space="preserve">25301</t>
        </is>
      </c>
      <c r="S260" s="48" t="inlineStr">
        <is>
          <t xml:space="preserve">Low hazard - inland benign</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3953.04</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CANON-202607-008007</t>
        </is>
      </c>
      <c r="B261" s="30" t="inlineStr">
        <is>
          <t xml:space="preserve">Wilhelmina Underwood</t>
        </is>
      </c>
      <c r="C261" s="31">
        <v>46223</v>
      </c>
      <c r="D261" s="32" t="inlineStr">
        <is>
          <t xml:space="preserve">Bound - within authority</t>
        </is>
      </c>
      <c r="E261" s="32" t="inlineStr">
        <is>
          <t xml:space="preserve">New business</t>
        </is>
      </c>
      <c r="F261" s="30" t="inlineStr">
        <is>
          <t xml:space="preserve">B1234EXOTIC26</t>
        </is>
      </c>
      <c r="G261" s="33">
        <f>IF($A261="","",IF($C261="","",YEAR($C261)))</f>
      </c>
      <c r="H261" s="34">
        <v>2000</v>
      </c>
      <c r="I261" s="30" t="inlineStr">
        <is>
          <t xml:space="preserve">Bentley</t>
        </is>
      </c>
      <c r="J261" s="30" t="inlineStr">
        <is>
          <t xml:space="preserve">4.5 Litre</t>
        </is>
      </c>
      <c r="K261" s="30" t="inlineStr">
        <is>
          <t xml:space="preserve">3LNCGG06EEFSDUBBJ</t>
        </is>
      </c>
      <c r="L261" s="32" t="inlineStr">
        <is>
          <t xml:space="preserve">09 - Youngtimer / Collectible (2000-2010)</t>
        </is>
      </c>
      <c r="M261" s="35">
        <v>535000</v>
      </c>
      <c r="N261" s="32" t="inlineStr">
        <is>
          <t xml:space="preserve">Personal</t>
        </is>
      </c>
      <c r="O261" s="30" t="inlineStr">
        <is>
          <t xml:space="preserve">Personal - regular use</t>
        </is>
      </c>
      <c r="P261" s="30" t="inlineStr">
        <is>
          <t xml:space="preserve">Under 1,000</t>
        </is>
      </c>
      <c r="Q261" s="30" t="inlineStr">
        <is>
          <t xml:space="preserve">Washington</t>
        </is>
      </c>
      <c r="R261" s="30" t="inlineStr">
        <is>
          <t xml:space="preserve">98101</t>
        </is>
      </c>
      <c r="S261" s="32" t="inlineStr">
        <is>
          <t xml:space="preserve">Earthquake - high (CA, Cascadia, New Madrid)</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2802.32</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CANON-202607-008010</t>
        </is>
      </c>
      <c r="B262" s="46" t="inlineStr">
        <is>
          <t xml:space="preserve">Cassius Whitlock</t>
        </is>
      </c>
      <c r="C262" s="47">
        <v>46232</v>
      </c>
      <c r="D262" s="48" t="inlineStr">
        <is>
          <t xml:space="preserve">Bound - within authority</t>
        </is>
      </c>
      <c r="E262" s="48" t="inlineStr">
        <is>
          <t xml:space="preserve">New business</t>
        </is>
      </c>
      <c r="F262" s="46" t="inlineStr">
        <is>
          <t xml:space="preserve">B1234EXOTIC26</t>
        </is>
      </c>
      <c r="G262" s="33">
        <f>IF($A262="","",IF($C262="","",YEAR($C262)))</f>
      </c>
      <c r="H262" s="49">
        <v>1970</v>
      </c>
      <c r="I262" s="46" t="inlineStr">
        <is>
          <t xml:space="preserve">Bentley</t>
        </is>
      </c>
      <c r="J262" s="46" t="inlineStr">
        <is>
          <t xml:space="preserve">Continental GT</t>
        </is>
      </c>
      <c r="K262" s="46" t="inlineStr">
        <is>
          <t xml:space="preserve">4STZ611MJNSKLUDT3</t>
        </is>
      </c>
      <c r="L262" s="48" t="inlineStr">
        <is>
          <t xml:space="preserve">02 - Sports / GT</t>
        </is>
      </c>
      <c r="M262" s="50">
        <v>325000</v>
      </c>
      <c r="N262" s="48" t="inlineStr">
        <is>
          <t xml:space="preserve">Personal</t>
        </is>
      </c>
      <c r="O262" s="46" t="inlineStr">
        <is>
          <t xml:space="preserve">Personal - regular use</t>
        </is>
      </c>
      <c r="P262" s="46" t="inlineStr">
        <is>
          <t xml:space="preserve">1,000 - 2,500</t>
        </is>
      </c>
      <c r="Q262" s="46" t="inlineStr">
        <is>
          <t xml:space="preserve">Mississippi</t>
        </is>
      </c>
      <c r="R262" s="46" t="inlineStr">
        <is>
          <t xml:space="preserve">39201</t>
        </is>
      </c>
      <c r="S262" s="48" t="inlineStr">
        <is>
          <t xml:space="preserve">Tier 2 - Coastal wind (1-25 miles)</t>
        </is>
      </c>
      <c r="T262" s="36">
        <f>IF($A262="","",IF($S262="","",IFERROR(INDEX('[1]natural catastrophe'!$D$6:$D$17,MATCH($S262,'[1]natural catastrophe'!$B$6:$B$17,0)),"?")))</f>
      </c>
      <c r="U262" s="46" t="inlineStr">
        <is>
          <t xml:space="preserve">2% of agreed value, minimum $10,000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4164.86</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CANON-202607-008011</t>
        </is>
      </c>
      <c r="B263" s="30" t="inlineStr">
        <is>
          <t xml:space="preserve">Delphine Whitlock</t>
        </is>
      </c>
      <c r="C263" s="31">
        <v>46208</v>
      </c>
      <c r="D263" s="32" t="inlineStr">
        <is>
          <t xml:space="preserve">Bound - within authority</t>
        </is>
      </c>
      <c r="E263" s="32" t="inlineStr">
        <is>
          <t xml:space="preserve">New business</t>
        </is>
      </c>
      <c r="F263" s="30" t="inlineStr">
        <is>
          <t xml:space="preserve">B1234EXOTIC26</t>
        </is>
      </c>
      <c r="G263" s="33">
        <f>IF($A263="","",IF($C263="","",YEAR($C263)))</f>
      </c>
      <c r="H263" s="34">
        <v>1985</v>
      </c>
      <c r="I263" s="30" t="inlineStr">
        <is>
          <t xml:space="preserve">BMW</t>
        </is>
      </c>
      <c r="J263" s="30" t="inlineStr">
        <is>
          <t xml:space="preserve">M8 Competition</t>
        </is>
      </c>
      <c r="K263" s="30" t="inlineStr">
        <is>
          <t xml:space="preserve">BWW29KPRAPSLESTPM</t>
        </is>
      </c>
      <c r="L263" s="32" t="inlineStr">
        <is>
          <t xml:space="preserve">02 - Sports / GT</t>
        </is>
      </c>
      <c r="M263" s="35">
        <v>425000</v>
      </c>
      <c r="N263" s="32" t="inlineStr">
        <is>
          <t xml:space="preserve">Personal</t>
        </is>
      </c>
      <c r="O263" s="30" t="inlineStr">
        <is>
          <t xml:space="preserve">Personal - regular use</t>
        </is>
      </c>
      <c r="P263" s="30" t="inlineStr">
        <is>
          <t xml:space="preserve">2,500 - 5,000</t>
        </is>
      </c>
      <c r="Q263" s="30" t="inlineStr">
        <is>
          <t xml:space="preserve">South Carolina</t>
        </is>
      </c>
      <c r="R263" s="30" t="inlineStr">
        <is>
          <t xml:space="preserve">29401</t>
        </is>
      </c>
      <c r="S263" s="32" t="inlineStr">
        <is>
          <t xml:space="preserve">Tier 2 - Coastal wind (1-25 miles)</t>
        </is>
      </c>
      <c r="T263" s="36">
        <f>IF($A263="","",IF($S263="","",IFERROR(INDEX('[1]natural catastrophe'!$D$6:$D$17,MATCH($S263,'[1]natural catastrophe'!$B$6:$B$17,0)),"?")))</f>
      </c>
      <c r="U263" s="30" t="inlineStr">
        <is>
          <t xml:space="preserve">2% of agreed value, minimum $10,000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5675.2</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CANON-202607-008014</t>
        </is>
      </c>
      <c r="B264" s="46" t="inlineStr">
        <is>
          <t xml:space="preserve">Wilhelmina Montoya</t>
        </is>
      </c>
      <c r="C264" s="47">
        <v>46205</v>
      </c>
      <c r="D264" s="48" t="inlineStr">
        <is>
          <t xml:space="preserve">Bound - within authority</t>
        </is>
      </c>
      <c r="E264" s="48" t="inlineStr">
        <is>
          <t xml:space="preserve">New business</t>
        </is>
      </c>
      <c r="F264" s="46" t="inlineStr">
        <is>
          <t xml:space="preserve">B1234EXOTIC26</t>
        </is>
      </c>
      <c r="G264" s="33">
        <f>IF($A264="","",IF($C264="","",YEAR($C264)))</f>
      </c>
      <c r="H264" s="49">
        <v>1970</v>
      </c>
      <c r="I264" s="46" t="inlineStr">
        <is>
          <t xml:space="preserve">Ferrari</t>
        </is>
      </c>
      <c r="J264" s="46" t="inlineStr">
        <is>
          <t xml:space="preserve">296 GTB</t>
        </is>
      </c>
      <c r="K264" s="46" t="inlineStr">
        <is>
          <t xml:space="preserve">RLDDD4FPTSNJU7VVT</t>
        </is>
      </c>
      <c r="L264" s="48" t="inlineStr">
        <is>
          <t xml:space="preserve">03 - Supercar</t>
        </is>
      </c>
      <c r="M264" s="50">
        <v>505000</v>
      </c>
      <c r="N264" s="48" t="inlineStr">
        <is>
          <t xml:space="preserve">Personal</t>
        </is>
      </c>
      <c r="O264" s="46" t="inlineStr">
        <is>
          <t xml:space="preserve">Personal - regular use</t>
        </is>
      </c>
      <c r="P264" s="46" t="inlineStr">
        <is>
          <t xml:space="preserve">Under 1,000</t>
        </is>
      </c>
      <c r="Q264" s="46" t="inlineStr">
        <is>
          <t xml:space="preserve">Texas</t>
        </is>
      </c>
      <c r="R264" s="46" t="inlineStr">
        <is>
          <t xml:space="preserve">75201</t>
        </is>
      </c>
      <c r="S264" s="48" t="inlineStr">
        <is>
          <t xml:space="preserve">Tier 2 - Coastal wind (1-25 miles)</t>
        </is>
      </c>
      <c r="T264" s="36">
        <f>IF($A264="","",IF($S264="","",IFERROR(INDEX('[1]natural catastrophe'!$D$6:$D$17,MATCH($S264,'[1]natural catastrophe'!$B$6:$B$17,0)),"?")))</f>
      </c>
      <c r="U264" s="46" t="inlineStr">
        <is>
          <t xml:space="preserve">2% of agreed value, minimum $10,000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7921.76</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CANON-202607-008017</t>
        </is>
      </c>
      <c r="B265" s="30" t="inlineStr">
        <is>
          <t xml:space="preserve">Mireille Rourke</t>
        </is>
      </c>
      <c r="C265" s="31">
        <v>46230</v>
      </c>
      <c r="D265" s="32" t="inlineStr">
        <is>
          <t xml:space="preserve">Bound - within authority</t>
        </is>
      </c>
      <c r="E265" s="32" t="inlineStr">
        <is>
          <t xml:space="preserve">New business</t>
        </is>
      </c>
      <c r="F265" s="30" t="inlineStr">
        <is>
          <t xml:space="preserve">B1234EXOTIC26</t>
        </is>
      </c>
      <c r="G265" s="33">
        <f>IF($A265="","",IF($C265="","",YEAR($C265)))</f>
      </c>
      <c r="H265" s="34">
        <v>2001</v>
      </c>
      <c r="I265" s="30" t="inlineStr">
        <is>
          <t xml:space="preserve">McLaren</t>
        </is>
      </c>
      <c r="J265" s="30" t="inlineStr">
        <is>
          <t xml:space="preserve">750S</t>
        </is>
      </c>
      <c r="K265" s="30" t="inlineStr">
        <is>
          <t xml:space="preserve">LS896CS66X2BUVD6K</t>
        </is>
      </c>
      <c r="L265" s="32" t="inlineStr">
        <is>
          <t xml:space="preserve">03 - Supercar</t>
        </is>
      </c>
      <c r="M265" s="35">
        <v>870000</v>
      </c>
      <c r="N265" s="32" t="inlineStr">
        <is>
          <t xml:space="preserve">Personal</t>
        </is>
      </c>
      <c r="O265" s="30" t="inlineStr">
        <is>
          <t xml:space="preserve">Personal - regular use</t>
        </is>
      </c>
      <c r="P265" s="30" t="inlineStr">
        <is>
          <t xml:space="preserve">Under 1,000</t>
        </is>
      </c>
      <c r="Q265" s="30" t="inlineStr">
        <is>
          <t xml:space="preserve">South Carolina</t>
        </is>
      </c>
      <c r="R265" s="30" t="inlineStr">
        <is>
          <t xml:space="preserve">29401</t>
        </is>
      </c>
      <c r="S265" s="32" t="inlineStr">
        <is>
          <t xml:space="preserve">Tier 2 - Coastal wind (1-25 miles)</t>
        </is>
      </c>
      <c r="T265" s="36">
        <f>IF($A265="","",IF($S265="","",IFERROR(INDEX('[1]natural catastrophe'!$D$6:$D$17,MATCH($S265,'[1]natural catastrophe'!$B$6:$B$17,0)),"?")))</f>
      </c>
      <c r="U265" s="30" t="inlineStr">
        <is>
          <t xml:space="preserve">2% of agreed value, minimum $10,000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14715.44</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CANON-202607-008018</t>
        </is>
      </c>
      <c r="B266" s="46" t="inlineStr">
        <is>
          <t xml:space="preserve">Thaddeus Farkas</t>
        </is>
      </c>
      <c r="C266" s="47">
        <v>46206</v>
      </c>
      <c r="D266" s="48" t="inlineStr">
        <is>
          <t xml:space="preserve">Bound - within authority</t>
        </is>
      </c>
      <c r="E266" s="48" t="inlineStr">
        <is>
          <t xml:space="preserve">New business</t>
        </is>
      </c>
      <c r="F266" s="46" t="inlineStr">
        <is>
          <t xml:space="preserve">B1234EXOTIC26</t>
        </is>
      </c>
      <c r="G266" s="33">
        <f>IF($A266="","",IF($C266="","",YEAR($C266)))</f>
      </c>
      <c r="H266" s="49">
        <v>1975</v>
      </c>
      <c r="I266" s="46" t="inlineStr">
        <is>
          <t xml:space="preserve">Aston Martin</t>
        </is>
      </c>
      <c r="J266" s="46" t="inlineStr">
        <is>
          <t xml:space="preserve">DB12</t>
        </is>
      </c>
      <c r="K266" s="46" t="inlineStr">
        <is>
          <t xml:space="preserve">YS2TG18GSBMXXL57R</t>
        </is>
      </c>
      <c r="L266" s="48" t="inlineStr">
        <is>
          <t xml:space="preserve">02 - Sports / GT</t>
        </is>
      </c>
      <c r="M266" s="50">
        <v>450000</v>
      </c>
      <c r="N266" s="48" t="inlineStr">
        <is>
          <t xml:space="preserve">Personal</t>
        </is>
      </c>
      <c r="O266" s="46" t="inlineStr">
        <is>
          <t xml:space="preserve">Personal - regular use</t>
        </is>
      </c>
      <c r="P266" s="46" t="inlineStr">
        <is>
          <t xml:space="preserve">Under 1,000</t>
        </is>
      </c>
      <c r="Q266" s="46" t="inlineStr">
        <is>
          <t xml:space="preserve">Missouri</t>
        </is>
      </c>
      <c r="R266" s="46" t="inlineStr">
        <is>
          <t xml:space="preserve">63101</t>
        </is>
      </c>
      <c r="S266" s="48" t="inlineStr">
        <is>
          <t xml:space="preserve">Severe convective - hail / tornado (moderate)</t>
        </is>
      </c>
      <c r="T266" s="36">
        <f>IF($A266="","",IF($S266="","",IFERROR(INDEX('[1]natural catastrophe'!$D$6:$D$17,MATCH($S266,'[1]natural catastrophe'!$B$6:$B$17,0)),"?")))</f>
      </c>
      <c r="U266" s="46" t="inlineStr">
        <is>
          <t xml:space="preserve">$5,000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5136.75</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CANON-202607-008019</t>
        </is>
      </c>
      <c r="B267" s="30" t="inlineStr">
        <is>
          <t xml:space="preserve">Horace Rourke</t>
        </is>
      </c>
      <c r="C267" s="31">
        <v>46228</v>
      </c>
      <c r="D267" s="32" t="inlineStr">
        <is>
          <t xml:space="preserve">Bound - within authority</t>
        </is>
      </c>
      <c r="E267" s="32" t="inlineStr">
        <is>
          <t xml:space="preserve">New business</t>
        </is>
      </c>
      <c r="F267" s="30" t="inlineStr">
        <is>
          <t xml:space="preserve">B1234EXOTIC26</t>
        </is>
      </c>
      <c r="G267" s="33">
        <f>IF($A267="","",IF($C267="","",YEAR($C267)))</f>
      </c>
      <c r="H267" s="34">
        <v>2008</v>
      </c>
      <c r="I267" s="30" t="inlineStr">
        <is>
          <t xml:space="preserve">Aston Martin</t>
        </is>
      </c>
      <c r="J267" s="30" t="inlineStr">
        <is>
          <t xml:space="preserve">DB12</t>
        </is>
      </c>
      <c r="K267" s="30" t="inlineStr">
        <is>
          <t xml:space="preserve">D4RTW9E76SETDXCLM</t>
        </is>
      </c>
      <c r="L267" s="32" t="inlineStr">
        <is>
          <t xml:space="preserve">02 - Sports / GT</t>
        </is>
      </c>
      <c r="M267" s="35">
        <v>1780000</v>
      </c>
      <c r="N267" s="32" t="inlineStr">
        <is>
          <t xml:space="preserve">Personal</t>
        </is>
      </c>
      <c r="O267" s="30" t="inlineStr">
        <is>
          <t xml:space="preserve">Personal - regular use</t>
        </is>
      </c>
      <c r="P267" s="30" t="inlineStr">
        <is>
          <t xml:space="preserve">1,000 - 2,500</t>
        </is>
      </c>
      <c r="Q267" s="30" t="inlineStr">
        <is>
          <t xml:space="preserve">South Carolina</t>
        </is>
      </c>
      <c r="R267" s="30" t="inlineStr">
        <is>
          <t xml:space="preserve">29401</t>
        </is>
      </c>
      <c r="S267" s="32" t="inlineStr">
        <is>
          <t xml:space="preserve">Tier 2 - Coastal wind (1-25 miles)</t>
        </is>
      </c>
      <c r="T267" s="36">
        <f>IF($A267="","",IF($S267="","",IFERROR(INDEX('[1]natural catastrophe'!$D$6:$D$17,MATCH($S267,'[1]natural catastrophe'!$B$6:$B$17,0)),"?")))</f>
      </c>
      <c r="U267" s="30" t="inlineStr">
        <is>
          <t xml:space="preserve">2% of agreed value, minimum $10,000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17430.64</v>
      </c>
      <c r="AC267" s="37">
        <v>0</v>
      </c>
      <c r="AD267" s="38">
        <f>IF(ISNUMBER($AB267),$AB267*(1+N($AC267)),"")</f>
      </c>
      <c r="AE267" s="35">
        <v>350</v>
      </c>
      <c r="AF267" s="35">
        <v>250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CANON-202607-008021</t>
        </is>
      </c>
      <c r="B268" s="46" t="inlineStr">
        <is>
          <t xml:space="preserve">Fenwick Okonkwo</t>
        </is>
      </c>
      <c r="C268" s="47">
        <v>46215</v>
      </c>
      <c r="D268" s="48" t="inlineStr">
        <is>
          <t xml:space="preserve">Bound - within authority</t>
        </is>
      </c>
      <c r="E268" s="48" t="inlineStr">
        <is>
          <t xml:space="preserve">New business</t>
        </is>
      </c>
      <c r="F268" s="46" t="inlineStr">
        <is>
          <t xml:space="preserve">B1234EXOTIC26</t>
        </is>
      </c>
      <c r="G268" s="33">
        <f>IF($A268="","",IF($C268="","",YEAR($C268)))</f>
      </c>
      <c r="H268" s="49">
        <v>1958</v>
      </c>
      <c r="I268" s="46" t="inlineStr">
        <is>
          <t xml:space="preserve">Aston Martin</t>
        </is>
      </c>
      <c r="J268" s="46" t="inlineStr">
        <is>
          <t xml:space="preserve">DB5</t>
        </is>
      </c>
      <c r="K268" s="46" t="inlineStr">
        <is>
          <t xml:space="preserve">8C1D63E54L3AN9NNT</t>
        </is>
      </c>
      <c r="L268" s="48" t="inlineStr">
        <is>
          <t xml:space="preserve">07 - Post-War Classic (1946-1972)</t>
        </is>
      </c>
      <c r="M268" s="50">
        <v>650000</v>
      </c>
      <c r="N268" s="48" t="inlineStr">
        <is>
          <t xml:space="preserve">Personal</t>
        </is>
      </c>
      <c r="O268" s="46" t="inlineStr">
        <is>
          <t xml:space="preserve">Personal - regular use</t>
        </is>
      </c>
      <c r="P268" s="46" t="inlineStr">
        <is>
          <t xml:space="preserve">1,000 - 2,500</t>
        </is>
      </c>
      <c r="Q268" s="46" t="inlineStr">
        <is>
          <t xml:space="preserve">Pennsylvania</t>
        </is>
      </c>
      <c r="R268" s="46" t="inlineStr">
        <is>
          <t xml:space="preserve">19103</t>
        </is>
      </c>
      <c r="S268" s="48" t="inlineStr">
        <is>
          <t xml:space="preserve">Low hazard - inland benign</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4013.19</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CANON-202607-008024</t>
        </is>
      </c>
      <c r="B269" s="30" t="inlineStr">
        <is>
          <t xml:space="preserve">Desmond Okonkwo</t>
        </is>
      </c>
      <c r="C269" s="31">
        <v>46211</v>
      </c>
      <c r="D269" s="32" t="inlineStr">
        <is>
          <t xml:space="preserve">Bound - within authority</t>
        </is>
      </c>
      <c r="E269" s="32" t="inlineStr">
        <is>
          <t xml:space="preserve">New business</t>
        </is>
      </c>
      <c r="F269" s="30" t="inlineStr">
        <is>
          <t xml:space="preserve">B1234EXOTIC26</t>
        </is>
      </c>
      <c r="G269" s="33">
        <f>IF($A269="","",IF($C269="","",YEAR($C269)))</f>
      </c>
      <c r="H269" s="34">
        <v>1963</v>
      </c>
      <c r="I269" s="30" t="inlineStr">
        <is>
          <t xml:space="preserve">Aston Martin</t>
        </is>
      </c>
      <c r="J269" s="30" t="inlineStr">
        <is>
          <t xml:space="preserve">DB12</t>
        </is>
      </c>
      <c r="K269" s="30" t="inlineStr">
        <is>
          <t xml:space="preserve">74EN3C6RK48Z7EB8P</t>
        </is>
      </c>
      <c r="L269" s="32" t="inlineStr">
        <is>
          <t xml:space="preserve">02 - Sports / GT</t>
        </is>
      </c>
      <c r="M269" s="35">
        <v>190000</v>
      </c>
      <c r="N269" s="32" t="inlineStr">
        <is>
          <t xml:space="preserve">Personal</t>
        </is>
      </c>
      <c r="O269" s="30" t="inlineStr">
        <is>
          <t xml:space="preserve">Personal - regular use</t>
        </is>
      </c>
      <c r="P269" s="30" t="inlineStr">
        <is>
          <t xml:space="preserve">2,500 - 5,000</t>
        </is>
      </c>
      <c r="Q269" s="30" t="inlineStr">
        <is>
          <t xml:space="preserve">Massachusetts</t>
        </is>
      </c>
      <c r="R269" s="30" t="inlineStr">
        <is>
          <t xml:space="preserve">02108</t>
        </is>
      </c>
      <c r="S269" s="32" t="inlineStr">
        <is>
          <t xml:space="preserve">Tier 3 - Coastal wind (25-100 miles)</t>
        </is>
      </c>
      <c r="T269" s="36">
        <f>IF($A269="","",IF($S269="","",IFERROR(INDEX('[1]natural catastrophe'!$D$6:$D$17,MATCH($S269,'[1]natural catastrophe'!$B$6:$B$17,0)),"?")))</f>
      </c>
      <c r="U269" s="30" t="inlineStr">
        <is>
          <t xml:space="preserve">2% of agreed value, minimum $10,000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3137.33</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CANON-202607-008025</t>
        </is>
      </c>
      <c r="B270" s="46" t="inlineStr">
        <is>
          <t xml:space="preserve">Lorenzo Kingsford</t>
        </is>
      </c>
      <c r="C270" s="47">
        <v>46226</v>
      </c>
      <c r="D270" s="48" t="inlineStr">
        <is>
          <t xml:space="preserve">Bound - within authority</t>
        </is>
      </c>
      <c r="E270" s="48" t="inlineStr">
        <is>
          <t xml:space="preserve">New business</t>
        </is>
      </c>
      <c r="F270" s="46" t="inlineStr">
        <is>
          <t xml:space="preserve">B1234EXOTIC26</t>
        </is>
      </c>
      <c r="G270" s="33">
        <f>IF($A270="","",IF($C270="","",YEAR($C270)))</f>
      </c>
      <c r="H270" s="49">
        <v>1973</v>
      </c>
      <c r="I270" s="46" t="inlineStr">
        <is>
          <t xml:space="preserve">Mercedes-Benz</t>
        </is>
      </c>
      <c r="J270" s="46" t="inlineStr">
        <is>
          <t xml:space="preserve">280SL Pagoda</t>
        </is>
      </c>
      <c r="K270" s="46" t="inlineStr">
        <is>
          <t xml:space="preserve">PN0GYM74EE1UDKWU9</t>
        </is>
      </c>
      <c r="L270" s="48" t="inlineStr">
        <is>
          <t xml:space="preserve">08 - Modern Classic (1973-1999)</t>
        </is>
      </c>
      <c r="M270" s="50">
        <v>645000</v>
      </c>
      <c r="N270" s="48" t="inlineStr">
        <is>
          <t xml:space="preserve">Personal</t>
        </is>
      </c>
      <c r="O270" s="46" t="inlineStr">
        <is>
          <t xml:space="preserve">Personal - regular use</t>
        </is>
      </c>
      <c r="P270" s="46" t="inlineStr">
        <is>
          <t xml:space="preserve">2,500 - 5,000</t>
        </is>
      </c>
      <c r="Q270" s="46" t="inlineStr">
        <is>
          <t xml:space="preserve">Hawaii</t>
        </is>
      </c>
      <c r="R270" s="46" t="inlineStr">
        <is>
          <t xml:space="preserve">96813</t>
        </is>
      </c>
      <c r="S270" s="48" t="inlineStr">
        <is>
          <t xml:space="preserve">Earthquake - high (CA, Cascadia, New Madrid)</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5177.02</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CANON-202607-008027</t>
        </is>
      </c>
      <c r="B271" s="30" t="inlineStr">
        <is>
          <t xml:space="preserve">Ottilie Merriweather</t>
        </is>
      </c>
      <c r="C271" s="31">
        <v>46205</v>
      </c>
      <c r="D271" s="32" t="inlineStr">
        <is>
          <t xml:space="preserve">Bound - within authority</t>
        </is>
      </c>
      <c r="E271" s="32" t="inlineStr">
        <is>
          <t xml:space="preserve">New business</t>
        </is>
      </c>
      <c r="F271" s="30" t="inlineStr">
        <is>
          <t xml:space="preserve">B1234EXOTIC26</t>
        </is>
      </c>
      <c r="G271" s="33">
        <f>IF($A271="","",IF($C271="","",YEAR($C271)))</f>
      </c>
      <c r="H271" s="34">
        <v>1982</v>
      </c>
      <c r="I271" s="30" t="inlineStr">
        <is>
          <t xml:space="preserve">Ferrari</t>
        </is>
      </c>
      <c r="J271" s="30" t="inlineStr">
        <is>
          <t xml:space="preserve">275 GTB/4</t>
        </is>
      </c>
      <c r="K271" s="30" t="inlineStr">
        <is>
          <t xml:space="preserve">JSFDVBH5N9J0AHWSW</t>
        </is>
      </c>
      <c r="L271" s="32" t="inlineStr">
        <is>
          <t xml:space="preserve">08 - Modern Classic (1973-1999)</t>
        </is>
      </c>
      <c r="M271" s="35">
        <v>760000</v>
      </c>
      <c r="N271" s="32" t="inlineStr">
        <is>
          <t xml:space="preserve">Personal</t>
        </is>
      </c>
      <c r="O271" s="30" t="inlineStr">
        <is>
          <t xml:space="preserve">Personal - regular use</t>
        </is>
      </c>
      <c r="P271" s="30" t="inlineStr">
        <is>
          <t xml:space="preserve">1,000 - 2,500</t>
        </is>
      </c>
      <c r="Q271" s="30" t="inlineStr">
        <is>
          <t xml:space="preserve">Massachusetts</t>
        </is>
      </c>
      <c r="R271" s="30" t="inlineStr">
        <is>
          <t xml:space="preserve">02108</t>
        </is>
      </c>
      <c r="S271" s="32" t="inlineStr">
        <is>
          <t xml:space="preserve">Tier 3 - Coastal wind (25-100 miles)</t>
        </is>
      </c>
      <c r="T271" s="36">
        <f>IF($A271="","",IF($S271="","",IFERROR(INDEX('[1]natural catastrophe'!$D$6:$D$17,MATCH($S271,'[1]natural catastrophe'!$B$6:$B$17,0)),"?")))</f>
      </c>
      <c r="U271" s="30" t="inlineStr">
        <is>
          <t xml:space="preserve">2% of agreed value, minimum $10,000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5865.45</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CANON-202607-008029</t>
        </is>
      </c>
      <c r="B272" s="46" t="inlineStr">
        <is>
          <t xml:space="preserve">Saoirse Harrington</t>
        </is>
      </c>
      <c r="C272" s="47">
        <v>46233</v>
      </c>
      <c r="D272" s="48" t="inlineStr">
        <is>
          <t xml:space="preserve">Bound - within authority</t>
        </is>
      </c>
      <c r="E272" s="48" t="inlineStr">
        <is>
          <t xml:space="preserve">New business</t>
        </is>
      </c>
      <c r="F272" s="46" t="inlineStr">
        <is>
          <t xml:space="preserve">B1234EXOTIC26</t>
        </is>
      </c>
      <c r="G272" s="33">
        <f>IF($A272="","",IF($C272="","",YEAR($C272)))</f>
      </c>
      <c r="H272" s="49">
        <v>1958</v>
      </c>
      <c r="I272" s="46" t="inlineStr">
        <is>
          <t xml:space="preserve">Ferrari</t>
        </is>
      </c>
      <c r="J272" s="46" t="inlineStr">
        <is>
          <t xml:space="preserve">SF90 Stradale</t>
        </is>
      </c>
      <c r="K272" s="46" t="inlineStr">
        <is>
          <t xml:space="preserve">NYCF1ARV8Y6JLABKE</t>
        </is>
      </c>
      <c r="L272" s="48" t="inlineStr">
        <is>
          <t xml:space="preserve">03 - Supercar</t>
        </is>
      </c>
      <c r="M272" s="50">
        <v>920000</v>
      </c>
      <c r="N272" s="48" t="inlineStr">
        <is>
          <t xml:space="preserve">Personal</t>
        </is>
      </c>
      <c r="O272" s="46" t="inlineStr">
        <is>
          <t xml:space="preserve">Personal - regular use</t>
        </is>
      </c>
      <c r="P272" s="46" t="inlineStr">
        <is>
          <t xml:space="preserve">Under 1,000</t>
        </is>
      </c>
      <c r="Q272" s="46" t="inlineStr">
        <is>
          <t xml:space="preserve">Vermont</t>
        </is>
      </c>
      <c r="R272" s="46" t="inlineStr">
        <is>
          <t xml:space="preserve">05601</t>
        </is>
      </c>
      <c r="S272" s="48" t="inlineStr">
        <is>
          <t xml:space="preserve">Low hazard - inland benign</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15310.17</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CANON-202607-008030</t>
        </is>
      </c>
      <c r="B273" s="30" t="inlineStr">
        <is>
          <t xml:space="preserve">Saoirse Harrington</t>
        </is>
      </c>
      <c r="C273" s="31">
        <v>46217</v>
      </c>
      <c r="D273" s="32" t="inlineStr">
        <is>
          <t xml:space="preserve">Bound - within authority</t>
        </is>
      </c>
      <c r="E273" s="32" t="inlineStr">
        <is>
          <t xml:space="preserve">New business</t>
        </is>
      </c>
      <c r="F273" s="30" t="inlineStr">
        <is>
          <t xml:space="preserve">B1234EXOTIC26</t>
        </is>
      </c>
      <c r="G273" s="33">
        <f>IF($A273="","",IF($C273="","",YEAR($C273)))</f>
      </c>
      <c r="H273" s="34">
        <v>1984</v>
      </c>
      <c r="I273" s="30" t="inlineStr">
        <is>
          <t xml:space="preserve">Maserati</t>
        </is>
      </c>
      <c r="J273" s="30" t="inlineStr">
        <is>
          <t xml:space="preserve">GranTurismo</t>
        </is>
      </c>
      <c r="K273" s="30" t="inlineStr">
        <is>
          <t xml:space="preserve">PH3RAYTGZ9L954TEX</t>
        </is>
      </c>
      <c r="L273" s="32" t="inlineStr">
        <is>
          <t xml:space="preserve">02 - Sports / GT</t>
        </is>
      </c>
      <c r="M273" s="35">
        <v>540000</v>
      </c>
      <c r="N273" s="32" t="inlineStr">
        <is>
          <t xml:space="preserve">Personal</t>
        </is>
      </c>
      <c r="O273" s="30" t="inlineStr">
        <is>
          <t xml:space="preserve">Personal - regular use</t>
        </is>
      </c>
      <c r="P273" s="30" t="inlineStr">
        <is>
          <t xml:space="preserve">Under 1,000</t>
        </is>
      </c>
      <c r="Q273" s="30" t="inlineStr">
        <is>
          <t xml:space="preserve">Ohio</t>
        </is>
      </c>
      <c r="R273" s="30" t="inlineStr">
        <is>
          <t xml:space="preserve">43215</t>
        </is>
      </c>
      <c r="S273" s="32" t="inlineStr">
        <is>
          <t xml:space="preserve">Severe convective - hail / tornado (moderate)</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7005.36</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CANON-202607-008031</t>
        </is>
      </c>
      <c r="B274" s="46" t="inlineStr">
        <is>
          <t xml:space="preserve">Mireille Merriweather</t>
        </is>
      </c>
      <c r="C274" s="47">
        <v>46214</v>
      </c>
      <c r="D274" s="48" t="inlineStr">
        <is>
          <t xml:space="preserve">Bound - within authority</t>
        </is>
      </c>
      <c r="E274" s="48" t="inlineStr">
        <is>
          <t xml:space="preserve">New business</t>
        </is>
      </c>
      <c r="F274" s="46" t="inlineStr">
        <is>
          <t xml:space="preserve">B1234EXOTIC26</t>
        </is>
      </c>
      <c r="G274" s="33">
        <f>IF($A274="","",IF($C274="","",YEAR($C274)))</f>
      </c>
      <c r="H274" s="49">
        <v>2007</v>
      </c>
      <c r="I274" s="46" t="inlineStr">
        <is>
          <t xml:space="preserve">Aston Martin</t>
        </is>
      </c>
      <c r="J274" s="46" t="inlineStr">
        <is>
          <t xml:space="preserve">DB12</t>
        </is>
      </c>
      <c r="K274" s="46" t="inlineStr">
        <is>
          <t xml:space="preserve">DASYE5760LEGCTJMZ</t>
        </is>
      </c>
      <c r="L274" s="48" t="inlineStr">
        <is>
          <t xml:space="preserve">02 - Sports / GT</t>
        </is>
      </c>
      <c r="M274" s="50">
        <v>530000</v>
      </c>
      <c r="N274" s="48" t="inlineStr">
        <is>
          <t xml:space="preserve">Personal</t>
        </is>
      </c>
      <c r="O274" s="46" t="inlineStr">
        <is>
          <t xml:space="preserve">Personal - regular use</t>
        </is>
      </c>
      <c r="P274" s="46" t="inlineStr">
        <is>
          <t xml:space="preserve">1,000 - 2,500</t>
        </is>
      </c>
      <c r="Q274" s="46" t="inlineStr">
        <is>
          <t xml:space="preserve">Tennessee</t>
        </is>
      </c>
      <c r="R274" s="46" t="inlineStr">
        <is>
          <t xml:space="preserve">37203</t>
        </is>
      </c>
      <c r="S274" s="48" t="inlineStr">
        <is>
          <t xml:space="preserve">Severe convective - hail / tornado (moderate)</t>
        </is>
      </c>
      <c r="T274" s="36">
        <f>IF($A274="","",IF($S274="","",IFERROR(INDEX('[1]natural catastrophe'!$D$6:$D$17,MATCH($S274,'[1]natural catastrophe'!$B$6:$B$17,0)),"?")))</f>
      </c>
      <c r="U274" s="46" t="inlineStr">
        <is>
          <t xml:space="preserve">$5,000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4847.57</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CANON-202607-008032</t>
        </is>
      </c>
      <c r="B275" s="30" t="inlineStr">
        <is>
          <t xml:space="preserve">Noor Pennington</t>
        </is>
      </c>
      <c r="C275" s="31">
        <v>46219</v>
      </c>
      <c r="D275" s="32" t="inlineStr">
        <is>
          <t xml:space="preserve">Bound - within authority</t>
        </is>
      </c>
      <c r="E275" s="32" t="inlineStr">
        <is>
          <t xml:space="preserve">New business</t>
        </is>
      </c>
      <c r="F275" s="30" t="inlineStr">
        <is>
          <t xml:space="preserve">B1234EXOTIC26</t>
        </is>
      </c>
      <c r="G275" s="33">
        <f>IF($A275="","",IF($C275="","",YEAR($C275)))</f>
      </c>
      <c r="H275" s="34">
        <v>1994</v>
      </c>
      <c r="I275" s="30" t="inlineStr">
        <is>
          <t xml:space="preserve">Aston Martin</t>
        </is>
      </c>
      <c r="J275" s="30" t="inlineStr">
        <is>
          <t xml:space="preserve">DB12</t>
        </is>
      </c>
      <c r="K275" s="30" t="inlineStr">
        <is>
          <t xml:space="preserve">GMDK41AH6XL5MACGN</t>
        </is>
      </c>
      <c r="L275" s="32" t="inlineStr">
        <is>
          <t xml:space="preserve">02 - Sports / GT</t>
        </is>
      </c>
      <c r="M275" s="35">
        <v>845000</v>
      </c>
      <c r="N275" s="32" t="inlineStr">
        <is>
          <t xml:space="preserve">Personal</t>
        </is>
      </c>
      <c r="O275" s="30" t="inlineStr">
        <is>
          <t xml:space="preserve">Personal - regular use</t>
        </is>
      </c>
      <c r="P275" s="30" t="inlineStr">
        <is>
          <t xml:space="preserve">2,500 - 5,000</t>
        </is>
      </c>
      <c r="Q275" s="30" t="inlineStr">
        <is>
          <t xml:space="preserve">Florida</t>
        </is>
      </c>
      <c r="R275" s="30" t="inlineStr">
        <is>
          <t xml:space="preserve">33139</t>
        </is>
      </c>
      <c r="S275" s="32" t="inlineStr">
        <is>
          <t xml:space="preserve">Tier 2 - Coastal wind (1-25 miles)</t>
        </is>
      </c>
      <c r="T275" s="36">
        <f>IF($A275="","",IF($S275="","",IFERROR(INDEX('[1]natural catastrophe'!$D$6:$D$17,MATCH($S275,'[1]natural catastrophe'!$B$6:$B$17,0)),"?")))</f>
      </c>
      <c r="U275" s="30" t="inlineStr">
        <is>
          <t xml:space="preserve">2% of agreed value, minimum $10,000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11198.69</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CANON-202607-008033</t>
        </is>
      </c>
      <c r="B276" s="46" t="inlineStr">
        <is>
          <t xml:space="preserve">Everett Nakashima</t>
        </is>
      </c>
      <c r="C276" s="47">
        <v>46209</v>
      </c>
      <c r="D276" s="48" t="inlineStr">
        <is>
          <t xml:space="preserve">Bound - within authority</t>
        </is>
      </c>
      <c r="E276" s="48" t="inlineStr">
        <is>
          <t xml:space="preserve">New business</t>
        </is>
      </c>
      <c r="F276" s="46" t="inlineStr">
        <is>
          <t xml:space="preserve">B1234EXOTIC26</t>
        </is>
      </c>
      <c r="G276" s="33">
        <f>IF($A276="","",IF($C276="","",YEAR($C276)))</f>
      </c>
      <c r="H276" s="49">
        <v>1960</v>
      </c>
      <c r="I276" s="46" t="inlineStr">
        <is>
          <t xml:space="preserve">Mercedes-Benz</t>
        </is>
      </c>
      <c r="J276" s="46" t="inlineStr">
        <is>
          <t xml:space="preserve">AMG GT</t>
        </is>
      </c>
      <c r="K276" s="46" t="inlineStr">
        <is>
          <t xml:space="preserve">X50729VRJWL04LNAA</t>
        </is>
      </c>
      <c r="L276" s="48" t="inlineStr">
        <is>
          <t xml:space="preserve">02 - Sports / GT</t>
        </is>
      </c>
      <c r="M276" s="50">
        <v>350000</v>
      </c>
      <c r="N276" s="48" t="inlineStr">
        <is>
          <t xml:space="preserve">Personal</t>
        </is>
      </c>
      <c r="O276" s="46" t="inlineStr">
        <is>
          <t xml:space="preserve">Personal - regular use</t>
        </is>
      </c>
      <c r="P276" s="46" t="inlineStr">
        <is>
          <t xml:space="preserve">2,500 - 5,000</t>
        </is>
      </c>
      <c r="Q276" s="46" t="inlineStr">
        <is>
          <t xml:space="preserve">New York</t>
        </is>
      </c>
      <c r="R276" s="46" t="inlineStr">
        <is>
          <t xml:space="preserve">10022</t>
        </is>
      </c>
      <c r="S276" s="48" t="inlineStr">
        <is>
          <t xml:space="preserve">Tier 3 - Coastal wind (25-100 miles)</t>
        </is>
      </c>
      <c r="T276" s="36">
        <f>IF($A276="","",IF($S276="","",IFERROR(INDEX('[1]natural catastrophe'!$D$6:$D$17,MATCH($S276,'[1]natural catastrophe'!$B$6:$B$17,0)),"?")))</f>
      </c>
      <c r="U276" s="46" t="inlineStr">
        <is>
          <t xml:space="preserve">2% of agreed value, minimum $10,000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4824.45</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CANON-202607-008034</t>
        </is>
      </c>
      <c r="B277" s="30" t="inlineStr">
        <is>
          <t xml:space="preserve">Priya Vandermeer</t>
        </is>
      </c>
      <c r="C277" s="31">
        <v>46227</v>
      </c>
      <c r="D277" s="32" t="inlineStr">
        <is>
          <t xml:space="preserve">Bound - within authority</t>
        </is>
      </c>
      <c r="E277" s="32" t="inlineStr">
        <is>
          <t xml:space="preserve">New business</t>
        </is>
      </c>
      <c r="F277" s="30" t="inlineStr">
        <is>
          <t xml:space="preserve">B1234EXOTIC26</t>
        </is>
      </c>
      <c r="G277" s="33">
        <f>IF($A277="","",IF($C277="","",YEAR($C277)))</f>
      </c>
      <c r="H277" s="34">
        <v>1992</v>
      </c>
      <c r="I277" s="30" t="inlineStr">
        <is>
          <t xml:space="preserve">Mercedes-Benz</t>
        </is>
      </c>
      <c r="J277" s="30" t="inlineStr">
        <is>
          <t xml:space="preserve">AMG GT</t>
        </is>
      </c>
      <c r="K277" s="30" t="inlineStr">
        <is>
          <t xml:space="preserve">GWYB22YP5LTY7TD48</t>
        </is>
      </c>
      <c r="L277" s="32" t="inlineStr">
        <is>
          <t xml:space="preserve">02 - Sports / GT</t>
        </is>
      </c>
      <c r="M277" s="35">
        <v>515000</v>
      </c>
      <c r="N277" s="32" t="inlineStr">
        <is>
          <t xml:space="preserve">Personal</t>
        </is>
      </c>
      <c r="O277" s="30" t="inlineStr">
        <is>
          <t xml:space="preserve">Personal - regular use</t>
        </is>
      </c>
      <c r="P277" s="30" t="inlineStr">
        <is>
          <t xml:space="preserve">Under 1,000</t>
        </is>
      </c>
      <c r="Q277" s="30" t="inlineStr">
        <is>
          <t xml:space="preserve">Nevada</t>
        </is>
      </c>
      <c r="R277" s="30" t="inlineStr">
        <is>
          <t xml:space="preserve">89101</t>
        </is>
      </c>
      <c r="S277" s="32" t="inlineStr">
        <is>
          <t xml:space="preserve">Wildfire - WUI high hazard</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5623.61</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CANON-202607-008036</t>
        </is>
      </c>
      <c r="B278" s="46" t="inlineStr">
        <is>
          <t xml:space="preserve">Leopold Vasquez</t>
        </is>
      </c>
      <c r="C278" s="47">
        <v>46217</v>
      </c>
      <c r="D278" s="48" t="inlineStr">
        <is>
          <t xml:space="preserve">Bound - within authority</t>
        </is>
      </c>
      <c r="E278" s="48" t="inlineStr">
        <is>
          <t xml:space="preserve">New business</t>
        </is>
      </c>
      <c r="F278" s="46" t="inlineStr">
        <is>
          <t xml:space="preserve">B1234EXOTIC26</t>
        </is>
      </c>
      <c r="G278" s="33">
        <f>IF($A278="","",IF($C278="","",YEAR($C278)))</f>
      </c>
      <c r="H278" s="49">
        <v>1966</v>
      </c>
      <c r="I278" s="46" t="inlineStr">
        <is>
          <t xml:space="preserve">Maserati</t>
        </is>
      </c>
      <c r="J278" s="46" t="inlineStr">
        <is>
          <t xml:space="preserve">GranTurismo</t>
        </is>
      </c>
      <c r="K278" s="46" t="inlineStr">
        <is>
          <t xml:space="preserve">EMZE896XYAW6N1ADR</t>
        </is>
      </c>
      <c r="L278" s="48" t="inlineStr">
        <is>
          <t xml:space="preserve">02 - Sports / GT</t>
        </is>
      </c>
      <c r="M278" s="50">
        <v>720000</v>
      </c>
      <c r="N278" s="48" t="inlineStr">
        <is>
          <t xml:space="preserve">Personal</t>
        </is>
      </c>
      <c r="O278" s="46" t="inlineStr">
        <is>
          <t xml:space="preserve">Personal - regular use</t>
        </is>
      </c>
      <c r="P278" s="46" t="inlineStr">
        <is>
          <t xml:space="preserve">Under 1,000</t>
        </is>
      </c>
      <c r="Q278" s="46" t="inlineStr">
        <is>
          <t xml:space="preserve">California</t>
        </is>
      </c>
      <c r="R278" s="46" t="inlineStr">
        <is>
          <t xml:space="preserve">90012</t>
        </is>
      </c>
      <c r="S278" s="48" t="inlineStr">
        <is>
          <t xml:space="preserve">Earthquake - high (CA, Cascadia, New Madrid)</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9071.69</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CANON-202607-008039</t>
        </is>
      </c>
      <c r="B279" s="30" t="inlineStr">
        <is>
          <t xml:space="preserve">Emiliano Montoya</t>
        </is>
      </c>
      <c r="C279" s="31">
        <v>46230</v>
      </c>
      <c r="D279" s="32" t="inlineStr">
        <is>
          <t xml:space="preserve">Bound - within authority</t>
        </is>
      </c>
      <c r="E279" s="32" t="inlineStr">
        <is>
          <t xml:space="preserve">New business</t>
        </is>
      </c>
      <c r="F279" s="30" t="inlineStr">
        <is>
          <t xml:space="preserve">B1234EXOTIC26</t>
        </is>
      </c>
      <c r="G279" s="33">
        <f>IF($A279="","",IF($C279="","",YEAR($C279)))</f>
      </c>
      <c r="H279" s="34">
        <v>1992</v>
      </c>
      <c r="I279" s="30" t="inlineStr">
        <is>
          <t xml:space="preserve">Mercedes-Benz</t>
        </is>
      </c>
      <c r="J279" s="30" t="inlineStr">
        <is>
          <t xml:space="preserve">AMG GT</t>
        </is>
      </c>
      <c r="K279" s="30" t="inlineStr">
        <is>
          <t xml:space="preserve">4VH7J2MJKZN5MA6C7</t>
        </is>
      </c>
      <c r="L279" s="32" t="inlineStr">
        <is>
          <t xml:space="preserve">02 - Sports / GT</t>
        </is>
      </c>
      <c r="M279" s="35">
        <v>845000</v>
      </c>
      <c r="N279" s="32" t="inlineStr">
        <is>
          <t xml:space="preserve">Personal</t>
        </is>
      </c>
      <c r="O279" s="30" t="inlineStr">
        <is>
          <t xml:space="preserve">Personal - regular use</t>
        </is>
      </c>
      <c r="P279" s="30" t="inlineStr">
        <is>
          <t xml:space="preserve">2,500 - 5,000</t>
        </is>
      </c>
      <c r="Q279" s="30" t="inlineStr">
        <is>
          <t xml:space="preserve">Louisiana</t>
        </is>
      </c>
      <c r="R279" s="30" t="inlineStr">
        <is>
          <t xml:space="preserve">70112</t>
        </is>
      </c>
      <c r="S279" s="32" t="inlineStr">
        <is>
          <t xml:space="preserve">Tier 2 - Coastal wind (1-25 miles)</t>
        </is>
      </c>
      <c r="T279" s="36">
        <f>IF($A279="","",IF($S279="","",IFERROR(INDEX('[1]natural catastrophe'!$D$6:$D$17,MATCH($S279,'[1]natural catastrophe'!$B$6:$B$17,0)),"?")))</f>
      </c>
      <c r="U279" s="30" t="inlineStr">
        <is>
          <t xml:space="preserve">2% of agreed value, minimum $10,000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9542.54</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CANON-202607-008040</t>
        </is>
      </c>
      <c r="B280" s="46" t="inlineStr">
        <is>
          <t xml:space="preserve">Marisol Vasquez</t>
        </is>
      </c>
      <c r="C280" s="47">
        <v>46204</v>
      </c>
      <c r="D280" s="48" t="inlineStr">
        <is>
          <t xml:space="preserve">Bound - within authority</t>
        </is>
      </c>
      <c r="E280" s="48" t="inlineStr">
        <is>
          <t xml:space="preserve">New business</t>
        </is>
      </c>
      <c r="F280" s="46" t="inlineStr">
        <is>
          <t xml:space="preserve">B1234EXOTIC26</t>
        </is>
      </c>
      <c r="G280" s="33">
        <f>IF($A280="","",IF($C280="","",YEAR($C280)))</f>
      </c>
      <c r="H280" s="49">
        <v>2002</v>
      </c>
      <c r="I280" s="46" t="inlineStr">
        <is>
          <t xml:space="preserve">Bugatti</t>
        </is>
      </c>
      <c r="J280" s="46" t="inlineStr">
        <is>
          <t xml:space="preserve">Type 57</t>
        </is>
      </c>
      <c r="K280" s="46" t="inlineStr">
        <is>
          <t xml:space="preserve">FHCM1N8524B4MJBZK</t>
        </is>
      </c>
      <c r="L280" s="48" t="inlineStr">
        <is>
          <t xml:space="preserve">09 - Youngtimer / Collectible (2000-2010)</t>
        </is>
      </c>
      <c r="M280" s="50">
        <v>1500000</v>
      </c>
      <c r="N280" s="48" t="inlineStr">
        <is>
          <t xml:space="preserve">Personal</t>
        </is>
      </c>
      <c r="O280" s="46" t="inlineStr">
        <is>
          <t xml:space="preserve">Personal - regular use</t>
        </is>
      </c>
      <c r="P280" s="46" t="inlineStr">
        <is>
          <t xml:space="preserve">1,000 - 2,500</t>
        </is>
      </c>
      <c r="Q280" s="46" t="inlineStr">
        <is>
          <t xml:space="preserve">North Dakota</t>
        </is>
      </c>
      <c r="R280" s="46" t="inlineStr">
        <is>
          <t xml:space="preserve">58501</t>
        </is>
      </c>
      <c r="S280" s="48" t="inlineStr">
        <is>
          <t xml:space="preserve">Severe convective - hail alley (high)</t>
        </is>
      </c>
      <c r="T280" s="36">
        <f>IF($A280="","",IF($S280="","",IFERROR(INDEX('[1]natural catastrophe'!$D$6:$D$17,MATCH($S280,'[1]natural catastrophe'!$B$6:$B$17,0)),"?")))</f>
      </c>
      <c r="U280" s="46" t="inlineStr">
        <is>
          <t xml:space="preserve">$5,000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7469.28</v>
      </c>
      <c r="AC280" s="51">
        <v>0</v>
      </c>
      <c r="AD280" s="38">
        <f>IF(ISNUMBER($AB280),$AB280*(1+N($AC280)),"")</f>
      </c>
      <c r="AE280" s="50">
        <v>350</v>
      </c>
      <c r="AF280" s="50">
        <v>250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CANON-202607-008041</t>
        </is>
      </c>
      <c r="B281" s="30" t="inlineStr">
        <is>
          <t xml:space="preserve">Desmond Merriweather</t>
        </is>
      </c>
      <c r="C281" s="31">
        <v>46212</v>
      </c>
      <c r="D281" s="32" t="inlineStr">
        <is>
          <t xml:space="preserve">Bound - within authority</t>
        </is>
      </c>
      <c r="E281" s="32" t="inlineStr">
        <is>
          <t xml:space="preserve">New business</t>
        </is>
      </c>
      <c r="F281" s="30" t="inlineStr">
        <is>
          <t xml:space="preserve">B1234EXOTIC26</t>
        </is>
      </c>
      <c r="G281" s="33">
        <f>IF($A281="","",IF($C281="","",YEAR($C281)))</f>
      </c>
      <c r="H281" s="34">
        <v>2021</v>
      </c>
      <c r="I281" s="30" t="inlineStr">
        <is>
          <t xml:space="preserve">Aston Martin</t>
        </is>
      </c>
      <c r="J281" s="30" t="inlineStr">
        <is>
          <t xml:space="preserve">DB12</t>
        </is>
      </c>
      <c r="K281" s="30" t="inlineStr">
        <is>
          <t xml:space="preserve">TMAULX2Y2498LZMLF</t>
        </is>
      </c>
      <c r="L281" s="32" t="inlineStr">
        <is>
          <t xml:space="preserve">02 - Sports / GT</t>
        </is>
      </c>
      <c r="M281" s="35">
        <v>550000</v>
      </c>
      <c r="N281" s="32" t="inlineStr">
        <is>
          <t xml:space="preserve">Personal</t>
        </is>
      </c>
      <c r="O281" s="30" t="inlineStr">
        <is>
          <t xml:space="preserve">Personal - regular use</t>
        </is>
      </c>
      <c r="P281" s="30" t="inlineStr">
        <is>
          <t xml:space="preserve">Under 1,000</t>
        </is>
      </c>
      <c r="Q281" s="30" t="inlineStr">
        <is>
          <t xml:space="preserve">Vermont</t>
        </is>
      </c>
      <c r="R281" s="30" t="inlineStr">
        <is>
          <t xml:space="preserve">05601</t>
        </is>
      </c>
      <c r="S281" s="32" t="inlineStr">
        <is>
          <t xml:space="preserve">Low hazard - inland benign</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6262.46</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CANON-202607-008042</t>
        </is>
      </c>
      <c r="B282" s="46" t="inlineStr">
        <is>
          <t xml:space="preserve">Beatrix Harrington</t>
        </is>
      </c>
      <c r="C282" s="47">
        <v>46213</v>
      </c>
      <c r="D282" s="48" t="inlineStr">
        <is>
          <t xml:space="preserve">Bound - within authority</t>
        </is>
      </c>
      <c r="E282" s="48" t="inlineStr">
        <is>
          <t xml:space="preserve">New business</t>
        </is>
      </c>
      <c r="F282" s="46" t="inlineStr">
        <is>
          <t xml:space="preserve">B1234EXOTIC26</t>
        </is>
      </c>
      <c r="G282" s="33">
        <f>IF($A282="","",IF($C282="","",YEAR($C282)))</f>
      </c>
      <c r="H282" s="49">
        <v>2000</v>
      </c>
      <c r="I282" s="46" t="inlineStr">
        <is>
          <t xml:space="preserve">Aston Martin</t>
        </is>
      </c>
      <c r="J282" s="46" t="inlineStr">
        <is>
          <t xml:space="preserve">DB5</t>
        </is>
      </c>
      <c r="K282" s="46" t="inlineStr">
        <is>
          <t xml:space="preserve">98BP87H1055YAHVWP</t>
        </is>
      </c>
      <c r="L282" s="48" t="inlineStr">
        <is>
          <t xml:space="preserve">09 - Youngtimer / Collectible (2000-2010)</t>
        </is>
      </c>
      <c r="M282" s="50">
        <v>1260000</v>
      </c>
      <c r="N282" s="48" t="inlineStr">
        <is>
          <t xml:space="preserve">Personal</t>
        </is>
      </c>
      <c r="O282" s="46" t="inlineStr">
        <is>
          <t xml:space="preserve">Personal - regular use</t>
        </is>
      </c>
      <c r="P282" s="46" t="inlineStr">
        <is>
          <t xml:space="preserve">Under 1,000</t>
        </is>
      </c>
      <c r="Q282" s="46" t="inlineStr">
        <is>
          <t xml:space="preserve">Texas</t>
        </is>
      </c>
      <c r="R282" s="46" t="inlineStr">
        <is>
          <t xml:space="preserve">75201</t>
        </is>
      </c>
      <c r="S282" s="48" t="inlineStr">
        <is>
          <t xml:space="preserve">Tier 2 - Coastal wind (1-25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7906.07</v>
      </c>
      <c r="AC282" s="51">
        <v>0</v>
      </c>
      <c r="AD282" s="38">
        <f>IF(ISNUMBER($AB282),$AB282*(1+N($AC282)),"")</f>
      </c>
      <c r="AE282" s="50">
        <v>350</v>
      </c>
      <c r="AF282" s="50">
        <v>250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CANON-202607-008043</t>
        </is>
      </c>
      <c r="B283" s="30" t="inlineStr">
        <is>
          <t xml:space="preserve">Callum Vandermeer</t>
        </is>
      </c>
      <c r="C283" s="31">
        <v>46209</v>
      </c>
      <c r="D283" s="32" t="inlineStr">
        <is>
          <t xml:space="preserve">Bound - within authority</t>
        </is>
      </c>
      <c r="E283" s="32" t="inlineStr">
        <is>
          <t xml:space="preserve">New business</t>
        </is>
      </c>
      <c r="F283" s="30" t="inlineStr">
        <is>
          <t xml:space="preserve">B1234EXOTIC26</t>
        </is>
      </c>
      <c r="G283" s="33">
        <f>IF($A283="","",IF($C283="","",YEAR($C283)))</f>
      </c>
      <c r="H283" s="34">
        <v>1973</v>
      </c>
      <c r="I283" s="30" t="inlineStr">
        <is>
          <t xml:space="preserve">Porsche</t>
        </is>
      </c>
      <c r="J283" s="30" t="inlineStr">
        <is>
          <t xml:space="preserve">911 Turbo S</t>
        </is>
      </c>
      <c r="K283" s="30" t="inlineStr">
        <is>
          <t xml:space="preserve">XDTXTSMR8EKVGE4L1</t>
        </is>
      </c>
      <c r="L283" s="32" t="inlineStr">
        <is>
          <t xml:space="preserve">02 - Sports / GT</t>
        </is>
      </c>
      <c r="M283" s="35">
        <v>695000</v>
      </c>
      <c r="N283" s="32" t="inlineStr">
        <is>
          <t xml:space="preserve">Personal</t>
        </is>
      </c>
      <c r="O283" s="30" t="inlineStr">
        <is>
          <t xml:space="preserve">Personal - regular use</t>
        </is>
      </c>
      <c r="P283" s="30" t="inlineStr">
        <is>
          <t xml:space="preserve">2,500 - 5,000</t>
        </is>
      </c>
      <c r="Q283" s="30" t="inlineStr">
        <is>
          <t xml:space="preserve">Idaho</t>
        </is>
      </c>
      <c r="R283" s="30" t="inlineStr">
        <is>
          <t xml:space="preserve">83702</t>
        </is>
      </c>
      <c r="S283" s="32" t="inlineStr">
        <is>
          <t xml:space="preserve">Wildfire - WUI high hazard</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6421.58</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CANON-202607-008044</t>
        </is>
      </c>
      <c r="B284" s="46" t="inlineStr">
        <is>
          <t xml:space="preserve">Marisol Farkas</t>
        </is>
      </c>
      <c r="C284" s="47">
        <v>46231</v>
      </c>
      <c r="D284" s="48" t="inlineStr">
        <is>
          <t xml:space="preserve">Bound - within authority</t>
        </is>
      </c>
      <c r="E284" s="48" t="inlineStr">
        <is>
          <t xml:space="preserve">New business</t>
        </is>
      </c>
      <c r="F284" s="46" t="inlineStr">
        <is>
          <t xml:space="preserve">B1234EXOTIC26</t>
        </is>
      </c>
      <c r="G284" s="33">
        <f>IF($A284="","",IF($C284="","",YEAR($C284)))</f>
      </c>
      <c r="H284" s="49">
        <v>1997</v>
      </c>
      <c r="I284" s="46" t="inlineStr">
        <is>
          <t xml:space="preserve">Porsche</t>
        </is>
      </c>
      <c r="J284" s="46" t="inlineStr">
        <is>
          <t xml:space="preserve">911 Turbo S</t>
        </is>
      </c>
      <c r="K284" s="46" t="inlineStr">
        <is>
          <t xml:space="preserve">UE2WW94TEW7K41KTM</t>
        </is>
      </c>
      <c r="L284" s="48" t="inlineStr">
        <is>
          <t xml:space="preserve">02 - Sports / GT</t>
        </is>
      </c>
      <c r="M284" s="50">
        <v>425000</v>
      </c>
      <c r="N284" s="48" t="inlineStr">
        <is>
          <t xml:space="preserve">Personal</t>
        </is>
      </c>
      <c r="O284" s="46" t="inlineStr">
        <is>
          <t xml:space="preserve">Personal - regular use</t>
        </is>
      </c>
      <c r="P284" s="46" t="inlineStr">
        <is>
          <t xml:space="preserve">2,500 - 5,000</t>
        </is>
      </c>
      <c r="Q284" s="46" t="inlineStr">
        <is>
          <t xml:space="preserve">Oklahoma</t>
        </is>
      </c>
      <c r="R284" s="46" t="inlineStr">
        <is>
          <t xml:space="preserve">73102</t>
        </is>
      </c>
      <c r="S284" s="48" t="inlineStr">
        <is>
          <t xml:space="preserve">Severe convective - hail alley (high)</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5766.73</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CANON-202607-008045</t>
        </is>
      </c>
      <c r="B285" s="30" t="inlineStr">
        <is>
          <t xml:space="preserve">Mireille Castellanos</t>
        </is>
      </c>
      <c r="C285" s="31">
        <v>46209</v>
      </c>
      <c r="D285" s="32" t="inlineStr">
        <is>
          <t xml:space="preserve">Bound - within authority</t>
        </is>
      </c>
      <c r="E285" s="32" t="inlineStr">
        <is>
          <t xml:space="preserve">New business</t>
        </is>
      </c>
      <c r="F285" s="30" t="inlineStr">
        <is>
          <t xml:space="preserve">B1234EXOTIC26</t>
        </is>
      </c>
      <c r="G285" s="33">
        <f>IF($A285="","",IF($C285="","",YEAR($C285)))</f>
      </c>
      <c r="H285" s="34">
        <v>1974</v>
      </c>
      <c r="I285" s="30" t="inlineStr">
        <is>
          <t xml:space="preserve">Aston Martin</t>
        </is>
      </c>
      <c r="J285" s="30" t="inlineStr">
        <is>
          <t xml:space="preserve">DB5</t>
        </is>
      </c>
      <c r="K285" s="30" t="inlineStr">
        <is>
          <t xml:space="preserve">FU41Z56URHJ17WJWP</t>
        </is>
      </c>
      <c r="L285" s="32" t="inlineStr">
        <is>
          <t xml:space="preserve">08 - Modern Classic (1973-1999)</t>
        </is>
      </c>
      <c r="M285" s="35">
        <v>630000</v>
      </c>
      <c r="N285" s="32" t="inlineStr">
        <is>
          <t xml:space="preserve">Personal</t>
        </is>
      </c>
      <c r="O285" s="30" t="inlineStr">
        <is>
          <t xml:space="preserve">Personal - regular use</t>
        </is>
      </c>
      <c r="P285" s="30" t="inlineStr">
        <is>
          <t xml:space="preserve">2,500 - 5,000</t>
        </is>
      </c>
      <c r="Q285" s="30" t="inlineStr">
        <is>
          <t xml:space="preserve">New Mexico</t>
        </is>
      </c>
      <c r="R285" s="30" t="inlineStr">
        <is>
          <t xml:space="preserve">87501</t>
        </is>
      </c>
      <c r="S285" s="32" t="inlineStr">
        <is>
          <t xml:space="preserve">Wildfire - WUI high hazard</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4978.83</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CANON-202607-008046</t>
        </is>
      </c>
      <c r="B286" s="46" t="inlineStr">
        <is>
          <t xml:space="preserve">Callum Bellandi</t>
        </is>
      </c>
      <c r="C286" s="47">
        <v>46214</v>
      </c>
      <c r="D286" s="48" t="inlineStr">
        <is>
          <t xml:space="preserve">Bound - within authority</t>
        </is>
      </c>
      <c r="E286" s="48" t="inlineStr">
        <is>
          <t xml:space="preserve">New business</t>
        </is>
      </c>
      <c r="F286" s="46" t="inlineStr">
        <is>
          <t xml:space="preserve">B1234EXOTIC26</t>
        </is>
      </c>
      <c r="G286" s="33">
        <f>IF($A286="","",IF($C286="","",YEAR($C286)))</f>
      </c>
      <c r="H286" s="49">
        <v>1996</v>
      </c>
      <c r="I286" s="46" t="inlineStr">
        <is>
          <t xml:space="preserve">Porsche</t>
        </is>
      </c>
      <c r="J286" s="46" t="inlineStr">
        <is>
          <t xml:space="preserve">911 Turbo S</t>
        </is>
      </c>
      <c r="K286" s="46" t="inlineStr">
        <is>
          <t xml:space="preserve">FGAJESRLJ156ZER1J</t>
        </is>
      </c>
      <c r="L286" s="48" t="inlineStr">
        <is>
          <t xml:space="preserve">02 - Sports / GT</t>
        </is>
      </c>
      <c r="M286" s="50">
        <v>605000</v>
      </c>
      <c r="N286" s="48" t="inlineStr">
        <is>
          <t xml:space="preserve">Personal</t>
        </is>
      </c>
      <c r="O286" s="46" t="inlineStr">
        <is>
          <t xml:space="preserve">Personal - regular use</t>
        </is>
      </c>
      <c r="P286" s="46" t="inlineStr">
        <is>
          <t xml:space="preserve">2,500 - 5,000</t>
        </is>
      </c>
      <c r="Q286" s="46" t="inlineStr">
        <is>
          <t xml:space="preserve">Texas</t>
        </is>
      </c>
      <c r="R286" s="46" t="inlineStr">
        <is>
          <t xml:space="preserve">75201</t>
        </is>
      </c>
      <c r="S286" s="48" t="inlineStr">
        <is>
          <t xml:space="preserve">Tier 2 - Coastal wind (1-25 miles)</t>
        </is>
      </c>
      <c r="T286" s="36">
        <f>IF($A286="","",IF($S286="","",IFERROR(INDEX('[1]natural catastrophe'!$D$6:$D$17,MATCH($S286,'[1]natural catastrophe'!$B$6:$B$17,0)),"?")))</f>
      </c>
      <c r="U286" s="46" t="inlineStr">
        <is>
          <t xml:space="preserve">2% of agreed value, minimum $10,000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6493.45</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CANON-202607-008047</t>
        </is>
      </c>
      <c r="B287" s="30" t="inlineStr">
        <is>
          <t xml:space="preserve">Cassius Merriweather</t>
        </is>
      </c>
      <c r="C287" s="31">
        <v>46225</v>
      </c>
      <c r="D287" s="32" t="inlineStr">
        <is>
          <t xml:space="preserve">Bound - within authority</t>
        </is>
      </c>
      <c r="E287" s="32" t="inlineStr">
        <is>
          <t xml:space="preserve">New business</t>
        </is>
      </c>
      <c r="F287" s="30" t="inlineStr">
        <is>
          <t xml:space="preserve">B1234EXOTIC26</t>
        </is>
      </c>
      <c r="G287" s="33">
        <f>IF($A287="","",IF($C287="","",YEAR($C287)))</f>
      </c>
      <c r="H287" s="34">
        <v>1973</v>
      </c>
      <c r="I287" s="30" t="inlineStr">
        <is>
          <t xml:space="preserve">Maserati</t>
        </is>
      </c>
      <c r="J287" s="30" t="inlineStr">
        <is>
          <t xml:space="preserve">GranTurismo</t>
        </is>
      </c>
      <c r="K287" s="30" t="inlineStr">
        <is>
          <t xml:space="preserve">8PFPMPTKUVFZM9R3W</t>
        </is>
      </c>
      <c r="L287" s="32" t="inlineStr">
        <is>
          <t xml:space="preserve">02 - Sports / GT</t>
        </is>
      </c>
      <c r="M287" s="35">
        <v>350000</v>
      </c>
      <c r="N287" s="32" t="inlineStr">
        <is>
          <t xml:space="preserve">Personal</t>
        </is>
      </c>
      <c r="O287" s="30" t="inlineStr">
        <is>
          <t xml:space="preserve">Personal - regular use</t>
        </is>
      </c>
      <c r="P287" s="30" t="inlineStr">
        <is>
          <t xml:space="preserve">1,000 - 2,500</t>
        </is>
      </c>
      <c r="Q287" s="30" t="inlineStr">
        <is>
          <t xml:space="preserve">Hawaii</t>
        </is>
      </c>
      <c r="R287" s="30" t="inlineStr">
        <is>
          <t xml:space="preserve">96813</t>
        </is>
      </c>
      <c r="S287" s="32" t="inlineStr">
        <is>
          <t xml:space="preserve">Earthquake - high (CA, Cascadia, New Madrid)</t>
        </is>
      </c>
      <c r="T287" s="36">
        <f>IF($A287="","",IF($S287="","",IFERROR(INDEX('[1]natural catastrophe'!$D$6:$D$17,MATCH($S287,'[1]natural catastrophe'!$B$6:$B$17,0)),"?")))</f>
      </c>
      <c r="U287" s="30" t="inlineStr">
        <is>
          <t xml:space="preserve">$5,000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4899.84</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CANON-202607-008048</t>
        </is>
      </c>
      <c r="B288" s="46" t="inlineStr">
        <is>
          <t xml:space="preserve">Anouk Okonkwo</t>
        </is>
      </c>
      <c r="C288" s="47">
        <v>46221</v>
      </c>
      <c r="D288" s="48" t="inlineStr">
        <is>
          <t xml:space="preserve">Bound - within authority</t>
        </is>
      </c>
      <c r="E288" s="48" t="inlineStr">
        <is>
          <t xml:space="preserve">New business</t>
        </is>
      </c>
      <c r="F288" s="46" t="inlineStr">
        <is>
          <t xml:space="preserve">B1234EXOTIC26</t>
        </is>
      </c>
      <c r="G288" s="33">
        <f>IF($A288="","",IF($C288="","",YEAR($C288)))</f>
      </c>
      <c r="H288" s="49">
        <v>1971</v>
      </c>
      <c r="I288" s="46" t="inlineStr">
        <is>
          <t xml:space="preserve">Maserati</t>
        </is>
      </c>
      <c r="J288" s="46" t="inlineStr">
        <is>
          <t xml:space="preserve">GranTurismo</t>
        </is>
      </c>
      <c r="K288" s="46" t="inlineStr">
        <is>
          <t xml:space="preserve">4CY1UB80PSS6HL0AV</t>
        </is>
      </c>
      <c r="L288" s="48" t="inlineStr">
        <is>
          <t xml:space="preserve">02 - Sports / GT</t>
        </is>
      </c>
      <c r="M288" s="50">
        <v>465000</v>
      </c>
      <c r="N288" s="48" t="inlineStr">
        <is>
          <t xml:space="preserve">Personal</t>
        </is>
      </c>
      <c r="O288" s="46" t="inlineStr">
        <is>
          <t xml:space="preserve">Personal - regular use</t>
        </is>
      </c>
      <c r="P288" s="46" t="inlineStr">
        <is>
          <t xml:space="preserve">Under 1,000</t>
        </is>
      </c>
      <c r="Q288" s="46" t="inlineStr">
        <is>
          <t xml:space="preserve">South Dakota</t>
        </is>
      </c>
      <c r="R288" s="46" t="inlineStr">
        <is>
          <t xml:space="preserve">57501</t>
        </is>
      </c>
      <c r="S288" s="48" t="inlineStr">
        <is>
          <t xml:space="preserve">Severe convective - hail alley (high)</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5558.35</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CANON-202607-008049</t>
        </is>
      </c>
      <c r="B289" s="30" t="inlineStr">
        <is>
          <t xml:space="preserve">Horace Larsson</t>
        </is>
      </c>
      <c r="C289" s="31">
        <v>46233</v>
      </c>
      <c r="D289" s="32" t="inlineStr">
        <is>
          <t xml:space="preserve">Bound - within authority</t>
        </is>
      </c>
      <c r="E289" s="32" t="inlineStr">
        <is>
          <t xml:space="preserve">New business</t>
        </is>
      </c>
      <c r="F289" s="30" t="inlineStr">
        <is>
          <t xml:space="preserve">B1234EXOTIC26</t>
        </is>
      </c>
      <c r="G289" s="33">
        <f>IF($A289="","",IF($C289="","",YEAR($C289)))</f>
      </c>
      <c r="H289" s="34">
        <v>2010</v>
      </c>
      <c r="I289" s="30" t="inlineStr">
        <is>
          <t xml:space="preserve">BMW</t>
        </is>
      </c>
      <c r="J289" s="30" t="inlineStr">
        <is>
          <t xml:space="preserve">M8 Competition</t>
        </is>
      </c>
      <c r="K289" s="30" t="inlineStr">
        <is>
          <t xml:space="preserve">K6P9X92ZH33ARKKY3</t>
        </is>
      </c>
      <c r="L289" s="32" t="inlineStr">
        <is>
          <t xml:space="preserve">02 - Sports / GT</t>
        </is>
      </c>
      <c r="M289" s="35">
        <v>510000</v>
      </c>
      <c r="N289" s="32" t="inlineStr">
        <is>
          <t xml:space="preserve">Personal</t>
        </is>
      </c>
      <c r="O289" s="30" t="inlineStr">
        <is>
          <t xml:space="preserve">Personal - regular use</t>
        </is>
      </c>
      <c r="P289" s="30" t="inlineStr">
        <is>
          <t xml:space="preserve">Under 1,000</t>
        </is>
      </c>
      <c r="Q289" s="30" t="inlineStr">
        <is>
          <t xml:space="preserve">South Carolina</t>
        </is>
      </c>
      <c r="R289" s="30" t="inlineStr">
        <is>
          <t xml:space="preserve">29401</t>
        </is>
      </c>
      <c r="S289" s="32" t="inlineStr">
        <is>
          <t xml:space="preserve">Tier 2 - Coastal wind (1-25 miles)</t>
        </is>
      </c>
      <c r="T289" s="36">
        <f>IF($A289="","",IF($S289="","",IFERROR(INDEX('[1]natural catastrophe'!$D$6:$D$17,MATCH($S289,'[1]natural catastrophe'!$B$6:$B$17,0)),"?")))</f>
      </c>
      <c r="U289" s="30" t="inlineStr">
        <is>
          <t xml:space="preserve">2% of agreed value, minimum $10,000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5902.2</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CANON-202607-008052</t>
        </is>
      </c>
      <c r="B290" s="46" t="inlineStr">
        <is>
          <t xml:space="preserve">Ramona Farkas</t>
        </is>
      </c>
      <c r="C290" s="47">
        <v>46207</v>
      </c>
      <c r="D290" s="48" t="inlineStr">
        <is>
          <t xml:space="preserve">Bound - within authority</t>
        </is>
      </c>
      <c r="E290" s="48" t="inlineStr">
        <is>
          <t xml:space="preserve">New business</t>
        </is>
      </c>
      <c r="F290" s="46" t="inlineStr">
        <is>
          <t xml:space="preserve">B1234EXOTIC26</t>
        </is>
      </c>
      <c r="G290" s="33">
        <f>IF($A290="","",IF($C290="","",YEAR($C290)))</f>
      </c>
      <c r="H290" s="49">
        <v>1958</v>
      </c>
      <c r="I290" s="46" t="inlineStr">
        <is>
          <t xml:space="preserve">Mercedes-Benz</t>
        </is>
      </c>
      <c r="J290" s="46" t="inlineStr">
        <is>
          <t xml:space="preserve">AMG GT</t>
        </is>
      </c>
      <c r="K290" s="46" t="inlineStr">
        <is>
          <t xml:space="preserve">GUFX7A5XP24VLGDDC</t>
        </is>
      </c>
      <c r="L290" s="48" t="inlineStr">
        <is>
          <t xml:space="preserve">02 - Sports / GT</t>
        </is>
      </c>
      <c r="M290" s="50">
        <v>895000</v>
      </c>
      <c r="N290" s="48" t="inlineStr">
        <is>
          <t xml:space="preserve">Personal</t>
        </is>
      </c>
      <c r="O290" s="46" t="inlineStr">
        <is>
          <t xml:space="preserve">Personal - regular use</t>
        </is>
      </c>
      <c r="P290" s="46" t="inlineStr">
        <is>
          <t xml:space="preserve">Under 1,000</t>
        </is>
      </c>
      <c r="Q290" s="46" t="inlineStr">
        <is>
          <t xml:space="preserve">Alabama</t>
        </is>
      </c>
      <c r="R290" s="46" t="inlineStr">
        <is>
          <t xml:space="preserve">35203</t>
        </is>
      </c>
      <c r="S290" s="48" t="inlineStr">
        <is>
          <t xml:space="preserve">Tier 2 - Coastal wind (1-25 miles)</t>
        </is>
      </c>
      <c r="T290" s="36">
        <f>IF($A290="","",IF($S290="","",IFERROR(INDEX('[1]natural catastrophe'!$D$6:$D$17,MATCH($S290,'[1]natural catastrophe'!$B$6:$B$17,0)),"?")))</f>
      </c>
      <c r="U290" s="46" t="inlineStr">
        <is>
          <t xml:space="preserve">2% of agreed value, minimum $10,000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10608.38</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CANON-202607-008055</t>
        </is>
      </c>
      <c r="B291" s="30" t="inlineStr">
        <is>
          <t xml:space="preserve">Everett Thistlewood</t>
        </is>
      </c>
      <c r="C291" s="31">
        <v>46212</v>
      </c>
      <c r="D291" s="32" t="inlineStr">
        <is>
          <t xml:space="preserve">Bound - within authority</t>
        </is>
      </c>
      <c r="E291" s="32" t="inlineStr">
        <is>
          <t xml:space="preserve">New business</t>
        </is>
      </c>
      <c r="F291" s="30" t="inlineStr">
        <is>
          <t xml:space="preserve">B1234EXOTIC26</t>
        </is>
      </c>
      <c r="G291" s="33">
        <f>IF($A291="","",IF($C291="","",YEAR($C291)))</f>
      </c>
      <c r="H291" s="34">
        <v>1991</v>
      </c>
      <c r="I291" s="30" t="inlineStr">
        <is>
          <t xml:space="preserve">Mercedes-Benz</t>
        </is>
      </c>
      <c r="J291" s="30" t="inlineStr">
        <is>
          <t xml:space="preserve">AMG GT</t>
        </is>
      </c>
      <c r="K291" s="30" t="inlineStr">
        <is>
          <t xml:space="preserve">47WRJNGCPUY7ACMKZ</t>
        </is>
      </c>
      <c r="L291" s="32" t="inlineStr">
        <is>
          <t xml:space="preserve">02 - Sports / GT</t>
        </is>
      </c>
      <c r="M291" s="35">
        <v>690000</v>
      </c>
      <c r="N291" s="32" t="inlineStr">
        <is>
          <t xml:space="preserve">Personal</t>
        </is>
      </c>
      <c r="O291" s="30" t="inlineStr">
        <is>
          <t xml:space="preserve">Personal - regular use</t>
        </is>
      </c>
      <c r="P291" s="30" t="inlineStr">
        <is>
          <t xml:space="preserve">1,000 - 2,500</t>
        </is>
      </c>
      <c r="Q291" s="30" t="inlineStr">
        <is>
          <t xml:space="preserve">Pennsylvania</t>
        </is>
      </c>
      <c r="R291" s="30" t="inlineStr">
        <is>
          <t xml:space="preserve">19103</t>
        </is>
      </c>
      <c r="S291" s="32" t="inlineStr">
        <is>
          <t xml:space="preserve">Low hazard - inland benign</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6439.78</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CANON-202607-008056</t>
        </is>
      </c>
      <c r="B292" s="46" t="inlineStr">
        <is>
          <t xml:space="preserve">Aurelio Harrington</t>
        </is>
      </c>
      <c r="C292" s="47">
        <v>46224</v>
      </c>
      <c r="D292" s="48" t="inlineStr">
        <is>
          <t xml:space="preserve">Bound - within authority</t>
        </is>
      </c>
      <c r="E292" s="48" t="inlineStr">
        <is>
          <t xml:space="preserve">New business</t>
        </is>
      </c>
      <c r="F292" s="46" t="inlineStr">
        <is>
          <t xml:space="preserve">B1234EXOTIC26</t>
        </is>
      </c>
      <c r="G292" s="33">
        <f>IF($A292="","",IF($C292="","",YEAR($C292)))</f>
      </c>
      <c r="H292" s="49">
        <v>1968</v>
      </c>
      <c r="I292" s="46" t="inlineStr">
        <is>
          <t xml:space="preserve">BMW</t>
        </is>
      </c>
      <c r="J292" s="46" t="inlineStr">
        <is>
          <t xml:space="preserve">M8 Competition</t>
        </is>
      </c>
      <c r="K292" s="46" t="inlineStr">
        <is>
          <t xml:space="preserve">KGFNZ9VJ94UTC2PJ6</t>
        </is>
      </c>
      <c r="L292" s="48" t="inlineStr">
        <is>
          <t xml:space="preserve">02 - Sports / GT</t>
        </is>
      </c>
      <c r="M292" s="50">
        <v>1155000</v>
      </c>
      <c r="N292" s="48" t="inlineStr">
        <is>
          <t xml:space="preserve">Personal</t>
        </is>
      </c>
      <c r="O292" s="46" t="inlineStr">
        <is>
          <t xml:space="preserve">Personal - regular use</t>
        </is>
      </c>
      <c r="P292" s="46" t="inlineStr">
        <is>
          <t xml:space="preserve">1,000 - 2,500</t>
        </is>
      </c>
      <c r="Q292" s="46" t="inlineStr">
        <is>
          <t xml:space="preserve">Indiana</t>
        </is>
      </c>
      <c r="R292" s="46" t="inlineStr">
        <is>
          <t xml:space="preserve">46204</t>
        </is>
      </c>
      <c r="S292" s="48" t="inlineStr">
        <is>
          <t xml:space="preserve">Severe convective - hail / tornado (moderate)</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11219.11</v>
      </c>
      <c r="AC292" s="51">
        <v>0</v>
      </c>
      <c r="AD292" s="38">
        <f>IF(ISNUMBER($AB292),$AB292*(1+N($AC292)),"")</f>
      </c>
      <c r="AE292" s="50">
        <v>350</v>
      </c>
      <c r="AF292" s="50">
        <v>250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CANON-202607-008058</t>
        </is>
      </c>
      <c r="B293" s="30" t="inlineStr">
        <is>
          <t xml:space="preserve">Wilhelmina Chattopadhyay</t>
        </is>
      </c>
      <c r="C293" s="31">
        <v>46213</v>
      </c>
      <c r="D293" s="32" t="inlineStr">
        <is>
          <t xml:space="preserve">Bound - within authority</t>
        </is>
      </c>
      <c r="E293" s="32" t="inlineStr">
        <is>
          <t xml:space="preserve">New business</t>
        </is>
      </c>
      <c r="F293" s="30" t="inlineStr">
        <is>
          <t xml:space="preserve">B1234EXOTIC26</t>
        </is>
      </c>
      <c r="G293" s="33">
        <f>IF($A293="","",IF($C293="","",YEAR($C293)))</f>
      </c>
      <c r="H293" s="34">
        <v>2006</v>
      </c>
      <c r="I293" s="30" t="inlineStr">
        <is>
          <t xml:space="preserve">Bentley</t>
        </is>
      </c>
      <c r="J293" s="30" t="inlineStr">
        <is>
          <t xml:space="preserve">Continental GT</t>
        </is>
      </c>
      <c r="K293" s="30" t="inlineStr">
        <is>
          <t xml:space="preserve">CD4Y1NY5FH8LFSLBA</t>
        </is>
      </c>
      <c r="L293" s="32" t="inlineStr">
        <is>
          <t xml:space="preserve">02 - Sports / GT</t>
        </is>
      </c>
      <c r="M293" s="35">
        <v>420000</v>
      </c>
      <c r="N293" s="32" t="inlineStr">
        <is>
          <t xml:space="preserve">Personal</t>
        </is>
      </c>
      <c r="O293" s="30" t="inlineStr">
        <is>
          <t xml:space="preserve">Personal - regular use</t>
        </is>
      </c>
      <c r="P293" s="30" t="inlineStr">
        <is>
          <t xml:space="preserve">1,000 - 2,500</t>
        </is>
      </c>
      <c r="Q293" s="30" t="inlineStr">
        <is>
          <t xml:space="preserve">North Dakota</t>
        </is>
      </c>
      <c r="R293" s="30" t="inlineStr">
        <is>
          <t xml:space="preserve">58501</t>
        </is>
      </c>
      <c r="S293" s="32" t="inlineStr">
        <is>
          <t xml:space="preserve">Severe convective - hail alley (high)</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4613.38</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CANON-202607-008059</t>
        </is>
      </c>
      <c r="B294" s="46" t="inlineStr">
        <is>
          <t xml:space="preserve">Horace Montoya</t>
        </is>
      </c>
      <c r="C294" s="47">
        <v>46213</v>
      </c>
      <c r="D294" s="48" t="inlineStr">
        <is>
          <t xml:space="preserve">Bound - within authority</t>
        </is>
      </c>
      <c r="E294" s="48" t="inlineStr">
        <is>
          <t xml:space="preserve">New business</t>
        </is>
      </c>
      <c r="F294" s="46" t="inlineStr">
        <is>
          <t xml:space="preserve">B1234EXOTIC26</t>
        </is>
      </c>
      <c r="G294" s="33">
        <f>IF($A294="","",IF($C294="","",YEAR($C294)))</f>
      </c>
      <c r="H294" s="49">
        <v>1958</v>
      </c>
      <c r="I294" s="46" t="inlineStr">
        <is>
          <t xml:space="preserve">McLaren</t>
        </is>
      </c>
      <c r="J294" s="46" t="inlineStr">
        <is>
          <t xml:space="preserve">750S</t>
        </is>
      </c>
      <c r="K294" s="46" t="inlineStr">
        <is>
          <t xml:space="preserve">7GKZJDSKABAEJJ2W4</t>
        </is>
      </c>
      <c r="L294" s="48" t="inlineStr">
        <is>
          <t xml:space="preserve">03 - Supercar</t>
        </is>
      </c>
      <c r="M294" s="50">
        <v>315000</v>
      </c>
      <c r="N294" s="48" t="inlineStr">
        <is>
          <t xml:space="preserve">Personal</t>
        </is>
      </c>
      <c r="O294" s="46" t="inlineStr">
        <is>
          <t xml:space="preserve">Personal - regular use</t>
        </is>
      </c>
      <c r="P294" s="46" t="inlineStr">
        <is>
          <t xml:space="preserve">Under 1,000</t>
        </is>
      </c>
      <c r="Q294" s="46" t="inlineStr">
        <is>
          <t xml:space="preserve">Washington</t>
        </is>
      </c>
      <c r="R294" s="46" t="inlineStr">
        <is>
          <t xml:space="preserve">98101</t>
        </is>
      </c>
      <c r="S294" s="48" t="inlineStr">
        <is>
          <t xml:space="preserve">Earthquake - high (CA, Cascadia, New Madrid)</t>
        </is>
      </c>
      <c r="T294" s="36">
        <f>IF($A294="","",IF($S294="","",IFERROR(INDEX('[1]natural catastrophe'!$D$6:$D$17,MATCH($S294,'[1]natural catastrophe'!$B$6:$B$17,0)),"?")))</f>
      </c>
      <c r="U294" s="46" t="inlineStr">
        <is>
          <t xml:space="preserve">$5,000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4993.31</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CANON-202607-008061</t>
        </is>
      </c>
      <c r="B295" s="30" t="inlineStr">
        <is>
          <t xml:space="preserve">Aurelio Thistlewood</t>
        </is>
      </c>
      <c r="C295" s="31">
        <v>46234</v>
      </c>
      <c r="D295" s="32" t="inlineStr">
        <is>
          <t xml:space="preserve">Bound - within authority</t>
        </is>
      </c>
      <c r="E295" s="32" t="inlineStr">
        <is>
          <t xml:space="preserve">New business</t>
        </is>
      </c>
      <c r="F295" s="30" t="inlineStr">
        <is>
          <t xml:space="preserve">B1234EXOTIC26</t>
        </is>
      </c>
      <c r="G295" s="33">
        <f>IF($A295="","",IF($C295="","",YEAR($C295)))</f>
      </c>
      <c r="H295" s="34">
        <v>2023</v>
      </c>
      <c r="I295" s="30" t="inlineStr">
        <is>
          <t xml:space="preserve">Ferrari</t>
        </is>
      </c>
      <c r="J295" s="30" t="inlineStr">
        <is>
          <t xml:space="preserve">296 GTB</t>
        </is>
      </c>
      <c r="K295" s="30" t="inlineStr">
        <is>
          <t xml:space="preserve">ZLTZLMYXZL0E9J0RZ</t>
        </is>
      </c>
      <c r="L295" s="32" t="inlineStr">
        <is>
          <t xml:space="preserve">03 - Supercar</t>
        </is>
      </c>
      <c r="M295" s="35">
        <v>695000</v>
      </c>
      <c r="N295" s="32" t="inlineStr">
        <is>
          <t xml:space="preserve">Personal</t>
        </is>
      </c>
      <c r="O295" s="30" t="inlineStr">
        <is>
          <t xml:space="preserve">Personal - regular use</t>
        </is>
      </c>
      <c r="P295" s="30" t="inlineStr">
        <is>
          <t xml:space="preserve">Under 1,000</t>
        </is>
      </c>
      <c r="Q295" s="30" t="inlineStr">
        <is>
          <t xml:space="preserve">Texas</t>
        </is>
      </c>
      <c r="R295" s="30" t="inlineStr">
        <is>
          <t xml:space="preserve">75201</t>
        </is>
      </c>
      <c r="S295" s="32" t="inlineStr">
        <is>
          <t xml:space="preserve">Tier 2 - Coastal wind (1-25 miles)</t>
        </is>
      </c>
      <c r="T295" s="36">
        <f>IF($A295="","",IF($S295="","",IFERROR(INDEX('[1]natural catastrophe'!$D$6:$D$17,MATCH($S295,'[1]natural catastrophe'!$B$6:$B$17,0)),"?")))</f>
      </c>
      <c r="U295" s="30" t="inlineStr">
        <is>
          <t xml:space="preserve">2% of agreed value, minimum $10,000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10902.22</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CANON-202607-008062</t>
        </is>
      </c>
      <c r="B296" s="46" t="inlineStr">
        <is>
          <t xml:space="preserve">Leopold Castellanos</t>
        </is>
      </c>
      <c r="C296" s="47">
        <v>46230</v>
      </c>
      <c r="D296" s="48" t="inlineStr">
        <is>
          <t xml:space="preserve">Bound - within authority</t>
        </is>
      </c>
      <c r="E296" s="48" t="inlineStr">
        <is>
          <t xml:space="preserve">New business</t>
        </is>
      </c>
      <c r="F296" s="46" t="inlineStr">
        <is>
          <t xml:space="preserve">B1234EXOTIC26</t>
        </is>
      </c>
      <c r="G296" s="33">
        <f>IF($A296="","",IF($C296="","",YEAR($C296)))</f>
      </c>
      <c r="H296" s="49">
        <v>2007</v>
      </c>
      <c r="I296" s="46" t="inlineStr">
        <is>
          <t xml:space="preserve">Ferrari</t>
        </is>
      </c>
      <c r="J296" s="46" t="inlineStr">
        <is>
          <t xml:space="preserve">SF90 Stradale</t>
        </is>
      </c>
      <c r="K296" s="46" t="inlineStr">
        <is>
          <t xml:space="preserve">8XVYFC3L1UHDLFVR1</t>
        </is>
      </c>
      <c r="L296" s="48" t="inlineStr">
        <is>
          <t xml:space="preserve">03 - Supercar</t>
        </is>
      </c>
      <c r="M296" s="50">
        <v>495000</v>
      </c>
      <c r="N296" s="48" t="inlineStr">
        <is>
          <t xml:space="preserve">Personal</t>
        </is>
      </c>
      <c r="O296" s="46" t="inlineStr">
        <is>
          <t xml:space="preserve">Personal - regular use</t>
        </is>
      </c>
      <c r="P296" s="46" t="inlineStr">
        <is>
          <t xml:space="preserve">2,500 - 5,000</t>
        </is>
      </c>
      <c r="Q296" s="46" t="inlineStr">
        <is>
          <t xml:space="preserve">Tennessee</t>
        </is>
      </c>
      <c r="R296" s="46" t="inlineStr">
        <is>
          <t xml:space="preserve">37203</t>
        </is>
      </c>
      <c r="S296" s="48" t="inlineStr">
        <is>
          <t xml:space="preserve">Severe convective - hail / tornado (moderate)</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8010.1</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CANON-202607-008064</t>
        </is>
      </c>
      <c r="B297" s="30" t="inlineStr">
        <is>
          <t xml:space="preserve">Ramona Fairweather</t>
        </is>
      </c>
      <c r="C297" s="31">
        <v>46217</v>
      </c>
      <c r="D297" s="32" t="inlineStr">
        <is>
          <t xml:space="preserve">Bound - within authority</t>
        </is>
      </c>
      <c r="E297" s="32" t="inlineStr">
        <is>
          <t xml:space="preserve">New business</t>
        </is>
      </c>
      <c r="F297" s="30" t="inlineStr">
        <is>
          <t xml:space="preserve">B1234EXOTIC26</t>
        </is>
      </c>
      <c r="G297" s="33">
        <f>IF($A297="","",IF($C297="","",YEAR($C297)))</f>
      </c>
      <c r="H297" s="34">
        <v>1993</v>
      </c>
      <c r="I297" s="30" t="inlineStr">
        <is>
          <t xml:space="preserve">Lamborghini</t>
        </is>
      </c>
      <c r="J297" s="30" t="inlineStr">
        <is>
          <t xml:space="preserve">Huracan EVO</t>
        </is>
      </c>
      <c r="K297" s="30" t="inlineStr">
        <is>
          <t xml:space="preserve">RC73HSJN9L79T00WN</t>
        </is>
      </c>
      <c r="L297" s="32" t="inlineStr">
        <is>
          <t xml:space="preserve">03 - Supercar</t>
        </is>
      </c>
      <c r="M297" s="35">
        <v>1150000</v>
      </c>
      <c r="N297" s="32" t="inlineStr">
        <is>
          <t xml:space="preserve">Personal</t>
        </is>
      </c>
      <c r="O297" s="30" t="inlineStr">
        <is>
          <t xml:space="preserve">Personal - regular use</t>
        </is>
      </c>
      <c r="P297" s="30" t="inlineStr">
        <is>
          <t xml:space="preserve">2,500 - 5,000</t>
        </is>
      </c>
      <c r="Q297" s="30" t="inlineStr">
        <is>
          <t xml:space="preserve">Michigan</t>
        </is>
      </c>
      <c r="R297" s="30" t="inlineStr">
        <is>
          <t xml:space="preserve">48226</t>
        </is>
      </c>
      <c r="S297" s="32" t="inlineStr">
        <is>
          <t xml:space="preserve">Severe convective - hail / tornado (moderate)</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20475.21</v>
      </c>
      <c r="AC297" s="37">
        <v>0</v>
      </c>
      <c r="AD297" s="38">
        <f>IF(ISNUMBER($AB297),$AB297*(1+N($AC297)),"")</f>
      </c>
      <c r="AE297" s="35">
        <v>350</v>
      </c>
      <c r="AF297" s="35">
        <v>250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CANON-202607-008065</t>
        </is>
      </c>
      <c r="B298" s="46" t="inlineStr">
        <is>
          <t xml:space="preserve">Horace Fairweather</t>
        </is>
      </c>
      <c r="C298" s="47">
        <v>46225</v>
      </c>
      <c r="D298" s="48" t="inlineStr">
        <is>
          <t xml:space="preserve">Bound - within authority</t>
        </is>
      </c>
      <c r="E298" s="48" t="inlineStr">
        <is>
          <t xml:space="preserve">New business</t>
        </is>
      </c>
      <c r="F298" s="46" t="inlineStr">
        <is>
          <t xml:space="preserve">B1234EXOTIC26</t>
        </is>
      </c>
      <c r="G298" s="33">
        <f>IF($A298="","",IF($C298="","",YEAR($C298)))</f>
      </c>
      <c r="H298" s="49">
        <v>2024</v>
      </c>
      <c r="I298" s="46" t="inlineStr">
        <is>
          <t xml:space="preserve">Ferrari</t>
        </is>
      </c>
      <c r="J298" s="46" t="inlineStr">
        <is>
          <t xml:space="preserve">275 GTB/4</t>
        </is>
      </c>
      <c r="K298" s="46" t="inlineStr">
        <is>
          <t xml:space="preserve">VLF6NGJVPD3HWCY3P</t>
        </is>
      </c>
      <c r="L298" s="48" t="inlineStr">
        <is>
          <t xml:space="preserve">02 - Sports / GT</t>
        </is>
      </c>
      <c r="M298" s="50">
        <v>735000</v>
      </c>
      <c r="N298" s="48" t="inlineStr">
        <is>
          <t xml:space="preserve">Personal</t>
        </is>
      </c>
      <c r="O298" s="46" t="inlineStr">
        <is>
          <t xml:space="preserve">Personal - regular use</t>
        </is>
      </c>
      <c r="P298" s="46" t="inlineStr">
        <is>
          <t xml:space="preserve">1,000 - 2,500</t>
        </is>
      </c>
      <c r="Q298" s="46" t="inlineStr">
        <is>
          <t xml:space="preserve">Pennsylvania</t>
        </is>
      </c>
      <c r="R298" s="46" t="inlineStr">
        <is>
          <t xml:space="preserve">19103</t>
        </is>
      </c>
      <c r="S298" s="48" t="inlineStr">
        <is>
          <t xml:space="preserve">Low hazard - inland benign</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4538</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CANON-202607-008066</t>
        </is>
      </c>
      <c r="B299" s="30" t="inlineStr">
        <is>
          <t xml:space="preserve">Leopold Blackwood</t>
        </is>
      </c>
      <c r="C299" s="31">
        <v>46220</v>
      </c>
      <c r="D299" s="32" t="inlineStr">
        <is>
          <t xml:space="preserve">Bound - within authority</t>
        </is>
      </c>
      <c r="E299" s="32" t="inlineStr">
        <is>
          <t xml:space="preserve">New business</t>
        </is>
      </c>
      <c r="F299" s="30" t="inlineStr">
        <is>
          <t xml:space="preserve">B1234EXOTIC26</t>
        </is>
      </c>
      <c r="G299" s="33">
        <f>IF($A299="","",IF($C299="","",YEAR($C299)))</f>
      </c>
      <c r="H299" s="34">
        <v>1985</v>
      </c>
      <c r="I299" s="30" t="inlineStr">
        <is>
          <t xml:space="preserve">Bentley</t>
        </is>
      </c>
      <c r="J299" s="30" t="inlineStr">
        <is>
          <t xml:space="preserve">Continental GT</t>
        </is>
      </c>
      <c r="K299" s="30" t="inlineStr">
        <is>
          <t xml:space="preserve">D8UGJ8TGSPY0DZ2Z5</t>
        </is>
      </c>
      <c r="L299" s="32" t="inlineStr">
        <is>
          <t xml:space="preserve">02 - Sports / GT</t>
        </is>
      </c>
      <c r="M299" s="35">
        <v>425000</v>
      </c>
      <c r="N299" s="32" t="inlineStr">
        <is>
          <t xml:space="preserve">Personal</t>
        </is>
      </c>
      <c r="O299" s="30" t="inlineStr">
        <is>
          <t xml:space="preserve">Personal - regular use</t>
        </is>
      </c>
      <c r="P299" s="30" t="inlineStr">
        <is>
          <t xml:space="preserve">1,000 - 2,500</t>
        </is>
      </c>
      <c r="Q299" s="30" t="inlineStr">
        <is>
          <t xml:space="preserve">West Virginia</t>
        </is>
      </c>
      <c r="R299" s="30" t="inlineStr">
        <is>
          <t xml:space="preserve">25301</t>
        </is>
      </c>
      <c r="S299" s="32" t="inlineStr">
        <is>
          <t xml:space="preserve">Low hazard - inland benign</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6087.1</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CANON-202607-008067</t>
        </is>
      </c>
      <c r="B300" s="46" t="inlineStr">
        <is>
          <t xml:space="preserve">Marisol Ashcombe</t>
        </is>
      </c>
      <c r="C300" s="47">
        <v>46220</v>
      </c>
      <c r="D300" s="48" t="inlineStr">
        <is>
          <t xml:space="preserve">Bound - within authority</t>
        </is>
      </c>
      <c r="E300" s="48" t="inlineStr">
        <is>
          <t xml:space="preserve">New business</t>
        </is>
      </c>
      <c r="F300" s="46" t="inlineStr">
        <is>
          <t xml:space="preserve">B1234EXOTIC26</t>
        </is>
      </c>
      <c r="G300" s="33">
        <f>IF($A300="","",IF($C300="","",YEAR($C300)))</f>
      </c>
      <c r="H300" s="49">
        <v>1985</v>
      </c>
      <c r="I300" s="46" t="inlineStr">
        <is>
          <t xml:space="preserve">BMW</t>
        </is>
      </c>
      <c r="J300" s="46" t="inlineStr">
        <is>
          <t xml:space="preserve">M8 Competition</t>
        </is>
      </c>
      <c r="K300" s="46" t="inlineStr">
        <is>
          <t xml:space="preserve">309GMPUFUPDABU1AF</t>
        </is>
      </c>
      <c r="L300" s="48" t="inlineStr">
        <is>
          <t xml:space="preserve">02 - Sports / GT</t>
        </is>
      </c>
      <c r="M300" s="50">
        <v>355000</v>
      </c>
      <c r="N300" s="48" t="inlineStr">
        <is>
          <t xml:space="preserve">Personal</t>
        </is>
      </c>
      <c r="O300" s="46" t="inlineStr">
        <is>
          <t xml:space="preserve">Personal - regular use</t>
        </is>
      </c>
      <c r="P300" s="46" t="inlineStr">
        <is>
          <t xml:space="preserve">1,000 - 2,500</t>
        </is>
      </c>
      <c r="Q300" s="46" t="inlineStr">
        <is>
          <t xml:space="preserve">New Jersey</t>
        </is>
      </c>
      <c r="R300" s="46" t="inlineStr">
        <is>
          <t xml:space="preserve">07102</t>
        </is>
      </c>
      <c r="S300" s="48" t="inlineStr">
        <is>
          <t xml:space="preserve">Tier 3 - Coastal wind (25-100 miles)</t>
        </is>
      </c>
      <c r="T300" s="36">
        <f>IF($A300="","",IF($S300="","",IFERROR(INDEX('[1]natural catastrophe'!$D$6:$D$17,MATCH($S300,'[1]natural catastrophe'!$B$6:$B$17,0)),"?")))</f>
      </c>
      <c r="U300" s="46" t="inlineStr">
        <is>
          <t xml:space="preserve">2% of agreed value, minimum $10,000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3478.88</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CANON-202607-008070</t>
        </is>
      </c>
      <c r="B301" s="30" t="inlineStr">
        <is>
          <t xml:space="preserve">Desmond Ashcombe</t>
        </is>
      </c>
      <c r="C301" s="31">
        <v>46232</v>
      </c>
      <c r="D301" s="32" t="inlineStr">
        <is>
          <t xml:space="preserve">Bound - within authority</t>
        </is>
      </c>
      <c r="E301" s="32" t="inlineStr">
        <is>
          <t xml:space="preserve">New business</t>
        </is>
      </c>
      <c r="F301" s="30" t="inlineStr">
        <is>
          <t xml:space="preserve">B1234EXOTIC26</t>
        </is>
      </c>
      <c r="G301" s="33">
        <f>IF($A301="","",IF($C301="","",YEAR($C301)))</f>
      </c>
      <c r="H301" s="34">
        <v>2018</v>
      </c>
      <c r="I301" s="30" t="inlineStr">
        <is>
          <t xml:space="preserve">Mercedes-Benz</t>
        </is>
      </c>
      <c r="J301" s="30" t="inlineStr">
        <is>
          <t xml:space="preserve">AMG GT</t>
        </is>
      </c>
      <c r="K301" s="30" t="inlineStr">
        <is>
          <t xml:space="preserve">M3R1G52R02WJ0VF3B</t>
        </is>
      </c>
      <c r="L301" s="32" t="inlineStr">
        <is>
          <t xml:space="preserve">02 - Sports / GT</t>
        </is>
      </c>
      <c r="M301" s="35">
        <v>210000</v>
      </c>
      <c r="N301" s="32" t="inlineStr">
        <is>
          <t xml:space="preserve">Personal</t>
        </is>
      </c>
      <c r="O301" s="30" t="inlineStr">
        <is>
          <t xml:space="preserve">Personal - regular use</t>
        </is>
      </c>
      <c r="P301" s="30" t="inlineStr">
        <is>
          <t xml:space="preserve">Under 1,000</t>
        </is>
      </c>
      <c r="Q301" s="30" t="inlineStr">
        <is>
          <t xml:space="preserve">Illinois</t>
        </is>
      </c>
      <c r="R301" s="30" t="inlineStr">
        <is>
          <t xml:space="preserve">60601</t>
        </is>
      </c>
      <c r="S301" s="32" t="inlineStr">
        <is>
          <t xml:space="preserve">Severe convective - hail / tornado (moderate)</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3772.72</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CANON-202607-008071</t>
        </is>
      </c>
      <c r="B302" s="46" t="inlineStr">
        <is>
          <t xml:space="preserve">Horace Vandermeer</t>
        </is>
      </c>
      <c r="C302" s="47">
        <v>46231</v>
      </c>
      <c r="D302" s="48" t="inlineStr">
        <is>
          <t xml:space="preserve">Bound - within authority</t>
        </is>
      </c>
      <c r="E302" s="48" t="inlineStr">
        <is>
          <t xml:space="preserve">New business</t>
        </is>
      </c>
      <c r="F302" s="46" t="inlineStr">
        <is>
          <t xml:space="preserve">B1234EXOTIC26</t>
        </is>
      </c>
      <c r="G302" s="33">
        <f>IF($A302="","",IF($C302="","",YEAR($C302)))</f>
      </c>
      <c r="H302" s="49">
        <v>2004</v>
      </c>
      <c r="I302" s="46" t="inlineStr">
        <is>
          <t xml:space="preserve">Aston Martin</t>
        </is>
      </c>
      <c r="J302" s="46" t="inlineStr">
        <is>
          <t xml:space="preserve">DB12</t>
        </is>
      </c>
      <c r="K302" s="46" t="inlineStr">
        <is>
          <t xml:space="preserve">VNKYMMD0B1XYD46Z4</t>
        </is>
      </c>
      <c r="L302" s="48" t="inlineStr">
        <is>
          <t xml:space="preserve">02 - Sports / GT</t>
        </is>
      </c>
      <c r="M302" s="50">
        <v>430000</v>
      </c>
      <c r="N302" s="48" t="inlineStr">
        <is>
          <t xml:space="preserve">Personal</t>
        </is>
      </c>
      <c r="O302" s="46" t="inlineStr">
        <is>
          <t xml:space="preserve">Personal - regular use</t>
        </is>
      </c>
      <c r="P302" s="46" t="inlineStr">
        <is>
          <t xml:space="preserve">Under 1,000</t>
        </is>
      </c>
      <c r="Q302" s="46" t="inlineStr">
        <is>
          <t xml:space="preserve">California</t>
        </is>
      </c>
      <c r="R302" s="46" t="inlineStr">
        <is>
          <t xml:space="preserve">90012</t>
        </is>
      </c>
      <c r="S302" s="48" t="inlineStr">
        <is>
          <t xml:space="preserve">Earthquake - high (CA, Cascadia, New Madrid)</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6251.33</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CANON-202607-008072</t>
        </is>
      </c>
      <c r="B303" s="30" t="inlineStr">
        <is>
          <t xml:space="preserve">Anouk Bellandi</t>
        </is>
      </c>
      <c r="C303" s="31">
        <v>46234</v>
      </c>
      <c r="D303" s="32" t="inlineStr">
        <is>
          <t xml:space="preserve">Bound - within authority</t>
        </is>
      </c>
      <c r="E303" s="32" t="inlineStr">
        <is>
          <t xml:space="preserve">New business</t>
        </is>
      </c>
      <c r="F303" s="30" t="inlineStr">
        <is>
          <t xml:space="preserve">B1234EXOTIC26</t>
        </is>
      </c>
      <c r="G303" s="33">
        <f>IF($A303="","",IF($C303="","",YEAR($C303)))</f>
      </c>
      <c r="H303" s="34">
        <v>1995</v>
      </c>
      <c r="I303" s="30" t="inlineStr">
        <is>
          <t xml:space="preserve">Mercedes-Benz</t>
        </is>
      </c>
      <c r="J303" s="30" t="inlineStr">
        <is>
          <t xml:space="preserve">280SL Pagoda</t>
        </is>
      </c>
      <c r="K303" s="30" t="inlineStr">
        <is>
          <t xml:space="preserve">F7GB92LTFR27HM07M</t>
        </is>
      </c>
      <c r="L303" s="32" t="inlineStr">
        <is>
          <t xml:space="preserve">08 - Modern Classic (1973-1999)</t>
        </is>
      </c>
      <c r="M303" s="35">
        <v>280000</v>
      </c>
      <c r="N303" s="32" t="inlineStr">
        <is>
          <t xml:space="preserve">Personal</t>
        </is>
      </c>
      <c r="O303" s="30" t="inlineStr">
        <is>
          <t xml:space="preserve">Personal - regular use</t>
        </is>
      </c>
      <c r="P303" s="30" t="inlineStr">
        <is>
          <t xml:space="preserve">Under 1,000</t>
        </is>
      </c>
      <c r="Q303" s="30" t="inlineStr">
        <is>
          <t xml:space="preserve">Illinois</t>
        </is>
      </c>
      <c r="R303" s="30" t="inlineStr">
        <is>
          <t xml:space="preserve">60601</t>
        </is>
      </c>
      <c r="S303" s="32" t="inlineStr">
        <is>
          <t xml:space="preserve">Severe convective - hail / tornado (moderate)</t>
        </is>
      </c>
      <c r="T303" s="36">
        <f>IF($A303="","",IF($S303="","",IFERROR(INDEX('[1]natural catastrophe'!$D$6:$D$17,MATCH($S303,'[1]natural catastrophe'!$B$6:$B$17,0)),"?")))</f>
      </c>
      <c r="U303" s="30" t="inlineStr">
        <is>
          <t xml:space="preserve">$5,000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2624.5</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CANON-202607-008075</t>
        </is>
      </c>
      <c r="B304" s="46" t="inlineStr">
        <is>
          <t xml:space="preserve">Cassius Thistlewood</t>
        </is>
      </c>
      <c r="C304" s="47">
        <v>46216</v>
      </c>
      <c r="D304" s="48" t="inlineStr">
        <is>
          <t xml:space="preserve">Bound - within authority</t>
        </is>
      </c>
      <c r="E304" s="48" t="inlineStr">
        <is>
          <t xml:space="preserve">New business</t>
        </is>
      </c>
      <c r="F304" s="46" t="inlineStr">
        <is>
          <t xml:space="preserve">B1234EXOTIC26</t>
        </is>
      </c>
      <c r="G304" s="33">
        <f>IF($A304="","",IF($C304="","",YEAR($C304)))</f>
      </c>
      <c r="H304" s="49">
        <v>2022</v>
      </c>
      <c r="I304" s="46" t="inlineStr">
        <is>
          <t xml:space="preserve">Aston Martin</t>
        </is>
      </c>
      <c r="J304" s="46" t="inlineStr">
        <is>
          <t xml:space="preserve">DB5</t>
        </is>
      </c>
      <c r="K304" s="46" t="inlineStr">
        <is>
          <t xml:space="preserve">Y0Y2XRHY0RSY76P1U</t>
        </is>
      </c>
      <c r="L304" s="48" t="inlineStr">
        <is>
          <t xml:space="preserve">02 - Sports / GT</t>
        </is>
      </c>
      <c r="M304" s="50">
        <v>405000</v>
      </c>
      <c r="N304" s="48" t="inlineStr">
        <is>
          <t xml:space="preserve">Personal</t>
        </is>
      </c>
      <c r="O304" s="46" t="inlineStr">
        <is>
          <t xml:space="preserve">Personal - regular use</t>
        </is>
      </c>
      <c r="P304" s="46" t="inlineStr">
        <is>
          <t xml:space="preserve">Under 1,000</t>
        </is>
      </c>
      <c r="Q304" s="46" t="inlineStr">
        <is>
          <t xml:space="preserve">Virginia</t>
        </is>
      </c>
      <c r="R304" s="46" t="inlineStr">
        <is>
          <t xml:space="preserve">23219</t>
        </is>
      </c>
      <c r="S304" s="48" t="inlineStr">
        <is>
          <t xml:space="preserve">Tier 3 - Coastal wind (25-100 miles)</t>
        </is>
      </c>
      <c r="T304" s="36">
        <f>IF($A304="","",IF($S304="","",IFERROR(INDEX('[1]natural catastrophe'!$D$6:$D$17,MATCH($S304,'[1]natural catastrophe'!$B$6:$B$17,0)),"?")))</f>
      </c>
      <c r="U304" s="46" t="inlineStr">
        <is>
          <t xml:space="preserve">2% of agreed value, minimum $10,000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3042.51</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CANON-202607-008077</t>
        </is>
      </c>
      <c r="B305" s="30" t="inlineStr">
        <is>
          <t xml:space="preserve">Wilhelmina Montoya</t>
        </is>
      </c>
      <c r="C305" s="31">
        <v>46212</v>
      </c>
      <c r="D305" s="32" t="inlineStr">
        <is>
          <t xml:space="preserve">Bound - within authority</t>
        </is>
      </c>
      <c r="E305" s="32" t="inlineStr">
        <is>
          <t xml:space="preserve">New business</t>
        </is>
      </c>
      <c r="F305" s="30" t="inlineStr">
        <is>
          <t xml:space="preserve">B1234EXOTIC26</t>
        </is>
      </c>
      <c r="G305" s="33">
        <f>IF($A305="","",IF($C305="","",YEAR($C305)))</f>
      </c>
      <c r="H305" s="34">
        <v>2013</v>
      </c>
      <c r="I305" s="30" t="inlineStr">
        <is>
          <t xml:space="preserve">McLaren</t>
        </is>
      </c>
      <c r="J305" s="30" t="inlineStr">
        <is>
          <t xml:space="preserve">750S</t>
        </is>
      </c>
      <c r="K305" s="30" t="inlineStr">
        <is>
          <t xml:space="preserve">28PC8XF0UCSNUE2VL</t>
        </is>
      </c>
      <c r="L305" s="32" t="inlineStr">
        <is>
          <t xml:space="preserve">03 - Supercar</t>
        </is>
      </c>
      <c r="M305" s="35">
        <v>1950000</v>
      </c>
      <c r="N305" s="32" t="inlineStr">
        <is>
          <t xml:space="preserve">Personal</t>
        </is>
      </c>
      <c r="O305" s="30" t="inlineStr">
        <is>
          <t xml:space="preserve">Personal - regular use</t>
        </is>
      </c>
      <c r="P305" s="30" t="inlineStr">
        <is>
          <t xml:space="preserve">Under 1,000</t>
        </is>
      </c>
      <c r="Q305" s="30" t="inlineStr">
        <is>
          <t xml:space="preserve">Connecticut</t>
        </is>
      </c>
      <c r="R305" s="30" t="inlineStr">
        <is>
          <t xml:space="preserve">06103</t>
        </is>
      </c>
      <c r="S305" s="32" t="inlineStr">
        <is>
          <t xml:space="preserve">Tier 3 - Coastal wind (25-100 miles)</t>
        </is>
      </c>
      <c r="T305" s="36">
        <f>IF($A305="","",IF($S305="","",IFERROR(INDEX('[1]natural catastrophe'!$D$6:$D$17,MATCH($S305,'[1]natural catastrophe'!$B$6:$B$17,0)),"?")))</f>
      </c>
      <c r="U305" s="30" t="inlineStr">
        <is>
          <t xml:space="preserve">2% of agreed value, minimum $10,000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25087.16</v>
      </c>
      <c r="AC305" s="37">
        <v>0</v>
      </c>
      <c r="AD305" s="38">
        <f>IF(ISNUMBER($AB305),$AB305*(1+N($AC305)),"")</f>
      </c>
      <c r="AE305" s="35">
        <v>350</v>
      </c>
      <c r="AF305" s="35">
        <v>250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CANON-202607-008078</t>
        </is>
      </c>
      <c r="B306" s="46" t="inlineStr">
        <is>
          <t xml:space="preserve">Sunniva Okonkwo</t>
        </is>
      </c>
      <c r="C306" s="47">
        <v>46219</v>
      </c>
      <c r="D306" s="48" t="inlineStr">
        <is>
          <t xml:space="preserve">Bound - within authority</t>
        </is>
      </c>
      <c r="E306" s="48" t="inlineStr">
        <is>
          <t xml:space="preserve">New business</t>
        </is>
      </c>
      <c r="F306" s="46" t="inlineStr">
        <is>
          <t xml:space="preserve">B1234EXOTIC26</t>
        </is>
      </c>
      <c r="G306" s="33">
        <f>IF($A306="","",IF($C306="","",YEAR($C306)))</f>
      </c>
      <c r="H306" s="49">
        <v>1971</v>
      </c>
      <c r="I306" s="46" t="inlineStr">
        <is>
          <t xml:space="preserve">Lamborghini</t>
        </is>
      </c>
      <c r="J306" s="46" t="inlineStr">
        <is>
          <t xml:space="preserve">Huracan EVO</t>
        </is>
      </c>
      <c r="K306" s="46" t="inlineStr">
        <is>
          <t xml:space="preserve">J7UBLPKZ537RBKAT0</t>
        </is>
      </c>
      <c r="L306" s="48" t="inlineStr">
        <is>
          <t xml:space="preserve">03 - Supercar</t>
        </is>
      </c>
      <c r="M306" s="50">
        <v>300000</v>
      </c>
      <c r="N306" s="48" t="inlineStr">
        <is>
          <t xml:space="preserve">Personal</t>
        </is>
      </c>
      <c r="O306" s="46" t="inlineStr">
        <is>
          <t xml:space="preserve">Personal - regular use</t>
        </is>
      </c>
      <c r="P306" s="46" t="inlineStr">
        <is>
          <t xml:space="preserve">2,500 - 5,000</t>
        </is>
      </c>
      <c r="Q306" s="46" t="inlineStr">
        <is>
          <t xml:space="preserve">Colorado</t>
        </is>
      </c>
      <c r="R306" s="46" t="inlineStr">
        <is>
          <t xml:space="preserve">80202</t>
        </is>
      </c>
      <c r="S306" s="48" t="inlineStr">
        <is>
          <t xml:space="preserve">Severe convective - hail alley (high)</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5449.05</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CANON-202607-008079</t>
        </is>
      </c>
      <c r="B307" s="30" t="inlineStr">
        <is>
          <t xml:space="preserve">Cassius Kingsford</t>
        </is>
      </c>
      <c r="C307" s="31">
        <v>46233</v>
      </c>
      <c r="D307" s="32" t="inlineStr">
        <is>
          <t xml:space="preserve">Bound - within authority</t>
        </is>
      </c>
      <c r="E307" s="32" t="inlineStr">
        <is>
          <t xml:space="preserve">New business</t>
        </is>
      </c>
      <c r="F307" s="30" t="inlineStr">
        <is>
          <t xml:space="preserve">B1234EXOTIC26</t>
        </is>
      </c>
      <c r="G307" s="33">
        <f>IF($A307="","",IF($C307="","",YEAR($C307)))</f>
      </c>
      <c r="H307" s="34">
        <v>1972</v>
      </c>
      <c r="I307" s="30" t="inlineStr">
        <is>
          <t xml:space="preserve">Mercedes-Benz</t>
        </is>
      </c>
      <c r="J307" s="30" t="inlineStr">
        <is>
          <t xml:space="preserve">AMG GT</t>
        </is>
      </c>
      <c r="K307" s="30" t="inlineStr">
        <is>
          <t xml:space="preserve">FM06XKPJDVWCLU9T8</t>
        </is>
      </c>
      <c r="L307" s="32" t="inlineStr">
        <is>
          <t xml:space="preserve">02 - Sports / GT</t>
        </is>
      </c>
      <c r="M307" s="35">
        <v>620000</v>
      </c>
      <c r="N307" s="32" t="inlineStr">
        <is>
          <t xml:space="preserve">Personal</t>
        </is>
      </c>
      <c r="O307" s="30" t="inlineStr">
        <is>
          <t xml:space="preserve">Personal - regular use</t>
        </is>
      </c>
      <c r="P307" s="30" t="inlineStr">
        <is>
          <t xml:space="preserve">Under 1,000</t>
        </is>
      </c>
      <c r="Q307" s="30" t="inlineStr">
        <is>
          <t xml:space="preserve">Wisconsin</t>
        </is>
      </c>
      <c r="R307" s="30" t="inlineStr">
        <is>
          <t xml:space="preserve">53202</t>
        </is>
      </c>
      <c r="S307" s="32" t="inlineStr">
        <is>
          <t xml:space="preserve">Severe convective - hail / tornado (moderate)</t>
        </is>
      </c>
      <c r="T307" s="36">
        <f>IF($A307="","",IF($S307="","",IFERROR(INDEX('[1]natural catastrophe'!$D$6:$D$17,MATCH($S307,'[1]natural catastrophe'!$B$6:$B$17,0)),"?")))</f>
      </c>
      <c r="U307" s="30" t="inlineStr">
        <is>
          <t xml:space="preserve">$5,000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6943.77</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CANON-202607-008080</t>
        </is>
      </c>
      <c r="B308" s="46" t="inlineStr">
        <is>
          <t xml:space="preserve">Ottilie Delacroix</t>
        </is>
      </c>
      <c r="C308" s="47">
        <v>46227</v>
      </c>
      <c r="D308" s="48" t="inlineStr">
        <is>
          <t xml:space="preserve">Bound - within authority</t>
        </is>
      </c>
      <c r="E308" s="48" t="inlineStr">
        <is>
          <t xml:space="preserve">New business</t>
        </is>
      </c>
      <c r="F308" s="46" t="inlineStr">
        <is>
          <t xml:space="preserve">B1234EXOTIC26</t>
        </is>
      </c>
      <c r="G308" s="33">
        <f>IF($A308="","",IF($C308="","",YEAR($C308)))</f>
      </c>
      <c r="H308" s="49">
        <v>2011</v>
      </c>
      <c r="I308" s="46" t="inlineStr">
        <is>
          <t xml:space="preserve">Aston Martin</t>
        </is>
      </c>
      <c r="J308" s="46" t="inlineStr">
        <is>
          <t xml:space="preserve">DB12</t>
        </is>
      </c>
      <c r="K308" s="46" t="inlineStr">
        <is>
          <t xml:space="preserve">LRXFCPG6200NEPSTS</t>
        </is>
      </c>
      <c r="L308" s="48" t="inlineStr">
        <is>
          <t xml:space="preserve">02 - Sports / GT</t>
        </is>
      </c>
      <c r="M308" s="50">
        <v>285000</v>
      </c>
      <c r="N308" s="48" t="inlineStr">
        <is>
          <t xml:space="preserve">Personal</t>
        </is>
      </c>
      <c r="O308" s="46" t="inlineStr">
        <is>
          <t xml:space="preserve">Personal - regular use</t>
        </is>
      </c>
      <c r="P308" s="46" t="inlineStr">
        <is>
          <t xml:space="preserve">2,500 - 5,000</t>
        </is>
      </c>
      <c r="Q308" s="46" t="inlineStr">
        <is>
          <t xml:space="preserve">Colorado</t>
        </is>
      </c>
      <c r="R308" s="46" t="inlineStr">
        <is>
          <t xml:space="preserve">80202</t>
        </is>
      </c>
      <c r="S308" s="48" t="inlineStr">
        <is>
          <t xml:space="preserve">Severe convective - hail alley (high)</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3376.04</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CANON-202607-008082</t>
        </is>
      </c>
      <c r="B309" s="30" t="inlineStr">
        <is>
          <t xml:space="preserve">Delphine Bellandi</t>
        </is>
      </c>
      <c r="C309" s="31">
        <v>46216</v>
      </c>
      <c r="D309" s="32" t="inlineStr">
        <is>
          <t xml:space="preserve">Bound - within authority</t>
        </is>
      </c>
      <c r="E309" s="32" t="inlineStr">
        <is>
          <t xml:space="preserve">New business</t>
        </is>
      </c>
      <c r="F309" s="30" t="inlineStr">
        <is>
          <t xml:space="preserve">B1234EXOTIC26</t>
        </is>
      </c>
      <c r="G309" s="33">
        <f>IF($A309="","",IF($C309="","",YEAR($C309)))</f>
      </c>
      <c r="H309" s="34">
        <v>1992</v>
      </c>
      <c r="I309" s="30" t="inlineStr">
        <is>
          <t xml:space="preserve">Icon</t>
        </is>
      </c>
      <c r="J309" s="30" t="inlineStr">
        <is>
          <t xml:space="preserve">Derelict</t>
        </is>
      </c>
      <c r="K309" s="30" t="inlineStr">
        <is>
          <t xml:space="preserve">2C6TCDM2EMDAU6CWA</t>
        </is>
      </c>
      <c r="L309" s="32" t="inlineStr">
        <is>
          <t xml:space="preserve">11 - Restomod / Coachbuilt / Bespoke</t>
        </is>
      </c>
      <c r="M309" s="35">
        <v>390000</v>
      </c>
      <c r="N309" s="32" t="inlineStr">
        <is>
          <t xml:space="preserve">Personal</t>
        </is>
      </c>
      <c r="O309" s="30" t="inlineStr">
        <is>
          <t xml:space="preserve">Personal - regular use</t>
        </is>
      </c>
      <c r="P309" s="30" t="inlineStr">
        <is>
          <t xml:space="preserve">Under 1,000</t>
        </is>
      </c>
      <c r="Q309" s="30" t="inlineStr">
        <is>
          <t xml:space="preserve">South Carolina</t>
        </is>
      </c>
      <c r="R309" s="30" t="inlineStr">
        <is>
          <t xml:space="preserve">29401</t>
        </is>
      </c>
      <c r="S309" s="32" t="inlineStr">
        <is>
          <t xml:space="preserve">Tier 2 - Coastal wind (1-25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6110.51</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CANON-202607-008083</t>
        </is>
      </c>
      <c r="B310" s="46" t="inlineStr">
        <is>
          <t xml:space="preserve">Mireille Nakashima</t>
        </is>
      </c>
      <c r="C310" s="47">
        <v>46208</v>
      </c>
      <c r="D310" s="48" t="inlineStr">
        <is>
          <t xml:space="preserve">Bound - within authority</t>
        </is>
      </c>
      <c r="E310" s="48" t="inlineStr">
        <is>
          <t xml:space="preserve">New business</t>
        </is>
      </c>
      <c r="F310" s="46" t="inlineStr">
        <is>
          <t xml:space="preserve">B1234EXOTIC26</t>
        </is>
      </c>
      <c r="G310" s="33">
        <f>IF($A310="","",IF($C310="","",YEAR($C310)))</f>
      </c>
      <c r="H310" s="49">
        <v>1989</v>
      </c>
      <c r="I310" s="46" t="inlineStr">
        <is>
          <t xml:space="preserve">Alfa Romeo</t>
        </is>
      </c>
      <c r="J310" s="46" t="inlineStr">
        <is>
          <t xml:space="preserve">8C 2900</t>
        </is>
      </c>
      <c r="K310" s="46" t="inlineStr">
        <is>
          <t xml:space="preserve">F2XC7EV0D008W5GRJ</t>
        </is>
      </c>
      <c r="L310" s="48" t="inlineStr">
        <is>
          <t xml:space="preserve">08 - Modern Classic (1973-1999)</t>
        </is>
      </c>
      <c r="M310" s="50">
        <v>805000</v>
      </c>
      <c r="N310" s="48" t="inlineStr">
        <is>
          <t xml:space="preserve">Personal</t>
        </is>
      </c>
      <c r="O310" s="46" t="inlineStr">
        <is>
          <t xml:space="preserve">Personal - regular use</t>
        </is>
      </c>
      <c r="P310" s="46" t="inlineStr">
        <is>
          <t xml:space="preserve">1,000 - 2,500</t>
        </is>
      </c>
      <c r="Q310" s="46" t="inlineStr">
        <is>
          <t xml:space="preserve">Washington</t>
        </is>
      </c>
      <c r="R310" s="46" t="inlineStr">
        <is>
          <t xml:space="preserve">98101</t>
        </is>
      </c>
      <c r="S310" s="48" t="inlineStr">
        <is>
          <t xml:space="preserve">Earthquake - high (CA, Cascadia, New Madrid)</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4216.57</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CANON-202607-008084</t>
        </is>
      </c>
      <c r="B311" s="30" t="inlineStr">
        <is>
          <t xml:space="preserve">Cassius Fairweather</t>
        </is>
      </c>
      <c r="C311" s="31">
        <v>46225</v>
      </c>
      <c r="D311" s="32" t="inlineStr">
        <is>
          <t xml:space="preserve">Bound - within authority</t>
        </is>
      </c>
      <c r="E311" s="32" t="inlineStr">
        <is>
          <t xml:space="preserve">New business</t>
        </is>
      </c>
      <c r="F311" s="30" t="inlineStr">
        <is>
          <t xml:space="preserve">B1234EXOTIC26</t>
        </is>
      </c>
      <c r="G311" s="33">
        <f>IF($A311="","",IF($C311="","",YEAR($C311)))</f>
      </c>
      <c r="H311" s="34">
        <v>2000</v>
      </c>
      <c r="I311" s="30" t="inlineStr">
        <is>
          <t xml:space="preserve">BMW</t>
        </is>
      </c>
      <c r="J311" s="30" t="inlineStr">
        <is>
          <t xml:space="preserve">M8 Competition</t>
        </is>
      </c>
      <c r="K311" s="30" t="inlineStr">
        <is>
          <t xml:space="preserve">NWRTSY46KPPMV4BBH</t>
        </is>
      </c>
      <c r="L311" s="32" t="inlineStr">
        <is>
          <t xml:space="preserve">02 - Sports / GT</t>
        </is>
      </c>
      <c r="M311" s="35">
        <v>765000</v>
      </c>
      <c r="N311" s="32" t="inlineStr">
        <is>
          <t xml:space="preserve">Personal</t>
        </is>
      </c>
      <c r="O311" s="30" t="inlineStr">
        <is>
          <t xml:space="preserve">Personal - regular use</t>
        </is>
      </c>
      <c r="P311" s="30" t="inlineStr">
        <is>
          <t xml:space="preserve">1,000 - 2,500</t>
        </is>
      </c>
      <c r="Q311" s="30" t="inlineStr">
        <is>
          <t xml:space="preserve">New Jersey</t>
        </is>
      </c>
      <c r="R311" s="30" t="inlineStr">
        <is>
          <t xml:space="preserve">07102</t>
        </is>
      </c>
      <c r="S311" s="32" t="inlineStr">
        <is>
          <t xml:space="preserve">Tier 3 - Coastal wind (25-100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6497.18</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CANON-202607-008087</t>
        </is>
      </c>
      <c r="B312" s="46" t="inlineStr">
        <is>
          <t xml:space="preserve">Ottilie Merriweather</t>
        </is>
      </c>
      <c r="C312" s="47">
        <v>46226</v>
      </c>
      <c r="D312" s="48" t="inlineStr">
        <is>
          <t xml:space="preserve">Bound - within authority</t>
        </is>
      </c>
      <c r="E312" s="48" t="inlineStr">
        <is>
          <t xml:space="preserve">New business</t>
        </is>
      </c>
      <c r="F312" s="46" t="inlineStr">
        <is>
          <t xml:space="preserve">B1234EXOTIC26</t>
        </is>
      </c>
      <c r="G312" s="33">
        <f>IF($A312="","",IF($C312="","",YEAR($C312)))</f>
      </c>
      <c r="H312" s="49">
        <v>1988</v>
      </c>
      <c r="I312" s="46" t="inlineStr">
        <is>
          <t xml:space="preserve">Maserati</t>
        </is>
      </c>
      <c r="J312" s="46" t="inlineStr">
        <is>
          <t xml:space="preserve">GranTurismo</t>
        </is>
      </c>
      <c r="K312" s="46" t="inlineStr">
        <is>
          <t xml:space="preserve">5AUWYFW2FMWW2SJ9K</t>
        </is>
      </c>
      <c r="L312" s="48" t="inlineStr">
        <is>
          <t xml:space="preserve">02 - Sports / GT</t>
        </is>
      </c>
      <c r="M312" s="50">
        <v>350000</v>
      </c>
      <c r="N312" s="48" t="inlineStr">
        <is>
          <t xml:space="preserve">Personal</t>
        </is>
      </c>
      <c r="O312" s="46" t="inlineStr">
        <is>
          <t xml:space="preserve">Personal - regular use</t>
        </is>
      </c>
      <c r="P312" s="46" t="inlineStr">
        <is>
          <t xml:space="preserve">1,000 - 2,500</t>
        </is>
      </c>
      <c r="Q312" s="46" t="inlineStr">
        <is>
          <t xml:space="preserve">Wisconsin</t>
        </is>
      </c>
      <c r="R312" s="46" t="inlineStr">
        <is>
          <t xml:space="preserve">53202</t>
        </is>
      </c>
      <c r="S312" s="48" t="inlineStr">
        <is>
          <t xml:space="preserve">Severe convective - hail / tornado (moderate)</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4522.93</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CANON-202607-008088</t>
        </is>
      </c>
      <c r="B313" s="30" t="inlineStr">
        <is>
          <t xml:space="preserve">Thaddeus Vandermeer</t>
        </is>
      </c>
      <c r="C313" s="31">
        <v>46229</v>
      </c>
      <c r="D313" s="32" t="inlineStr">
        <is>
          <t xml:space="preserve">Bound - within authority</t>
        </is>
      </c>
      <c r="E313" s="32" t="inlineStr">
        <is>
          <t xml:space="preserve">New business</t>
        </is>
      </c>
      <c r="F313" s="30" t="inlineStr">
        <is>
          <t xml:space="preserve">B1234EXOTIC26</t>
        </is>
      </c>
      <c r="G313" s="33">
        <f>IF($A313="","",IF($C313="","",YEAR($C313)))</f>
      </c>
      <c r="H313" s="34">
        <v>1998</v>
      </c>
      <c r="I313" s="30" t="inlineStr">
        <is>
          <t xml:space="preserve">Ferrari</t>
        </is>
      </c>
      <c r="J313" s="30" t="inlineStr">
        <is>
          <t xml:space="preserve">275 GTB/4</t>
        </is>
      </c>
      <c r="K313" s="30" t="inlineStr">
        <is>
          <t xml:space="preserve">NFPSPUXA5Y5VFKY2R</t>
        </is>
      </c>
      <c r="L313" s="32" t="inlineStr">
        <is>
          <t xml:space="preserve">08 - Modern Classic (1973-1999)</t>
        </is>
      </c>
      <c r="M313" s="35">
        <v>910000</v>
      </c>
      <c r="N313" s="32" t="inlineStr">
        <is>
          <t xml:space="preserve">Personal</t>
        </is>
      </c>
      <c r="O313" s="30" t="inlineStr">
        <is>
          <t xml:space="preserve">Personal - regular use</t>
        </is>
      </c>
      <c r="P313" s="30" t="inlineStr">
        <is>
          <t xml:space="preserve">1,000 - 2,500</t>
        </is>
      </c>
      <c r="Q313" s="30" t="inlineStr">
        <is>
          <t xml:space="preserve">Oklahoma</t>
        </is>
      </c>
      <c r="R313" s="30" t="inlineStr">
        <is>
          <t xml:space="preserve">73102</t>
        </is>
      </c>
      <c r="S313" s="32" t="inlineStr">
        <is>
          <t xml:space="preserve">Severe convective - hail alley (high)</t>
        </is>
      </c>
      <c r="T313" s="36">
        <f>IF($A313="","",IF($S313="","",IFERROR(INDEX('[1]natural catastrophe'!$D$6:$D$17,MATCH($S313,'[1]natural catastrophe'!$B$6:$B$17,0)),"?")))</f>
      </c>
      <c r="U313" s="30" t="inlineStr">
        <is>
          <t xml:space="preserve">$5,000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7079.28</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CANON-202607-008089</t>
        </is>
      </c>
      <c r="B314" s="46" t="inlineStr">
        <is>
          <t xml:space="preserve">Fenwick Harrington</t>
        </is>
      </c>
      <c r="C314" s="47">
        <v>46204</v>
      </c>
      <c r="D314" s="48" t="inlineStr">
        <is>
          <t xml:space="preserve">Bound - within authority</t>
        </is>
      </c>
      <c r="E314" s="48" t="inlineStr">
        <is>
          <t xml:space="preserve">New business</t>
        </is>
      </c>
      <c r="F314" s="46" t="inlineStr">
        <is>
          <t xml:space="preserve">B1234EXOTIC26</t>
        </is>
      </c>
      <c r="G314" s="33">
        <f>IF($A314="","",IF($C314="","",YEAR($C314)))</f>
      </c>
      <c r="H314" s="49">
        <v>1971</v>
      </c>
      <c r="I314" s="46" t="inlineStr">
        <is>
          <t xml:space="preserve">Maserati</t>
        </is>
      </c>
      <c r="J314" s="46" t="inlineStr">
        <is>
          <t xml:space="preserve">GranTurismo</t>
        </is>
      </c>
      <c r="K314" s="46" t="inlineStr">
        <is>
          <t xml:space="preserve">4V3WZ7PNESYX3VHAP</t>
        </is>
      </c>
      <c r="L314" s="48" t="inlineStr">
        <is>
          <t xml:space="preserve">02 - Sports / GT</t>
        </is>
      </c>
      <c r="M314" s="50">
        <v>165000</v>
      </c>
      <c r="N314" s="48" t="inlineStr">
        <is>
          <t xml:space="preserve">Personal</t>
        </is>
      </c>
      <c r="O314" s="46" t="inlineStr">
        <is>
          <t xml:space="preserve">Personal - regular use</t>
        </is>
      </c>
      <c r="P314" s="46" t="inlineStr">
        <is>
          <t xml:space="preserve">1,000 - 2,500</t>
        </is>
      </c>
      <c r="Q314" s="46" t="inlineStr">
        <is>
          <t xml:space="preserve">South Carolina</t>
        </is>
      </c>
      <c r="R314" s="46" t="inlineStr">
        <is>
          <t xml:space="preserve">29401</t>
        </is>
      </c>
      <c r="S314" s="48" t="inlineStr">
        <is>
          <t xml:space="preserve">Tier 2 - Coastal wind (1-25 miles)</t>
        </is>
      </c>
      <c r="T314" s="36">
        <f>IF($A314="","",IF($S314="","",IFERROR(INDEX('[1]natural catastrophe'!$D$6:$D$17,MATCH($S314,'[1]natural catastrophe'!$B$6:$B$17,0)),"?")))</f>
      </c>
      <c r="U314" s="46" t="inlineStr">
        <is>
          <t xml:space="preserve">2% of agreed value, minimum $10,000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2702.73</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CANON-202607-008090</t>
        </is>
      </c>
      <c r="B315" s="30" t="inlineStr">
        <is>
          <t xml:space="preserve">Mireille Ashcombe</t>
        </is>
      </c>
      <c r="C315" s="31">
        <v>46221</v>
      </c>
      <c r="D315" s="32" t="inlineStr">
        <is>
          <t xml:space="preserve">Bound - within authority</t>
        </is>
      </c>
      <c r="E315" s="32" t="inlineStr">
        <is>
          <t xml:space="preserve">New business</t>
        </is>
      </c>
      <c r="F315" s="30" t="inlineStr">
        <is>
          <t xml:space="preserve">B1234EXOTIC26</t>
        </is>
      </c>
      <c r="G315" s="33">
        <f>IF($A315="","",IF($C315="","",YEAR($C315)))</f>
      </c>
      <c r="H315" s="34">
        <v>1969</v>
      </c>
      <c r="I315" s="30" t="inlineStr">
        <is>
          <t xml:space="preserve">BMW</t>
        </is>
      </c>
      <c r="J315" s="30" t="inlineStr">
        <is>
          <t xml:space="preserve">M8 Competition</t>
        </is>
      </c>
      <c r="K315" s="30" t="inlineStr">
        <is>
          <t xml:space="preserve">A6Y13079EG5DTR3LB</t>
        </is>
      </c>
      <c r="L315" s="32" t="inlineStr">
        <is>
          <t xml:space="preserve">02 - Sports / GT</t>
        </is>
      </c>
      <c r="M315" s="35">
        <v>545000</v>
      </c>
      <c r="N315" s="32" t="inlineStr">
        <is>
          <t xml:space="preserve">Personal</t>
        </is>
      </c>
      <c r="O315" s="30" t="inlineStr">
        <is>
          <t xml:space="preserve">Personal - regular use</t>
        </is>
      </c>
      <c r="P315" s="30" t="inlineStr">
        <is>
          <t xml:space="preserve">Under 1,000</t>
        </is>
      </c>
      <c r="Q315" s="30" t="inlineStr">
        <is>
          <t xml:space="preserve">Wisconsin</t>
        </is>
      </c>
      <c r="R315" s="30" t="inlineStr">
        <is>
          <t xml:space="preserve">53202</t>
        </is>
      </c>
      <c r="S315" s="32" t="inlineStr">
        <is>
          <t xml:space="preserve">Severe convective - hail / tornado (moderate)</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6103.79</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CANON-202607-008093</t>
        </is>
      </c>
      <c r="B316" s="46" t="inlineStr">
        <is>
          <t xml:space="preserve">Callum Kingsford</t>
        </is>
      </c>
      <c r="C316" s="47">
        <v>46213</v>
      </c>
      <c r="D316" s="48" t="inlineStr">
        <is>
          <t xml:space="preserve">Bound - within authority</t>
        </is>
      </c>
      <c r="E316" s="48" t="inlineStr">
        <is>
          <t xml:space="preserve">New business</t>
        </is>
      </c>
      <c r="F316" s="46" t="inlineStr">
        <is>
          <t xml:space="preserve">B1234EXOTIC26</t>
        </is>
      </c>
      <c r="G316" s="33">
        <f>IF($A316="","",IF($C316="","",YEAR($C316)))</f>
      </c>
      <c r="H316" s="49">
        <v>2001</v>
      </c>
      <c r="I316" s="46" t="inlineStr">
        <is>
          <t xml:space="preserve">Porsche</t>
        </is>
      </c>
      <c r="J316" s="46" t="inlineStr">
        <is>
          <t xml:space="preserve">911 Turbo S</t>
        </is>
      </c>
      <c r="K316" s="46" t="inlineStr">
        <is>
          <t xml:space="preserve">J7CVXBW3U856BM4D7</t>
        </is>
      </c>
      <c r="L316" s="48" t="inlineStr">
        <is>
          <t xml:space="preserve">02 - Sports / GT</t>
        </is>
      </c>
      <c r="M316" s="50">
        <v>585000</v>
      </c>
      <c r="N316" s="48" t="inlineStr">
        <is>
          <t xml:space="preserve">Personal</t>
        </is>
      </c>
      <c r="O316" s="46" t="inlineStr">
        <is>
          <t xml:space="preserve">Personal - regular use</t>
        </is>
      </c>
      <c r="P316" s="46" t="inlineStr">
        <is>
          <t xml:space="preserve">1,000 - 2,500</t>
        </is>
      </c>
      <c r="Q316" s="46" t="inlineStr">
        <is>
          <t xml:space="preserve">Nebraska</t>
        </is>
      </c>
      <c r="R316" s="46" t="inlineStr">
        <is>
          <t xml:space="preserve">68102</t>
        </is>
      </c>
      <c r="S316" s="48" t="inlineStr">
        <is>
          <t xml:space="preserve">Severe convective - hail alley (high)</t>
        </is>
      </c>
      <c r="T316" s="36">
        <f>IF($A316="","",IF($S316="","",IFERROR(INDEX('[1]natural catastrophe'!$D$6:$D$17,MATCH($S316,'[1]natural catastrophe'!$B$6:$B$17,0)),"?")))</f>
      </c>
      <c r="U316" s="46" t="inlineStr">
        <is>
          <t xml:space="preserve">$5,000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7097.76</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CANON-202607-008094</t>
        </is>
      </c>
      <c r="B317" s="30" t="inlineStr">
        <is>
          <t xml:space="preserve">Delphine Montoya</t>
        </is>
      </c>
      <c r="C317" s="31">
        <v>46232</v>
      </c>
      <c r="D317" s="32" t="inlineStr">
        <is>
          <t xml:space="preserve">Bound - within authority</t>
        </is>
      </c>
      <c r="E317" s="32" t="inlineStr">
        <is>
          <t xml:space="preserve">New business</t>
        </is>
      </c>
      <c r="F317" s="30" t="inlineStr">
        <is>
          <t xml:space="preserve">B1234EXOTIC26</t>
        </is>
      </c>
      <c r="G317" s="33">
        <f>IF($A317="","",IF($C317="","",YEAR($C317)))</f>
      </c>
      <c r="H317" s="34">
        <v>1964</v>
      </c>
      <c r="I317" s="30" t="inlineStr">
        <is>
          <t xml:space="preserve">Bugatti</t>
        </is>
      </c>
      <c r="J317" s="30" t="inlineStr">
        <is>
          <t xml:space="preserve">Type 57</t>
        </is>
      </c>
      <c r="K317" s="30" t="inlineStr">
        <is>
          <t xml:space="preserve">MLTU1A39ZNVNVRUN1</t>
        </is>
      </c>
      <c r="L317" s="32" t="inlineStr">
        <is>
          <t xml:space="preserve">07 - Post-War Classic (1946-1972)</t>
        </is>
      </c>
      <c r="M317" s="35">
        <v>885000</v>
      </c>
      <c r="N317" s="32" t="inlineStr">
        <is>
          <t xml:space="preserve">Personal</t>
        </is>
      </c>
      <c r="O317" s="30" t="inlineStr">
        <is>
          <t xml:space="preserve">Personal - regular use</t>
        </is>
      </c>
      <c r="P317" s="30" t="inlineStr">
        <is>
          <t xml:space="preserve">1,000 - 2,500</t>
        </is>
      </c>
      <c r="Q317" s="30" t="inlineStr">
        <is>
          <t xml:space="preserve">Texas</t>
        </is>
      </c>
      <c r="R317" s="30" t="inlineStr">
        <is>
          <t xml:space="preserve">75201</t>
        </is>
      </c>
      <c r="S317" s="32" t="inlineStr">
        <is>
          <t xml:space="preserve">Tier 2 - Coastal wind (1-25 miles)</t>
        </is>
      </c>
      <c r="T317" s="36">
        <f>IF($A317="","",IF($S317="","",IFERROR(INDEX('[1]natural catastrophe'!$D$6:$D$17,MATCH($S317,'[1]natural catastrophe'!$B$6:$B$17,0)),"?")))</f>
      </c>
      <c r="U317" s="30" t="inlineStr">
        <is>
          <t xml:space="preserve">2% of agreed value, minimum $10,000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5553.08</v>
      </c>
      <c r="AC317" s="37">
        <v>0</v>
      </c>
      <c r="AD317" s="38">
        <f>IF(ISNUMBER($AB317),$AB317*(1+N($AC317)),"")</f>
      </c>
      <c r="AE317" s="35">
        <v>350</v>
      </c>
      <c r="AF317" s="35">
        <v>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CANON-202607-008095</t>
        </is>
      </c>
      <c r="B318" s="46" t="inlineStr">
        <is>
          <t xml:space="preserve">Cassius Okonkwo</t>
        </is>
      </c>
      <c r="C318" s="47">
        <v>46209</v>
      </c>
      <c r="D318" s="48" t="inlineStr">
        <is>
          <t xml:space="preserve">Bound - within authority</t>
        </is>
      </c>
      <c r="E318" s="48" t="inlineStr">
        <is>
          <t xml:space="preserve">New business</t>
        </is>
      </c>
      <c r="F318" s="46" t="inlineStr">
        <is>
          <t xml:space="preserve">B1234EXOTIC26</t>
        </is>
      </c>
      <c r="G318" s="33">
        <f>IF($A318="","",IF($C318="","",YEAR($C318)))</f>
      </c>
      <c r="H318" s="49">
        <v>2003</v>
      </c>
      <c r="I318" s="46" t="inlineStr">
        <is>
          <t xml:space="preserve">Porsche</t>
        </is>
      </c>
      <c r="J318" s="46" t="inlineStr">
        <is>
          <t xml:space="preserve">911 Turbo S</t>
        </is>
      </c>
      <c r="K318" s="46" t="inlineStr">
        <is>
          <t xml:space="preserve">P9M79GA5T9K8CMG4V</t>
        </is>
      </c>
      <c r="L318" s="48" t="inlineStr">
        <is>
          <t xml:space="preserve">02 - Sports / GT</t>
        </is>
      </c>
      <c r="M318" s="50">
        <v>1300000</v>
      </c>
      <c r="N318" s="48" t="inlineStr">
        <is>
          <t xml:space="preserve">Personal</t>
        </is>
      </c>
      <c r="O318" s="46" t="inlineStr">
        <is>
          <t xml:space="preserve">Personal - regular use</t>
        </is>
      </c>
      <c r="P318" s="46" t="inlineStr">
        <is>
          <t xml:space="preserve">2,500 - 5,000</t>
        </is>
      </c>
      <c r="Q318" s="46" t="inlineStr">
        <is>
          <t xml:space="preserve">New York</t>
        </is>
      </c>
      <c r="R318" s="46" t="inlineStr">
        <is>
          <t xml:space="preserve">10022</t>
        </is>
      </c>
      <c r="S318" s="48" t="inlineStr">
        <is>
          <t xml:space="preserve">Tier 3 - Coastal wind (25-100 miles)</t>
        </is>
      </c>
      <c r="T318" s="36">
        <f>IF($A318="","",IF($S318="","",IFERROR(INDEX('[1]natural catastrophe'!$D$6:$D$17,MATCH($S318,'[1]natural catastrophe'!$B$6:$B$17,0)),"?")))</f>
      </c>
      <c r="U318" s="46" t="inlineStr">
        <is>
          <t xml:space="preserve">2% of agreed value, minimum $10,000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13140.89</v>
      </c>
      <c r="AC318" s="51">
        <v>0</v>
      </c>
      <c r="AD318" s="38">
        <f>IF(ISNUMBER($AB318),$AB318*(1+N($AC318)),"")</f>
      </c>
      <c r="AE318" s="50">
        <v>350</v>
      </c>
      <c r="AF318" s="50">
        <v>250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CANON-202607-008098</t>
        </is>
      </c>
      <c r="B319" s="30" t="inlineStr">
        <is>
          <t xml:space="preserve">Marisol Whitlock</t>
        </is>
      </c>
      <c r="C319" s="31">
        <v>46218</v>
      </c>
      <c r="D319" s="32" t="inlineStr">
        <is>
          <t xml:space="preserve">Bound - within authority</t>
        </is>
      </c>
      <c r="E319" s="32" t="inlineStr">
        <is>
          <t xml:space="preserve">New business</t>
        </is>
      </c>
      <c r="F319" s="30" t="inlineStr">
        <is>
          <t xml:space="preserve">B1234EXOTIC26</t>
        </is>
      </c>
      <c r="G319" s="33">
        <f>IF($A319="","",IF($C319="","",YEAR($C319)))</f>
      </c>
      <c r="H319" s="34">
        <v>1969</v>
      </c>
      <c r="I319" s="30" t="inlineStr">
        <is>
          <t xml:space="preserve">Lamborghini</t>
        </is>
      </c>
      <c r="J319" s="30" t="inlineStr">
        <is>
          <t xml:space="preserve">Huracan EVO</t>
        </is>
      </c>
      <c r="K319" s="30" t="inlineStr">
        <is>
          <t xml:space="preserve">C18E7XXM7DXZZ95HH</t>
        </is>
      </c>
      <c r="L319" s="32" t="inlineStr">
        <is>
          <t xml:space="preserve">03 - Supercar</t>
        </is>
      </c>
      <c r="M319" s="35">
        <v>930000</v>
      </c>
      <c r="N319" s="32" t="inlineStr">
        <is>
          <t xml:space="preserve">Personal</t>
        </is>
      </c>
      <c r="O319" s="30" t="inlineStr">
        <is>
          <t xml:space="preserve">Personal - regular use</t>
        </is>
      </c>
      <c r="P319" s="30" t="inlineStr">
        <is>
          <t xml:space="preserve">Under 1,000</t>
        </is>
      </c>
      <c r="Q319" s="30" t="inlineStr">
        <is>
          <t xml:space="preserve">New Jersey</t>
        </is>
      </c>
      <c r="R319" s="30" t="inlineStr">
        <is>
          <t xml:space="preserve">07102</t>
        </is>
      </c>
      <c r="S319" s="32" t="inlineStr">
        <is>
          <t xml:space="preserve">Tier 3 - Coastal wind (25-100 miles)</t>
        </is>
      </c>
      <c r="T319" s="36">
        <f>IF($A319="","",IF($S319="","",IFERROR(INDEX('[1]natural catastrophe'!$D$6:$D$17,MATCH($S319,'[1]natural catastrophe'!$B$6:$B$17,0)),"?")))</f>
      </c>
      <c r="U319" s="30" t="inlineStr">
        <is>
          <t xml:space="preserve">2% of agreed value, minimum $10,000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11544.01</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CANON-202607-008100</t>
        </is>
      </c>
      <c r="B320" s="46" t="inlineStr">
        <is>
          <t xml:space="preserve">Everett Underwood</t>
        </is>
      </c>
      <c r="C320" s="47">
        <v>46223</v>
      </c>
      <c r="D320" s="48" t="inlineStr">
        <is>
          <t xml:space="preserve">Bound - within authority</t>
        </is>
      </c>
      <c r="E320" s="48" t="inlineStr">
        <is>
          <t xml:space="preserve">New business</t>
        </is>
      </c>
      <c r="F320" s="46" t="inlineStr">
        <is>
          <t xml:space="preserve">B1234EXOTIC26</t>
        </is>
      </c>
      <c r="G320" s="33">
        <f>IF($A320="","",IF($C320="","",YEAR($C320)))</f>
      </c>
      <c r="H320" s="49">
        <v>1994</v>
      </c>
      <c r="I320" s="46" t="inlineStr">
        <is>
          <t xml:space="preserve">Aston Martin</t>
        </is>
      </c>
      <c r="J320" s="46" t="inlineStr">
        <is>
          <t xml:space="preserve">DB12</t>
        </is>
      </c>
      <c r="K320" s="46" t="inlineStr">
        <is>
          <t xml:space="preserve">NSXY6TSKEDZU7XZM8</t>
        </is>
      </c>
      <c r="L320" s="48" t="inlineStr">
        <is>
          <t xml:space="preserve">02 - Sports / GT</t>
        </is>
      </c>
      <c r="M320" s="50">
        <v>315000</v>
      </c>
      <c r="N320" s="48" t="inlineStr">
        <is>
          <t xml:space="preserve">Personal</t>
        </is>
      </c>
      <c r="O320" s="46" t="inlineStr">
        <is>
          <t xml:space="preserve">Personal - regular use</t>
        </is>
      </c>
      <c r="P320" s="46" t="inlineStr">
        <is>
          <t xml:space="preserve">Under 1,000</t>
        </is>
      </c>
      <c r="Q320" s="46" t="inlineStr">
        <is>
          <t xml:space="preserve">South Carolina</t>
        </is>
      </c>
      <c r="R320" s="46" t="inlineStr">
        <is>
          <t xml:space="preserve">29401</t>
        </is>
      </c>
      <c r="S320" s="48" t="inlineStr">
        <is>
          <t xml:space="preserve">Tier 2 - Coastal wind (1-25 miles)</t>
        </is>
      </c>
      <c r="T320" s="36">
        <f>IF($A320="","",IF($S320="","",IFERROR(INDEX('[1]natural catastrophe'!$D$6:$D$17,MATCH($S320,'[1]natural catastrophe'!$B$6:$B$17,0)),"?")))</f>
      </c>
      <c r="U320" s="46" t="inlineStr">
        <is>
          <t xml:space="preserve">2% of agreed value, minimum $10,000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4206.32</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CANON-202607-008102</t>
        </is>
      </c>
      <c r="B321" s="30" t="inlineStr">
        <is>
          <t xml:space="preserve">Lorenzo Delacroix</t>
        </is>
      </c>
      <c r="C321" s="31">
        <v>46214</v>
      </c>
      <c r="D321" s="32" t="inlineStr">
        <is>
          <t xml:space="preserve">Bound - within authority</t>
        </is>
      </c>
      <c r="E321" s="32" t="inlineStr">
        <is>
          <t xml:space="preserve">New business</t>
        </is>
      </c>
      <c r="F321" s="30" t="inlineStr">
        <is>
          <t xml:space="preserve">B1234EXOTIC26</t>
        </is>
      </c>
      <c r="G321" s="33">
        <f>IF($A321="","",IF($C321="","",YEAR($C321)))</f>
      </c>
      <c r="H321" s="34">
        <v>1956</v>
      </c>
      <c r="I321" s="30" t="inlineStr">
        <is>
          <t xml:space="preserve">Porsche</t>
        </is>
      </c>
      <c r="J321" s="30" t="inlineStr">
        <is>
          <t xml:space="preserve">911 Turbo S</t>
        </is>
      </c>
      <c r="K321" s="30" t="inlineStr">
        <is>
          <t xml:space="preserve">SDNG4WU9LMB8SU2W9</t>
        </is>
      </c>
      <c r="L321" s="32" t="inlineStr">
        <is>
          <t xml:space="preserve">02 - Sports / GT</t>
        </is>
      </c>
      <c r="M321" s="35">
        <v>510000</v>
      </c>
      <c r="N321" s="32" t="inlineStr">
        <is>
          <t xml:space="preserve">Personal</t>
        </is>
      </c>
      <c r="O321" s="30" t="inlineStr">
        <is>
          <t xml:space="preserve">Personal - regular use</t>
        </is>
      </c>
      <c r="P321" s="30" t="inlineStr">
        <is>
          <t xml:space="preserve">Under 1,000</t>
        </is>
      </c>
      <c r="Q321" s="30" t="inlineStr">
        <is>
          <t xml:space="preserve">Georgia</t>
        </is>
      </c>
      <c r="R321" s="30" t="inlineStr">
        <is>
          <t xml:space="preserve">30303</t>
        </is>
      </c>
      <c r="S321" s="32" t="inlineStr">
        <is>
          <t xml:space="preserve">Tier 2 - Coastal wind (1-25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5331.02</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CANON-202607-008103</t>
        </is>
      </c>
      <c r="B322" s="46" t="inlineStr">
        <is>
          <t xml:space="preserve">Thaddeus Rourke</t>
        </is>
      </c>
      <c r="C322" s="47">
        <v>46205</v>
      </c>
      <c r="D322" s="48" t="inlineStr">
        <is>
          <t xml:space="preserve">Bound - within authority</t>
        </is>
      </c>
      <c r="E322" s="48" t="inlineStr">
        <is>
          <t xml:space="preserve">New business</t>
        </is>
      </c>
      <c r="F322" s="46" t="inlineStr">
        <is>
          <t xml:space="preserve">B1234EXOTIC26</t>
        </is>
      </c>
      <c r="G322" s="33">
        <f>IF($A322="","",IF($C322="","",YEAR($C322)))</f>
      </c>
      <c r="H322" s="49">
        <v>1958</v>
      </c>
      <c r="I322" s="46" t="inlineStr">
        <is>
          <t xml:space="preserve">Maserati</t>
        </is>
      </c>
      <c r="J322" s="46" t="inlineStr">
        <is>
          <t xml:space="preserve">GranTurismo</t>
        </is>
      </c>
      <c r="K322" s="46" t="inlineStr">
        <is>
          <t xml:space="preserve">D61CM9BJW2A26XCRR</t>
        </is>
      </c>
      <c r="L322" s="48" t="inlineStr">
        <is>
          <t xml:space="preserve">02 - Sports / GT</t>
        </is>
      </c>
      <c r="M322" s="50">
        <v>450000</v>
      </c>
      <c r="N322" s="48" t="inlineStr">
        <is>
          <t xml:space="preserve">Personal</t>
        </is>
      </c>
      <c r="O322" s="46" t="inlineStr">
        <is>
          <t xml:space="preserve">Personal - regular use</t>
        </is>
      </c>
      <c r="P322" s="46" t="inlineStr">
        <is>
          <t xml:space="preserve">Under 1,000</t>
        </is>
      </c>
      <c r="Q322" s="46" t="inlineStr">
        <is>
          <t xml:space="preserve">New York</t>
        </is>
      </c>
      <c r="R322" s="46" t="inlineStr">
        <is>
          <t xml:space="preserve">10022</t>
        </is>
      </c>
      <c r="S322" s="48" t="inlineStr">
        <is>
          <t xml:space="preserve">Tier 3 - Coastal wind (25-100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6202.87</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CANON-202607-008105</t>
        </is>
      </c>
      <c r="B323" s="30" t="inlineStr">
        <is>
          <t xml:space="preserve">Emiliano Bellandi</t>
        </is>
      </c>
      <c r="C323" s="31">
        <v>46209</v>
      </c>
      <c r="D323" s="32" t="inlineStr">
        <is>
          <t xml:space="preserve">Bound - within authority</t>
        </is>
      </c>
      <c r="E323" s="32" t="inlineStr">
        <is>
          <t xml:space="preserve">New business</t>
        </is>
      </c>
      <c r="F323" s="30" t="inlineStr">
        <is>
          <t xml:space="preserve">B1234EXOTIC26</t>
        </is>
      </c>
      <c r="G323" s="33">
        <f>IF($A323="","",IF($C323="","",YEAR($C323)))</f>
      </c>
      <c r="H323" s="34">
        <v>2024</v>
      </c>
      <c r="I323" s="30" t="inlineStr">
        <is>
          <t xml:space="preserve">Bentley</t>
        </is>
      </c>
      <c r="J323" s="30" t="inlineStr">
        <is>
          <t xml:space="preserve">Continental GT</t>
        </is>
      </c>
      <c r="K323" s="30" t="inlineStr">
        <is>
          <t xml:space="preserve">F81REMZAVP6RZ0VBS</t>
        </is>
      </c>
      <c r="L323" s="32" t="inlineStr">
        <is>
          <t xml:space="preserve">02 - Sports / GT</t>
        </is>
      </c>
      <c r="M323" s="35">
        <v>1070000</v>
      </c>
      <c r="N323" s="32" t="inlineStr">
        <is>
          <t xml:space="preserve">Personal</t>
        </is>
      </c>
      <c r="O323" s="30" t="inlineStr">
        <is>
          <t xml:space="preserve">Personal - regular use</t>
        </is>
      </c>
      <c r="P323" s="30" t="inlineStr">
        <is>
          <t xml:space="preserve">1,000 - 2,500</t>
        </is>
      </c>
      <c r="Q323" s="30" t="inlineStr">
        <is>
          <t xml:space="preserve">California</t>
        </is>
      </c>
      <c r="R323" s="30" t="inlineStr">
        <is>
          <t xml:space="preserve">90012</t>
        </is>
      </c>
      <c r="S323" s="32" t="inlineStr">
        <is>
          <t xml:space="preserve">Earthquake - high (CA, Cascadia, New Madrid)</t>
        </is>
      </c>
      <c r="T323" s="36">
        <f>IF($A323="","",IF($S323="","",IFERROR(INDEX('[1]natural catastrophe'!$D$6:$D$17,MATCH($S323,'[1]natural catastrophe'!$B$6:$B$17,0)),"?")))</f>
      </c>
      <c r="U323" s="30" t="inlineStr">
        <is>
          <t xml:space="preserve">$5,000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11407.46</v>
      </c>
      <c r="AC323" s="37">
        <v>0</v>
      </c>
      <c r="AD323" s="38">
        <f>IF(ISNUMBER($AB323),$AB323*(1+N($AC323)),"")</f>
      </c>
      <c r="AE323" s="35">
        <v>350</v>
      </c>
      <c r="AF323" s="35">
        <v>250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CANON-202607-008106</t>
        </is>
      </c>
      <c r="B324" s="46" t="inlineStr">
        <is>
          <t xml:space="preserve">Fenwick Larsson</t>
        </is>
      </c>
      <c r="C324" s="47">
        <v>46207</v>
      </c>
      <c r="D324" s="48" t="inlineStr">
        <is>
          <t xml:space="preserve">Bound - within authority</t>
        </is>
      </c>
      <c r="E324" s="48" t="inlineStr">
        <is>
          <t xml:space="preserve">New business</t>
        </is>
      </c>
      <c r="F324" s="46" t="inlineStr">
        <is>
          <t xml:space="preserve">B1234EXOTIC26</t>
        </is>
      </c>
      <c r="G324" s="33">
        <f>IF($A324="","",IF($C324="","",YEAR($C324)))</f>
      </c>
      <c r="H324" s="49">
        <v>1976</v>
      </c>
      <c r="I324" s="46" t="inlineStr">
        <is>
          <t xml:space="preserve">Bentley</t>
        </is>
      </c>
      <c r="J324" s="46" t="inlineStr">
        <is>
          <t xml:space="preserve">Continental GT</t>
        </is>
      </c>
      <c r="K324" s="46" t="inlineStr">
        <is>
          <t xml:space="preserve">17BS6ZB3AWVFR7J5S</t>
        </is>
      </c>
      <c r="L324" s="48" t="inlineStr">
        <is>
          <t xml:space="preserve">02 - Sports / GT</t>
        </is>
      </c>
      <c r="M324" s="50">
        <v>335000</v>
      </c>
      <c r="N324" s="48" t="inlineStr">
        <is>
          <t xml:space="preserve">Personal</t>
        </is>
      </c>
      <c r="O324" s="46" t="inlineStr">
        <is>
          <t xml:space="preserve">Personal - regular use</t>
        </is>
      </c>
      <c r="P324" s="46" t="inlineStr">
        <is>
          <t xml:space="preserve">1,000 - 2,500</t>
        </is>
      </c>
      <c r="Q324" s="46" t="inlineStr">
        <is>
          <t xml:space="preserve">California</t>
        </is>
      </c>
      <c r="R324" s="46" t="inlineStr">
        <is>
          <t xml:space="preserve">90012</t>
        </is>
      </c>
      <c r="S324" s="48" t="inlineStr">
        <is>
          <t xml:space="preserve">Earthquake - high (CA, Cascadia, New Madrid)</t>
        </is>
      </c>
      <c r="T324" s="36">
        <f>IF($A324="","",IF($S324="","",IFERROR(INDEX('[1]natural catastrophe'!$D$6:$D$17,MATCH($S324,'[1]natural catastrophe'!$B$6:$B$17,0)),"?")))</f>
      </c>
      <c r="U324" s="46" t="inlineStr">
        <is>
          <t xml:space="preserve">$5,000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4870.22</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CANON-202607-008107</t>
        </is>
      </c>
      <c r="B325" s="30" t="inlineStr">
        <is>
          <t xml:space="preserve">Fenwick Delacroix</t>
        </is>
      </c>
      <c r="C325" s="31">
        <v>46224</v>
      </c>
      <c r="D325" s="32" t="inlineStr">
        <is>
          <t xml:space="preserve">Bound - within authority</t>
        </is>
      </c>
      <c r="E325" s="32" t="inlineStr">
        <is>
          <t xml:space="preserve">New business</t>
        </is>
      </c>
      <c r="F325" s="30" t="inlineStr">
        <is>
          <t xml:space="preserve">B1234EXOTIC26</t>
        </is>
      </c>
      <c r="G325" s="33">
        <f>IF($A325="","",IF($C325="","",YEAR($C325)))</f>
      </c>
      <c r="H325" s="34">
        <v>1972</v>
      </c>
      <c r="I325" s="30" t="inlineStr">
        <is>
          <t xml:space="preserve">Porsche</t>
        </is>
      </c>
      <c r="J325" s="30" t="inlineStr">
        <is>
          <t xml:space="preserve">911 Turbo S</t>
        </is>
      </c>
      <c r="K325" s="30" t="inlineStr">
        <is>
          <t xml:space="preserve">PZT39EXBN18EESHT4</t>
        </is>
      </c>
      <c r="L325" s="32" t="inlineStr">
        <is>
          <t xml:space="preserve">02 - Sports / GT</t>
        </is>
      </c>
      <c r="M325" s="35">
        <v>860000</v>
      </c>
      <c r="N325" s="32" t="inlineStr">
        <is>
          <t xml:space="preserve">Personal</t>
        </is>
      </c>
      <c r="O325" s="30" t="inlineStr">
        <is>
          <t xml:space="preserve">Personal - regular use</t>
        </is>
      </c>
      <c r="P325" s="30" t="inlineStr">
        <is>
          <t xml:space="preserve">Under 1,000</t>
        </is>
      </c>
      <c r="Q325" s="30" t="inlineStr">
        <is>
          <t xml:space="preserve">New Jersey</t>
        </is>
      </c>
      <c r="R325" s="30" t="inlineStr">
        <is>
          <t xml:space="preserve">07102</t>
        </is>
      </c>
      <c r="S325" s="32" t="inlineStr">
        <is>
          <t xml:space="preserve">Tier 3 - Coastal wind (25-100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7304.02</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CANON-202607-008108</t>
        </is>
      </c>
      <c r="B326" s="46" t="inlineStr">
        <is>
          <t xml:space="preserve">Ottilie Fairweather</t>
        </is>
      </c>
      <c r="C326" s="47">
        <v>46232</v>
      </c>
      <c r="D326" s="48" t="inlineStr">
        <is>
          <t xml:space="preserve">Bound - within authority</t>
        </is>
      </c>
      <c r="E326" s="48" t="inlineStr">
        <is>
          <t xml:space="preserve">New business</t>
        </is>
      </c>
      <c r="F326" s="46" t="inlineStr">
        <is>
          <t xml:space="preserve">B1234EXOTIC26</t>
        </is>
      </c>
      <c r="G326" s="33">
        <f>IF($A326="","",IF($C326="","",YEAR($C326)))</f>
      </c>
      <c r="H326" s="49">
        <v>1993</v>
      </c>
      <c r="I326" s="46" t="inlineStr">
        <is>
          <t xml:space="preserve">Porsche</t>
        </is>
      </c>
      <c r="J326" s="46" t="inlineStr">
        <is>
          <t xml:space="preserve">911 Turbo S</t>
        </is>
      </c>
      <c r="K326" s="46" t="inlineStr">
        <is>
          <t xml:space="preserve">KKE9MHVS2SF8JZ9BR</t>
        </is>
      </c>
      <c r="L326" s="48" t="inlineStr">
        <is>
          <t xml:space="preserve">02 - Sports / GT</t>
        </is>
      </c>
      <c r="M326" s="50">
        <v>915000</v>
      </c>
      <c r="N326" s="48" t="inlineStr">
        <is>
          <t xml:space="preserve">Personal</t>
        </is>
      </c>
      <c r="O326" s="46" t="inlineStr">
        <is>
          <t xml:space="preserve">Personal - regular use</t>
        </is>
      </c>
      <c r="P326" s="46" t="inlineStr">
        <is>
          <t xml:space="preserve">Under 1,000</t>
        </is>
      </c>
      <c r="Q326" s="46" t="inlineStr">
        <is>
          <t xml:space="preserve">Idaho</t>
        </is>
      </c>
      <c r="R326" s="46" t="inlineStr">
        <is>
          <t xml:space="preserve">83702</t>
        </is>
      </c>
      <c r="S326" s="48" t="inlineStr">
        <is>
          <t xml:space="preserve">Wildfire - WUI high hazard</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8454.31</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CANON-202607-008110</t>
        </is>
      </c>
      <c r="B327" s="30" t="inlineStr">
        <is>
          <t xml:space="preserve">Sunniva Whitlock</t>
        </is>
      </c>
      <c r="C327" s="31">
        <v>46222</v>
      </c>
      <c r="D327" s="32" t="inlineStr">
        <is>
          <t xml:space="preserve">Bound - within authority</t>
        </is>
      </c>
      <c r="E327" s="32" t="inlineStr">
        <is>
          <t xml:space="preserve">New business</t>
        </is>
      </c>
      <c r="F327" s="30" t="inlineStr">
        <is>
          <t xml:space="preserve">B1234EXOTIC26</t>
        </is>
      </c>
      <c r="G327" s="33">
        <f>IF($A327="","",IF($C327="","",YEAR($C327)))</f>
      </c>
      <c r="H327" s="34">
        <v>1983</v>
      </c>
      <c r="I327" s="30" t="inlineStr">
        <is>
          <t xml:space="preserve">Icon</t>
        </is>
      </c>
      <c r="J327" s="30" t="inlineStr">
        <is>
          <t xml:space="preserve">Derelict</t>
        </is>
      </c>
      <c r="K327" s="30" t="inlineStr">
        <is>
          <t xml:space="preserve">B621YDK44YSKJZ0R7</t>
        </is>
      </c>
      <c r="L327" s="32" t="inlineStr">
        <is>
          <t xml:space="preserve">11 - Restomod / Coachbuilt / Bespoke</t>
        </is>
      </c>
      <c r="M327" s="35">
        <v>745000</v>
      </c>
      <c r="N327" s="32" t="inlineStr">
        <is>
          <t xml:space="preserve">Personal</t>
        </is>
      </c>
      <c r="O327" s="30" t="inlineStr">
        <is>
          <t xml:space="preserve">Personal - regular use</t>
        </is>
      </c>
      <c r="P327" s="30" t="inlineStr">
        <is>
          <t xml:space="preserve">2,500 - 5,000</t>
        </is>
      </c>
      <c r="Q327" s="30" t="inlineStr">
        <is>
          <t xml:space="preserve">Florida</t>
        </is>
      </c>
      <c r="R327" s="30" t="inlineStr">
        <is>
          <t xml:space="preserve">33139</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11848.08</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CANON-202607-008112</t>
        </is>
      </c>
      <c r="B328" s="46" t="inlineStr">
        <is>
          <t xml:space="preserve">Desmond Montoya</t>
        </is>
      </c>
      <c r="C328" s="47">
        <v>46204</v>
      </c>
      <c r="D328" s="48" t="inlineStr">
        <is>
          <t xml:space="preserve">Bound - within authority</t>
        </is>
      </c>
      <c r="E328" s="48" t="inlineStr">
        <is>
          <t xml:space="preserve">New business</t>
        </is>
      </c>
      <c r="F328" s="46" t="inlineStr">
        <is>
          <t xml:space="preserve">B1234EXOTIC26</t>
        </is>
      </c>
      <c r="G328" s="33">
        <f>IF($A328="","",IF($C328="","",YEAR($C328)))</f>
      </c>
      <c r="H328" s="49">
        <v>1980</v>
      </c>
      <c r="I328" s="46" t="inlineStr">
        <is>
          <t xml:space="preserve">Mercedes-Benz</t>
        </is>
      </c>
      <c r="J328" s="46" t="inlineStr">
        <is>
          <t xml:space="preserve">AMG GT</t>
        </is>
      </c>
      <c r="K328" s="46" t="inlineStr">
        <is>
          <t xml:space="preserve">VN6CVHJN55P8Z5DD5</t>
        </is>
      </c>
      <c r="L328" s="48" t="inlineStr">
        <is>
          <t xml:space="preserve">02 - Sports / GT</t>
        </is>
      </c>
      <c r="M328" s="50">
        <v>410000</v>
      </c>
      <c r="N328" s="48" t="inlineStr">
        <is>
          <t xml:space="preserve">Personal</t>
        </is>
      </c>
      <c r="O328" s="46" t="inlineStr">
        <is>
          <t xml:space="preserve">Personal - regular use</t>
        </is>
      </c>
      <c r="P328" s="46" t="inlineStr">
        <is>
          <t xml:space="preserve">1,000 - 2,500</t>
        </is>
      </c>
      <c r="Q328" s="46" t="inlineStr">
        <is>
          <t xml:space="preserve">Ohio</t>
        </is>
      </c>
      <c r="R328" s="46" t="inlineStr">
        <is>
          <t xml:space="preserve">43215</t>
        </is>
      </c>
      <c r="S328" s="48" t="inlineStr">
        <is>
          <t xml:space="preserve">Severe convective - hail / tornado (moderate)</t>
        </is>
      </c>
      <c r="T328" s="36">
        <f>IF($A328="","",IF($S328="","",IFERROR(INDEX('[1]natural catastrophe'!$D$6:$D$17,MATCH($S328,'[1]natural catastrophe'!$B$6:$B$17,0)),"?")))</f>
      </c>
      <c r="U328" s="46" t="inlineStr">
        <is>
          <t xml:space="preserve">$5,000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6137.18</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CANON-202607-008113</t>
        </is>
      </c>
      <c r="B329" s="30" t="inlineStr">
        <is>
          <t xml:space="preserve">Marisol Chattopadhyay</t>
        </is>
      </c>
      <c r="C329" s="31">
        <v>46233</v>
      </c>
      <c r="D329" s="32" t="inlineStr">
        <is>
          <t xml:space="preserve">Bound - within authority</t>
        </is>
      </c>
      <c r="E329" s="32" t="inlineStr">
        <is>
          <t xml:space="preserve">New business</t>
        </is>
      </c>
      <c r="F329" s="30" t="inlineStr">
        <is>
          <t xml:space="preserve">B1234EXOTIC26</t>
        </is>
      </c>
      <c r="G329" s="33">
        <f>IF($A329="","",IF($C329="","",YEAR($C329)))</f>
      </c>
      <c r="H329" s="34">
        <v>1992</v>
      </c>
      <c r="I329" s="30" t="inlineStr">
        <is>
          <t xml:space="preserve">Ferrari</t>
        </is>
      </c>
      <c r="J329" s="30" t="inlineStr">
        <is>
          <t xml:space="preserve">296 GTB</t>
        </is>
      </c>
      <c r="K329" s="30" t="inlineStr">
        <is>
          <t xml:space="preserve">39MA36NPJBK5319EZ</t>
        </is>
      </c>
      <c r="L329" s="32" t="inlineStr">
        <is>
          <t xml:space="preserve">03 - Supercar</t>
        </is>
      </c>
      <c r="M329" s="35">
        <v>1500000</v>
      </c>
      <c r="N329" s="32" t="inlineStr">
        <is>
          <t xml:space="preserve">Personal</t>
        </is>
      </c>
      <c r="O329" s="30" t="inlineStr">
        <is>
          <t xml:space="preserve">Personal - regular use</t>
        </is>
      </c>
      <c r="P329" s="30" t="inlineStr">
        <is>
          <t xml:space="preserve">2,500 - 5,000</t>
        </is>
      </c>
      <c r="Q329" s="30" t="inlineStr">
        <is>
          <t xml:space="preserve">Maine</t>
        </is>
      </c>
      <c r="R329" s="30" t="inlineStr">
        <is>
          <t xml:space="preserve">04101</t>
        </is>
      </c>
      <c r="S329" s="32" t="inlineStr">
        <is>
          <t xml:space="preserve">Tier 3 - Coastal wind (25-100 miles)</t>
        </is>
      </c>
      <c r="T329" s="36">
        <f>IF($A329="","",IF($S329="","",IFERROR(INDEX('[1]natural catastrophe'!$D$6:$D$17,MATCH($S329,'[1]natural catastrophe'!$B$6:$B$17,0)),"?")))</f>
      </c>
      <c r="U329" s="30" t="inlineStr">
        <is>
          <t xml:space="preserve">2% of agreed value, minimum $10,000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18608.6</v>
      </c>
      <c r="AC329" s="37">
        <v>0</v>
      </c>
      <c r="AD329" s="38">
        <f>IF(ISNUMBER($AB329),$AB329*(1+N($AC329)),"")</f>
      </c>
      <c r="AE329" s="35">
        <v>350</v>
      </c>
      <c r="AF329" s="35">
        <v>250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CANON-202607-008114</t>
        </is>
      </c>
      <c r="B330" s="46" t="inlineStr">
        <is>
          <t xml:space="preserve">Priya Fairweather</t>
        </is>
      </c>
      <c r="C330" s="47">
        <v>46218</v>
      </c>
      <c r="D330" s="48" t="inlineStr">
        <is>
          <t xml:space="preserve">Bound - within authority</t>
        </is>
      </c>
      <c r="E330" s="48" t="inlineStr">
        <is>
          <t xml:space="preserve">New business</t>
        </is>
      </c>
      <c r="F330" s="46" t="inlineStr">
        <is>
          <t xml:space="preserve">B1234EXOTIC26</t>
        </is>
      </c>
      <c r="G330" s="33">
        <f>IF($A330="","",IF($C330="","",YEAR($C330)))</f>
      </c>
      <c r="H330" s="49">
        <v>1980</v>
      </c>
      <c r="I330" s="46" t="inlineStr">
        <is>
          <t xml:space="preserve">Porsche</t>
        </is>
      </c>
      <c r="J330" s="46" t="inlineStr">
        <is>
          <t xml:space="preserve">911 Turbo S</t>
        </is>
      </c>
      <c r="K330" s="46" t="inlineStr">
        <is>
          <t xml:space="preserve">C30G7MJE3KL92BE0C</t>
        </is>
      </c>
      <c r="L330" s="48" t="inlineStr">
        <is>
          <t xml:space="preserve">02 - Sports / GT</t>
        </is>
      </c>
      <c r="M330" s="50">
        <v>220000</v>
      </c>
      <c r="N330" s="48" t="inlineStr">
        <is>
          <t xml:space="preserve">Personal</t>
        </is>
      </c>
      <c r="O330" s="46" t="inlineStr">
        <is>
          <t xml:space="preserve">Personal - regular use</t>
        </is>
      </c>
      <c r="P330" s="46" t="inlineStr">
        <is>
          <t xml:space="preserve">1,000 - 2,500</t>
        </is>
      </c>
      <c r="Q330" s="46" t="inlineStr">
        <is>
          <t xml:space="preserve">Montana</t>
        </is>
      </c>
      <c r="R330" s="46" t="inlineStr">
        <is>
          <t xml:space="preserve">59601</t>
        </is>
      </c>
      <c r="S330" s="48" t="inlineStr">
        <is>
          <t xml:space="preserve">Wildfire - WUI high hazard</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2702.73</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CANON-202607-008115</t>
        </is>
      </c>
      <c r="B331" s="30" t="inlineStr">
        <is>
          <t xml:space="preserve">Everett Ashcombe</t>
        </is>
      </c>
      <c r="C331" s="31">
        <v>46204</v>
      </c>
      <c r="D331" s="32" t="inlineStr">
        <is>
          <t xml:space="preserve">Bound - within authority</t>
        </is>
      </c>
      <c r="E331" s="32" t="inlineStr">
        <is>
          <t xml:space="preserve">New business</t>
        </is>
      </c>
      <c r="F331" s="30" t="inlineStr">
        <is>
          <t xml:space="preserve">B1234EXOTIC26</t>
        </is>
      </c>
      <c r="G331" s="33">
        <f>IF($A331="","",IF($C331="","",YEAR($C331)))</f>
      </c>
      <c r="H331" s="34">
        <v>1973</v>
      </c>
      <c r="I331" s="30" t="inlineStr">
        <is>
          <t xml:space="preserve">Ferrari</t>
        </is>
      </c>
      <c r="J331" s="30" t="inlineStr">
        <is>
          <t xml:space="preserve">SF90 Stradale</t>
        </is>
      </c>
      <c r="K331" s="30" t="inlineStr">
        <is>
          <t xml:space="preserve">Y03PZCGE3F4G5WGKW</t>
        </is>
      </c>
      <c r="L331" s="32" t="inlineStr">
        <is>
          <t xml:space="preserve">03 - Supercar</t>
        </is>
      </c>
      <c r="M331" s="35">
        <v>835000</v>
      </c>
      <c r="N331" s="32" t="inlineStr">
        <is>
          <t xml:space="preserve">Personal</t>
        </is>
      </c>
      <c r="O331" s="30" t="inlineStr">
        <is>
          <t xml:space="preserve">Personal - regular use</t>
        </is>
      </c>
      <c r="P331" s="30" t="inlineStr">
        <is>
          <t xml:space="preserve">Under 1,000</t>
        </is>
      </c>
      <c r="Q331" s="30" t="inlineStr">
        <is>
          <t xml:space="preserve">Arizona</t>
        </is>
      </c>
      <c r="R331" s="30" t="inlineStr">
        <is>
          <t xml:space="preserve">85001</t>
        </is>
      </c>
      <c r="S331" s="32" t="inlineStr">
        <is>
          <t xml:space="preserve">Wildfire - WUI high hazard</t>
        </is>
      </c>
      <c r="T331" s="36">
        <f>IF($A331="","",IF($S331="","",IFERROR(INDEX('[1]natural catastrophe'!$D$6:$D$17,MATCH($S331,'[1]natural catastrophe'!$B$6:$B$17,0)),"?")))</f>
      </c>
      <c r="U331" s="30" t="inlineStr">
        <is>
          <t xml:space="preserve">$5,000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11503.77</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CANON-202607-008116</t>
        </is>
      </c>
      <c r="B332" s="46" t="inlineStr">
        <is>
          <t xml:space="preserve">Everett Vandermeer</t>
        </is>
      </c>
      <c r="C332" s="47">
        <v>46226</v>
      </c>
      <c r="D332" s="48" t="inlineStr">
        <is>
          <t xml:space="preserve">Bound - within authority</t>
        </is>
      </c>
      <c r="E332" s="48" t="inlineStr">
        <is>
          <t xml:space="preserve">New business</t>
        </is>
      </c>
      <c r="F332" s="46" t="inlineStr">
        <is>
          <t xml:space="preserve">B1234EXOTIC26</t>
        </is>
      </c>
      <c r="G332" s="33">
        <f>IF($A332="","",IF($C332="","",YEAR($C332)))</f>
      </c>
      <c r="H332" s="49">
        <v>1994</v>
      </c>
      <c r="I332" s="46" t="inlineStr">
        <is>
          <t xml:space="preserve">Mercedes-Benz</t>
        </is>
      </c>
      <c r="J332" s="46" t="inlineStr">
        <is>
          <t xml:space="preserve">AMG GT</t>
        </is>
      </c>
      <c r="K332" s="46" t="inlineStr">
        <is>
          <t xml:space="preserve">9ZW9MJ7V5B1GU6UHJ</t>
        </is>
      </c>
      <c r="L332" s="48" t="inlineStr">
        <is>
          <t xml:space="preserve">02 - Sports / GT</t>
        </is>
      </c>
      <c r="M332" s="50">
        <v>1105000</v>
      </c>
      <c r="N332" s="48" t="inlineStr">
        <is>
          <t xml:space="preserve">Personal</t>
        </is>
      </c>
      <c r="O332" s="46" t="inlineStr">
        <is>
          <t xml:space="preserve">Personal - regular use</t>
        </is>
      </c>
      <c r="P332" s="46" t="inlineStr">
        <is>
          <t xml:space="preserve">2,500 - 5,000</t>
        </is>
      </c>
      <c r="Q332" s="46" t="inlineStr">
        <is>
          <t xml:space="preserve">Virginia</t>
        </is>
      </c>
      <c r="R332" s="46" t="inlineStr">
        <is>
          <t xml:space="preserve">23219</t>
        </is>
      </c>
      <c r="S332" s="48" t="inlineStr">
        <is>
          <t xml:space="preserve">Tier 3 - Coastal wind (25-100 miles)</t>
        </is>
      </c>
      <c r="T332" s="36">
        <f>IF($A332="","",IF($S332="","",IFERROR(INDEX('[1]natural catastrophe'!$D$6:$D$17,MATCH($S332,'[1]natural catastrophe'!$B$6:$B$17,0)),"?")))</f>
      </c>
      <c r="U332" s="46" t="inlineStr">
        <is>
          <t xml:space="preserve">2% of agreed value, minimum $10,000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9511.75</v>
      </c>
      <c r="AC332" s="51">
        <v>0</v>
      </c>
      <c r="AD332" s="38">
        <f>IF(ISNUMBER($AB332),$AB332*(1+N($AC332)),"")</f>
      </c>
      <c r="AE332" s="50">
        <v>350</v>
      </c>
      <c r="AF332" s="50">
        <v>250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CANON-202607-008118</t>
        </is>
      </c>
      <c r="B333" s="30" t="inlineStr">
        <is>
          <t xml:space="preserve">Cassius Chattopadhyay</t>
        </is>
      </c>
      <c r="C333" s="31">
        <v>46225</v>
      </c>
      <c r="D333" s="32" t="inlineStr">
        <is>
          <t xml:space="preserve">Bound - within authority</t>
        </is>
      </c>
      <c r="E333" s="32" t="inlineStr">
        <is>
          <t xml:space="preserve">New business</t>
        </is>
      </c>
      <c r="F333" s="30" t="inlineStr">
        <is>
          <t xml:space="preserve">B1234EXOTIC26</t>
        </is>
      </c>
      <c r="G333" s="33">
        <f>IF($A333="","",IF($C333="","",YEAR($C333)))</f>
      </c>
      <c r="H333" s="34">
        <v>1982</v>
      </c>
      <c r="I333" s="30" t="inlineStr">
        <is>
          <t xml:space="preserve">Maserati</t>
        </is>
      </c>
      <c r="J333" s="30" t="inlineStr">
        <is>
          <t xml:space="preserve">GranTurismo</t>
        </is>
      </c>
      <c r="K333" s="30" t="inlineStr">
        <is>
          <t xml:space="preserve">7VXEADYBUAWRENUC3</t>
        </is>
      </c>
      <c r="L333" s="32" t="inlineStr">
        <is>
          <t xml:space="preserve">02 - Sports / GT</t>
        </is>
      </c>
      <c r="M333" s="35">
        <v>160000</v>
      </c>
      <c r="N333" s="32" t="inlineStr">
        <is>
          <t xml:space="preserve">Personal</t>
        </is>
      </c>
      <c r="O333" s="30" t="inlineStr">
        <is>
          <t xml:space="preserve">Personal - regular use</t>
        </is>
      </c>
      <c r="P333" s="30" t="inlineStr">
        <is>
          <t xml:space="preserve">Under 1,000</t>
        </is>
      </c>
      <c r="Q333" s="30" t="inlineStr">
        <is>
          <t xml:space="preserve">Arkansas</t>
        </is>
      </c>
      <c r="R333" s="30" t="inlineStr">
        <is>
          <t xml:space="preserve">72201</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2916.72</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CANON-202607-008120</t>
        </is>
      </c>
      <c r="B334" s="46" t="inlineStr">
        <is>
          <t xml:space="preserve">Cassius Delacroix</t>
        </is>
      </c>
      <c r="C334" s="47">
        <v>46226</v>
      </c>
      <c r="D334" s="48" t="inlineStr">
        <is>
          <t xml:space="preserve">Bound - within authority</t>
        </is>
      </c>
      <c r="E334" s="48" t="inlineStr">
        <is>
          <t xml:space="preserve">New business</t>
        </is>
      </c>
      <c r="F334" s="46" t="inlineStr">
        <is>
          <t xml:space="preserve">B1234EXOTIC26</t>
        </is>
      </c>
      <c r="G334" s="33">
        <f>IF($A334="","",IF($C334="","",YEAR($C334)))</f>
      </c>
      <c r="H334" s="49">
        <v>1987</v>
      </c>
      <c r="I334" s="46" t="inlineStr">
        <is>
          <t xml:space="preserve">Maserati</t>
        </is>
      </c>
      <c r="J334" s="46" t="inlineStr">
        <is>
          <t xml:space="preserve">GranTurismo</t>
        </is>
      </c>
      <c r="K334" s="46" t="inlineStr">
        <is>
          <t xml:space="preserve">UWETJPKACF9Y32Z74</t>
        </is>
      </c>
      <c r="L334" s="48" t="inlineStr">
        <is>
          <t xml:space="preserve">02 - Sports / GT</t>
        </is>
      </c>
      <c r="M334" s="50">
        <v>860000</v>
      </c>
      <c r="N334" s="48" t="inlineStr">
        <is>
          <t xml:space="preserve">Personal</t>
        </is>
      </c>
      <c r="O334" s="46" t="inlineStr">
        <is>
          <t xml:space="preserve">Personal - regular use</t>
        </is>
      </c>
      <c r="P334" s="46" t="inlineStr">
        <is>
          <t xml:space="preserve">2,500 - 5,000</t>
        </is>
      </c>
      <c r="Q334" s="46" t="inlineStr">
        <is>
          <t xml:space="preserve">Pennsylvania</t>
        </is>
      </c>
      <c r="R334" s="46" t="inlineStr">
        <is>
          <t xml:space="preserve">19103</t>
        </is>
      </c>
      <c r="S334" s="48" t="inlineStr">
        <is>
          <t xml:space="preserve">Low hazard - inland benign</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8026.4</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CANON-202607-008121</t>
        </is>
      </c>
      <c r="B335" s="30" t="inlineStr">
        <is>
          <t xml:space="preserve">Saoirse Castellanos</t>
        </is>
      </c>
      <c r="C335" s="31">
        <v>46222</v>
      </c>
      <c r="D335" s="32" t="inlineStr">
        <is>
          <t xml:space="preserve">Bound - within authority</t>
        </is>
      </c>
      <c r="E335" s="32" t="inlineStr">
        <is>
          <t xml:space="preserve">New business</t>
        </is>
      </c>
      <c r="F335" s="30" t="inlineStr">
        <is>
          <t xml:space="preserve">B1234EXOTIC26</t>
        </is>
      </c>
      <c r="G335" s="33">
        <f>IF($A335="","",IF($C335="","",YEAR($C335)))</f>
      </c>
      <c r="H335" s="34">
        <v>1970</v>
      </c>
      <c r="I335" s="30" t="inlineStr">
        <is>
          <t xml:space="preserve">Mercedes-Benz</t>
        </is>
      </c>
      <c r="J335" s="30" t="inlineStr">
        <is>
          <t xml:space="preserve">AMG GT</t>
        </is>
      </c>
      <c r="K335" s="30" t="inlineStr">
        <is>
          <t xml:space="preserve">Z8ADA27CVK7HY5P2S</t>
        </is>
      </c>
      <c r="L335" s="32" t="inlineStr">
        <is>
          <t xml:space="preserve">02 - Sports / GT</t>
        </is>
      </c>
      <c r="M335" s="35">
        <v>435000</v>
      </c>
      <c r="N335" s="32" t="inlineStr">
        <is>
          <t xml:space="preserve">Personal</t>
        </is>
      </c>
      <c r="O335" s="30" t="inlineStr">
        <is>
          <t xml:space="preserve">Personal - regular use</t>
        </is>
      </c>
      <c r="P335" s="30" t="inlineStr">
        <is>
          <t xml:space="preserve">1,000 - 2,500</t>
        </is>
      </c>
      <c r="Q335" s="30" t="inlineStr">
        <is>
          <t xml:space="preserve">Florida</t>
        </is>
      </c>
      <c r="R335" s="30" t="inlineStr">
        <is>
          <t xml:space="preserve">33139</t>
        </is>
      </c>
      <c r="S335" s="32" t="inlineStr">
        <is>
          <t xml:space="preserve">Tier 2 - Coastal wind (1-25 miles)</t>
        </is>
      </c>
      <c r="T335" s="36">
        <f>IF($A335="","",IF($S335="","",IFERROR(INDEX('[1]natural catastrophe'!$D$6:$D$17,MATCH($S335,'[1]natural catastrophe'!$B$6:$B$17,0)),"?")))</f>
      </c>
      <c r="U335" s="30" t="inlineStr">
        <is>
          <t xml:space="preserve">2% of agreed value, minimum $10,000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6651.93</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CANON-202607-008122</t>
        </is>
      </c>
      <c r="B336" s="46" t="inlineStr">
        <is>
          <t xml:space="preserve">Everett Farkas</t>
        </is>
      </c>
      <c r="C336" s="47">
        <v>46226</v>
      </c>
      <c r="D336" s="48" t="inlineStr">
        <is>
          <t xml:space="preserve">Bound - within authority</t>
        </is>
      </c>
      <c r="E336" s="48" t="inlineStr">
        <is>
          <t xml:space="preserve">New business</t>
        </is>
      </c>
      <c r="F336" s="46" t="inlineStr">
        <is>
          <t xml:space="preserve">B1234EXOTIC26</t>
        </is>
      </c>
      <c r="G336" s="33">
        <f>IF($A336="","",IF($C336="","",YEAR($C336)))</f>
      </c>
      <c r="H336" s="49">
        <v>2024</v>
      </c>
      <c r="I336" s="46" t="inlineStr">
        <is>
          <t xml:space="preserve">Bentley</t>
        </is>
      </c>
      <c r="J336" s="46" t="inlineStr">
        <is>
          <t xml:space="preserve">Continental GT</t>
        </is>
      </c>
      <c r="K336" s="46" t="inlineStr">
        <is>
          <t xml:space="preserve">AE4P7C38JMVM7G293</t>
        </is>
      </c>
      <c r="L336" s="48" t="inlineStr">
        <is>
          <t xml:space="preserve">02 - Sports / GT</t>
        </is>
      </c>
      <c r="M336" s="50">
        <v>530000</v>
      </c>
      <c r="N336" s="48" t="inlineStr">
        <is>
          <t xml:space="preserve">Personal</t>
        </is>
      </c>
      <c r="O336" s="46" t="inlineStr">
        <is>
          <t xml:space="preserve">Personal - regular use</t>
        </is>
      </c>
      <c r="P336" s="46" t="inlineStr">
        <is>
          <t xml:space="preserve">Under 1,000</t>
        </is>
      </c>
      <c r="Q336" s="46" t="inlineStr">
        <is>
          <t xml:space="preserve">New York</t>
        </is>
      </c>
      <c r="R336" s="46" t="inlineStr">
        <is>
          <t xml:space="preserve">10022</t>
        </is>
      </c>
      <c r="S336" s="48" t="inlineStr">
        <is>
          <t xml:space="preserve">Tier 3 - Coastal wind (25-100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6331.52</v>
      </c>
      <c r="AC336" s="51">
        <v>0</v>
      </c>
      <c r="AD336" s="38">
        <f>IF(ISNUMBER($AB336),$AB336*(1+N($AC336)),"")</f>
      </c>
      <c r="AE336" s="50">
        <v>350</v>
      </c>
      <c r="AF336" s="50">
        <v>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CANON-202607-008123</t>
        </is>
      </c>
      <c r="B337" s="30" t="inlineStr">
        <is>
          <t xml:space="preserve">Callum Castellanos</t>
        </is>
      </c>
      <c r="C337" s="31">
        <v>46213</v>
      </c>
      <c r="D337" s="32" t="inlineStr">
        <is>
          <t xml:space="preserve">Bound - within authority</t>
        </is>
      </c>
      <c r="E337" s="32" t="inlineStr">
        <is>
          <t xml:space="preserve">New business</t>
        </is>
      </c>
      <c r="F337" s="30" t="inlineStr">
        <is>
          <t xml:space="preserve">B1234EXOTIC26</t>
        </is>
      </c>
      <c r="G337" s="33">
        <f>IF($A337="","",IF($C337="","",YEAR($C337)))</f>
      </c>
      <c r="H337" s="34">
        <v>2006</v>
      </c>
      <c r="I337" s="30" t="inlineStr">
        <is>
          <t xml:space="preserve">Maserati</t>
        </is>
      </c>
      <c r="J337" s="30" t="inlineStr">
        <is>
          <t xml:space="preserve">GranTurismo</t>
        </is>
      </c>
      <c r="K337" s="30" t="inlineStr">
        <is>
          <t xml:space="preserve">EEDM92JX8FB5ADMDK</t>
        </is>
      </c>
      <c r="L337" s="32" t="inlineStr">
        <is>
          <t xml:space="preserve">02 - Sports / GT</t>
        </is>
      </c>
      <c r="M337" s="35">
        <v>1735000</v>
      </c>
      <c r="N337" s="32" t="inlineStr">
        <is>
          <t xml:space="preserve">Personal</t>
        </is>
      </c>
      <c r="O337" s="30" t="inlineStr">
        <is>
          <t xml:space="preserve">Personal - regular use</t>
        </is>
      </c>
      <c r="P337" s="30" t="inlineStr">
        <is>
          <t xml:space="preserve">1,000 - 2,500</t>
        </is>
      </c>
      <c r="Q337" s="30" t="inlineStr">
        <is>
          <t xml:space="preserve">California</t>
        </is>
      </c>
      <c r="R337" s="30" t="inlineStr">
        <is>
          <t xml:space="preserve">90012</t>
        </is>
      </c>
      <c r="S337" s="32" t="inlineStr">
        <is>
          <t xml:space="preserve">Earthquake - high (CA, Cascadia, New Madrid)</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18497.15</v>
      </c>
      <c r="AC337" s="37">
        <v>0</v>
      </c>
      <c r="AD337" s="38">
        <f>IF(ISNUMBER($AB337),$AB337*(1+N($AC337)),"")</f>
      </c>
      <c r="AE337" s="35">
        <v>350</v>
      </c>
      <c r="AF337" s="35">
        <v>250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CANON-202607-008124</t>
        </is>
      </c>
      <c r="B338" s="46" t="inlineStr">
        <is>
          <t xml:space="preserve">Noor Chattopadhyay</t>
        </is>
      </c>
      <c r="C338" s="47">
        <v>46230</v>
      </c>
      <c r="D338" s="48" t="inlineStr">
        <is>
          <t xml:space="preserve">Bound - within authority</t>
        </is>
      </c>
      <c r="E338" s="48" t="inlineStr">
        <is>
          <t xml:space="preserve">New business</t>
        </is>
      </c>
      <c r="F338" s="46" t="inlineStr">
        <is>
          <t xml:space="preserve">B1234EXOTIC26</t>
        </is>
      </c>
      <c r="G338" s="33">
        <f>IF($A338="","",IF($C338="","",YEAR($C338)))</f>
      </c>
      <c r="H338" s="49">
        <v>2010</v>
      </c>
      <c r="I338" s="46" t="inlineStr">
        <is>
          <t xml:space="preserve">Maserati</t>
        </is>
      </c>
      <c r="J338" s="46" t="inlineStr">
        <is>
          <t xml:space="preserve">GranTurismo</t>
        </is>
      </c>
      <c r="K338" s="46" t="inlineStr">
        <is>
          <t xml:space="preserve">8WX3YNBB6HVPPMVCF</t>
        </is>
      </c>
      <c r="L338" s="48" t="inlineStr">
        <is>
          <t xml:space="preserve">02 - Sports / GT</t>
        </is>
      </c>
      <c r="M338" s="50">
        <v>245000</v>
      </c>
      <c r="N338" s="48" t="inlineStr">
        <is>
          <t xml:space="preserve">Personal</t>
        </is>
      </c>
      <c r="O338" s="46" t="inlineStr">
        <is>
          <t xml:space="preserve">Personal - regular use</t>
        </is>
      </c>
      <c r="P338" s="46" t="inlineStr">
        <is>
          <t xml:space="preserve">2,500 - 5,000</t>
        </is>
      </c>
      <c r="Q338" s="46" t="inlineStr">
        <is>
          <t xml:space="preserve">Washington</t>
        </is>
      </c>
      <c r="R338" s="46" t="inlineStr">
        <is>
          <t xml:space="preserve">98101</t>
        </is>
      </c>
      <c r="S338" s="48" t="inlineStr">
        <is>
          <t xml:space="preserve">Earthquake - high (CA, Cascadia, New Madrid)</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3106.95</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CANON-202607-008126</t>
        </is>
      </c>
      <c r="B339" s="30" t="inlineStr">
        <is>
          <t xml:space="preserve">Lorenzo Whitlock</t>
        </is>
      </c>
      <c r="C339" s="31">
        <v>46232</v>
      </c>
      <c r="D339" s="32" t="inlineStr">
        <is>
          <t xml:space="preserve">Bound - within authority</t>
        </is>
      </c>
      <c r="E339" s="32" t="inlineStr">
        <is>
          <t xml:space="preserve">New business</t>
        </is>
      </c>
      <c r="F339" s="30" t="inlineStr">
        <is>
          <t xml:space="preserve">B1234EXOTIC26</t>
        </is>
      </c>
      <c r="G339" s="33">
        <f>IF($A339="","",IF($C339="","",YEAR($C339)))</f>
      </c>
      <c r="H339" s="34">
        <v>1967</v>
      </c>
      <c r="I339" s="30" t="inlineStr">
        <is>
          <t xml:space="preserve">BMW</t>
        </is>
      </c>
      <c r="J339" s="30" t="inlineStr">
        <is>
          <t xml:space="preserve">M8 Competition</t>
        </is>
      </c>
      <c r="K339" s="30" t="inlineStr">
        <is>
          <t xml:space="preserve">PTRUCB7DLMPPF85B6</t>
        </is>
      </c>
      <c r="L339" s="32" t="inlineStr">
        <is>
          <t xml:space="preserve">02 - Sports / GT</t>
        </is>
      </c>
      <c r="M339" s="35">
        <v>425000</v>
      </c>
      <c r="N339" s="32" t="inlineStr">
        <is>
          <t xml:space="preserve">Personal</t>
        </is>
      </c>
      <c r="O339" s="30" t="inlineStr">
        <is>
          <t xml:space="preserve">Personal - regular use</t>
        </is>
      </c>
      <c r="P339" s="30" t="inlineStr">
        <is>
          <t xml:space="preserve">2,500 - 5,000</t>
        </is>
      </c>
      <c r="Q339" s="30" t="inlineStr">
        <is>
          <t xml:space="preserve">California</t>
        </is>
      </c>
      <c r="R339" s="30" t="inlineStr">
        <is>
          <t xml:space="preserve">90012</t>
        </is>
      </c>
      <c r="S339" s="32" t="inlineStr">
        <is>
          <t xml:space="preserve">Earthquake - high (CA, Cascadia, New Madrid)</t>
        </is>
      </c>
      <c r="T339" s="36">
        <f>IF($A339="","",IF($S339="","",IFERROR(INDEX('[1]natural catastrophe'!$D$6:$D$17,MATCH($S339,'[1]natural catastrophe'!$B$6:$B$17,0)),"?")))</f>
      </c>
      <c r="U339" s="30" t="inlineStr">
        <is>
          <t xml:space="preserve">$5,000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6178.64</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CANON-202607-008127</t>
        </is>
      </c>
      <c r="B340" s="46" t="inlineStr">
        <is>
          <t xml:space="preserve">Everett Farkas</t>
        </is>
      </c>
      <c r="C340" s="47">
        <v>46221</v>
      </c>
      <c r="D340" s="48" t="inlineStr">
        <is>
          <t xml:space="preserve">Bound - within authority</t>
        </is>
      </c>
      <c r="E340" s="48" t="inlineStr">
        <is>
          <t xml:space="preserve">New business</t>
        </is>
      </c>
      <c r="F340" s="46" t="inlineStr">
        <is>
          <t xml:space="preserve">B1234EXOTIC26</t>
        </is>
      </c>
      <c r="G340" s="33">
        <f>IF($A340="","",IF($C340="","",YEAR($C340)))</f>
      </c>
      <c r="H340" s="49">
        <v>1983</v>
      </c>
      <c r="I340" s="46" t="inlineStr">
        <is>
          <t xml:space="preserve">Bentley</t>
        </is>
      </c>
      <c r="J340" s="46" t="inlineStr">
        <is>
          <t xml:space="preserve">4.5 Litre</t>
        </is>
      </c>
      <c r="K340" s="46" t="inlineStr">
        <is>
          <t xml:space="preserve">JS5LVCML3MD02E0WA</t>
        </is>
      </c>
      <c r="L340" s="48" t="inlineStr">
        <is>
          <t xml:space="preserve">08 - Modern Classic (1973-1999)</t>
        </is>
      </c>
      <c r="M340" s="50">
        <v>1385000</v>
      </c>
      <c r="N340" s="48" t="inlineStr">
        <is>
          <t xml:space="preserve">Personal</t>
        </is>
      </c>
      <c r="O340" s="46" t="inlineStr">
        <is>
          <t xml:space="preserve">Personal - regular use</t>
        </is>
      </c>
      <c r="P340" s="46" t="inlineStr">
        <is>
          <t xml:space="preserve">Under 1,000</t>
        </is>
      </c>
      <c r="Q340" s="46" t="inlineStr">
        <is>
          <t xml:space="preserve">Rhode Island</t>
        </is>
      </c>
      <c r="R340" s="46" t="inlineStr">
        <is>
          <t xml:space="preserve">02903</t>
        </is>
      </c>
      <c r="S340" s="48" t="inlineStr">
        <is>
          <t xml:space="preserve">Tier 3 - Coastal wind (25-100 miles)</t>
        </is>
      </c>
      <c r="T340" s="36">
        <f>IF($A340="","",IF($S340="","",IFERROR(INDEX('[1]natural catastrophe'!$D$6:$D$17,MATCH($S340,'[1]natural catastrophe'!$B$6:$B$17,0)),"?")))</f>
      </c>
      <c r="U340" s="46" t="inlineStr">
        <is>
          <t xml:space="preserve">2% of agreed value, minimum $10,000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9263.14</v>
      </c>
      <c r="AC340" s="51">
        <v>0</v>
      </c>
      <c r="AD340" s="38">
        <f>IF(ISNUMBER($AB340),$AB340*(1+N($AC340)),"")</f>
      </c>
      <c r="AE340" s="50">
        <v>350</v>
      </c>
      <c r="AF340" s="50">
        <v>250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CANON-202607-008128</t>
        </is>
      </c>
      <c r="B341" s="30" t="inlineStr">
        <is>
          <t xml:space="preserve">Wilhelmina Harrington</t>
        </is>
      </c>
      <c r="C341" s="31">
        <v>46226</v>
      </c>
      <c r="D341" s="32" t="inlineStr">
        <is>
          <t xml:space="preserve">Bound - within authority</t>
        </is>
      </c>
      <c r="E341" s="32" t="inlineStr">
        <is>
          <t xml:space="preserve">New business</t>
        </is>
      </c>
      <c r="F341" s="30" t="inlineStr">
        <is>
          <t xml:space="preserve">B1234EXOTIC26</t>
        </is>
      </c>
      <c r="G341" s="33">
        <f>IF($A341="","",IF($C341="","",YEAR($C341)))</f>
      </c>
      <c r="H341" s="34">
        <v>1957</v>
      </c>
      <c r="I341" s="30" t="inlineStr">
        <is>
          <t xml:space="preserve">Ringbrothers</t>
        </is>
      </c>
      <c r="J341" s="30" t="inlineStr">
        <is>
          <t xml:space="preserve">Mustang</t>
        </is>
      </c>
      <c r="K341" s="30" t="inlineStr">
        <is>
          <t xml:space="preserve">PTEE5S4ZV8ARLW50N</t>
        </is>
      </c>
      <c r="L341" s="32" t="inlineStr">
        <is>
          <t xml:space="preserve">11 - Restomod / Coachbuilt / Bespoke</t>
        </is>
      </c>
      <c r="M341" s="35">
        <v>350000</v>
      </c>
      <c r="N341" s="32" t="inlineStr">
        <is>
          <t xml:space="preserve">Personal</t>
        </is>
      </c>
      <c r="O341" s="30" t="inlineStr">
        <is>
          <t xml:space="preserve">Personal - regular use</t>
        </is>
      </c>
      <c r="P341" s="30" t="inlineStr">
        <is>
          <t xml:space="preserve">Under 1,000</t>
        </is>
      </c>
      <c r="Q341" s="30" t="inlineStr">
        <is>
          <t xml:space="preserve">Ohio</t>
        </is>
      </c>
      <c r="R341" s="30" t="inlineStr">
        <is>
          <t xml:space="preserve">43215</t>
        </is>
      </c>
      <c r="S341" s="32" t="inlineStr">
        <is>
          <t xml:space="preserve">Severe convective - hail / tornado (moderate)</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6147.16</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CANON-202607-008129</t>
        </is>
      </c>
      <c r="B342" s="46" t="inlineStr">
        <is>
          <t xml:space="preserve">Ingrid Merriweather</t>
        </is>
      </c>
      <c r="C342" s="47">
        <v>46216</v>
      </c>
      <c r="D342" s="48" t="inlineStr">
        <is>
          <t xml:space="preserve">Bound - within authority</t>
        </is>
      </c>
      <c r="E342" s="48" t="inlineStr">
        <is>
          <t xml:space="preserve">New business</t>
        </is>
      </c>
      <c r="F342" s="46" t="inlineStr">
        <is>
          <t xml:space="preserve">B1234EXOTIC26</t>
        </is>
      </c>
      <c r="G342" s="33">
        <f>IF($A342="","",IF($C342="","",YEAR($C342)))</f>
      </c>
      <c r="H342" s="49">
        <v>2000</v>
      </c>
      <c r="I342" s="46" t="inlineStr">
        <is>
          <t xml:space="preserve">Aston Martin</t>
        </is>
      </c>
      <c r="J342" s="46" t="inlineStr">
        <is>
          <t xml:space="preserve">DB5</t>
        </is>
      </c>
      <c r="K342" s="46" t="inlineStr">
        <is>
          <t xml:space="preserve">K2KY55G7AP3109LD4</t>
        </is>
      </c>
      <c r="L342" s="48" t="inlineStr">
        <is>
          <t xml:space="preserve">09 - Youngtimer / Collectible (2000-2010)</t>
        </is>
      </c>
      <c r="M342" s="50">
        <v>150000</v>
      </c>
      <c r="N342" s="48" t="inlineStr">
        <is>
          <t xml:space="preserve">Personal</t>
        </is>
      </c>
      <c r="O342" s="46" t="inlineStr">
        <is>
          <t xml:space="preserve">Personal - regular use</t>
        </is>
      </c>
      <c r="P342" s="46" t="inlineStr">
        <is>
          <t xml:space="preserve">Under 1,000</t>
        </is>
      </c>
      <c r="Q342" s="46" t="inlineStr">
        <is>
          <t xml:space="preserve">Ohio</t>
        </is>
      </c>
      <c r="R342" s="46" t="inlineStr">
        <is>
          <t xml:space="preserve">43215</t>
        </is>
      </c>
      <c r="S342" s="48" t="inlineStr">
        <is>
          <t xml:space="preserve">Severe convective - hail / tornado (moderate)</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1706.44</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CANON-202607-008130</t>
        </is>
      </c>
      <c r="B343" s="30" t="inlineStr">
        <is>
          <t xml:space="preserve">Lorenzo Larsson</t>
        </is>
      </c>
      <c r="C343" s="31">
        <v>46219</v>
      </c>
      <c r="D343" s="32" t="inlineStr">
        <is>
          <t xml:space="preserve">Bound - within authority</t>
        </is>
      </c>
      <c r="E343" s="32" t="inlineStr">
        <is>
          <t xml:space="preserve">New business</t>
        </is>
      </c>
      <c r="F343" s="30" t="inlineStr">
        <is>
          <t xml:space="preserve">B1234EXOTIC26</t>
        </is>
      </c>
      <c r="G343" s="33">
        <f>IF($A343="","",IF($C343="","",YEAR($C343)))</f>
      </c>
      <c r="H343" s="34">
        <v>1974</v>
      </c>
      <c r="I343" s="30" t="inlineStr">
        <is>
          <t xml:space="preserve">Porsche</t>
        </is>
      </c>
      <c r="J343" s="30" t="inlineStr">
        <is>
          <t xml:space="preserve">911 Turbo S</t>
        </is>
      </c>
      <c r="K343" s="30" t="inlineStr">
        <is>
          <t xml:space="preserve">BCRM83ULSLAUZHB4R</t>
        </is>
      </c>
      <c r="L343" s="32" t="inlineStr">
        <is>
          <t xml:space="preserve">02 - Sports / GT</t>
        </is>
      </c>
      <c r="M343" s="35">
        <v>320000</v>
      </c>
      <c r="N343" s="32" t="inlineStr">
        <is>
          <t xml:space="preserve">Personal</t>
        </is>
      </c>
      <c r="O343" s="30" t="inlineStr">
        <is>
          <t xml:space="preserve">Personal - regular use</t>
        </is>
      </c>
      <c r="P343" s="30" t="inlineStr">
        <is>
          <t xml:space="preserve">1,000 - 2,500</t>
        </is>
      </c>
      <c r="Q343" s="30" t="inlineStr">
        <is>
          <t xml:space="preserve">Texas</t>
        </is>
      </c>
      <c r="R343" s="30" t="inlineStr">
        <is>
          <t xml:space="preserve">75201</t>
        </is>
      </c>
      <c r="S343" s="32" t="inlineStr">
        <is>
          <t xml:space="preserve">Tier 2 - Coastal wind (1-25 miles)</t>
        </is>
      </c>
      <c r="T343" s="36">
        <f>IF($A343="","",IF($S343="","",IFERROR(INDEX('[1]natural catastrophe'!$D$6:$D$17,MATCH($S343,'[1]natural catastrophe'!$B$6:$B$17,0)),"?")))</f>
      </c>
      <c r="U343" s="30" t="inlineStr">
        <is>
          <t xml:space="preserve">2% of agreed value, minimum $10,000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3962.95</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CANON-202607-008131</t>
        </is>
      </c>
      <c r="B344" s="46" t="inlineStr">
        <is>
          <t xml:space="preserve">Anouk Larsson</t>
        </is>
      </c>
      <c r="C344" s="47">
        <v>46221</v>
      </c>
      <c r="D344" s="48" t="inlineStr">
        <is>
          <t xml:space="preserve">Bound - within authority</t>
        </is>
      </c>
      <c r="E344" s="48" t="inlineStr">
        <is>
          <t xml:space="preserve">New business</t>
        </is>
      </c>
      <c r="F344" s="46" t="inlineStr">
        <is>
          <t xml:space="preserve">B1234EXOTIC26</t>
        </is>
      </c>
      <c r="G344" s="33">
        <f>IF($A344="","",IF($C344="","",YEAR($C344)))</f>
      </c>
      <c r="H344" s="49">
        <v>1968</v>
      </c>
      <c r="I344" s="46" t="inlineStr">
        <is>
          <t xml:space="preserve">Ferrari</t>
        </is>
      </c>
      <c r="J344" s="46" t="inlineStr">
        <is>
          <t xml:space="preserve">296 GTB</t>
        </is>
      </c>
      <c r="K344" s="46" t="inlineStr">
        <is>
          <t xml:space="preserve">BE0MXBJM6BSUM639U</t>
        </is>
      </c>
      <c r="L344" s="48" t="inlineStr">
        <is>
          <t xml:space="preserve">03 - Supercar</t>
        </is>
      </c>
      <c r="M344" s="50">
        <v>420000</v>
      </c>
      <c r="N344" s="48" t="inlineStr">
        <is>
          <t xml:space="preserve">Personal</t>
        </is>
      </c>
      <c r="O344" s="46" t="inlineStr">
        <is>
          <t xml:space="preserve">Personal - regular use</t>
        </is>
      </c>
      <c r="P344" s="46" t="inlineStr">
        <is>
          <t xml:space="preserve">1,000 - 2,500</t>
        </is>
      </c>
      <c r="Q344" s="46" t="inlineStr">
        <is>
          <t xml:space="preserve">Pennsylvania</t>
        </is>
      </c>
      <c r="R344" s="46" t="inlineStr">
        <is>
          <t xml:space="preserve">19103</t>
        </is>
      </c>
      <c r="S344" s="48" t="inlineStr">
        <is>
          <t xml:space="preserve">Low hazard - inland benign</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6935.15</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CANON-202607-008133</t>
        </is>
      </c>
      <c r="B345" s="30" t="inlineStr">
        <is>
          <t xml:space="preserve">Mireille Larsson</t>
        </is>
      </c>
      <c r="C345" s="31">
        <v>46204</v>
      </c>
      <c r="D345" s="32" t="inlineStr">
        <is>
          <t xml:space="preserve">Bound - within authority</t>
        </is>
      </c>
      <c r="E345" s="32" t="inlineStr">
        <is>
          <t xml:space="preserve">New business</t>
        </is>
      </c>
      <c r="F345" s="30" t="inlineStr">
        <is>
          <t xml:space="preserve">B1234EXOTIC26</t>
        </is>
      </c>
      <c r="G345" s="33">
        <f>IF($A345="","",IF($C345="","",YEAR($C345)))</f>
      </c>
      <c r="H345" s="34">
        <v>2008</v>
      </c>
      <c r="I345" s="30" t="inlineStr">
        <is>
          <t xml:space="preserve">Lamborghini</t>
        </is>
      </c>
      <c r="J345" s="30" t="inlineStr">
        <is>
          <t xml:space="preserve">Huracan EVO</t>
        </is>
      </c>
      <c r="K345" s="30" t="inlineStr">
        <is>
          <t xml:space="preserve">PL6CDCTAVBM8PNYWW</t>
        </is>
      </c>
      <c r="L345" s="32" t="inlineStr">
        <is>
          <t xml:space="preserve">03 - Supercar</t>
        </is>
      </c>
      <c r="M345" s="35">
        <v>1950000</v>
      </c>
      <c r="N345" s="32" t="inlineStr">
        <is>
          <t xml:space="preserve">Personal</t>
        </is>
      </c>
      <c r="O345" s="30" t="inlineStr">
        <is>
          <t xml:space="preserve">Personal - regular use</t>
        </is>
      </c>
      <c r="P345" s="30" t="inlineStr">
        <is>
          <t xml:space="preserve">1,000 - 2,500</t>
        </is>
      </c>
      <c r="Q345" s="30" t="inlineStr">
        <is>
          <t xml:space="preserve">Wisconsin</t>
        </is>
      </c>
      <c r="R345" s="30" t="inlineStr">
        <is>
          <t xml:space="preserve">53202</t>
        </is>
      </c>
      <c r="S345" s="32" t="inlineStr">
        <is>
          <t xml:space="preserve">Severe convective - hail / tornado (moderate)</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26879.09</v>
      </c>
      <c r="AC345" s="37">
        <v>0</v>
      </c>
      <c r="AD345" s="38">
        <f>IF(ISNUMBER($AB345),$AB345*(1+N($AC345)),"")</f>
      </c>
      <c r="AE345" s="35">
        <v>350</v>
      </c>
      <c r="AF345" s="35">
        <v>250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CANON-202607-008134</t>
        </is>
      </c>
      <c r="B346" s="46" t="inlineStr">
        <is>
          <t xml:space="preserve">Fenwick Pennington</t>
        </is>
      </c>
      <c r="C346" s="47">
        <v>46211</v>
      </c>
      <c r="D346" s="48" t="inlineStr">
        <is>
          <t xml:space="preserve">Bound - within authority</t>
        </is>
      </c>
      <c r="E346" s="48" t="inlineStr">
        <is>
          <t xml:space="preserve">New business</t>
        </is>
      </c>
      <c r="F346" s="46" t="inlineStr">
        <is>
          <t xml:space="preserve">B1234EXOTIC26</t>
        </is>
      </c>
      <c r="G346" s="33">
        <f>IF($A346="","",IF($C346="","",YEAR($C346)))</f>
      </c>
      <c r="H346" s="49">
        <v>1973</v>
      </c>
      <c r="I346" s="46" t="inlineStr">
        <is>
          <t xml:space="preserve">Maserati</t>
        </is>
      </c>
      <c r="J346" s="46" t="inlineStr">
        <is>
          <t xml:space="preserve">GranTurismo</t>
        </is>
      </c>
      <c r="K346" s="46" t="inlineStr">
        <is>
          <t xml:space="preserve">ZUZ98GHPAWWGVHEDU</t>
        </is>
      </c>
      <c r="L346" s="48" t="inlineStr">
        <is>
          <t xml:space="preserve">02 - Sports / GT</t>
        </is>
      </c>
      <c r="M346" s="50">
        <v>250000</v>
      </c>
      <c r="N346" s="48" t="inlineStr">
        <is>
          <t xml:space="preserve">Personal</t>
        </is>
      </c>
      <c r="O346" s="46" t="inlineStr">
        <is>
          <t xml:space="preserve">Personal - regular use</t>
        </is>
      </c>
      <c r="P346" s="46" t="inlineStr">
        <is>
          <t xml:space="preserve">2,500 - 5,000</t>
        </is>
      </c>
      <c r="Q346" s="46" t="inlineStr">
        <is>
          <t xml:space="preserve">Texas</t>
        </is>
      </c>
      <c r="R346" s="46" t="inlineStr">
        <is>
          <t xml:space="preserve">75201</t>
        </is>
      </c>
      <c r="S346" s="48" t="inlineStr">
        <is>
          <t xml:space="preserve">Tier 2 - Coastal wind (1-25 miles)</t>
        </is>
      </c>
      <c r="T346" s="36">
        <f>IF($A346="","",IF($S346="","",IFERROR(INDEX('[1]natural catastrophe'!$D$6:$D$17,MATCH($S346,'[1]natural catastrophe'!$B$6:$B$17,0)),"?")))</f>
      </c>
      <c r="U346" s="46" t="inlineStr">
        <is>
          <t xml:space="preserve">2% of agreed value, minimum $10,000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3096.05</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CANON-202607-008135</t>
        </is>
      </c>
      <c r="B347" s="30" t="inlineStr">
        <is>
          <t xml:space="preserve">Thaddeus Vandermeer</t>
        </is>
      </c>
      <c r="C347" s="31">
        <v>46207</v>
      </c>
      <c r="D347" s="32" t="inlineStr">
        <is>
          <t xml:space="preserve">Bound - within authority</t>
        </is>
      </c>
      <c r="E347" s="32" t="inlineStr">
        <is>
          <t xml:space="preserve">New business</t>
        </is>
      </c>
      <c r="F347" s="30" t="inlineStr">
        <is>
          <t xml:space="preserve">B1234EXOTIC26</t>
        </is>
      </c>
      <c r="G347" s="33">
        <f>IF($A347="","",IF($C347="","",YEAR($C347)))</f>
      </c>
      <c r="H347" s="34">
        <v>1998</v>
      </c>
      <c r="I347" s="30" t="inlineStr">
        <is>
          <t xml:space="preserve">Maserati</t>
        </is>
      </c>
      <c r="J347" s="30" t="inlineStr">
        <is>
          <t xml:space="preserve">GranTurismo</t>
        </is>
      </c>
      <c r="K347" s="30" t="inlineStr">
        <is>
          <t xml:space="preserve">V3NPDBBEUGE2SYCDG</t>
        </is>
      </c>
      <c r="L347" s="32" t="inlineStr">
        <is>
          <t xml:space="preserve">02 - Sports / GT</t>
        </is>
      </c>
      <c r="M347" s="35">
        <v>480000</v>
      </c>
      <c r="N347" s="32" t="inlineStr">
        <is>
          <t xml:space="preserve">Personal</t>
        </is>
      </c>
      <c r="O347" s="30" t="inlineStr">
        <is>
          <t xml:space="preserve">Personal - regular use</t>
        </is>
      </c>
      <c r="P347" s="30" t="inlineStr">
        <is>
          <t xml:space="preserve">2,500 - 5,000</t>
        </is>
      </c>
      <c r="Q347" s="30" t="inlineStr">
        <is>
          <t xml:space="preserve">New Jersey</t>
        </is>
      </c>
      <c r="R347" s="30" t="inlineStr">
        <is>
          <t xml:space="preserve">07102</t>
        </is>
      </c>
      <c r="S347" s="32" t="inlineStr">
        <is>
          <t xml:space="preserve">Tier 3 - Coastal wind (25-100 miles)</t>
        </is>
      </c>
      <c r="T347" s="36">
        <f>IF($A347="","",IF($S347="","",IFERROR(INDEX('[1]natural catastrophe'!$D$6:$D$17,MATCH($S347,'[1]natural catastrophe'!$B$6:$B$17,0)),"?")))</f>
      </c>
      <c r="U347" s="30" t="inlineStr">
        <is>
          <t xml:space="preserve">2% of agreed value, minimum $10,000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4703.84</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CANON-202607-008136</t>
        </is>
      </c>
      <c r="B348" s="46" t="inlineStr">
        <is>
          <t xml:space="preserve">Priya Pennington</t>
        </is>
      </c>
      <c r="C348" s="47">
        <v>46205</v>
      </c>
      <c r="D348" s="48" t="inlineStr">
        <is>
          <t xml:space="preserve">Bound - within authority</t>
        </is>
      </c>
      <c r="E348" s="48" t="inlineStr">
        <is>
          <t xml:space="preserve">New business</t>
        </is>
      </c>
      <c r="F348" s="46" t="inlineStr">
        <is>
          <t xml:space="preserve">B1234EXOTIC26</t>
        </is>
      </c>
      <c r="G348" s="33">
        <f>IF($A348="","",IF($C348="","",YEAR($C348)))</f>
      </c>
      <c r="H348" s="49">
        <v>2020</v>
      </c>
      <c r="I348" s="46" t="inlineStr">
        <is>
          <t xml:space="preserve">Ferrari</t>
        </is>
      </c>
      <c r="J348" s="46" t="inlineStr">
        <is>
          <t xml:space="preserve">296 GTB</t>
        </is>
      </c>
      <c r="K348" s="46" t="inlineStr">
        <is>
          <t xml:space="preserve">8EAT915M32C4UPDDG</t>
        </is>
      </c>
      <c r="L348" s="48" t="inlineStr">
        <is>
          <t xml:space="preserve">03 - Supercar</t>
        </is>
      </c>
      <c r="M348" s="50">
        <v>1005000</v>
      </c>
      <c r="N348" s="48" t="inlineStr">
        <is>
          <t xml:space="preserve">Personal</t>
        </is>
      </c>
      <c r="O348" s="46" t="inlineStr">
        <is>
          <t xml:space="preserve">Personal - regular use</t>
        </is>
      </c>
      <c r="P348" s="46" t="inlineStr">
        <is>
          <t xml:space="preserve">Under 1,000</t>
        </is>
      </c>
      <c r="Q348" s="46" t="inlineStr">
        <is>
          <t xml:space="preserve">New York</t>
        </is>
      </c>
      <c r="R348" s="46" t="inlineStr">
        <is>
          <t xml:space="preserve">10022</t>
        </is>
      </c>
      <c r="S348" s="48" t="inlineStr">
        <is>
          <t xml:space="preserve">Tier 3 - Coastal wind (25-100 miles)</t>
        </is>
      </c>
      <c r="T348" s="36">
        <f>IF($A348="","",IF($S348="","",IFERROR(INDEX('[1]natural catastrophe'!$D$6:$D$17,MATCH($S348,'[1]natural catastrophe'!$B$6:$B$17,0)),"?")))</f>
      </c>
      <c r="U348" s="46" t="inlineStr">
        <is>
          <t xml:space="preserve">2% of agreed value, minimum $10,000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14776.61</v>
      </c>
      <c r="AC348" s="51">
        <v>0</v>
      </c>
      <c r="AD348" s="38">
        <f>IF(ISNUMBER($AB348),$AB348*(1+N($AC348)),"")</f>
      </c>
      <c r="AE348" s="50">
        <v>350</v>
      </c>
      <c r="AF348" s="50">
        <v>250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CANON-202607-008137</t>
        </is>
      </c>
      <c r="B349" s="30" t="inlineStr">
        <is>
          <t xml:space="preserve">Wilhelmina Castellanos</t>
        </is>
      </c>
      <c r="C349" s="31">
        <v>46227</v>
      </c>
      <c r="D349" s="32" t="inlineStr">
        <is>
          <t xml:space="preserve">Bound - within authority</t>
        </is>
      </c>
      <c r="E349" s="32" t="inlineStr">
        <is>
          <t xml:space="preserve">New business</t>
        </is>
      </c>
      <c r="F349" s="30" t="inlineStr">
        <is>
          <t xml:space="preserve">B1234EXOTIC26</t>
        </is>
      </c>
      <c r="G349" s="33">
        <f>IF($A349="","",IF($C349="","",YEAR($C349)))</f>
      </c>
      <c r="H349" s="34">
        <v>2000</v>
      </c>
      <c r="I349" s="30" t="inlineStr">
        <is>
          <t xml:space="preserve">BMW</t>
        </is>
      </c>
      <c r="J349" s="30" t="inlineStr">
        <is>
          <t xml:space="preserve">M8 Competition</t>
        </is>
      </c>
      <c r="K349" s="30" t="inlineStr">
        <is>
          <t xml:space="preserve">7HB0AD4SXVUGS3UAK</t>
        </is>
      </c>
      <c r="L349" s="32" t="inlineStr">
        <is>
          <t xml:space="preserve">02 - Sports / GT</t>
        </is>
      </c>
      <c r="M349" s="35">
        <v>855000</v>
      </c>
      <c r="N349" s="32" t="inlineStr">
        <is>
          <t xml:space="preserve">Personal</t>
        </is>
      </c>
      <c r="O349" s="30" t="inlineStr">
        <is>
          <t xml:space="preserve">Personal - regular use</t>
        </is>
      </c>
      <c r="P349" s="30" t="inlineStr">
        <is>
          <t xml:space="preserve">Under 1,000</t>
        </is>
      </c>
      <c r="Q349" s="30" t="inlineStr">
        <is>
          <t xml:space="preserve">New Jersey</t>
        </is>
      </c>
      <c r="R349" s="30" t="inlineStr">
        <is>
          <t xml:space="preserve">07102</t>
        </is>
      </c>
      <c r="S349" s="32" t="inlineStr">
        <is>
          <t xml:space="preserve">Tier 3 - Coastal wind (25-100 miles)</t>
        </is>
      </c>
      <c r="T349" s="36">
        <f>IF($A349="","",IF($S349="","",IFERROR(INDEX('[1]natural catastrophe'!$D$6:$D$17,MATCH($S349,'[1]natural catastrophe'!$B$6:$B$17,0)),"?")))</f>
      </c>
      <c r="U349" s="30" t="inlineStr">
        <is>
          <t xml:space="preserve">2% of agreed value, minimum $10,000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7261.55</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CANON-202607-008138</t>
        </is>
      </c>
      <c r="B350" s="46" t="inlineStr">
        <is>
          <t xml:space="preserve">Cassius Harrington</t>
        </is>
      </c>
      <c r="C350" s="47">
        <v>46206</v>
      </c>
      <c r="D350" s="48" t="inlineStr">
        <is>
          <t xml:space="preserve">Bound - within authority</t>
        </is>
      </c>
      <c r="E350" s="48" t="inlineStr">
        <is>
          <t xml:space="preserve">New business</t>
        </is>
      </c>
      <c r="F350" s="46" t="inlineStr">
        <is>
          <t xml:space="preserve">B1234EXOTIC26</t>
        </is>
      </c>
      <c r="G350" s="33">
        <f>IF($A350="","",IF($C350="","",YEAR($C350)))</f>
      </c>
      <c r="H350" s="49">
        <v>1983</v>
      </c>
      <c r="I350" s="46" t="inlineStr">
        <is>
          <t xml:space="preserve">BMW</t>
        </is>
      </c>
      <c r="J350" s="46" t="inlineStr">
        <is>
          <t xml:space="preserve">M8 Competition</t>
        </is>
      </c>
      <c r="K350" s="46" t="inlineStr">
        <is>
          <t xml:space="preserve">U1GMPT456YNNF0CC6</t>
        </is>
      </c>
      <c r="L350" s="48" t="inlineStr">
        <is>
          <t xml:space="preserve">02 - Sports / GT</t>
        </is>
      </c>
      <c r="M350" s="50">
        <v>355000</v>
      </c>
      <c r="N350" s="48" t="inlineStr">
        <is>
          <t xml:space="preserve">Personal</t>
        </is>
      </c>
      <c r="O350" s="46" t="inlineStr">
        <is>
          <t xml:space="preserve">Personal - regular use</t>
        </is>
      </c>
      <c r="P350" s="46" t="inlineStr">
        <is>
          <t xml:space="preserve">2,500 - 5,000</t>
        </is>
      </c>
      <c r="Q350" s="46" t="inlineStr">
        <is>
          <t xml:space="preserve">Wyoming</t>
        </is>
      </c>
      <c r="R350" s="46" t="inlineStr">
        <is>
          <t xml:space="preserve">82001</t>
        </is>
      </c>
      <c r="S350" s="48" t="inlineStr">
        <is>
          <t xml:space="preserve">Severe convective - hail alley (high)</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4090.56</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CANON-202607-008141</t>
        </is>
      </c>
      <c r="B351" s="30" t="inlineStr">
        <is>
          <t xml:space="preserve">Saoirse Delacroix</t>
        </is>
      </c>
      <c r="C351" s="31">
        <v>46214</v>
      </c>
      <c r="D351" s="32" t="inlineStr">
        <is>
          <t xml:space="preserve">Bound - within authority</t>
        </is>
      </c>
      <c r="E351" s="32" t="inlineStr">
        <is>
          <t xml:space="preserve">New business</t>
        </is>
      </c>
      <c r="F351" s="30" t="inlineStr">
        <is>
          <t xml:space="preserve">B1234EXOTIC26</t>
        </is>
      </c>
      <c r="G351" s="33">
        <f>IF($A351="","",IF($C351="","",YEAR($C351)))</f>
      </c>
      <c r="H351" s="34">
        <v>1972</v>
      </c>
      <c r="I351" s="30" t="inlineStr">
        <is>
          <t xml:space="preserve">Jaguar</t>
        </is>
      </c>
      <c r="J351" s="30" t="inlineStr">
        <is>
          <t xml:space="preserve">E-Type Series 1</t>
        </is>
      </c>
      <c r="K351" s="30" t="inlineStr">
        <is>
          <t xml:space="preserve">RPT1HA36BK02K6GUW</t>
        </is>
      </c>
      <c r="L351" s="32" t="inlineStr">
        <is>
          <t xml:space="preserve">07 - Post-War Classic (1946-1972)</t>
        </is>
      </c>
      <c r="M351" s="35">
        <v>420000</v>
      </c>
      <c r="N351" s="32" t="inlineStr">
        <is>
          <t xml:space="preserve">Personal</t>
        </is>
      </c>
      <c r="O351" s="30" t="inlineStr">
        <is>
          <t xml:space="preserve">Personal - regular use</t>
        </is>
      </c>
      <c r="P351" s="30" t="inlineStr">
        <is>
          <t xml:space="preserve">1,000 - 2,500</t>
        </is>
      </c>
      <c r="Q351" s="30" t="inlineStr">
        <is>
          <t xml:space="preserve">Virginia</t>
        </is>
      </c>
      <c r="R351" s="30" t="inlineStr">
        <is>
          <t xml:space="preserve">23219</t>
        </is>
      </c>
      <c r="S351" s="32" t="inlineStr">
        <is>
          <t xml:space="preserve">Tier 3 - Coastal wind (25-100 miles)</t>
        </is>
      </c>
      <c r="T351" s="36">
        <f>IF($A351="","",IF($S351="","",IFERROR(INDEX('[1]natural catastrophe'!$D$6:$D$17,MATCH($S351,'[1]natural catastrophe'!$B$6:$B$17,0)),"?")))</f>
      </c>
      <c r="U351" s="30" t="inlineStr">
        <is>
          <t xml:space="preserve">2% of agreed value, minimum $10,000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3155.19</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CANON-202607-008142</t>
        </is>
      </c>
      <c r="B352" s="46" t="inlineStr">
        <is>
          <t xml:space="preserve">Noor Underwood</t>
        </is>
      </c>
      <c r="C352" s="47">
        <v>46228</v>
      </c>
      <c r="D352" s="48" t="inlineStr">
        <is>
          <t xml:space="preserve">Bound - within authority</t>
        </is>
      </c>
      <c r="E352" s="48" t="inlineStr">
        <is>
          <t xml:space="preserve">New business</t>
        </is>
      </c>
      <c r="F352" s="46" t="inlineStr">
        <is>
          <t xml:space="preserve">B1234EXOTIC26</t>
        </is>
      </c>
      <c r="G352" s="33">
        <f>IF($A352="","",IF($C352="","",YEAR($C352)))</f>
      </c>
      <c r="H352" s="49">
        <v>1995</v>
      </c>
      <c r="I352" s="46" t="inlineStr">
        <is>
          <t xml:space="preserve">Mercedes-Benz</t>
        </is>
      </c>
      <c r="J352" s="46" t="inlineStr">
        <is>
          <t xml:space="preserve">AMG GT</t>
        </is>
      </c>
      <c r="K352" s="46" t="inlineStr">
        <is>
          <t xml:space="preserve">40GCCCKTUS1LFRZMC</t>
        </is>
      </c>
      <c r="L352" s="48" t="inlineStr">
        <is>
          <t xml:space="preserve">02 - Sports / GT</t>
        </is>
      </c>
      <c r="M352" s="50">
        <v>955000</v>
      </c>
      <c r="N352" s="48" t="inlineStr">
        <is>
          <t xml:space="preserve">Personal</t>
        </is>
      </c>
      <c r="O352" s="46" t="inlineStr">
        <is>
          <t xml:space="preserve">Personal - regular use</t>
        </is>
      </c>
      <c r="P352" s="46" t="inlineStr">
        <is>
          <t xml:space="preserve">Under 1,000</t>
        </is>
      </c>
      <c r="Q352" s="46" t="inlineStr">
        <is>
          <t xml:space="preserve">Washington</t>
        </is>
      </c>
      <c r="R352" s="46" t="inlineStr">
        <is>
          <t xml:space="preserve">98101</t>
        </is>
      </c>
      <c r="S352" s="48" t="inlineStr">
        <is>
          <t xml:space="preserve">Earthquake - high (CA, Cascadia, New Madrid)</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8556.51</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CANON-202607-008143</t>
        </is>
      </c>
      <c r="B353" s="30" t="inlineStr">
        <is>
          <t xml:space="preserve">Emiliano Vandermeer</t>
        </is>
      </c>
      <c r="C353" s="31">
        <v>46214</v>
      </c>
      <c r="D353" s="32" t="inlineStr">
        <is>
          <t xml:space="preserve">Bound - within authority</t>
        </is>
      </c>
      <c r="E353" s="32" t="inlineStr">
        <is>
          <t xml:space="preserve">New business</t>
        </is>
      </c>
      <c r="F353" s="30" t="inlineStr">
        <is>
          <t xml:space="preserve">B1234EXOTIC26</t>
        </is>
      </c>
      <c r="G353" s="33">
        <f>IF($A353="","",IF($C353="","",YEAR($C353)))</f>
      </c>
      <c r="H353" s="34">
        <v>1977</v>
      </c>
      <c r="I353" s="30" t="inlineStr">
        <is>
          <t xml:space="preserve">Mercedes-Benz</t>
        </is>
      </c>
      <c r="J353" s="30" t="inlineStr">
        <is>
          <t xml:space="preserve">AMG GT</t>
        </is>
      </c>
      <c r="K353" s="30" t="inlineStr">
        <is>
          <t xml:space="preserve">U4X39069XJP3G29WJ</t>
        </is>
      </c>
      <c r="L353" s="32" t="inlineStr">
        <is>
          <t xml:space="preserve">02 - Sports / GT</t>
        </is>
      </c>
      <c r="M353" s="35">
        <v>1055000</v>
      </c>
      <c r="N353" s="32" t="inlineStr">
        <is>
          <t xml:space="preserve">Personal</t>
        </is>
      </c>
      <c r="O353" s="30" t="inlineStr">
        <is>
          <t xml:space="preserve">Personal - regular use</t>
        </is>
      </c>
      <c r="P353" s="30" t="inlineStr">
        <is>
          <t xml:space="preserve">2,500 - 5,000</t>
        </is>
      </c>
      <c r="Q353" s="30" t="inlineStr">
        <is>
          <t xml:space="preserve">Alaska</t>
        </is>
      </c>
      <c r="R353" s="30" t="inlineStr">
        <is>
          <t xml:space="preserve">99501</t>
        </is>
      </c>
      <c r="S353" s="32" t="inlineStr">
        <is>
          <t xml:space="preserve">Earthquake - high (CA, Cascadia, New Madrid)</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9497.93</v>
      </c>
      <c r="AC353" s="37">
        <v>0</v>
      </c>
      <c r="AD353" s="38">
        <f>IF(ISNUMBER($AB353),$AB353*(1+N($AC353)),"")</f>
      </c>
      <c r="AE353" s="35">
        <v>350</v>
      </c>
      <c r="AF353" s="35">
        <v>250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CANON-202607-008145</t>
        </is>
      </c>
      <c r="B354" s="46" t="inlineStr">
        <is>
          <t xml:space="preserve">Leopold Kingsford</t>
        </is>
      </c>
      <c r="C354" s="47">
        <v>46219</v>
      </c>
      <c r="D354" s="48" t="inlineStr">
        <is>
          <t xml:space="preserve">Bound - within authority</t>
        </is>
      </c>
      <c r="E354" s="48" t="inlineStr">
        <is>
          <t xml:space="preserve">New business</t>
        </is>
      </c>
      <c r="F354" s="46" t="inlineStr">
        <is>
          <t xml:space="preserve">B1234EXOTIC26</t>
        </is>
      </c>
      <c r="G354" s="33">
        <f>IF($A354="","",IF($C354="","",YEAR($C354)))</f>
      </c>
      <c r="H354" s="49">
        <v>1988</v>
      </c>
      <c r="I354" s="46" t="inlineStr">
        <is>
          <t xml:space="preserve">Maserati</t>
        </is>
      </c>
      <c r="J354" s="46" t="inlineStr">
        <is>
          <t xml:space="preserve">GranTurismo</t>
        </is>
      </c>
      <c r="K354" s="46" t="inlineStr">
        <is>
          <t xml:space="preserve">9DUBHX2GFPT6MJTM8</t>
        </is>
      </c>
      <c r="L354" s="48" t="inlineStr">
        <is>
          <t xml:space="preserve">02 - Sports / GT</t>
        </is>
      </c>
      <c r="M354" s="50">
        <v>530000</v>
      </c>
      <c r="N354" s="48" t="inlineStr">
        <is>
          <t xml:space="preserve">Personal</t>
        </is>
      </c>
      <c r="O354" s="46" t="inlineStr">
        <is>
          <t xml:space="preserve">Personal - regular use</t>
        </is>
      </c>
      <c r="P354" s="46" t="inlineStr">
        <is>
          <t xml:space="preserve">Under 1,000</t>
        </is>
      </c>
      <c r="Q354" s="46" t="inlineStr">
        <is>
          <t xml:space="preserve">Idaho</t>
        </is>
      </c>
      <c r="R354" s="46" t="inlineStr">
        <is>
          <t xml:space="preserve">83702</t>
        </is>
      </c>
      <c r="S354" s="48" t="inlineStr">
        <is>
          <t xml:space="preserve">Wildfire - WUI high hazard</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4897.03</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CANON-202607-008146</t>
        </is>
      </c>
      <c r="B355" s="30" t="inlineStr">
        <is>
          <t xml:space="preserve">Noor Rourke</t>
        </is>
      </c>
      <c r="C355" s="31">
        <v>46217</v>
      </c>
      <c r="D355" s="32" t="inlineStr">
        <is>
          <t xml:space="preserve">Bound - within authority</t>
        </is>
      </c>
      <c r="E355" s="32" t="inlineStr">
        <is>
          <t xml:space="preserve">New business</t>
        </is>
      </c>
      <c r="F355" s="30" t="inlineStr">
        <is>
          <t xml:space="preserve">B1234EXOTIC26</t>
        </is>
      </c>
      <c r="G355" s="33">
        <f>IF($A355="","",IF($C355="","",YEAR($C355)))</f>
      </c>
      <c r="H355" s="34">
        <v>2019</v>
      </c>
      <c r="I355" s="30" t="inlineStr">
        <is>
          <t xml:space="preserve">Aston Martin</t>
        </is>
      </c>
      <c r="J355" s="30" t="inlineStr">
        <is>
          <t xml:space="preserve">DB5</t>
        </is>
      </c>
      <c r="K355" s="30" t="inlineStr">
        <is>
          <t xml:space="preserve">PVSEZ5UWZEHUYLY5K</t>
        </is>
      </c>
      <c r="L355" s="32" t="inlineStr">
        <is>
          <t xml:space="preserve">02 - Sports / GT</t>
        </is>
      </c>
      <c r="M355" s="35">
        <v>1120000</v>
      </c>
      <c r="N355" s="32" t="inlineStr">
        <is>
          <t xml:space="preserve">Personal</t>
        </is>
      </c>
      <c r="O355" s="30" t="inlineStr">
        <is>
          <t xml:space="preserve">Personal - regular use</t>
        </is>
      </c>
      <c r="P355" s="30" t="inlineStr">
        <is>
          <t xml:space="preserve">Under 1,000</t>
        </is>
      </c>
      <c r="Q355" s="30" t="inlineStr">
        <is>
          <t xml:space="preserve">Maryland</t>
        </is>
      </c>
      <c r="R355" s="30" t="inlineStr">
        <is>
          <t xml:space="preserve">21201</t>
        </is>
      </c>
      <c r="S355" s="32" t="inlineStr">
        <is>
          <t xml:space="preserve">Tier 3 - Coastal wind (25-100 miles)</t>
        </is>
      </c>
      <c r="T355" s="36">
        <f>IF($A355="","",IF($S355="","",IFERROR(INDEX('[1]natural catastrophe'!$D$6:$D$17,MATCH($S355,'[1]natural catastrophe'!$B$6:$B$17,0)),"?")))</f>
      </c>
      <c r="U355" s="30" t="inlineStr">
        <is>
          <t xml:space="preserve">2% of agreed value, minimum $10,000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5805.43</v>
      </c>
      <c r="AC355" s="37">
        <v>0</v>
      </c>
      <c r="AD355" s="38">
        <f>IF(ISNUMBER($AB355),$AB355*(1+N($AC355)),"")</f>
      </c>
      <c r="AE355" s="35">
        <v>350</v>
      </c>
      <c r="AF355" s="35">
        <v>250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CANON-202607-008147</t>
        </is>
      </c>
      <c r="B356" s="46" t="inlineStr">
        <is>
          <t xml:space="preserve">Priya Fairweather</t>
        </is>
      </c>
      <c r="C356" s="47">
        <v>46216</v>
      </c>
      <c r="D356" s="48" t="inlineStr">
        <is>
          <t xml:space="preserve">Bound - within authority</t>
        </is>
      </c>
      <c r="E356" s="48" t="inlineStr">
        <is>
          <t xml:space="preserve">New business</t>
        </is>
      </c>
      <c r="F356" s="46" t="inlineStr">
        <is>
          <t xml:space="preserve">B1234EXOTIC26</t>
        </is>
      </c>
      <c r="G356" s="33">
        <f>IF($A356="","",IF($C356="","",YEAR($C356)))</f>
      </c>
      <c r="H356" s="49">
        <v>1987</v>
      </c>
      <c r="I356" s="46" t="inlineStr">
        <is>
          <t xml:space="preserve">BMW</t>
        </is>
      </c>
      <c r="J356" s="46" t="inlineStr">
        <is>
          <t xml:space="preserve">M8 Competition</t>
        </is>
      </c>
      <c r="K356" s="46" t="inlineStr">
        <is>
          <t xml:space="preserve">JK6PZ021CM6AZ4CMV</t>
        </is>
      </c>
      <c r="L356" s="48" t="inlineStr">
        <is>
          <t xml:space="preserve">02 - Sports / GT</t>
        </is>
      </c>
      <c r="M356" s="50">
        <v>1150000</v>
      </c>
      <c r="N356" s="48" t="inlineStr">
        <is>
          <t xml:space="preserve">Personal</t>
        </is>
      </c>
      <c r="O356" s="46" t="inlineStr">
        <is>
          <t xml:space="preserve">Personal - regular use</t>
        </is>
      </c>
      <c r="P356" s="46" t="inlineStr">
        <is>
          <t xml:space="preserve">2,500 - 5,000</t>
        </is>
      </c>
      <c r="Q356" s="46" t="inlineStr">
        <is>
          <t xml:space="preserve">North Carolina</t>
        </is>
      </c>
      <c r="R356" s="46" t="inlineStr">
        <is>
          <t xml:space="preserve">28202</t>
        </is>
      </c>
      <c r="S356" s="48" t="inlineStr">
        <is>
          <t xml:space="preserve">Tier 2 - Coastal wind (1-25 miles)</t>
        </is>
      </c>
      <c r="T356" s="36">
        <f>IF($A356="","",IF($S356="","",IFERROR(INDEX('[1]natural catastrophe'!$D$6:$D$17,MATCH($S356,'[1]natural catastrophe'!$B$6:$B$17,0)),"?")))</f>
      </c>
      <c r="U356" s="46" t="inlineStr">
        <is>
          <t xml:space="preserve">2% of agreed value, minimum $10,000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10444.01</v>
      </c>
      <c r="AC356" s="51">
        <v>0</v>
      </c>
      <c r="AD356" s="38">
        <f>IF(ISNUMBER($AB356),$AB356*(1+N($AC356)),"")</f>
      </c>
      <c r="AE356" s="50">
        <v>350</v>
      </c>
      <c r="AF356" s="50">
        <v>250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CANON-202607-008148</t>
        </is>
      </c>
      <c r="B357" s="30" t="inlineStr">
        <is>
          <t xml:space="preserve">Noor Underwood</t>
        </is>
      </c>
      <c r="C357" s="31">
        <v>46223</v>
      </c>
      <c r="D357" s="32" t="inlineStr">
        <is>
          <t xml:space="preserve">Bound - within authority</t>
        </is>
      </c>
      <c r="E357" s="32" t="inlineStr">
        <is>
          <t xml:space="preserve">New business</t>
        </is>
      </c>
      <c r="F357" s="30" t="inlineStr">
        <is>
          <t xml:space="preserve">B1234EXOTIC26</t>
        </is>
      </c>
      <c r="G357" s="33">
        <f>IF($A357="","",IF($C357="","",YEAR($C357)))</f>
      </c>
      <c r="H357" s="34">
        <v>2013</v>
      </c>
      <c r="I357" s="30" t="inlineStr">
        <is>
          <t xml:space="preserve">BMW</t>
        </is>
      </c>
      <c r="J357" s="30" t="inlineStr">
        <is>
          <t xml:space="preserve">M8 Competition</t>
        </is>
      </c>
      <c r="K357" s="30" t="inlineStr">
        <is>
          <t xml:space="preserve">5PA3J78VPGXYHTJVS</t>
        </is>
      </c>
      <c r="L357" s="32" t="inlineStr">
        <is>
          <t xml:space="preserve">02 - Sports / GT</t>
        </is>
      </c>
      <c r="M357" s="35">
        <v>620000</v>
      </c>
      <c r="N357" s="32" t="inlineStr">
        <is>
          <t xml:space="preserve">Personal</t>
        </is>
      </c>
      <c r="O357" s="30" t="inlineStr">
        <is>
          <t xml:space="preserve">Personal - regular use</t>
        </is>
      </c>
      <c r="P357" s="30" t="inlineStr">
        <is>
          <t xml:space="preserve">2,500 - 5,000</t>
        </is>
      </c>
      <c r="Q357" s="30" t="inlineStr">
        <is>
          <t xml:space="preserve">Indiana</t>
        </is>
      </c>
      <c r="R357" s="30" t="inlineStr">
        <is>
          <t xml:space="preserve">46204</t>
        </is>
      </c>
      <c r="S357" s="32" t="inlineStr">
        <is>
          <t xml:space="preserve">Severe convective - hail / tornado (moderate)</t>
        </is>
      </c>
      <c r="T357" s="36">
        <f>IF($A357="","",IF($S357="","",IFERROR(INDEX('[1]natural catastrophe'!$D$6:$D$17,MATCH($S357,'[1]natural catastrophe'!$B$6:$B$17,0)),"?")))</f>
      </c>
      <c r="U357" s="30" t="inlineStr">
        <is>
          <t xml:space="preserve">$5,000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7117.36</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CANON-202607-008151</t>
        </is>
      </c>
      <c r="B358" s="46" t="inlineStr">
        <is>
          <t xml:space="preserve">Fenwick Bellandi</t>
        </is>
      </c>
      <c r="C358" s="47">
        <v>46230</v>
      </c>
      <c r="D358" s="48" t="inlineStr">
        <is>
          <t xml:space="preserve">Bound - within authority</t>
        </is>
      </c>
      <c r="E358" s="48" t="inlineStr">
        <is>
          <t xml:space="preserve">New business</t>
        </is>
      </c>
      <c r="F358" s="46" t="inlineStr">
        <is>
          <t xml:space="preserve">B1234EXOTIC26</t>
        </is>
      </c>
      <c r="G358" s="33">
        <f>IF($A358="","",IF($C358="","",YEAR($C358)))</f>
      </c>
      <c r="H358" s="49">
        <v>1958</v>
      </c>
      <c r="I358" s="46" t="inlineStr">
        <is>
          <t xml:space="preserve">Ferrari</t>
        </is>
      </c>
      <c r="J358" s="46" t="inlineStr">
        <is>
          <t xml:space="preserve">296 GTB</t>
        </is>
      </c>
      <c r="K358" s="46" t="inlineStr">
        <is>
          <t xml:space="preserve">FFUPDSRZYXJNS5EXN</t>
        </is>
      </c>
      <c r="L358" s="48" t="inlineStr">
        <is>
          <t xml:space="preserve">03 - Supercar</t>
        </is>
      </c>
      <c r="M358" s="50">
        <v>1105000</v>
      </c>
      <c r="N358" s="48" t="inlineStr">
        <is>
          <t xml:space="preserve">Personal</t>
        </is>
      </c>
      <c r="O358" s="46" t="inlineStr">
        <is>
          <t xml:space="preserve">Personal - regular use</t>
        </is>
      </c>
      <c r="P358" s="46" t="inlineStr">
        <is>
          <t xml:space="preserve">1,000 - 2,500</t>
        </is>
      </c>
      <c r="Q358" s="46" t="inlineStr">
        <is>
          <t xml:space="preserve">Massachusetts</t>
        </is>
      </c>
      <c r="R358" s="46" t="inlineStr">
        <is>
          <t xml:space="preserve">02108</t>
        </is>
      </c>
      <c r="S358" s="48" t="inlineStr">
        <is>
          <t xml:space="preserve">Tier 3 - Coastal wind (25-100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15866.13</v>
      </c>
      <c r="AC358" s="51">
        <v>0</v>
      </c>
      <c r="AD358" s="38">
        <f>IF(ISNUMBER($AB358),$AB358*(1+N($AC358)),"")</f>
      </c>
      <c r="AE358" s="50">
        <v>350</v>
      </c>
      <c r="AF358" s="50">
        <v>250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CANON-202607-008154</t>
        </is>
      </c>
      <c r="B359" s="30" t="inlineStr">
        <is>
          <t xml:space="preserve">Thaddeus Thistlewood</t>
        </is>
      </c>
      <c r="C359" s="31">
        <v>46231</v>
      </c>
      <c r="D359" s="32" t="inlineStr">
        <is>
          <t xml:space="preserve">Bound - within authority</t>
        </is>
      </c>
      <c r="E359" s="32" t="inlineStr">
        <is>
          <t xml:space="preserve">New business</t>
        </is>
      </c>
      <c r="F359" s="30" t="inlineStr">
        <is>
          <t xml:space="preserve">B1234EXOTIC26</t>
        </is>
      </c>
      <c r="G359" s="33">
        <f>IF($A359="","",IF($C359="","",YEAR($C359)))</f>
      </c>
      <c r="H359" s="34">
        <v>1963</v>
      </c>
      <c r="I359" s="30" t="inlineStr">
        <is>
          <t xml:space="preserve">Mercedes-Benz</t>
        </is>
      </c>
      <c r="J359" s="30" t="inlineStr">
        <is>
          <t xml:space="preserve">AMG GT</t>
        </is>
      </c>
      <c r="K359" s="30" t="inlineStr">
        <is>
          <t xml:space="preserve">JUAGCFJKVZBE0CLCV</t>
        </is>
      </c>
      <c r="L359" s="32" t="inlineStr">
        <is>
          <t xml:space="preserve">02 - Sports / GT</t>
        </is>
      </c>
      <c r="M359" s="35">
        <v>430000</v>
      </c>
      <c r="N359" s="32" t="inlineStr">
        <is>
          <t xml:space="preserve">Personal</t>
        </is>
      </c>
      <c r="O359" s="30" t="inlineStr">
        <is>
          <t xml:space="preserve">Personal - regular use</t>
        </is>
      </c>
      <c r="P359" s="30" t="inlineStr">
        <is>
          <t xml:space="preserve">Under 1,000</t>
        </is>
      </c>
      <c r="Q359" s="30" t="inlineStr">
        <is>
          <t xml:space="preserve">New Mexico</t>
        </is>
      </c>
      <c r="R359" s="30" t="inlineStr">
        <is>
          <t xml:space="preserve">87501</t>
        </is>
      </c>
      <c r="S359" s="32" t="inlineStr">
        <is>
          <t xml:space="preserve">Wildfire - WUI high hazard</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5927.19</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CANON-202607-008155</t>
        </is>
      </c>
      <c r="B360" s="46" t="inlineStr">
        <is>
          <t xml:space="preserve">Everett Delacroix</t>
        </is>
      </c>
      <c r="C360" s="47">
        <v>46230</v>
      </c>
      <c r="D360" s="48" t="inlineStr">
        <is>
          <t xml:space="preserve">Bound - within authority</t>
        </is>
      </c>
      <c r="E360" s="48" t="inlineStr">
        <is>
          <t xml:space="preserve">New business</t>
        </is>
      </c>
      <c r="F360" s="46" t="inlineStr">
        <is>
          <t xml:space="preserve">B1234EXOTIC26</t>
        </is>
      </c>
      <c r="G360" s="33">
        <f>IF($A360="","",IF($C360="","",YEAR($C360)))</f>
      </c>
      <c r="H360" s="49">
        <v>1996</v>
      </c>
      <c r="I360" s="46" t="inlineStr">
        <is>
          <t xml:space="preserve">Aston Martin</t>
        </is>
      </c>
      <c r="J360" s="46" t="inlineStr">
        <is>
          <t xml:space="preserve">DB12</t>
        </is>
      </c>
      <c r="K360" s="46" t="inlineStr">
        <is>
          <t xml:space="preserve">N7V2R7B0W8U31E0Z1</t>
        </is>
      </c>
      <c r="L360" s="48" t="inlineStr">
        <is>
          <t xml:space="preserve">02 - Sports / GT</t>
        </is>
      </c>
      <c r="M360" s="50">
        <v>465000</v>
      </c>
      <c r="N360" s="48" t="inlineStr">
        <is>
          <t xml:space="preserve">Personal</t>
        </is>
      </c>
      <c r="O360" s="46" t="inlineStr">
        <is>
          <t xml:space="preserve">Personal - regular use</t>
        </is>
      </c>
      <c r="P360" s="46" t="inlineStr">
        <is>
          <t xml:space="preserve">1,000 - 2,500</t>
        </is>
      </c>
      <c r="Q360" s="46" t="inlineStr">
        <is>
          <t xml:space="preserve">California</t>
        </is>
      </c>
      <c r="R360" s="46" t="inlineStr">
        <is>
          <t xml:space="preserve">90012</t>
        </is>
      </c>
      <c r="S360" s="48" t="inlineStr">
        <is>
          <t xml:space="preserve">Earthquake - high (CA, Cascadia, New Madrid)</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6760.15</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CANON-202607-008157</t>
        </is>
      </c>
      <c r="B361" s="30" t="inlineStr">
        <is>
          <t xml:space="preserve">Desmond Blackwood</t>
        </is>
      </c>
      <c r="C361" s="31">
        <v>46211</v>
      </c>
      <c r="D361" s="32" t="inlineStr">
        <is>
          <t xml:space="preserve">Bound - within authority</t>
        </is>
      </c>
      <c r="E361" s="32" t="inlineStr">
        <is>
          <t xml:space="preserve">New business</t>
        </is>
      </c>
      <c r="F361" s="30" t="inlineStr">
        <is>
          <t xml:space="preserve">B1234EXOTIC26</t>
        </is>
      </c>
      <c r="G361" s="33">
        <f>IF($A361="","",IF($C361="","",YEAR($C361)))</f>
      </c>
      <c r="H361" s="34">
        <v>2015</v>
      </c>
      <c r="I361" s="30" t="inlineStr">
        <is>
          <t xml:space="preserve">Aston Martin</t>
        </is>
      </c>
      <c r="J361" s="30" t="inlineStr">
        <is>
          <t xml:space="preserve">DB12</t>
        </is>
      </c>
      <c r="K361" s="30" t="inlineStr">
        <is>
          <t xml:space="preserve">GMEJACAEAFMPRRZ4N</t>
        </is>
      </c>
      <c r="L361" s="32" t="inlineStr">
        <is>
          <t xml:space="preserve">02 - Sports / GT</t>
        </is>
      </c>
      <c r="M361" s="35">
        <v>400000</v>
      </c>
      <c r="N361" s="32" t="inlineStr">
        <is>
          <t xml:space="preserve">Personal</t>
        </is>
      </c>
      <c r="O361" s="30" t="inlineStr">
        <is>
          <t xml:space="preserve">Personal - regular use</t>
        </is>
      </c>
      <c r="P361" s="30" t="inlineStr">
        <is>
          <t xml:space="preserve">2,500 - 5,000</t>
        </is>
      </c>
      <c r="Q361" s="30" t="inlineStr">
        <is>
          <t xml:space="preserve">New Mexico</t>
        </is>
      </c>
      <c r="R361" s="30" t="inlineStr">
        <is>
          <t xml:space="preserve">87501</t>
        </is>
      </c>
      <c r="S361" s="32" t="inlineStr">
        <is>
          <t xml:space="preserve">Wildfire - WUI high hazard</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5513.66</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CANON-202607-008158</t>
        </is>
      </c>
      <c r="B362" s="46" t="inlineStr">
        <is>
          <t xml:space="preserve">Emiliano Bellandi</t>
        </is>
      </c>
      <c r="C362" s="47">
        <v>46225</v>
      </c>
      <c r="D362" s="48" t="inlineStr">
        <is>
          <t xml:space="preserve">Bound - within authority</t>
        </is>
      </c>
      <c r="E362" s="48" t="inlineStr">
        <is>
          <t xml:space="preserve">New business</t>
        </is>
      </c>
      <c r="F362" s="46" t="inlineStr">
        <is>
          <t xml:space="preserve">B1234EXOTIC26</t>
        </is>
      </c>
      <c r="G362" s="33">
        <f>IF($A362="","",IF($C362="","",YEAR($C362)))</f>
      </c>
      <c r="H362" s="49">
        <v>2021</v>
      </c>
      <c r="I362" s="46" t="inlineStr">
        <is>
          <t xml:space="preserve">Jaguar</t>
        </is>
      </c>
      <c r="J362" s="46" t="inlineStr">
        <is>
          <t xml:space="preserve">E-Type Series 1</t>
        </is>
      </c>
      <c r="K362" s="46" t="inlineStr">
        <is>
          <t xml:space="preserve">N9MRR8TG9GNAU7Y1B</t>
        </is>
      </c>
      <c r="L362" s="48" t="inlineStr">
        <is>
          <t xml:space="preserve">02 - Sports / GT</t>
        </is>
      </c>
      <c r="M362" s="50">
        <v>430000</v>
      </c>
      <c r="N362" s="48" t="inlineStr">
        <is>
          <t xml:space="preserve">Personal</t>
        </is>
      </c>
      <c r="O362" s="46" t="inlineStr">
        <is>
          <t xml:space="preserve">Personal - regular use</t>
        </is>
      </c>
      <c r="P362" s="46" t="inlineStr">
        <is>
          <t xml:space="preserve">Under 1,000</t>
        </is>
      </c>
      <c r="Q362" s="46" t="inlineStr">
        <is>
          <t xml:space="preserve">Vermont</t>
        </is>
      </c>
      <c r="R362" s="46" t="inlineStr">
        <is>
          <t xml:space="preserve">05601</t>
        </is>
      </c>
      <c r="S362" s="48" t="inlineStr">
        <is>
          <t xml:space="preserve">Low hazard - inland benign</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3615.58</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CANON-202607-008159</t>
        </is>
      </c>
      <c r="B363" s="30" t="inlineStr">
        <is>
          <t xml:space="preserve">Lorenzo Delacroix</t>
        </is>
      </c>
      <c r="C363" s="31">
        <v>46214</v>
      </c>
      <c r="D363" s="32" t="inlineStr">
        <is>
          <t xml:space="preserve">Bound - within authority</t>
        </is>
      </c>
      <c r="E363" s="32" t="inlineStr">
        <is>
          <t xml:space="preserve">New business</t>
        </is>
      </c>
      <c r="F363" s="30" t="inlineStr">
        <is>
          <t xml:space="preserve">B1234EXOTIC26</t>
        </is>
      </c>
      <c r="G363" s="33">
        <f>IF($A363="","",IF($C363="","",YEAR($C363)))</f>
      </c>
      <c r="H363" s="34">
        <v>1958</v>
      </c>
      <c r="I363" s="30" t="inlineStr">
        <is>
          <t xml:space="preserve">Bentley</t>
        </is>
      </c>
      <c r="J363" s="30" t="inlineStr">
        <is>
          <t xml:space="preserve">4.5 Litre</t>
        </is>
      </c>
      <c r="K363" s="30" t="inlineStr">
        <is>
          <t xml:space="preserve">1NGRMWEAP6G5E3FJE</t>
        </is>
      </c>
      <c r="L363" s="32" t="inlineStr">
        <is>
          <t xml:space="preserve">07 - Post-War Classic (1946-1972)</t>
        </is>
      </c>
      <c r="M363" s="35">
        <v>665000</v>
      </c>
      <c r="N363" s="32" t="inlineStr">
        <is>
          <t xml:space="preserve">Personal</t>
        </is>
      </c>
      <c r="O363" s="30" t="inlineStr">
        <is>
          <t xml:space="preserve">Personal - regular use</t>
        </is>
      </c>
      <c r="P363" s="30" t="inlineStr">
        <is>
          <t xml:space="preserve">1,000 - 2,500</t>
        </is>
      </c>
      <c r="Q363" s="30" t="inlineStr">
        <is>
          <t xml:space="preserve">Massachusetts</t>
        </is>
      </c>
      <c r="R363" s="30" t="inlineStr">
        <is>
          <t xml:space="preserve">02108</t>
        </is>
      </c>
      <c r="S363" s="32" t="inlineStr">
        <is>
          <t xml:space="preserve">Tier 3 - Coastal wind (25-100 miles)</t>
        </is>
      </c>
      <c r="T363" s="36">
        <f>IF($A363="","",IF($S363="","",IFERROR(INDEX('[1]natural catastrophe'!$D$6:$D$17,MATCH($S363,'[1]natural catastrophe'!$B$6:$B$17,0)),"?")))</f>
      </c>
      <c r="U363" s="30" t="inlineStr">
        <is>
          <t xml:space="preserve">2% of agreed value, minimum $10,000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4535.49</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CANON-202607-008160</t>
        </is>
      </c>
      <c r="B364" s="46" t="inlineStr">
        <is>
          <t xml:space="preserve">Ottilie Farkas</t>
        </is>
      </c>
      <c r="C364" s="47">
        <v>46227</v>
      </c>
      <c r="D364" s="48" t="inlineStr">
        <is>
          <t xml:space="preserve">Bound - within authority</t>
        </is>
      </c>
      <c r="E364" s="48" t="inlineStr">
        <is>
          <t xml:space="preserve">New business</t>
        </is>
      </c>
      <c r="F364" s="46" t="inlineStr">
        <is>
          <t xml:space="preserve">B1234EXOTIC26</t>
        </is>
      </c>
      <c r="G364" s="33">
        <f>IF($A364="","",IF($C364="","",YEAR($C364)))</f>
      </c>
      <c r="H364" s="49">
        <v>2022</v>
      </c>
      <c r="I364" s="46" t="inlineStr">
        <is>
          <t xml:space="preserve">Lamborghini</t>
        </is>
      </c>
      <c r="J364" s="46" t="inlineStr">
        <is>
          <t xml:space="preserve">Huracan EVO</t>
        </is>
      </c>
      <c r="K364" s="46" t="inlineStr">
        <is>
          <t xml:space="preserve">DMEH01Z0M2WHNT7KN</t>
        </is>
      </c>
      <c r="L364" s="48" t="inlineStr">
        <is>
          <t xml:space="preserve">03 - Supercar</t>
        </is>
      </c>
      <c r="M364" s="50">
        <v>1950000</v>
      </c>
      <c r="N364" s="48" t="inlineStr">
        <is>
          <t xml:space="preserve">Personal</t>
        </is>
      </c>
      <c r="O364" s="46" t="inlineStr">
        <is>
          <t xml:space="preserve">Personal - regular use</t>
        </is>
      </c>
      <c r="P364" s="46" t="inlineStr">
        <is>
          <t xml:space="preserve">Under 1,000</t>
        </is>
      </c>
      <c r="Q364" s="46" t="inlineStr">
        <is>
          <t xml:space="preserve">North Dakota</t>
        </is>
      </c>
      <c r="R364" s="46" t="inlineStr">
        <is>
          <t xml:space="preserve">58501</t>
        </is>
      </c>
      <c r="S364" s="48" t="inlineStr">
        <is>
          <t xml:space="preserve">Severe convective - hail alley (high)</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22847.23</v>
      </c>
      <c r="AC364" s="51">
        <v>0</v>
      </c>
      <c r="AD364" s="38">
        <f>IF(ISNUMBER($AB364),$AB364*(1+N($AC364)),"")</f>
      </c>
      <c r="AE364" s="50">
        <v>350</v>
      </c>
      <c r="AF364" s="50">
        <v>250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CANON-202607-008161</t>
        </is>
      </c>
      <c r="B365" s="30" t="inlineStr">
        <is>
          <t xml:space="preserve">Anouk Larsson</t>
        </is>
      </c>
      <c r="C365" s="31">
        <v>46230</v>
      </c>
      <c r="D365" s="32" t="inlineStr">
        <is>
          <t xml:space="preserve">Bound - within authority</t>
        </is>
      </c>
      <c r="E365" s="32" t="inlineStr">
        <is>
          <t xml:space="preserve">New business</t>
        </is>
      </c>
      <c r="F365" s="30" t="inlineStr">
        <is>
          <t xml:space="preserve">B1234EXOTIC26</t>
        </is>
      </c>
      <c r="G365" s="33">
        <f>IF($A365="","",IF($C365="","",YEAR($C365)))</f>
      </c>
      <c r="H365" s="34">
        <v>2010</v>
      </c>
      <c r="I365" s="30" t="inlineStr">
        <is>
          <t xml:space="preserve">Aston Martin</t>
        </is>
      </c>
      <c r="J365" s="30" t="inlineStr">
        <is>
          <t xml:space="preserve">DB12</t>
        </is>
      </c>
      <c r="K365" s="30" t="inlineStr">
        <is>
          <t xml:space="preserve">KAZ2CBLCKTXERPXN0</t>
        </is>
      </c>
      <c r="L365" s="32" t="inlineStr">
        <is>
          <t xml:space="preserve">02 - Sports / GT</t>
        </is>
      </c>
      <c r="M365" s="35">
        <v>300000</v>
      </c>
      <c r="N365" s="32" t="inlineStr">
        <is>
          <t xml:space="preserve">Personal</t>
        </is>
      </c>
      <c r="O365" s="30" t="inlineStr">
        <is>
          <t xml:space="preserve">Personal - regular use</t>
        </is>
      </c>
      <c r="P365" s="30" t="inlineStr">
        <is>
          <t xml:space="preserve">Under 1,000</t>
        </is>
      </c>
      <c r="Q365" s="30" t="inlineStr">
        <is>
          <t xml:space="preserve">Illinois</t>
        </is>
      </c>
      <c r="R365" s="30" t="inlineStr">
        <is>
          <t xml:space="preserve">60601</t>
        </is>
      </c>
      <c r="S365" s="32" t="inlineStr">
        <is>
          <t xml:space="preserve">Severe convective - hail / tornado (moderate)</t>
        </is>
      </c>
      <c r="T365" s="36">
        <f>IF($A365="","",IF($S365="","",IFERROR(INDEX('[1]natural catastrophe'!$D$6:$D$17,MATCH($S365,'[1]natural catastrophe'!$B$6:$B$17,0)),"?")))</f>
      </c>
      <c r="U365" s="30" t="inlineStr">
        <is>
          <t xml:space="preserve">$5,000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4393.69</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CANON-202607-008162</t>
        </is>
      </c>
      <c r="B366" s="46" t="inlineStr">
        <is>
          <t xml:space="preserve">Leopold Blackwood</t>
        </is>
      </c>
      <c r="C366" s="47">
        <v>46231</v>
      </c>
      <c r="D366" s="48" t="inlineStr">
        <is>
          <t xml:space="preserve">Bound - within authority</t>
        </is>
      </c>
      <c r="E366" s="48" t="inlineStr">
        <is>
          <t xml:space="preserve">New business</t>
        </is>
      </c>
      <c r="F366" s="46" t="inlineStr">
        <is>
          <t xml:space="preserve">B1234EXOTIC26</t>
        </is>
      </c>
      <c r="G366" s="33">
        <f>IF($A366="","",IF($C366="","",YEAR($C366)))</f>
      </c>
      <c r="H366" s="49">
        <v>2014</v>
      </c>
      <c r="I366" s="46" t="inlineStr">
        <is>
          <t xml:space="preserve">Jaguar</t>
        </is>
      </c>
      <c r="J366" s="46" t="inlineStr">
        <is>
          <t xml:space="preserve">E-Type Series 1</t>
        </is>
      </c>
      <c r="K366" s="46" t="inlineStr">
        <is>
          <t xml:space="preserve">WL4H6BWNHU91R9X21</t>
        </is>
      </c>
      <c r="L366" s="48" t="inlineStr">
        <is>
          <t xml:space="preserve">02 - Sports / GT</t>
        </is>
      </c>
      <c r="M366" s="50">
        <v>290000</v>
      </c>
      <c r="N366" s="48" t="inlineStr">
        <is>
          <t xml:space="preserve">Personal</t>
        </is>
      </c>
      <c r="O366" s="46" t="inlineStr">
        <is>
          <t xml:space="preserve">Personal - regular use</t>
        </is>
      </c>
      <c r="P366" s="46" t="inlineStr">
        <is>
          <t xml:space="preserve">2,500 - 5,000</t>
        </is>
      </c>
      <c r="Q366" s="46" t="inlineStr">
        <is>
          <t xml:space="preserve">Oklahoma</t>
        </is>
      </c>
      <c r="R366" s="46" t="inlineStr">
        <is>
          <t xml:space="preserve">73102</t>
        </is>
      </c>
      <c r="S366" s="48" t="inlineStr">
        <is>
          <t xml:space="preserve">Severe convective - hail alley (high)</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2518.36</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CANON-202607-008163</t>
        </is>
      </c>
      <c r="B367" s="30" t="inlineStr">
        <is>
          <t xml:space="preserve">Priya Vandermeer</t>
        </is>
      </c>
      <c r="C367" s="31">
        <v>46216</v>
      </c>
      <c r="D367" s="32" t="inlineStr">
        <is>
          <t xml:space="preserve">Bound - within authority</t>
        </is>
      </c>
      <c r="E367" s="32" t="inlineStr">
        <is>
          <t xml:space="preserve">New business</t>
        </is>
      </c>
      <c r="F367" s="30" t="inlineStr">
        <is>
          <t xml:space="preserve">B1234EXOTIC26</t>
        </is>
      </c>
      <c r="G367" s="33">
        <f>IF($A367="","",IF($C367="","",YEAR($C367)))</f>
      </c>
      <c r="H367" s="34">
        <v>1968</v>
      </c>
      <c r="I367" s="30" t="inlineStr">
        <is>
          <t xml:space="preserve">BMW</t>
        </is>
      </c>
      <c r="J367" s="30" t="inlineStr">
        <is>
          <t xml:space="preserve">M8 Competition</t>
        </is>
      </c>
      <c r="K367" s="30" t="inlineStr">
        <is>
          <t xml:space="preserve">U51A3NMRBZW298DC3</t>
        </is>
      </c>
      <c r="L367" s="32" t="inlineStr">
        <is>
          <t xml:space="preserve">02 - Sports / GT</t>
        </is>
      </c>
      <c r="M367" s="35">
        <v>350000</v>
      </c>
      <c r="N367" s="32" t="inlineStr">
        <is>
          <t xml:space="preserve">Personal</t>
        </is>
      </c>
      <c r="O367" s="30" t="inlineStr">
        <is>
          <t xml:space="preserve">Personal - regular use</t>
        </is>
      </c>
      <c r="P367" s="30" t="inlineStr">
        <is>
          <t xml:space="preserve">Under 1,000</t>
        </is>
      </c>
      <c r="Q367" s="30" t="inlineStr">
        <is>
          <t xml:space="preserve">Texas</t>
        </is>
      </c>
      <c r="R367" s="30" t="inlineStr">
        <is>
          <t xml:space="preserve">75201</t>
        </is>
      </c>
      <c r="S367" s="32" t="inlineStr">
        <is>
          <t xml:space="preserve">Tier 2 - Coastal wind (1-25 miles)</t>
        </is>
      </c>
      <c r="T367" s="36">
        <f>IF($A367="","",IF($S367="","",IFERROR(INDEX('[1]natural catastrophe'!$D$6:$D$17,MATCH($S367,'[1]natural catastrophe'!$B$6:$B$17,0)),"?")))</f>
      </c>
      <c r="U367" s="30" t="inlineStr">
        <is>
          <t xml:space="preserve">2% of agreed value, minimum $10,000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4334.47</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CANON-202607-008165</t>
        </is>
      </c>
      <c r="B368" s="46" t="inlineStr">
        <is>
          <t xml:space="preserve">Marisol Rourke</t>
        </is>
      </c>
      <c r="C368" s="47">
        <v>46219</v>
      </c>
      <c r="D368" s="48" t="inlineStr">
        <is>
          <t xml:space="preserve">Bound - within authority</t>
        </is>
      </c>
      <c r="E368" s="48" t="inlineStr">
        <is>
          <t xml:space="preserve">New business</t>
        </is>
      </c>
      <c r="F368" s="46" t="inlineStr">
        <is>
          <t xml:space="preserve">B1234EXOTIC26</t>
        </is>
      </c>
      <c r="G368" s="33">
        <f>IF($A368="","",IF($C368="","",YEAR($C368)))</f>
      </c>
      <c r="H368" s="49">
        <v>1956</v>
      </c>
      <c r="I368" s="46" t="inlineStr">
        <is>
          <t xml:space="preserve">Maserati</t>
        </is>
      </c>
      <c r="J368" s="46" t="inlineStr">
        <is>
          <t xml:space="preserve">GranTurismo</t>
        </is>
      </c>
      <c r="K368" s="46" t="inlineStr">
        <is>
          <t xml:space="preserve">4177NNW3FWWR30B1V</t>
        </is>
      </c>
      <c r="L368" s="48" t="inlineStr">
        <is>
          <t xml:space="preserve">02 - Sports / GT</t>
        </is>
      </c>
      <c r="M368" s="50">
        <v>235000</v>
      </c>
      <c r="N368" s="48" t="inlineStr">
        <is>
          <t xml:space="preserve">Personal</t>
        </is>
      </c>
      <c r="O368" s="46" t="inlineStr">
        <is>
          <t xml:space="preserve">Personal - regular use</t>
        </is>
      </c>
      <c r="P368" s="46" t="inlineStr">
        <is>
          <t xml:space="preserve">1,000 - 2,500</t>
        </is>
      </c>
      <c r="Q368" s="46" t="inlineStr">
        <is>
          <t xml:space="preserve">Alabama</t>
        </is>
      </c>
      <c r="R368" s="46" t="inlineStr">
        <is>
          <t xml:space="preserve">35203</t>
        </is>
      </c>
      <c r="S368" s="48" t="inlineStr">
        <is>
          <t xml:space="preserve">Tier 2 - Coastal wind (1-25 miles)</t>
        </is>
      </c>
      <c r="T368" s="36">
        <f>IF($A368="","",IF($S368="","",IFERROR(INDEX('[1]natural catastrophe'!$D$6:$D$17,MATCH($S368,'[1]natural catastrophe'!$B$6:$B$17,0)),"?")))</f>
      </c>
      <c r="U368" s="46" t="inlineStr">
        <is>
          <t xml:space="preserve">2% of agreed value, minimum $10,000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3942.47</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CANON-202607-008166</t>
        </is>
      </c>
      <c r="B369" s="30" t="inlineStr">
        <is>
          <t xml:space="preserve">Ingrid Chattopadhyay</t>
        </is>
      </c>
      <c r="C369" s="31">
        <v>46211</v>
      </c>
      <c r="D369" s="32" t="inlineStr">
        <is>
          <t xml:space="preserve">Bound - within authority</t>
        </is>
      </c>
      <c r="E369" s="32" t="inlineStr">
        <is>
          <t xml:space="preserve">New business</t>
        </is>
      </c>
      <c r="F369" s="30" t="inlineStr">
        <is>
          <t xml:space="preserve">B1234EXOTIC26</t>
        </is>
      </c>
      <c r="G369" s="33">
        <f>IF($A369="","",IF($C369="","",YEAR($C369)))</f>
      </c>
      <c r="H369" s="34">
        <v>1983</v>
      </c>
      <c r="I369" s="30" t="inlineStr">
        <is>
          <t xml:space="preserve">Maserati</t>
        </is>
      </c>
      <c r="J369" s="30" t="inlineStr">
        <is>
          <t xml:space="preserve">GranTurismo</t>
        </is>
      </c>
      <c r="K369" s="30" t="inlineStr">
        <is>
          <t xml:space="preserve">3U4E55GSTKGKUTBN7</t>
        </is>
      </c>
      <c r="L369" s="32" t="inlineStr">
        <is>
          <t xml:space="preserve">02 - Sports / GT</t>
        </is>
      </c>
      <c r="M369" s="35">
        <v>935000</v>
      </c>
      <c r="N369" s="32" t="inlineStr">
        <is>
          <t xml:space="preserve">Personal</t>
        </is>
      </c>
      <c r="O369" s="30" t="inlineStr">
        <is>
          <t xml:space="preserve">Personal - regular use</t>
        </is>
      </c>
      <c r="P369" s="30" t="inlineStr">
        <is>
          <t xml:space="preserve">2,500 - 5,000</t>
        </is>
      </c>
      <c r="Q369" s="30" t="inlineStr">
        <is>
          <t xml:space="preserve">Ohio</t>
        </is>
      </c>
      <c r="R369" s="30" t="inlineStr">
        <is>
          <t xml:space="preserve">43215</t>
        </is>
      </c>
      <c r="S369" s="32" t="inlineStr">
        <is>
          <t xml:space="preserve">Severe convective - hail / tornado (moderate)</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12129.66</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CANON-202607-008167</t>
        </is>
      </c>
      <c r="B370" s="46" t="inlineStr">
        <is>
          <t xml:space="preserve">Saoirse Delacroix</t>
        </is>
      </c>
      <c r="C370" s="47">
        <v>46221</v>
      </c>
      <c r="D370" s="48" t="inlineStr">
        <is>
          <t xml:space="preserve">Bound - within authority</t>
        </is>
      </c>
      <c r="E370" s="48" t="inlineStr">
        <is>
          <t xml:space="preserve">New business</t>
        </is>
      </c>
      <c r="F370" s="46" t="inlineStr">
        <is>
          <t xml:space="preserve">B1234EXOTIC26</t>
        </is>
      </c>
      <c r="G370" s="33">
        <f>IF($A370="","",IF($C370="","",YEAR($C370)))</f>
      </c>
      <c r="H370" s="49">
        <v>1960</v>
      </c>
      <c r="I370" s="46" t="inlineStr">
        <is>
          <t xml:space="preserve">BMW</t>
        </is>
      </c>
      <c r="J370" s="46" t="inlineStr">
        <is>
          <t xml:space="preserve">M8 Competition</t>
        </is>
      </c>
      <c r="K370" s="46" t="inlineStr">
        <is>
          <t xml:space="preserve">SS5GBWVNTMKR5NFCZ</t>
        </is>
      </c>
      <c r="L370" s="48" t="inlineStr">
        <is>
          <t xml:space="preserve">02 - Sports / GT</t>
        </is>
      </c>
      <c r="M370" s="50">
        <v>330000</v>
      </c>
      <c r="N370" s="48" t="inlineStr">
        <is>
          <t xml:space="preserve">Personal</t>
        </is>
      </c>
      <c r="O370" s="46" t="inlineStr">
        <is>
          <t xml:space="preserve">Personal - regular use</t>
        </is>
      </c>
      <c r="P370" s="46" t="inlineStr">
        <is>
          <t xml:space="preserve">1,000 - 2,500</t>
        </is>
      </c>
      <c r="Q370" s="46" t="inlineStr">
        <is>
          <t xml:space="preserve">New York</t>
        </is>
      </c>
      <c r="R370" s="46" t="inlineStr">
        <is>
          <t xml:space="preserve">10022</t>
        </is>
      </c>
      <c r="S370" s="48" t="inlineStr">
        <is>
          <t xml:space="preserve">Tier 3 - Coastal wind (25-100 miles)</t>
        </is>
      </c>
      <c r="T370" s="36">
        <f>IF($A370="","",IF($S370="","",IFERROR(INDEX('[1]natural catastrophe'!$D$6:$D$17,MATCH($S370,'[1]natural catastrophe'!$B$6:$B$17,0)),"?")))</f>
      </c>
      <c r="U370" s="46" t="inlineStr">
        <is>
          <t xml:space="preserve">2% of agreed value, minimum $10,000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4548.77</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CANON-202607-008168</t>
        </is>
      </c>
      <c r="B371" s="30" t="inlineStr">
        <is>
          <t xml:space="preserve">Noor Blackwood</t>
        </is>
      </c>
      <c r="C371" s="31">
        <v>46215</v>
      </c>
      <c r="D371" s="32" t="inlineStr">
        <is>
          <t xml:space="preserve">Bound - within authority</t>
        </is>
      </c>
      <c r="E371" s="32" t="inlineStr">
        <is>
          <t xml:space="preserve">New business</t>
        </is>
      </c>
      <c r="F371" s="30" t="inlineStr">
        <is>
          <t xml:space="preserve">B1234EXOTIC26</t>
        </is>
      </c>
      <c r="G371" s="33">
        <f>IF($A371="","",IF($C371="","",YEAR($C371)))</f>
      </c>
      <c r="H371" s="34">
        <v>1962</v>
      </c>
      <c r="I371" s="30" t="inlineStr">
        <is>
          <t xml:space="preserve">Porsche</t>
        </is>
      </c>
      <c r="J371" s="30" t="inlineStr">
        <is>
          <t xml:space="preserve">911 Turbo S</t>
        </is>
      </c>
      <c r="K371" s="30" t="inlineStr">
        <is>
          <t xml:space="preserve">YCWS3HM1P3HM6NGDK</t>
        </is>
      </c>
      <c r="L371" s="32" t="inlineStr">
        <is>
          <t xml:space="preserve">02 - Sports / GT</t>
        </is>
      </c>
      <c r="M371" s="35">
        <v>295000</v>
      </c>
      <c r="N371" s="32" t="inlineStr">
        <is>
          <t xml:space="preserve">Personal</t>
        </is>
      </c>
      <c r="O371" s="30" t="inlineStr">
        <is>
          <t xml:space="preserve">Personal - regular use</t>
        </is>
      </c>
      <c r="P371" s="30" t="inlineStr">
        <is>
          <t xml:space="preserve">2,500 - 5,000</t>
        </is>
      </c>
      <c r="Q371" s="30" t="inlineStr">
        <is>
          <t xml:space="preserve">Washington</t>
        </is>
      </c>
      <c r="R371" s="30" t="inlineStr">
        <is>
          <t xml:space="preserve">98101</t>
        </is>
      </c>
      <c r="S371" s="32" t="inlineStr">
        <is>
          <t xml:space="preserve">Earthquake - high (CA, Cascadia, New Madrid)</t>
        </is>
      </c>
      <c r="T371" s="36">
        <f>IF($A371="","",IF($S371="","",IFERROR(INDEX('[1]natural catastrophe'!$D$6:$D$17,MATCH($S371,'[1]natural catastrophe'!$B$6:$B$17,0)),"?")))</f>
      </c>
      <c r="U371" s="30" t="inlineStr">
        <is>
          <t xml:space="preserve">$5,000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3049.75</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CANON-202607-008169</t>
        </is>
      </c>
      <c r="B372" s="46" t="inlineStr">
        <is>
          <t xml:space="preserve">Saoirse Whitlock</t>
        </is>
      </c>
      <c r="C372" s="47">
        <v>46204</v>
      </c>
      <c r="D372" s="48" t="inlineStr">
        <is>
          <t xml:space="preserve">Bound - within authority</t>
        </is>
      </c>
      <c r="E372" s="48" t="inlineStr">
        <is>
          <t xml:space="preserve">New business</t>
        </is>
      </c>
      <c r="F372" s="46" t="inlineStr">
        <is>
          <t xml:space="preserve">B1234EXOTIC26</t>
        </is>
      </c>
      <c r="G372" s="33">
        <f>IF($A372="","",IF($C372="","",YEAR($C372)))</f>
      </c>
      <c r="H372" s="49">
        <v>2001</v>
      </c>
      <c r="I372" s="46" t="inlineStr">
        <is>
          <t xml:space="preserve">Ferrari</t>
        </is>
      </c>
      <c r="J372" s="46" t="inlineStr">
        <is>
          <t xml:space="preserve">296 GTB</t>
        </is>
      </c>
      <c r="K372" s="46" t="inlineStr">
        <is>
          <t xml:space="preserve">CDF7M3DPMHRRP2HZJ</t>
        </is>
      </c>
      <c r="L372" s="48" t="inlineStr">
        <is>
          <t xml:space="preserve">03 - Supercar</t>
        </is>
      </c>
      <c r="M372" s="50">
        <v>1350000</v>
      </c>
      <c r="N372" s="48" t="inlineStr">
        <is>
          <t xml:space="preserve">Personal</t>
        </is>
      </c>
      <c r="O372" s="46" t="inlineStr">
        <is>
          <t xml:space="preserve">Personal - regular use</t>
        </is>
      </c>
      <c r="P372" s="46" t="inlineStr">
        <is>
          <t xml:space="preserve">2,500 - 5,000</t>
        </is>
      </c>
      <c r="Q372" s="46" t="inlineStr">
        <is>
          <t xml:space="preserve">Colorado</t>
        </is>
      </c>
      <c r="R372" s="46" t="inlineStr">
        <is>
          <t xml:space="preserve">80202</t>
        </is>
      </c>
      <c r="S372" s="48" t="inlineStr">
        <is>
          <t xml:space="preserve">Severe convective - hail alley (high)</t>
        </is>
      </c>
      <c r="T372" s="36">
        <f>IF($A372="","",IF($S372="","",IFERROR(INDEX('[1]natural catastrophe'!$D$6:$D$17,MATCH($S372,'[1]natural catastrophe'!$B$6:$B$17,0)),"?")))</f>
      </c>
      <c r="U372" s="46" t="inlineStr">
        <is>
          <t xml:space="preserve">$5,000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17057.88</v>
      </c>
      <c r="AC372" s="51">
        <v>0</v>
      </c>
      <c r="AD372" s="38">
        <f>IF(ISNUMBER($AB372),$AB372*(1+N($AC372)),"")</f>
      </c>
      <c r="AE372" s="50">
        <v>350</v>
      </c>
      <c r="AF372" s="50">
        <v>250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CANON-202607-008170</t>
        </is>
      </c>
      <c r="B373" s="30" t="inlineStr">
        <is>
          <t xml:space="preserve">Ingrid Bellandi</t>
        </is>
      </c>
      <c r="C373" s="31">
        <v>46213</v>
      </c>
      <c r="D373" s="32" t="inlineStr">
        <is>
          <t xml:space="preserve">Bound - within authority</t>
        </is>
      </c>
      <c r="E373" s="32" t="inlineStr">
        <is>
          <t xml:space="preserve">New business</t>
        </is>
      </c>
      <c r="F373" s="30" t="inlineStr">
        <is>
          <t xml:space="preserve">B1234EXOTIC26</t>
        </is>
      </c>
      <c r="G373" s="33">
        <f>IF($A373="","",IF($C373="","",YEAR($C373)))</f>
      </c>
      <c r="H373" s="34">
        <v>2002</v>
      </c>
      <c r="I373" s="30" t="inlineStr">
        <is>
          <t xml:space="preserve">Maserati</t>
        </is>
      </c>
      <c r="J373" s="30" t="inlineStr">
        <is>
          <t xml:space="preserve">GranTurismo</t>
        </is>
      </c>
      <c r="K373" s="30" t="inlineStr">
        <is>
          <t xml:space="preserve">JBDKP6XZ8CF6S7SVF</t>
        </is>
      </c>
      <c r="L373" s="32" t="inlineStr">
        <is>
          <t xml:space="preserve">02 - Sports / GT</t>
        </is>
      </c>
      <c r="M373" s="35">
        <v>425000</v>
      </c>
      <c r="N373" s="32" t="inlineStr">
        <is>
          <t xml:space="preserve">Personal</t>
        </is>
      </c>
      <c r="O373" s="30" t="inlineStr">
        <is>
          <t xml:space="preserve">Personal - regular use</t>
        </is>
      </c>
      <c r="P373" s="30" t="inlineStr">
        <is>
          <t xml:space="preserve">1,000 - 2,500</t>
        </is>
      </c>
      <c r="Q373" s="30" t="inlineStr">
        <is>
          <t xml:space="preserve">Mississippi</t>
        </is>
      </c>
      <c r="R373" s="30" t="inlineStr">
        <is>
          <t xml:space="preserve">39201</t>
        </is>
      </c>
      <c r="S373" s="32" t="inlineStr">
        <is>
          <t xml:space="preserve">Tier 2 - Coastal wind (1-25 miles)</t>
        </is>
      </c>
      <c r="T373" s="36">
        <f>IF($A373="","",IF($S373="","",IFERROR(INDEX('[1]natural catastrophe'!$D$6:$D$17,MATCH($S373,'[1]natural catastrophe'!$B$6:$B$17,0)),"?")))</f>
      </c>
      <c r="U373" s="30" t="inlineStr">
        <is>
          <t xml:space="preserve">2% of agreed value, minimum $10,000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5446.36</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CANON-202607-008171</t>
        </is>
      </c>
      <c r="B374" s="46" t="inlineStr">
        <is>
          <t xml:space="preserve">Noor Merriweather</t>
        </is>
      </c>
      <c r="C374" s="47">
        <v>46231</v>
      </c>
      <c r="D374" s="48" t="inlineStr">
        <is>
          <t xml:space="preserve">Bound - within authority</t>
        </is>
      </c>
      <c r="E374" s="48" t="inlineStr">
        <is>
          <t xml:space="preserve">New business</t>
        </is>
      </c>
      <c r="F374" s="46" t="inlineStr">
        <is>
          <t xml:space="preserve">B1234EXOTIC26</t>
        </is>
      </c>
      <c r="G374" s="33">
        <f>IF($A374="","",IF($C374="","",YEAR($C374)))</f>
      </c>
      <c r="H374" s="49">
        <v>1960</v>
      </c>
      <c r="I374" s="46" t="inlineStr">
        <is>
          <t xml:space="preserve">McLaren</t>
        </is>
      </c>
      <c r="J374" s="46" t="inlineStr">
        <is>
          <t xml:space="preserve">750S</t>
        </is>
      </c>
      <c r="K374" s="46" t="inlineStr">
        <is>
          <t xml:space="preserve">C3G9VKDN7VVF06GGN</t>
        </is>
      </c>
      <c r="L374" s="48" t="inlineStr">
        <is>
          <t xml:space="preserve">03 - Supercar</t>
        </is>
      </c>
      <c r="M374" s="50">
        <v>1570000</v>
      </c>
      <c r="N374" s="48" t="inlineStr">
        <is>
          <t xml:space="preserve">Personal</t>
        </is>
      </c>
      <c r="O374" s="46" t="inlineStr">
        <is>
          <t xml:space="preserve">Personal - regular use</t>
        </is>
      </c>
      <c r="P374" s="46" t="inlineStr">
        <is>
          <t xml:space="preserve">1,000 - 2,500</t>
        </is>
      </c>
      <c r="Q374" s="46" t="inlineStr">
        <is>
          <t xml:space="preserve">Pennsylvania</t>
        </is>
      </c>
      <c r="R374" s="46" t="inlineStr">
        <is>
          <t xml:space="preserve">19103</t>
        </is>
      </c>
      <c r="S374" s="48" t="inlineStr">
        <is>
          <t xml:space="preserve">Low hazard - inland benign</t>
        </is>
      </c>
      <c r="T374" s="36">
        <f>IF($A374="","",IF($S374="","",IFERROR(INDEX('[1]natural catastrophe'!$D$6:$D$17,MATCH($S374,'[1]natural catastrophe'!$B$6:$B$17,0)),"?")))</f>
      </c>
      <c r="U374" s="46" t="inlineStr">
        <is>
          <t xml:space="preserve">$5,000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18034.26</v>
      </c>
      <c r="AC374" s="51">
        <v>0</v>
      </c>
      <c r="AD374" s="38">
        <f>IF(ISNUMBER($AB374),$AB374*(1+N($AC374)),"")</f>
      </c>
      <c r="AE374" s="50">
        <v>350</v>
      </c>
      <c r="AF374" s="50">
        <v>250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CANON-202607-008172</t>
        </is>
      </c>
      <c r="B375" s="30" t="inlineStr">
        <is>
          <t xml:space="preserve">Callum Underwood</t>
        </is>
      </c>
      <c r="C375" s="31">
        <v>46220</v>
      </c>
      <c r="D375" s="32" t="inlineStr">
        <is>
          <t xml:space="preserve">Bound - within authority</t>
        </is>
      </c>
      <c r="E375" s="32" t="inlineStr">
        <is>
          <t xml:space="preserve">New business</t>
        </is>
      </c>
      <c r="F375" s="30" t="inlineStr">
        <is>
          <t xml:space="preserve">B1234EXOTIC26</t>
        </is>
      </c>
      <c r="G375" s="33">
        <f>IF($A375="","",IF($C375="","",YEAR($C375)))</f>
      </c>
      <c r="H375" s="34">
        <v>1978</v>
      </c>
      <c r="I375" s="30" t="inlineStr">
        <is>
          <t xml:space="preserve">Aston Martin</t>
        </is>
      </c>
      <c r="J375" s="30" t="inlineStr">
        <is>
          <t xml:space="preserve">DB12</t>
        </is>
      </c>
      <c r="K375" s="30" t="inlineStr">
        <is>
          <t xml:space="preserve">GP976SXHMRTB5LJVX</t>
        </is>
      </c>
      <c r="L375" s="32" t="inlineStr">
        <is>
          <t xml:space="preserve">02 - Sports / GT</t>
        </is>
      </c>
      <c r="M375" s="35">
        <v>150000</v>
      </c>
      <c r="N375" s="32" t="inlineStr">
        <is>
          <t xml:space="preserve">Personal</t>
        </is>
      </c>
      <c r="O375" s="30" t="inlineStr">
        <is>
          <t xml:space="preserve">Personal - regular use</t>
        </is>
      </c>
      <c r="P375" s="30" t="inlineStr">
        <is>
          <t xml:space="preserve">1,000 - 2,500</t>
        </is>
      </c>
      <c r="Q375" s="30" t="inlineStr">
        <is>
          <t xml:space="preserve">Nebraska</t>
        </is>
      </c>
      <c r="R375" s="30" t="inlineStr">
        <is>
          <t xml:space="preserve">68102</t>
        </is>
      </c>
      <c r="S375" s="32" t="inlineStr">
        <is>
          <t xml:space="preserve">Severe convective - hail alley (high)</t>
        </is>
      </c>
      <c r="T375" s="36">
        <f>IF($A375="","",IF($S375="","",IFERROR(INDEX('[1]natural catastrophe'!$D$6:$D$17,MATCH($S375,'[1]natural catastrophe'!$B$6:$B$17,0)),"?")))</f>
      </c>
      <c r="U375" s="30" t="inlineStr">
        <is>
          <t xml:space="preserve">$5,000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2575.92</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CANON-202607-008173</t>
        </is>
      </c>
      <c r="B376" s="46" t="inlineStr">
        <is>
          <t xml:space="preserve">Beatrix Ashcombe</t>
        </is>
      </c>
      <c r="C376" s="47">
        <v>46218</v>
      </c>
      <c r="D376" s="48" t="inlineStr">
        <is>
          <t xml:space="preserve">Bound - within authority</t>
        </is>
      </c>
      <c r="E376" s="48" t="inlineStr">
        <is>
          <t xml:space="preserve">New business</t>
        </is>
      </c>
      <c r="F376" s="46" t="inlineStr">
        <is>
          <t xml:space="preserve">B1234EXOTIC26</t>
        </is>
      </c>
      <c r="G376" s="33">
        <f>IF($A376="","",IF($C376="","",YEAR($C376)))</f>
      </c>
      <c r="H376" s="49">
        <v>1969</v>
      </c>
      <c r="I376" s="46" t="inlineStr">
        <is>
          <t xml:space="preserve">Bentley</t>
        </is>
      </c>
      <c r="J376" s="46" t="inlineStr">
        <is>
          <t xml:space="preserve">Continental GT</t>
        </is>
      </c>
      <c r="K376" s="46" t="inlineStr">
        <is>
          <t xml:space="preserve">2PAS35CM63WWT6PRK</t>
        </is>
      </c>
      <c r="L376" s="48" t="inlineStr">
        <is>
          <t xml:space="preserve">02 - Sports / GT</t>
        </is>
      </c>
      <c r="M376" s="50">
        <v>590000</v>
      </c>
      <c r="N376" s="48" t="inlineStr">
        <is>
          <t xml:space="preserve">Personal</t>
        </is>
      </c>
      <c r="O376" s="46" t="inlineStr">
        <is>
          <t xml:space="preserve">Personal - regular use</t>
        </is>
      </c>
      <c r="P376" s="46" t="inlineStr">
        <is>
          <t xml:space="preserve">1,000 - 2,500</t>
        </is>
      </c>
      <c r="Q376" s="46" t="inlineStr">
        <is>
          <t xml:space="preserve">Virginia</t>
        </is>
      </c>
      <c r="R376" s="46" t="inlineStr">
        <is>
          <t xml:space="preserve">23219</t>
        </is>
      </c>
      <c r="S376" s="48" t="inlineStr">
        <is>
          <t xml:space="preserve">Tier 3 - Coastal wind (25-100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6002.07</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CANON-202607-008174</t>
        </is>
      </c>
      <c r="B377" s="30" t="inlineStr">
        <is>
          <t xml:space="preserve">Horace Vandermeer</t>
        </is>
      </c>
      <c r="C377" s="31">
        <v>46228</v>
      </c>
      <c r="D377" s="32" t="inlineStr">
        <is>
          <t xml:space="preserve">Bound - within authority</t>
        </is>
      </c>
      <c r="E377" s="32" t="inlineStr">
        <is>
          <t xml:space="preserve">New business</t>
        </is>
      </c>
      <c r="F377" s="30" t="inlineStr">
        <is>
          <t xml:space="preserve">B1234EXOTIC26</t>
        </is>
      </c>
      <c r="G377" s="33">
        <f>IF($A377="","",IF($C377="","",YEAR($C377)))</f>
      </c>
      <c r="H377" s="34">
        <v>1995</v>
      </c>
      <c r="I377" s="30" t="inlineStr">
        <is>
          <t xml:space="preserve">BMW</t>
        </is>
      </c>
      <c r="J377" s="30" t="inlineStr">
        <is>
          <t xml:space="preserve">M8 Competition</t>
        </is>
      </c>
      <c r="K377" s="30" t="inlineStr">
        <is>
          <t xml:space="preserve">T72YDE4WCNR9181U5</t>
        </is>
      </c>
      <c r="L377" s="32" t="inlineStr">
        <is>
          <t xml:space="preserve">02 - Sports / GT</t>
        </is>
      </c>
      <c r="M377" s="35">
        <v>950000</v>
      </c>
      <c r="N377" s="32" t="inlineStr">
        <is>
          <t xml:space="preserve">Personal</t>
        </is>
      </c>
      <c r="O377" s="30" t="inlineStr">
        <is>
          <t xml:space="preserve">Personal - regular use</t>
        </is>
      </c>
      <c r="P377" s="30" t="inlineStr">
        <is>
          <t xml:space="preserve">1,000 - 2,500</t>
        </is>
      </c>
      <c r="Q377" s="30" t="inlineStr">
        <is>
          <t xml:space="preserve">Washington</t>
        </is>
      </c>
      <c r="R377" s="30" t="inlineStr">
        <is>
          <t xml:space="preserve">98101</t>
        </is>
      </c>
      <c r="S377" s="32" t="inlineStr">
        <is>
          <t xml:space="preserve">Earthquake - high (CA, Cascadia, New Madrid)</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8511.72</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CANON-202607-008175</t>
        </is>
      </c>
      <c r="B378" s="46" t="inlineStr">
        <is>
          <t xml:space="preserve">Everett Castellanos</t>
        </is>
      </c>
      <c r="C378" s="47">
        <v>46215</v>
      </c>
      <c r="D378" s="48" t="inlineStr">
        <is>
          <t xml:space="preserve">Bound - within authority</t>
        </is>
      </c>
      <c r="E378" s="48" t="inlineStr">
        <is>
          <t xml:space="preserve">New business</t>
        </is>
      </c>
      <c r="F378" s="46" t="inlineStr">
        <is>
          <t xml:space="preserve">B1234EXOTIC26</t>
        </is>
      </c>
      <c r="G378" s="33">
        <f>IF($A378="","",IF($C378="","",YEAR($C378)))</f>
      </c>
      <c r="H378" s="49">
        <v>1996</v>
      </c>
      <c r="I378" s="46" t="inlineStr">
        <is>
          <t xml:space="preserve">Porsche</t>
        </is>
      </c>
      <c r="J378" s="46" t="inlineStr">
        <is>
          <t xml:space="preserve">911 Turbo S</t>
        </is>
      </c>
      <c r="K378" s="46" t="inlineStr">
        <is>
          <t xml:space="preserve">9U8WE7UWN37D52KWJ</t>
        </is>
      </c>
      <c r="L378" s="48" t="inlineStr">
        <is>
          <t xml:space="preserve">02 - Sports / GT</t>
        </is>
      </c>
      <c r="M378" s="50">
        <v>505000</v>
      </c>
      <c r="N378" s="48" t="inlineStr">
        <is>
          <t xml:space="preserve">Personal</t>
        </is>
      </c>
      <c r="O378" s="46" t="inlineStr">
        <is>
          <t xml:space="preserve">Personal - regular use</t>
        </is>
      </c>
      <c r="P378" s="46" t="inlineStr">
        <is>
          <t xml:space="preserve">1,000 - 2,500</t>
        </is>
      </c>
      <c r="Q378" s="46" t="inlineStr">
        <is>
          <t xml:space="preserve">Florida</t>
        </is>
      </c>
      <c r="R378" s="46" t="inlineStr">
        <is>
          <t xml:space="preserve">33139</t>
        </is>
      </c>
      <c r="S378" s="48" t="inlineStr">
        <is>
          <t xml:space="preserve">Tier 2 - Coastal wind (1-25 miles)</t>
        </is>
      </c>
      <c r="T378" s="36">
        <f>IF($A378="","",IF($S378="","",IFERROR(INDEX('[1]natural catastrophe'!$D$6:$D$17,MATCH($S378,'[1]natural catastrophe'!$B$6:$B$17,0)),"?")))</f>
      </c>
      <c r="U378" s="46" t="inlineStr">
        <is>
          <t xml:space="preserve">2% of agreed value, minimum $10,000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6692.71</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CANON-202607-008176</t>
        </is>
      </c>
      <c r="B379" s="30" t="inlineStr">
        <is>
          <t xml:space="preserve">Horace Fairweather</t>
        </is>
      </c>
      <c r="C379" s="31">
        <v>46222</v>
      </c>
      <c r="D379" s="32" t="inlineStr">
        <is>
          <t xml:space="preserve">Bound - within authority</t>
        </is>
      </c>
      <c r="E379" s="32" t="inlineStr">
        <is>
          <t xml:space="preserve">New business</t>
        </is>
      </c>
      <c r="F379" s="30" t="inlineStr">
        <is>
          <t xml:space="preserve">B1234EXOTIC26</t>
        </is>
      </c>
      <c r="G379" s="33">
        <f>IF($A379="","",IF($C379="","",YEAR($C379)))</f>
      </c>
      <c r="H379" s="34">
        <v>1960</v>
      </c>
      <c r="I379" s="30" t="inlineStr">
        <is>
          <t xml:space="preserve">Porsche</t>
        </is>
      </c>
      <c r="J379" s="30" t="inlineStr">
        <is>
          <t xml:space="preserve">911 Turbo S</t>
        </is>
      </c>
      <c r="K379" s="30" t="inlineStr">
        <is>
          <t xml:space="preserve">ST72CZN7KEWERBJHE</t>
        </is>
      </c>
      <c r="L379" s="32" t="inlineStr">
        <is>
          <t xml:space="preserve">02 - Sports / GT</t>
        </is>
      </c>
      <c r="M379" s="35">
        <v>565000</v>
      </c>
      <c r="N379" s="32" t="inlineStr">
        <is>
          <t xml:space="preserve">Personal</t>
        </is>
      </c>
      <c r="O379" s="30" t="inlineStr">
        <is>
          <t xml:space="preserve">Personal - regular use</t>
        </is>
      </c>
      <c r="P379" s="30" t="inlineStr">
        <is>
          <t xml:space="preserve">1,000 - 2,500</t>
        </is>
      </c>
      <c r="Q379" s="30" t="inlineStr">
        <is>
          <t xml:space="preserve">New York</t>
        </is>
      </c>
      <c r="R379" s="30" t="inlineStr">
        <is>
          <t xml:space="preserve">10022</t>
        </is>
      </c>
      <c r="S379" s="32" t="inlineStr">
        <is>
          <t xml:space="preserve">Tier 3 - Coastal wind (25-100 miles)</t>
        </is>
      </c>
      <c r="T379" s="36">
        <f>IF($A379="","",IF($S379="","",IFERROR(INDEX('[1]natural catastrophe'!$D$6:$D$17,MATCH($S379,'[1]natural catastrophe'!$B$6:$B$17,0)),"?")))</f>
      </c>
      <c r="U379" s="30" t="inlineStr">
        <is>
          <t xml:space="preserve">2% of agreed value, minimum $10,000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6749.64</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CANON-202607-008180</t>
        </is>
      </c>
      <c r="B380" s="46" t="inlineStr">
        <is>
          <t xml:space="preserve">Marisol Larsson</t>
        </is>
      </c>
      <c r="C380" s="47">
        <v>46228</v>
      </c>
      <c r="D380" s="48" t="inlineStr">
        <is>
          <t xml:space="preserve">Bound - within authority</t>
        </is>
      </c>
      <c r="E380" s="48" t="inlineStr">
        <is>
          <t xml:space="preserve">New business</t>
        </is>
      </c>
      <c r="F380" s="46" t="inlineStr">
        <is>
          <t xml:space="preserve">B1234EXOTIC26</t>
        </is>
      </c>
      <c r="G380" s="33">
        <f>IF($A380="","",IF($C380="","",YEAR($C380)))</f>
      </c>
      <c r="H380" s="49">
        <v>1972</v>
      </c>
      <c r="I380" s="46" t="inlineStr">
        <is>
          <t xml:space="preserve">Bentley</t>
        </is>
      </c>
      <c r="J380" s="46" t="inlineStr">
        <is>
          <t xml:space="preserve">Continental GT</t>
        </is>
      </c>
      <c r="K380" s="46" t="inlineStr">
        <is>
          <t xml:space="preserve">N56LZ3934Y6DRVF0P</t>
        </is>
      </c>
      <c r="L380" s="48" t="inlineStr">
        <is>
          <t xml:space="preserve">02 - Sports / GT</t>
        </is>
      </c>
      <c r="M380" s="50">
        <v>495000</v>
      </c>
      <c r="N380" s="48" t="inlineStr">
        <is>
          <t xml:space="preserve">Personal</t>
        </is>
      </c>
      <c r="O380" s="46" t="inlineStr">
        <is>
          <t xml:space="preserve">Personal - regular use</t>
        </is>
      </c>
      <c r="P380" s="46" t="inlineStr">
        <is>
          <t xml:space="preserve">2,500 - 5,000</t>
        </is>
      </c>
      <c r="Q380" s="46" t="inlineStr">
        <is>
          <t xml:space="preserve">Michigan</t>
        </is>
      </c>
      <c r="R380" s="46" t="inlineStr">
        <is>
          <t xml:space="preserve">48226</t>
        </is>
      </c>
      <c r="S380" s="48" t="inlineStr">
        <is>
          <t xml:space="preserve">Severe convective - hail / tornado (moderate)</t>
        </is>
      </c>
      <c r="T380" s="36">
        <f>IF($A380="","",IF($S380="","",IFERROR(INDEX('[1]natural catastrophe'!$D$6:$D$17,MATCH($S380,'[1]natural catastrophe'!$B$6:$B$17,0)),"?")))</f>
      </c>
      <c r="U380" s="46" t="inlineStr">
        <is>
          <t xml:space="preserve">$5,000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8262.41</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CANON-202607-008182</t>
        </is>
      </c>
      <c r="B381" s="30" t="inlineStr">
        <is>
          <t xml:space="preserve">Desmond Larsson</t>
        </is>
      </c>
      <c r="C381" s="31">
        <v>46233</v>
      </c>
      <c r="D381" s="32" t="inlineStr">
        <is>
          <t xml:space="preserve">Bound - within authority</t>
        </is>
      </c>
      <c r="E381" s="32" t="inlineStr">
        <is>
          <t xml:space="preserve">New business</t>
        </is>
      </c>
      <c r="F381" s="30" t="inlineStr">
        <is>
          <t xml:space="preserve">B1234EXOTIC26</t>
        </is>
      </c>
      <c r="G381" s="33">
        <f>IF($A381="","",IF($C381="","",YEAR($C381)))</f>
      </c>
      <c r="H381" s="34">
        <v>2016</v>
      </c>
      <c r="I381" s="30" t="inlineStr">
        <is>
          <t xml:space="preserve">Maserati</t>
        </is>
      </c>
      <c r="J381" s="30" t="inlineStr">
        <is>
          <t xml:space="preserve">GranTurismo</t>
        </is>
      </c>
      <c r="K381" s="30" t="inlineStr">
        <is>
          <t xml:space="preserve">DZ9A308P4ZWAXJF67</t>
        </is>
      </c>
      <c r="L381" s="32" t="inlineStr">
        <is>
          <t xml:space="preserve">02 - Sports / GT</t>
        </is>
      </c>
      <c r="M381" s="35">
        <v>395000</v>
      </c>
      <c r="N381" s="32" t="inlineStr">
        <is>
          <t xml:space="preserve">Personal</t>
        </is>
      </c>
      <c r="O381" s="30" t="inlineStr">
        <is>
          <t xml:space="preserve">Personal - regular use</t>
        </is>
      </c>
      <c r="P381" s="30" t="inlineStr">
        <is>
          <t xml:space="preserve">2,500 - 5,000</t>
        </is>
      </c>
      <c r="Q381" s="30" t="inlineStr">
        <is>
          <t xml:space="preserve">California</t>
        </is>
      </c>
      <c r="R381" s="30" t="inlineStr">
        <is>
          <t xml:space="preserve">90012</t>
        </is>
      </c>
      <c r="S381" s="32" t="inlineStr">
        <is>
          <t xml:space="preserve">Earthquake - high (CA, Cascadia, New Madrid)</t>
        </is>
      </c>
      <c r="T381" s="36">
        <f>IF($A381="","",IF($S381="","",IFERROR(INDEX('[1]natural catastrophe'!$D$6:$D$17,MATCH($S381,'[1]natural catastrophe'!$B$6:$B$17,0)),"?")))</f>
      </c>
      <c r="U381" s="30" t="inlineStr">
        <is>
          <t xml:space="preserve">$5,000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5742.5</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CANON-202607-008183</t>
        </is>
      </c>
      <c r="B382" s="46" t="inlineStr">
        <is>
          <t xml:space="preserve">Marisol Nakashima</t>
        </is>
      </c>
      <c r="C382" s="47">
        <v>46223</v>
      </c>
      <c r="D382" s="48" t="inlineStr">
        <is>
          <t xml:space="preserve">Bound - within authority</t>
        </is>
      </c>
      <c r="E382" s="48" t="inlineStr">
        <is>
          <t xml:space="preserve">New business</t>
        </is>
      </c>
      <c r="F382" s="46" t="inlineStr">
        <is>
          <t xml:space="preserve">B1234EXOTIC26</t>
        </is>
      </c>
      <c r="G382" s="33">
        <f>IF($A382="","",IF($C382="","",YEAR($C382)))</f>
      </c>
      <c r="H382" s="49">
        <v>1968</v>
      </c>
      <c r="I382" s="46" t="inlineStr">
        <is>
          <t xml:space="preserve">BMW</t>
        </is>
      </c>
      <c r="J382" s="46" t="inlineStr">
        <is>
          <t xml:space="preserve">M8 Competition</t>
        </is>
      </c>
      <c r="K382" s="46" t="inlineStr">
        <is>
          <t xml:space="preserve">YHVU9UFMEJGHSSA2K</t>
        </is>
      </c>
      <c r="L382" s="48" t="inlineStr">
        <is>
          <t xml:space="preserve">02 - Sports / GT</t>
        </is>
      </c>
      <c r="M382" s="50">
        <v>325000</v>
      </c>
      <c r="N382" s="48" t="inlineStr">
        <is>
          <t xml:space="preserve">Personal</t>
        </is>
      </c>
      <c r="O382" s="46" t="inlineStr">
        <is>
          <t xml:space="preserve">Personal - regular use</t>
        </is>
      </c>
      <c r="P382" s="46" t="inlineStr">
        <is>
          <t xml:space="preserve">1,000 - 2,500</t>
        </is>
      </c>
      <c r="Q382" s="46" t="inlineStr">
        <is>
          <t xml:space="preserve">Arizona</t>
        </is>
      </c>
      <c r="R382" s="46" t="inlineStr">
        <is>
          <t xml:space="preserve">85001</t>
        </is>
      </c>
      <c r="S382" s="48" t="inlineStr">
        <is>
          <t xml:space="preserve">Wildfire - WUI high hazard</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3534.88</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CANON-202607-008184</t>
        </is>
      </c>
      <c r="B383" s="30" t="inlineStr">
        <is>
          <t xml:space="preserve">Ramona Delacroix</t>
        </is>
      </c>
      <c r="C383" s="31">
        <v>46234</v>
      </c>
      <c r="D383" s="32" t="inlineStr">
        <is>
          <t xml:space="preserve">Bound - within authority</t>
        </is>
      </c>
      <c r="E383" s="32" t="inlineStr">
        <is>
          <t xml:space="preserve">New business</t>
        </is>
      </c>
      <c r="F383" s="30" t="inlineStr">
        <is>
          <t xml:space="preserve">B1234EXOTIC26</t>
        </is>
      </c>
      <c r="G383" s="33">
        <f>IF($A383="","",IF($C383="","",YEAR($C383)))</f>
      </c>
      <c r="H383" s="34">
        <v>1967</v>
      </c>
      <c r="I383" s="30" t="inlineStr">
        <is>
          <t xml:space="preserve">Aston Martin</t>
        </is>
      </c>
      <c r="J383" s="30" t="inlineStr">
        <is>
          <t xml:space="preserve">DB5</t>
        </is>
      </c>
      <c r="K383" s="30" t="inlineStr">
        <is>
          <t xml:space="preserve">M5NEDV4KB8TJXR8JG</t>
        </is>
      </c>
      <c r="L383" s="32" t="inlineStr">
        <is>
          <t xml:space="preserve">07 - Post-War Classic (1946-1972)</t>
        </is>
      </c>
      <c r="M383" s="35">
        <v>1950000</v>
      </c>
      <c r="N383" s="32" t="inlineStr">
        <is>
          <t xml:space="preserve">Personal</t>
        </is>
      </c>
      <c r="O383" s="30" t="inlineStr">
        <is>
          <t xml:space="preserve">Personal - regular use</t>
        </is>
      </c>
      <c r="P383" s="30" t="inlineStr">
        <is>
          <t xml:space="preserve">1,000 - 2,500</t>
        </is>
      </c>
      <c r="Q383" s="30" t="inlineStr">
        <is>
          <t xml:space="preserve">Michigan</t>
        </is>
      </c>
      <c r="R383" s="30" t="inlineStr">
        <is>
          <t xml:space="preserve">48226</t>
        </is>
      </c>
      <c r="S383" s="32" t="inlineStr">
        <is>
          <t xml:space="preserve">Severe convective - hail / tornado (moderate)</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16491.44</v>
      </c>
      <c r="AC383" s="37">
        <v>0</v>
      </c>
      <c r="AD383" s="38">
        <f>IF(ISNUMBER($AB383),$AB383*(1+N($AC383)),"")</f>
      </c>
      <c r="AE383" s="35">
        <v>350</v>
      </c>
      <c r="AF383" s="35">
        <v>250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CANON-202607-008185</t>
        </is>
      </c>
      <c r="B384" s="46" t="inlineStr">
        <is>
          <t xml:space="preserve">Mireille Fairweather</t>
        </is>
      </c>
      <c r="C384" s="47">
        <v>46222</v>
      </c>
      <c r="D384" s="48" t="inlineStr">
        <is>
          <t xml:space="preserve">Bound - within authority</t>
        </is>
      </c>
      <c r="E384" s="48" t="inlineStr">
        <is>
          <t xml:space="preserve">New business</t>
        </is>
      </c>
      <c r="F384" s="46" t="inlineStr">
        <is>
          <t xml:space="preserve">B1234EXOTIC26</t>
        </is>
      </c>
      <c r="G384" s="33">
        <f>IF($A384="","",IF($C384="","",YEAR($C384)))</f>
      </c>
      <c r="H384" s="49">
        <v>2002</v>
      </c>
      <c r="I384" s="46" t="inlineStr">
        <is>
          <t xml:space="preserve">Ferrari</t>
        </is>
      </c>
      <c r="J384" s="46" t="inlineStr">
        <is>
          <t xml:space="preserve">SF90 Stradale</t>
        </is>
      </c>
      <c r="K384" s="46" t="inlineStr">
        <is>
          <t xml:space="preserve">0U9AY699D25PXS0W8</t>
        </is>
      </c>
      <c r="L384" s="48" t="inlineStr">
        <is>
          <t xml:space="preserve">03 - Supercar</t>
        </is>
      </c>
      <c r="M384" s="50">
        <v>1805000</v>
      </c>
      <c r="N384" s="48" t="inlineStr">
        <is>
          <t xml:space="preserve">Personal</t>
        </is>
      </c>
      <c r="O384" s="46" t="inlineStr">
        <is>
          <t xml:space="preserve">Personal - regular use</t>
        </is>
      </c>
      <c r="P384" s="46" t="inlineStr">
        <is>
          <t xml:space="preserve">Under 1,000</t>
        </is>
      </c>
      <c r="Q384" s="46" t="inlineStr">
        <is>
          <t xml:space="preserve">North Carolina</t>
        </is>
      </c>
      <c r="R384" s="46" t="inlineStr">
        <is>
          <t xml:space="preserve">28202</t>
        </is>
      </c>
      <c r="S384" s="48" t="inlineStr">
        <is>
          <t xml:space="preserve">Tier 2 - Coastal wind (1-25 miles)</t>
        </is>
      </c>
      <c r="T384" s="36">
        <f>IF($A384="","",IF($S384="","",IFERROR(INDEX('[1]natural catastrophe'!$D$6:$D$17,MATCH($S384,'[1]natural catastrophe'!$B$6:$B$17,0)),"?")))</f>
      </c>
      <c r="U384" s="46" t="inlineStr">
        <is>
          <t xml:space="preserve">2% of agreed value, minimum $10,000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23843.71</v>
      </c>
      <c r="AC384" s="51">
        <v>0</v>
      </c>
      <c r="AD384" s="38">
        <f>IF(ISNUMBER($AB384),$AB384*(1+N($AC384)),"")</f>
      </c>
      <c r="AE384" s="50">
        <v>350</v>
      </c>
      <c r="AF384" s="50">
        <v>250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CANON-202607-008186</t>
        </is>
      </c>
      <c r="B385" s="30" t="inlineStr">
        <is>
          <t xml:space="preserve">Desmond Nakashima</t>
        </is>
      </c>
      <c r="C385" s="31">
        <v>46214</v>
      </c>
      <c r="D385" s="32" t="inlineStr">
        <is>
          <t xml:space="preserve">Bound - within authority</t>
        </is>
      </c>
      <c r="E385" s="32" t="inlineStr">
        <is>
          <t xml:space="preserve">New business</t>
        </is>
      </c>
      <c r="F385" s="30" t="inlineStr">
        <is>
          <t xml:space="preserve">B1234EXOTIC26</t>
        </is>
      </c>
      <c r="G385" s="33">
        <f>IF($A385="","",IF($C385="","",YEAR($C385)))</f>
      </c>
      <c r="H385" s="34">
        <v>2003</v>
      </c>
      <c r="I385" s="30" t="inlineStr">
        <is>
          <t xml:space="preserve">Porsche</t>
        </is>
      </c>
      <c r="J385" s="30" t="inlineStr">
        <is>
          <t xml:space="preserve">911 Turbo S</t>
        </is>
      </c>
      <c r="K385" s="30" t="inlineStr">
        <is>
          <t xml:space="preserve">WN5JPPLMVR7VYDUF5</t>
        </is>
      </c>
      <c r="L385" s="32" t="inlineStr">
        <is>
          <t xml:space="preserve">02 - Sports / GT</t>
        </is>
      </c>
      <c r="M385" s="35">
        <v>215000</v>
      </c>
      <c r="N385" s="32" t="inlineStr">
        <is>
          <t xml:space="preserve">Personal</t>
        </is>
      </c>
      <c r="O385" s="30" t="inlineStr">
        <is>
          <t xml:space="preserve">Personal - regular use</t>
        </is>
      </c>
      <c r="P385" s="30" t="inlineStr">
        <is>
          <t xml:space="preserve">1,000 - 2,500</t>
        </is>
      </c>
      <c r="Q385" s="30" t="inlineStr">
        <is>
          <t xml:space="preserve">Georgia</t>
        </is>
      </c>
      <c r="R385" s="30" t="inlineStr">
        <is>
          <t xml:space="preserve">30303</t>
        </is>
      </c>
      <c r="S385" s="32" t="inlineStr">
        <is>
          <t xml:space="preserve">Tier 2 - Coastal wind (1-25 miles)</t>
        </is>
      </c>
      <c r="T385" s="36">
        <f>IF($A385="","",IF($S385="","",IFERROR(INDEX('[1]natural catastrophe'!$D$6:$D$17,MATCH($S385,'[1]natural catastrophe'!$B$6:$B$17,0)),"?")))</f>
      </c>
      <c r="U385" s="30" t="inlineStr">
        <is>
          <t xml:space="preserve">2% of agreed value, minimum $10,000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3180.92</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CANON-202607-008187</t>
        </is>
      </c>
      <c r="B386" s="46" t="inlineStr">
        <is>
          <t xml:space="preserve">Desmond Nakashima</t>
        </is>
      </c>
      <c r="C386" s="47">
        <v>46218</v>
      </c>
      <c r="D386" s="48" t="inlineStr">
        <is>
          <t xml:space="preserve">Bound - within authority</t>
        </is>
      </c>
      <c r="E386" s="48" t="inlineStr">
        <is>
          <t xml:space="preserve">New business</t>
        </is>
      </c>
      <c r="F386" s="46" t="inlineStr">
        <is>
          <t xml:space="preserve">B1234EXOTIC26</t>
        </is>
      </c>
      <c r="G386" s="33">
        <f>IF($A386="","",IF($C386="","",YEAR($C386)))</f>
      </c>
      <c r="H386" s="49">
        <v>1982</v>
      </c>
      <c r="I386" s="46" t="inlineStr">
        <is>
          <t xml:space="preserve">Porsche</t>
        </is>
      </c>
      <c r="J386" s="46" t="inlineStr">
        <is>
          <t xml:space="preserve">911 Turbo S</t>
        </is>
      </c>
      <c r="K386" s="46" t="inlineStr">
        <is>
          <t xml:space="preserve">ZU4FUPYX5C1CJYE8B</t>
        </is>
      </c>
      <c r="L386" s="48" t="inlineStr">
        <is>
          <t xml:space="preserve">02 - Sports / GT</t>
        </is>
      </c>
      <c r="M386" s="50">
        <v>625000</v>
      </c>
      <c r="N386" s="48" t="inlineStr">
        <is>
          <t xml:space="preserve">Personal</t>
        </is>
      </c>
      <c r="O386" s="46" t="inlineStr">
        <is>
          <t xml:space="preserve">Personal - regular use</t>
        </is>
      </c>
      <c r="P386" s="46" t="inlineStr">
        <is>
          <t xml:space="preserve">1,000 - 2,500</t>
        </is>
      </c>
      <c r="Q386" s="46" t="inlineStr">
        <is>
          <t xml:space="preserve">Nevada</t>
        </is>
      </c>
      <c r="R386" s="46" t="inlineStr">
        <is>
          <t xml:space="preserve">89101</t>
        </is>
      </c>
      <c r="S386" s="48" t="inlineStr">
        <is>
          <t xml:space="preserve">Wildfire - WUI high hazard</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6824.77</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CANON-202607-008188</t>
        </is>
      </c>
      <c r="B387" s="30" t="inlineStr">
        <is>
          <t xml:space="preserve">Everett Delacroix</t>
        </is>
      </c>
      <c r="C387" s="31">
        <v>46208</v>
      </c>
      <c r="D387" s="32" t="inlineStr">
        <is>
          <t xml:space="preserve">Bound - within authority</t>
        </is>
      </c>
      <c r="E387" s="32" t="inlineStr">
        <is>
          <t xml:space="preserve">New business</t>
        </is>
      </c>
      <c r="F387" s="30" t="inlineStr">
        <is>
          <t xml:space="preserve">B1234EXOTIC26</t>
        </is>
      </c>
      <c r="G387" s="33">
        <f>IF($A387="","",IF($C387="","",YEAR($C387)))</f>
      </c>
      <c r="H387" s="34">
        <v>1961</v>
      </c>
      <c r="I387" s="30" t="inlineStr">
        <is>
          <t xml:space="preserve">Lamborghini</t>
        </is>
      </c>
      <c r="J387" s="30" t="inlineStr">
        <is>
          <t xml:space="preserve">Huracan EVO</t>
        </is>
      </c>
      <c r="K387" s="30" t="inlineStr">
        <is>
          <t xml:space="preserve">HHTPJPAH861T7XZP7</t>
        </is>
      </c>
      <c r="L387" s="32" t="inlineStr">
        <is>
          <t xml:space="preserve">03 - Supercar</t>
        </is>
      </c>
      <c r="M387" s="35">
        <v>840000</v>
      </c>
      <c r="N387" s="32" t="inlineStr">
        <is>
          <t xml:space="preserve">Personal</t>
        </is>
      </c>
      <c r="O387" s="30" t="inlineStr">
        <is>
          <t xml:space="preserve">Personal - regular use</t>
        </is>
      </c>
      <c r="P387" s="30" t="inlineStr">
        <is>
          <t xml:space="preserve">1,000 - 2,500</t>
        </is>
      </c>
      <c r="Q387" s="30" t="inlineStr">
        <is>
          <t xml:space="preserve">North Carolina</t>
        </is>
      </c>
      <c r="R387" s="30" t="inlineStr">
        <is>
          <t xml:space="preserve">28202</t>
        </is>
      </c>
      <c r="S387" s="32" t="inlineStr">
        <is>
          <t xml:space="preserve">Tier 2 - Coastal wind (1-25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13176.78</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CANON-202607-008189</t>
        </is>
      </c>
      <c r="B388" s="46" t="inlineStr">
        <is>
          <t xml:space="preserve">Sunniva Montoya</t>
        </is>
      </c>
      <c r="C388" s="47">
        <v>46207</v>
      </c>
      <c r="D388" s="48" t="inlineStr">
        <is>
          <t xml:space="preserve">Bound - within authority</t>
        </is>
      </c>
      <c r="E388" s="48" t="inlineStr">
        <is>
          <t xml:space="preserve">New business</t>
        </is>
      </c>
      <c r="F388" s="46" t="inlineStr">
        <is>
          <t xml:space="preserve">B1234EXOTIC26</t>
        </is>
      </c>
      <c r="G388" s="33">
        <f>IF($A388="","",IF($C388="","",YEAR($C388)))</f>
      </c>
      <c r="H388" s="49">
        <v>1994</v>
      </c>
      <c r="I388" s="46" t="inlineStr">
        <is>
          <t xml:space="preserve">BMW</t>
        </is>
      </c>
      <c r="J388" s="46" t="inlineStr">
        <is>
          <t xml:space="preserve">M8 Competition</t>
        </is>
      </c>
      <c r="K388" s="46" t="inlineStr">
        <is>
          <t xml:space="preserve">ZB29NHSKJ1KFBUPFV</t>
        </is>
      </c>
      <c r="L388" s="48" t="inlineStr">
        <is>
          <t xml:space="preserve">02 - Sports / GT</t>
        </is>
      </c>
      <c r="M388" s="50">
        <v>415000</v>
      </c>
      <c r="N388" s="48" t="inlineStr">
        <is>
          <t xml:space="preserve">Personal</t>
        </is>
      </c>
      <c r="O388" s="46" t="inlineStr">
        <is>
          <t xml:space="preserve">Personal - regular use</t>
        </is>
      </c>
      <c r="P388" s="46" t="inlineStr">
        <is>
          <t xml:space="preserve">1,000 - 2,500</t>
        </is>
      </c>
      <c r="Q388" s="46" t="inlineStr">
        <is>
          <t xml:space="preserve">New Jersey</t>
        </is>
      </c>
      <c r="R388" s="46" t="inlineStr">
        <is>
          <t xml:space="preserve">07102</t>
        </is>
      </c>
      <c r="S388" s="48" t="inlineStr">
        <is>
          <t xml:space="preserve">Tier 3 - Coastal wind (25-100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4066.86</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CANON-202607-008190</t>
        </is>
      </c>
      <c r="B389" s="30" t="inlineStr">
        <is>
          <t xml:space="preserve">Lorenzo Blackwood</t>
        </is>
      </c>
      <c r="C389" s="31">
        <v>46205</v>
      </c>
      <c r="D389" s="32" t="inlineStr">
        <is>
          <t xml:space="preserve">Bound - within authority</t>
        </is>
      </c>
      <c r="E389" s="32" t="inlineStr">
        <is>
          <t xml:space="preserve">New business</t>
        </is>
      </c>
      <c r="F389" s="30" t="inlineStr">
        <is>
          <t xml:space="preserve">B1234EXOTIC26</t>
        </is>
      </c>
      <c r="G389" s="33">
        <f>IF($A389="","",IF($C389="","",YEAR($C389)))</f>
      </c>
      <c r="H389" s="34">
        <v>2013</v>
      </c>
      <c r="I389" s="30" t="inlineStr">
        <is>
          <t xml:space="preserve">Porsche</t>
        </is>
      </c>
      <c r="J389" s="30" t="inlineStr">
        <is>
          <t xml:space="preserve">911 Turbo S</t>
        </is>
      </c>
      <c r="K389" s="30" t="inlineStr">
        <is>
          <t xml:space="preserve">ZHDPL3V6JGN1VLG3X</t>
        </is>
      </c>
      <c r="L389" s="32" t="inlineStr">
        <is>
          <t xml:space="preserve">02 - Sports / GT</t>
        </is>
      </c>
      <c r="M389" s="35">
        <v>790000</v>
      </c>
      <c r="N389" s="32" t="inlineStr">
        <is>
          <t xml:space="preserve">Personal</t>
        </is>
      </c>
      <c r="O389" s="30" t="inlineStr">
        <is>
          <t xml:space="preserve">Personal - regular use</t>
        </is>
      </c>
      <c r="P389" s="30" t="inlineStr">
        <is>
          <t xml:space="preserve">1,000 - 2,500</t>
        </is>
      </c>
      <c r="Q389" s="30" t="inlineStr">
        <is>
          <t xml:space="preserve">Oregon</t>
        </is>
      </c>
      <c r="R389" s="30" t="inlineStr">
        <is>
          <t xml:space="preserve">97204</t>
        </is>
      </c>
      <c r="S389" s="32" t="inlineStr">
        <is>
          <t xml:space="preserve">Earthquake - high (CA, Cascadia, New Madrid)</t>
        </is>
      </c>
      <c r="T389" s="36">
        <f>IF($A389="","",IF($S389="","",IFERROR(INDEX('[1]natural catastrophe'!$D$6:$D$17,MATCH($S389,'[1]natural catastrophe'!$B$6:$B$17,0)),"?")))</f>
      </c>
      <c r="U389" s="30" t="inlineStr">
        <is>
          <t xml:space="preserve">$5,000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8331.59</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CANON-202607-008192</t>
        </is>
      </c>
      <c r="B390" s="46" t="inlineStr">
        <is>
          <t xml:space="preserve">Fitzgerald Chattopadhyay</t>
        </is>
      </c>
      <c r="C390" s="47">
        <v>46230</v>
      </c>
      <c r="D390" s="48" t="inlineStr">
        <is>
          <t xml:space="preserve">Bound - within authority</t>
        </is>
      </c>
      <c r="E390" s="48" t="inlineStr">
        <is>
          <t xml:space="preserve">New business</t>
        </is>
      </c>
      <c r="F390" s="46" t="inlineStr">
        <is>
          <t xml:space="preserve">B1234EXOTIC26</t>
        </is>
      </c>
      <c r="G390" s="33">
        <f>IF($A390="","",IF($C390="","",YEAR($C390)))</f>
      </c>
      <c r="H390" s="49">
        <v>1971</v>
      </c>
      <c r="I390" s="46" t="inlineStr">
        <is>
          <t xml:space="preserve">Mercedes-Benz</t>
        </is>
      </c>
      <c r="J390" s="46" t="inlineStr">
        <is>
          <t xml:space="preserve">AMG GT</t>
        </is>
      </c>
      <c r="K390" s="46" t="inlineStr">
        <is>
          <t xml:space="preserve">M8JS5E15955XY1WN0</t>
        </is>
      </c>
      <c r="L390" s="48" t="inlineStr">
        <is>
          <t xml:space="preserve">02 - Sports / GT</t>
        </is>
      </c>
      <c r="M390" s="50">
        <v>195000</v>
      </c>
      <c r="N390" s="48" t="inlineStr">
        <is>
          <t xml:space="preserve">Personal</t>
        </is>
      </c>
      <c r="O390" s="46" t="inlineStr">
        <is>
          <t xml:space="preserve">Personal - regular use</t>
        </is>
      </c>
      <c r="P390" s="46" t="inlineStr">
        <is>
          <t xml:space="preserve">Under 1,000</t>
        </is>
      </c>
      <c r="Q390" s="46" t="inlineStr">
        <is>
          <t xml:space="preserve">Texas</t>
        </is>
      </c>
      <c r="R390" s="46" t="inlineStr">
        <is>
          <t xml:space="preserve">75201</t>
        </is>
      </c>
      <c r="S390" s="48" t="inlineStr">
        <is>
          <t xml:space="preserve">Tier 2 - Coastal wind (1-25 miles)</t>
        </is>
      </c>
      <c r="T390" s="36">
        <f>IF($A390="","",IF($S390="","",IFERROR(INDEX('[1]natural catastrophe'!$D$6:$D$17,MATCH($S390,'[1]natural catastrophe'!$B$6:$B$17,0)),"?")))</f>
      </c>
      <c r="U390" s="46" t="inlineStr">
        <is>
          <t xml:space="preserve">2% of agreed value, minimum $10,000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2962.3</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CANON-202607-008193</t>
        </is>
      </c>
      <c r="B391" s="30" t="inlineStr">
        <is>
          <t xml:space="preserve">Ramona Delacroix</t>
        </is>
      </c>
      <c r="C391" s="31">
        <v>46233</v>
      </c>
      <c r="D391" s="32" t="inlineStr">
        <is>
          <t xml:space="preserve">Bound - within authority</t>
        </is>
      </c>
      <c r="E391" s="32" t="inlineStr">
        <is>
          <t xml:space="preserve">New business</t>
        </is>
      </c>
      <c r="F391" s="30" t="inlineStr">
        <is>
          <t xml:space="preserve">B1234EXOTIC26</t>
        </is>
      </c>
      <c r="G391" s="33">
        <f>IF($A391="","",IF($C391="","",YEAR($C391)))</f>
      </c>
      <c r="H391" s="34">
        <v>1986</v>
      </c>
      <c r="I391" s="30" t="inlineStr">
        <is>
          <t xml:space="preserve">McLaren</t>
        </is>
      </c>
      <c r="J391" s="30" t="inlineStr">
        <is>
          <t xml:space="preserve">750S</t>
        </is>
      </c>
      <c r="K391" s="30" t="inlineStr">
        <is>
          <t xml:space="preserve">M32P4VKJYHS5AR4XM</t>
        </is>
      </c>
      <c r="L391" s="32" t="inlineStr">
        <is>
          <t xml:space="preserve">03 - Supercar</t>
        </is>
      </c>
      <c r="M391" s="35">
        <v>1950000</v>
      </c>
      <c r="N391" s="32" t="inlineStr">
        <is>
          <t xml:space="preserve">Personal</t>
        </is>
      </c>
      <c r="O391" s="30" t="inlineStr">
        <is>
          <t xml:space="preserve">Personal - regular use</t>
        </is>
      </c>
      <c r="P391" s="30" t="inlineStr">
        <is>
          <t xml:space="preserve">1,000 - 2,500</t>
        </is>
      </c>
      <c r="Q391" s="30" t="inlineStr">
        <is>
          <t xml:space="preserve">Minnesota</t>
        </is>
      </c>
      <c r="R391" s="30" t="inlineStr">
        <is>
          <t xml:space="preserve">55401</t>
        </is>
      </c>
      <c r="S391" s="32" t="inlineStr">
        <is>
          <t xml:space="preserve">Severe convective - hail / tornado (moderate)</t>
        </is>
      </c>
      <c r="T391" s="36">
        <f>IF($A391="","",IF($S391="","",IFERROR(INDEX('[1]natural catastrophe'!$D$6:$D$17,MATCH($S391,'[1]natural catastrophe'!$B$6:$B$17,0)),"?")))</f>
      </c>
      <c r="U391" s="30" t="inlineStr">
        <is>
          <t xml:space="preserve">$5,000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29567</v>
      </c>
      <c r="AC391" s="37">
        <v>0</v>
      </c>
      <c r="AD391" s="38">
        <f>IF(ISNUMBER($AB391),$AB391*(1+N($AC391)),"")</f>
      </c>
      <c r="AE391" s="35">
        <v>350</v>
      </c>
      <c r="AF391" s="35">
        <v>250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CANON-202607-008194</t>
        </is>
      </c>
      <c r="B392" s="46" t="inlineStr">
        <is>
          <t xml:space="preserve">Thaddeus Larsson</t>
        </is>
      </c>
      <c r="C392" s="47">
        <v>46205</v>
      </c>
      <c r="D392" s="48" t="inlineStr">
        <is>
          <t xml:space="preserve">Bound - within authority</t>
        </is>
      </c>
      <c r="E392" s="48" t="inlineStr">
        <is>
          <t xml:space="preserve">New business</t>
        </is>
      </c>
      <c r="F392" s="46" t="inlineStr">
        <is>
          <t xml:space="preserve">B1234EXOTIC26</t>
        </is>
      </c>
      <c r="G392" s="33">
        <f>IF($A392="","",IF($C392="","",YEAR($C392)))</f>
      </c>
      <c r="H392" s="49">
        <v>2021</v>
      </c>
      <c r="I392" s="46" t="inlineStr">
        <is>
          <t xml:space="preserve">Ferrari</t>
        </is>
      </c>
      <c r="J392" s="46" t="inlineStr">
        <is>
          <t xml:space="preserve">296 GTB</t>
        </is>
      </c>
      <c r="K392" s="46" t="inlineStr">
        <is>
          <t xml:space="preserve">AHRV3VP92YD4953L8</t>
        </is>
      </c>
      <c r="L392" s="48" t="inlineStr">
        <is>
          <t xml:space="preserve">03 - Supercar</t>
        </is>
      </c>
      <c r="M392" s="50">
        <v>660000</v>
      </c>
      <c r="N392" s="48" t="inlineStr">
        <is>
          <t xml:space="preserve">Personal</t>
        </is>
      </c>
      <c r="O392" s="46" t="inlineStr">
        <is>
          <t xml:space="preserve">Personal - regular use</t>
        </is>
      </c>
      <c r="P392" s="46" t="inlineStr">
        <is>
          <t xml:space="preserve">2,500 - 5,000</t>
        </is>
      </c>
      <c r="Q392" s="46" t="inlineStr">
        <is>
          <t xml:space="preserve">Mississippi</t>
        </is>
      </c>
      <c r="R392" s="46" t="inlineStr">
        <is>
          <t xml:space="preserve">39201</t>
        </is>
      </c>
      <c r="S392" s="48" t="inlineStr">
        <is>
          <t xml:space="preserve">Tier 2 - Coastal wind (1-25 miles)</t>
        </is>
      </c>
      <c r="T392" s="36">
        <f>IF($A392="","",IF($S392="","",IFERROR(INDEX('[1]natural catastrophe'!$D$6:$D$17,MATCH($S392,'[1]natural catastrophe'!$B$6:$B$17,0)),"?")))</f>
      </c>
      <c r="U392" s="46" t="inlineStr">
        <is>
          <t xml:space="preserve">2% of agreed value, minimum $10,000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10713.3</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CANON-202607-008195</t>
        </is>
      </c>
      <c r="B393" s="30" t="inlineStr">
        <is>
          <t xml:space="preserve">Delphine Kingsford</t>
        </is>
      </c>
      <c r="C393" s="31">
        <v>46210</v>
      </c>
      <c r="D393" s="32" t="inlineStr">
        <is>
          <t xml:space="preserve">Bound - within authority</t>
        </is>
      </c>
      <c r="E393" s="32" t="inlineStr">
        <is>
          <t xml:space="preserve">New business</t>
        </is>
      </c>
      <c r="F393" s="30" t="inlineStr">
        <is>
          <t xml:space="preserve">B1234EXOTIC26</t>
        </is>
      </c>
      <c r="G393" s="33">
        <f>IF($A393="","",IF($C393="","",YEAR($C393)))</f>
      </c>
      <c r="H393" s="34">
        <v>1997</v>
      </c>
      <c r="I393" s="30" t="inlineStr">
        <is>
          <t xml:space="preserve">Mercedes-Benz</t>
        </is>
      </c>
      <c r="J393" s="30" t="inlineStr">
        <is>
          <t xml:space="preserve">AMG GT</t>
        </is>
      </c>
      <c r="K393" s="30" t="inlineStr">
        <is>
          <t xml:space="preserve">C1LNPFEN3W9UUN6EV</t>
        </is>
      </c>
      <c r="L393" s="32" t="inlineStr">
        <is>
          <t xml:space="preserve">02 - Sports / GT</t>
        </is>
      </c>
      <c r="M393" s="35">
        <v>1250000</v>
      </c>
      <c r="N393" s="32" t="inlineStr">
        <is>
          <t xml:space="preserve">Personal</t>
        </is>
      </c>
      <c r="O393" s="30" t="inlineStr">
        <is>
          <t xml:space="preserve">Personal - regular use</t>
        </is>
      </c>
      <c r="P393" s="30" t="inlineStr">
        <is>
          <t xml:space="preserve">Under 1,000</t>
        </is>
      </c>
      <c r="Q393" s="30" t="inlineStr">
        <is>
          <t xml:space="preserve">Alaska</t>
        </is>
      </c>
      <c r="R393" s="30" t="inlineStr">
        <is>
          <t xml:space="preserve">99501</t>
        </is>
      </c>
      <c r="S393" s="32" t="inlineStr">
        <is>
          <t xml:space="preserve">Earthquake - high (CA, Cascadia, New Madrid)</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11253.47</v>
      </c>
      <c r="AC393" s="37">
        <v>0</v>
      </c>
      <c r="AD393" s="38">
        <f>IF(ISNUMBER($AB393),$AB393*(1+N($AC393)),"")</f>
      </c>
      <c r="AE393" s="35">
        <v>350</v>
      </c>
      <c r="AF393" s="35">
        <v>250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CANON-202607-008197</t>
        </is>
      </c>
      <c r="B394" s="46" t="inlineStr">
        <is>
          <t xml:space="preserve">Thaddeus Whitlock</t>
        </is>
      </c>
      <c r="C394" s="47">
        <v>46229</v>
      </c>
      <c r="D394" s="48" t="inlineStr">
        <is>
          <t xml:space="preserve">Bound - within authority</t>
        </is>
      </c>
      <c r="E394" s="48" t="inlineStr">
        <is>
          <t xml:space="preserve">New business</t>
        </is>
      </c>
      <c r="F394" s="46" t="inlineStr">
        <is>
          <t xml:space="preserve">B1234EXOTIC26</t>
        </is>
      </c>
      <c r="G394" s="33">
        <f>IF($A394="","",IF($C394="","",YEAR($C394)))</f>
      </c>
      <c r="H394" s="49">
        <v>1972</v>
      </c>
      <c r="I394" s="46" t="inlineStr">
        <is>
          <t xml:space="preserve">Maserati</t>
        </is>
      </c>
      <c r="J394" s="46" t="inlineStr">
        <is>
          <t xml:space="preserve">GranTurismo</t>
        </is>
      </c>
      <c r="K394" s="46" t="inlineStr">
        <is>
          <t xml:space="preserve">K57S635S75TK0J93R</t>
        </is>
      </c>
      <c r="L394" s="48" t="inlineStr">
        <is>
          <t xml:space="preserve">02 - Sports / GT</t>
        </is>
      </c>
      <c r="M394" s="50">
        <v>1105000</v>
      </c>
      <c r="N394" s="48" t="inlineStr">
        <is>
          <t xml:space="preserve">Personal</t>
        </is>
      </c>
      <c r="O394" s="46" t="inlineStr">
        <is>
          <t xml:space="preserve">Personal - regular use</t>
        </is>
      </c>
      <c r="P394" s="46" t="inlineStr">
        <is>
          <t xml:space="preserve">1,000 - 2,500</t>
        </is>
      </c>
      <c r="Q394" s="46" t="inlineStr">
        <is>
          <t xml:space="preserve">Michigan</t>
        </is>
      </c>
      <c r="R394" s="46" t="inlineStr">
        <is>
          <t xml:space="preserve">48226</t>
        </is>
      </c>
      <c r="S394" s="48" t="inlineStr">
        <is>
          <t xml:space="preserve">Severe convective - hail / tornado (moderate)</t>
        </is>
      </c>
      <c r="T394" s="36">
        <f>IF($A394="","",IF($S394="","",IFERROR(INDEX('[1]natural catastrophe'!$D$6:$D$17,MATCH($S394,'[1]natural catastrophe'!$B$6:$B$17,0)),"?")))</f>
      </c>
      <c r="U394" s="46" t="inlineStr">
        <is>
          <t xml:space="preserve">$5,000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13525.88</v>
      </c>
      <c r="AC394" s="51">
        <v>0</v>
      </c>
      <c r="AD394" s="38">
        <f>IF(ISNUMBER($AB394),$AB394*(1+N($AC394)),"")</f>
      </c>
      <c r="AE394" s="50">
        <v>350</v>
      </c>
      <c r="AF394" s="50">
        <v>250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CANON-202607-008199</t>
        </is>
      </c>
      <c r="B395" s="30" t="inlineStr">
        <is>
          <t xml:space="preserve">Marisol Harrington</t>
        </is>
      </c>
      <c r="C395" s="31">
        <v>46205</v>
      </c>
      <c r="D395" s="32" t="inlineStr">
        <is>
          <t xml:space="preserve">Bound - within authority</t>
        </is>
      </c>
      <c r="E395" s="32" t="inlineStr">
        <is>
          <t xml:space="preserve">New business</t>
        </is>
      </c>
      <c r="F395" s="30" t="inlineStr">
        <is>
          <t xml:space="preserve">B1234EXOTIC26</t>
        </is>
      </c>
      <c r="G395" s="33">
        <f>IF($A395="","",IF($C395="","",YEAR($C395)))</f>
      </c>
      <c r="H395" s="34">
        <v>1972</v>
      </c>
      <c r="I395" s="30" t="inlineStr">
        <is>
          <t xml:space="preserve">Mercedes-Benz</t>
        </is>
      </c>
      <c r="J395" s="30" t="inlineStr">
        <is>
          <t xml:space="preserve">AMG GT</t>
        </is>
      </c>
      <c r="K395" s="30" t="inlineStr">
        <is>
          <t xml:space="preserve">HJD09ELF52LP2173S</t>
        </is>
      </c>
      <c r="L395" s="32" t="inlineStr">
        <is>
          <t xml:space="preserve">02 - Sports / GT</t>
        </is>
      </c>
      <c r="M395" s="35">
        <v>445000</v>
      </c>
      <c r="N395" s="32" t="inlineStr">
        <is>
          <t xml:space="preserve">Personal</t>
        </is>
      </c>
      <c r="O395" s="30" t="inlineStr">
        <is>
          <t xml:space="preserve">Personal - regular use</t>
        </is>
      </c>
      <c r="P395" s="30" t="inlineStr">
        <is>
          <t xml:space="preserve">Under 1,000</t>
        </is>
      </c>
      <c r="Q395" s="30" t="inlineStr">
        <is>
          <t xml:space="preserve">California</t>
        </is>
      </c>
      <c r="R395" s="30" t="inlineStr">
        <is>
          <t xml:space="preserve">90012</t>
        </is>
      </c>
      <c r="S395" s="32" t="inlineStr">
        <is>
          <t xml:space="preserve">Earthquake - high (CA, Cascadia, New Madrid)</t>
        </is>
      </c>
      <c r="T395" s="36">
        <f>IF($A395="","",IF($S395="","",IFERROR(INDEX('[1]natural catastrophe'!$D$6:$D$17,MATCH($S395,'[1]natural catastrophe'!$B$6:$B$17,0)),"?")))</f>
      </c>
      <c r="U395" s="30" t="inlineStr">
        <is>
          <t xml:space="preserve">$5,000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6469.4</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CANON-202607-008201</t>
        </is>
      </c>
      <c r="B396" s="46" t="inlineStr">
        <is>
          <t xml:space="preserve">Lorenzo Nakashima</t>
        </is>
      </c>
      <c r="C396" s="47">
        <v>46213</v>
      </c>
      <c r="D396" s="48" t="inlineStr">
        <is>
          <t xml:space="preserve">Bound - within authority</t>
        </is>
      </c>
      <c r="E396" s="48" t="inlineStr">
        <is>
          <t xml:space="preserve">New business</t>
        </is>
      </c>
      <c r="F396" s="46" t="inlineStr">
        <is>
          <t xml:space="preserve">B1234EXOTIC26</t>
        </is>
      </c>
      <c r="G396" s="33">
        <f>IF($A396="","",IF($C396="","",YEAR($C396)))</f>
      </c>
      <c r="H396" s="49">
        <v>1958</v>
      </c>
      <c r="I396" s="46" t="inlineStr">
        <is>
          <t xml:space="preserve">Ferrari</t>
        </is>
      </c>
      <c r="J396" s="46" t="inlineStr">
        <is>
          <t xml:space="preserve">275 GTB/4</t>
        </is>
      </c>
      <c r="K396" s="46" t="inlineStr">
        <is>
          <t xml:space="preserve">5HG1LZFLY0JFDERFS</t>
        </is>
      </c>
      <c r="L396" s="48" t="inlineStr">
        <is>
          <t xml:space="preserve">07 - Post-War Classic (1946-1972)</t>
        </is>
      </c>
      <c r="M396" s="50">
        <v>770000</v>
      </c>
      <c r="N396" s="48" t="inlineStr">
        <is>
          <t xml:space="preserve">Personal</t>
        </is>
      </c>
      <c r="O396" s="46" t="inlineStr">
        <is>
          <t xml:space="preserve">Personal - regular use</t>
        </is>
      </c>
      <c r="P396" s="46" t="inlineStr">
        <is>
          <t xml:space="preserve">1,000 - 2,500</t>
        </is>
      </c>
      <c r="Q396" s="46" t="inlineStr">
        <is>
          <t xml:space="preserve">Tennessee</t>
        </is>
      </c>
      <c r="R396" s="46" t="inlineStr">
        <is>
          <t xml:space="preserve">37203</t>
        </is>
      </c>
      <c r="S396" s="48" t="inlineStr">
        <is>
          <t xml:space="preserve">Severe convective - hail / tornado (moderate)</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4659.02</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CANON-202607-008202</t>
        </is>
      </c>
      <c r="B397" s="30" t="inlineStr">
        <is>
          <t xml:space="preserve">Priya Larsson</t>
        </is>
      </c>
      <c r="C397" s="31">
        <v>46222</v>
      </c>
      <c r="D397" s="32" t="inlineStr">
        <is>
          <t xml:space="preserve">Bound - within authority</t>
        </is>
      </c>
      <c r="E397" s="32" t="inlineStr">
        <is>
          <t xml:space="preserve">New business</t>
        </is>
      </c>
      <c r="F397" s="30" t="inlineStr">
        <is>
          <t xml:space="preserve">B1234EXOTIC26</t>
        </is>
      </c>
      <c r="G397" s="33">
        <f>IF($A397="","",IF($C397="","",YEAR($C397)))</f>
      </c>
      <c r="H397" s="34">
        <v>1962</v>
      </c>
      <c r="I397" s="30" t="inlineStr">
        <is>
          <t xml:space="preserve">Ferrari</t>
        </is>
      </c>
      <c r="J397" s="30" t="inlineStr">
        <is>
          <t xml:space="preserve">296 GTB</t>
        </is>
      </c>
      <c r="K397" s="30" t="inlineStr">
        <is>
          <t xml:space="preserve">XSPRXPARJU911SDWR</t>
        </is>
      </c>
      <c r="L397" s="32" t="inlineStr">
        <is>
          <t xml:space="preserve">03 - Supercar</t>
        </is>
      </c>
      <c r="M397" s="35">
        <v>420000</v>
      </c>
      <c r="N397" s="32" t="inlineStr">
        <is>
          <t xml:space="preserve">Personal</t>
        </is>
      </c>
      <c r="O397" s="30" t="inlineStr">
        <is>
          <t xml:space="preserve">Personal - regular use</t>
        </is>
      </c>
      <c r="P397" s="30" t="inlineStr">
        <is>
          <t xml:space="preserve">2,500 - 5,000</t>
        </is>
      </c>
      <c r="Q397" s="30" t="inlineStr">
        <is>
          <t xml:space="preserve">North Dakota</t>
        </is>
      </c>
      <c r="R397" s="30" t="inlineStr">
        <is>
          <t xml:space="preserve">58501</t>
        </is>
      </c>
      <c r="S397" s="32" t="inlineStr">
        <is>
          <t xml:space="preserve">Severe convective - hail alley (high)</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7073.85</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CANON-202607-008204</t>
        </is>
      </c>
      <c r="B398" s="46" t="inlineStr">
        <is>
          <t xml:space="preserve">Anouk Merriweather</t>
        </is>
      </c>
      <c r="C398" s="47">
        <v>46231</v>
      </c>
      <c r="D398" s="48" t="inlineStr">
        <is>
          <t xml:space="preserve">Bound - within authority</t>
        </is>
      </c>
      <c r="E398" s="48" t="inlineStr">
        <is>
          <t xml:space="preserve">New business</t>
        </is>
      </c>
      <c r="F398" s="46" t="inlineStr">
        <is>
          <t xml:space="preserve">B1234EXOTIC26</t>
        </is>
      </c>
      <c r="G398" s="33">
        <f>IF($A398="","",IF($C398="","",YEAR($C398)))</f>
      </c>
      <c r="H398" s="49">
        <v>1980</v>
      </c>
      <c r="I398" s="46" t="inlineStr">
        <is>
          <t xml:space="preserve">Aston Martin</t>
        </is>
      </c>
      <c r="J398" s="46" t="inlineStr">
        <is>
          <t xml:space="preserve">DB12</t>
        </is>
      </c>
      <c r="K398" s="46" t="inlineStr">
        <is>
          <t xml:space="preserve">3GDHHRP7HRYCGTN33</t>
        </is>
      </c>
      <c r="L398" s="48" t="inlineStr">
        <is>
          <t xml:space="preserve">02 - Sports / GT</t>
        </is>
      </c>
      <c r="M398" s="50">
        <v>335000</v>
      </c>
      <c r="N398" s="48" t="inlineStr">
        <is>
          <t xml:space="preserve">Personal</t>
        </is>
      </c>
      <c r="O398" s="46" t="inlineStr">
        <is>
          <t xml:space="preserve">Personal - regular use</t>
        </is>
      </c>
      <c r="P398" s="46" t="inlineStr">
        <is>
          <t xml:space="preserve">2,500 - 5,000</t>
        </is>
      </c>
      <c r="Q398" s="46" t="inlineStr">
        <is>
          <t xml:space="preserve">Texas</t>
        </is>
      </c>
      <c r="R398" s="46" t="inlineStr">
        <is>
          <t xml:space="preserve">75201</t>
        </is>
      </c>
      <c r="S398" s="48" t="inlineStr">
        <is>
          <t xml:space="preserve">Tier 2 - Coastal wind (1-25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4148.71</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CANON-202607-008205</t>
        </is>
      </c>
      <c r="B399" s="30" t="inlineStr">
        <is>
          <t xml:space="preserve">Fenwick Vasquez</t>
        </is>
      </c>
      <c r="C399" s="31">
        <v>46216</v>
      </c>
      <c r="D399" s="32" t="inlineStr">
        <is>
          <t xml:space="preserve">Bound - within authority</t>
        </is>
      </c>
      <c r="E399" s="32" t="inlineStr">
        <is>
          <t xml:space="preserve">New business</t>
        </is>
      </c>
      <c r="F399" s="30" t="inlineStr">
        <is>
          <t xml:space="preserve">B1234EXOTIC26</t>
        </is>
      </c>
      <c r="G399" s="33">
        <f>IF($A399="","",IF($C399="","",YEAR($C399)))</f>
      </c>
      <c r="H399" s="34">
        <v>1972</v>
      </c>
      <c r="I399" s="30" t="inlineStr">
        <is>
          <t xml:space="preserve">BMW</t>
        </is>
      </c>
      <c r="J399" s="30" t="inlineStr">
        <is>
          <t xml:space="preserve">M8 Competition</t>
        </is>
      </c>
      <c r="K399" s="30" t="inlineStr">
        <is>
          <t xml:space="preserve">BB4EUM4BD2UJN93AK</t>
        </is>
      </c>
      <c r="L399" s="32" t="inlineStr">
        <is>
          <t xml:space="preserve">02 - Sports / GT</t>
        </is>
      </c>
      <c r="M399" s="35">
        <v>480000</v>
      </c>
      <c r="N399" s="32" t="inlineStr">
        <is>
          <t xml:space="preserve">Personal</t>
        </is>
      </c>
      <c r="O399" s="30" t="inlineStr">
        <is>
          <t xml:space="preserve">Personal - regular use</t>
        </is>
      </c>
      <c r="P399" s="30" t="inlineStr">
        <is>
          <t xml:space="preserve">2,500 - 5,000</t>
        </is>
      </c>
      <c r="Q399" s="30" t="inlineStr">
        <is>
          <t xml:space="preserve">West Virginia</t>
        </is>
      </c>
      <c r="R399" s="30" t="inlineStr">
        <is>
          <t xml:space="preserve">25301</t>
        </is>
      </c>
      <c r="S399" s="32" t="inlineStr">
        <is>
          <t xml:space="preserve">Low hazard - inland benign</t>
        </is>
      </c>
      <c r="T399" s="36">
        <f>IF($A399="","",IF($S399="","",IFERROR(INDEX('[1]natural catastrophe'!$D$6:$D$17,MATCH($S399,'[1]natural catastrophe'!$B$6:$B$17,0)),"?")))</f>
      </c>
      <c r="U399" s="30" t="inlineStr">
        <is>
          <t xml:space="preserve">$5,000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6874.84</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CANON-202607-008206</t>
        </is>
      </c>
      <c r="B400" s="46" t="inlineStr">
        <is>
          <t xml:space="preserve">Lorenzo Rourke</t>
        </is>
      </c>
      <c r="C400" s="47">
        <v>46232</v>
      </c>
      <c r="D400" s="48" t="inlineStr">
        <is>
          <t xml:space="preserve">Bound - within authority</t>
        </is>
      </c>
      <c r="E400" s="48" t="inlineStr">
        <is>
          <t xml:space="preserve">New business</t>
        </is>
      </c>
      <c r="F400" s="46" t="inlineStr">
        <is>
          <t xml:space="preserve">B1234EXOTIC26</t>
        </is>
      </c>
      <c r="G400" s="33">
        <f>IF($A400="","",IF($C400="","",YEAR($C400)))</f>
      </c>
      <c r="H400" s="49">
        <v>1970</v>
      </c>
      <c r="I400" s="46" t="inlineStr">
        <is>
          <t xml:space="preserve">Bentley</t>
        </is>
      </c>
      <c r="J400" s="46" t="inlineStr">
        <is>
          <t xml:space="preserve">Continental GT</t>
        </is>
      </c>
      <c r="K400" s="46" t="inlineStr">
        <is>
          <t xml:space="preserve">NPH1T3XMKE7XN19R7</t>
        </is>
      </c>
      <c r="L400" s="48" t="inlineStr">
        <is>
          <t xml:space="preserve">02 - Sports / GT</t>
        </is>
      </c>
      <c r="M400" s="50">
        <v>640000</v>
      </c>
      <c r="N400" s="48" t="inlineStr">
        <is>
          <t xml:space="preserve">Personal</t>
        </is>
      </c>
      <c r="O400" s="46" t="inlineStr">
        <is>
          <t xml:space="preserve">Personal - regular use</t>
        </is>
      </c>
      <c r="P400" s="46" t="inlineStr">
        <is>
          <t xml:space="preserve">1,000 - 2,500</t>
        </is>
      </c>
      <c r="Q400" s="46" t="inlineStr">
        <is>
          <t xml:space="preserve">Mississippi</t>
        </is>
      </c>
      <c r="R400" s="46" t="inlineStr">
        <is>
          <t xml:space="preserve">39201</t>
        </is>
      </c>
      <c r="S400" s="48" t="inlineStr">
        <is>
          <t xml:space="preserve">Tier 2 - Coastal wind (1-25 miles)</t>
        </is>
      </c>
      <c r="T400" s="36">
        <f>IF($A400="","",IF($S400="","",IFERROR(INDEX('[1]natural catastrophe'!$D$6:$D$17,MATCH($S400,'[1]natural catastrophe'!$B$6:$B$17,0)),"?")))</f>
      </c>
      <c r="U400" s="46" t="inlineStr">
        <is>
          <t xml:space="preserve">2% of agreed value, minimum $10,000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7108.03</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CANON-202607-008208</t>
        </is>
      </c>
      <c r="B401" s="30" t="inlineStr">
        <is>
          <t xml:space="preserve">Ramona Underwood</t>
        </is>
      </c>
      <c r="C401" s="31">
        <v>46218</v>
      </c>
      <c r="D401" s="32" t="inlineStr">
        <is>
          <t xml:space="preserve">Bound - within authority</t>
        </is>
      </c>
      <c r="E401" s="32" t="inlineStr">
        <is>
          <t xml:space="preserve">New business</t>
        </is>
      </c>
      <c r="F401" s="30" t="inlineStr">
        <is>
          <t xml:space="preserve">B1234EXOTIC26</t>
        </is>
      </c>
      <c r="G401" s="33">
        <f>IF($A401="","",IF($C401="","",YEAR($C401)))</f>
      </c>
      <c r="H401" s="34">
        <v>2024</v>
      </c>
      <c r="I401" s="30" t="inlineStr">
        <is>
          <t xml:space="preserve">Aston Martin</t>
        </is>
      </c>
      <c r="J401" s="30" t="inlineStr">
        <is>
          <t xml:space="preserve">DB12</t>
        </is>
      </c>
      <c r="K401" s="30" t="inlineStr">
        <is>
          <t xml:space="preserve">P537FSP7FR82Z6CKS</t>
        </is>
      </c>
      <c r="L401" s="32" t="inlineStr">
        <is>
          <t xml:space="preserve">02 - Sports / GT</t>
        </is>
      </c>
      <c r="M401" s="35">
        <v>385000</v>
      </c>
      <c r="N401" s="32" t="inlineStr">
        <is>
          <t xml:space="preserve">Personal</t>
        </is>
      </c>
      <c r="O401" s="30" t="inlineStr">
        <is>
          <t xml:space="preserve">Personal - regular use</t>
        </is>
      </c>
      <c r="P401" s="30" t="inlineStr">
        <is>
          <t xml:space="preserve">Under 1,000</t>
        </is>
      </c>
      <c r="Q401" s="30" t="inlineStr">
        <is>
          <t xml:space="preserve">Wyoming</t>
        </is>
      </c>
      <c r="R401" s="30" t="inlineStr">
        <is>
          <t xml:space="preserve">82001</t>
        </is>
      </c>
      <c r="S401" s="32" t="inlineStr">
        <is>
          <t xml:space="preserve">Severe convective - hail alley (high)</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4436.23</v>
      </c>
      <c r="AC401" s="37">
        <v>0</v>
      </c>
      <c r="AD401" s="38">
        <f>IF(ISNUMBER($AB401),$AB401*(1+N($AC401)),"")</f>
      </c>
      <c r="AE401" s="35">
        <v>350</v>
      </c>
      <c r="AF401" s="35">
        <v>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CANON-202607-008209</t>
        </is>
      </c>
      <c r="B402" s="46" t="inlineStr">
        <is>
          <t xml:space="preserve">Aurelio Ashcombe</t>
        </is>
      </c>
      <c r="C402" s="47">
        <v>46227</v>
      </c>
      <c r="D402" s="48" t="inlineStr">
        <is>
          <t xml:space="preserve">Bound - within authority</t>
        </is>
      </c>
      <c r="E402" s="48" t="inlineStr">
        <is>
          <t xml:space="preserve">New business</t>
        </is>
      </c>
      <c r="F402" s="46" t="inlineStr">
        <is>
          <t xml:space="preserve">B1234EXOTIC26</t>
        </is>
      </c>
      <c r="G402" s="33">
        <f>IF($A402="","",IF($C402="","",YEAR($C402)))</f>
      </c>
      <c r="H402" s="49">
        <v>1978</v>
      </c>
      <c r="I402" s="46" t="inlineStr">
        <is>
          <t xml:space="preserve">Bentley</t>
        </is>
      </c>
      <c r="J402" s="46" t="inlineStr">
        <is>
          <t xml:space="preserve">Continental GT</t>
        </is>
      </c>
      <c r="K402" s="46" t="inlineStr">
        <is>
          <t xml:space="preserve">6DLR88LFZFZ234WCG</t>
        </is>
      </c>
      <c r="L402" s="48" t="inlineStr">
        <is>
          <t xml:space="preserve">02 - Sports / GT</t>
        </is>
      </c>
      <c r="M402" s="50">
        <v>210000</v>
      </c>
      <c r="N402" s="48" t="inlineStr">
        <is>
          <t xml:space="preserve">Personal</t>
        </is>
      </c>
      <c r="O402" s="46" t="inlineStr">
        <is>
          <t xml:space="preserve">Personal - regular use</t>
        </is>
      </c>
      <c r="P402" s="46" t="inlineStr">
        <is>
          <t xml:space="preserve">Under 1,000</t>
        </is>
      </c>
      <c r="Q402" s="46" t="inlineStr">
        <is>
          <t xml:space="preserve">Massachusetts</t>
        </is>
      </c>
      <c r="R402" s="46" t="inlineStr">
        <is>
          <t xml:space="preserve">02108</t>
        </is>
      </c>
      <c r="S402" s="48" t="inlineStr">
        <is>
          <t xml:space="preserve">Tier 3 - Coastal wind (25-100 miles)</t>
        </is>
      </c>
      <c r="T402" s="36">
        <f>IF($A402="","",IF($S402="","",IFERROR(INDEX('[1]natural catastrophe'!$D$6:$D$17,MATCH($S402,'[1]natural catastrophe'!$B$6:$B$17,0)),"?")))</f>
      </c>
      <c r="U402" s="46" t="inlineStr">
        <is>
          <t xml:space="preserve">2% of agreed value, minimum $10,000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3467.57</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CANON-202607-008210</t>
        </is>
      </c>
      <c r="B403" s="30" t="inlineStr">
        <is>
          <t xml:space="preserve">Ingrid Vandermeer</t>
        </is>
      </c>
      <c r="C403" s="31">
        <v>46206</v>
      </c>
      <c r="D403" s="32" t="inlineStr">
        <is>
          <t xml:space="preserve">Bound - within authority</t>
        </is>
      </c>
      <c r="E403" s="32" t="inlineStr">
        <is>
          <t xml:space="preserve">New business</t>
        </is>
      </c>
      <c r="F403" s="30" t="inlineStr">
        <is>
          <t xml:space="preserve">B1234EXOTIC26</t>
        </is>
      </c>
      <c r="G403" s="33">
        <f>IF($A403="","",IF($C403="","",YEAR($C403)))</f>
      </c>
      <c r="H403" s="34">
        <v>2007</v>
      </c>
      <c r="I403" s="30" t="inlineStr">
        <is>
          <t xml:space="preserve">BMW</t>
        </is>
      </c>
      <c r="J403" s="30" t="inlineStr">
        <is>
          <t xml:space="preserve">M8 Competition</t>
        </is>
      </c>
      <c r="K403" s="30" t="inlineStr">
        <is>
          <t xml:space="preserve">8D56EYMA5M9VDWRAZ</t>
        </is>
      </c>
      <c r="L403" s="32" t="inlineStr">
        <is>
          <t xml:space="preserve">02 - Sports / GT</t>
        </is>
      </c>
      <c r="M403" s="35">
        <v>1420000</v>
      </c>
      <c r="N403" s="32" t="inlineStr">
        <is>
          <t xml:space="preserve">Personal</t>
        </is>
      </c>
      <c r="O403" s="30" t="inlineStr">
        <is>
          <t xml:space="preserve">Personal - regular use</t>
        </is>
      </c>
      <c r="P403" s="30" t="inlineStr">
        <is>
          <t xml:space="preserve">1,000 - 2,500</t>
        </is>
      </c>
      <c r="Q403" s="30" t="inlineStr">
        <is>
          <t xml:space="preserve">Massachusetts</t>
        </is>
      </c>
      <c r="R403" s="30" t="inlineStr">
        <is>
          <t xml:space="preserve">02108</t>
        </is>
      </c>
      <c r="S403" s="32" t="inlineStr">
        <is>
          <t xml:space="preserve">Tier 3 - Coastal wind (25-100 miles)</t>
        </is>
      </c>
      <c r="T403" s="36">
        <f>IF($A403="","",IF($S403="","",IFERROR(INDEX('[1]natural catastrophe'!$D$6:$D$17,MATCH($S403,'[1]natural catastrophe'!$B$6:$B$17,0)),"?")))</f>
      </c>
      <c r="U403" s="30" t="inlineStr">
        <is>
          <t xml:space="preserve">2% of agreed value, minimum $10,000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14017.48</v>
      </c>
      <c r="AC403" s="37">
        <v>0</v>
      </c>
      <c r="AD403" s="38">
        <f>IF(ISNUMBER($AB403),$AB403*(1+N($AC403)),"")</f>
      </c>
      <c r="AE403" s="35">
        <v>350</v>
      </c>
      <c r="AF403" s="35">
        <v>250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CANON-202607-008213</t>
        </is>
      </c>
      <c r="B404" s="46" t="inlineStr">
        <is>
          <t xml:space="preserve">Lorenzo Kingsford</t>
        </is>
      </c>
      <c r="C404" s="47">
        <v>46221</v>
      </c>
      <c r="D404" s="48" t="inlineStr">
        <is>
          <t xml:space="preserve">Bound - within authority</t>
        </is>
      </c>
      <c r="E404" s="48" t="inlineStr">
        <is>
          <t xml:space="preserve">New business</t>
        </is>
      </c>
      <c r="F404" s="46" t="inlineStr">
        <is>
          <t xml:space="preserve">B1234EXOTIC26</t>
        </is>
      </c>
      <c r="G404" s="33">
        <f>IF($A404="","",IF($C404="","",YEAR($C404)))</f>
      </c>
      <c r="H404" s="49">
        <v>2002</v>
      </c>
      <c r="I404" s="46" t="inlineStr">
        <is>
          <t xml:space="preserve">Bentley</t>
        </is>
      </c>
      <c r="J404" s="46" t="inlineStr">
        <is>
          <t xml:space="preserve">Continental GT</t>
        </is>
      </c>
      <c r="K404" s="46" t="inlineStr">
        <is>
          <t xml:space="preserve">2C77B6T3EKAZBYU6U</t>
        </is>
      </c>
      <c r="L404" s="48" t="inlineStr">
        <is>
          <t xml:space="preserve">02 - Sports / GT</t>
        </is>
      </c>
      <c r="M404" s="50">
        <v>535000</v>
      </c>
      <c r="N404" s="48" t="inlineStr">
        <is>
          <t xml:space="preserve">Personal</t>
        </is>
      </c>
      <c r="O404" s="46" t="inlineStr">
        <is>
          <t xml:space="preserve">Personal - regular use</t>
        </is>
      </c>
      <c r="P404" s="46" t="inlineStr">
        <is>
          <t xml:space="preserve">1,000 - 2,500</t>
        </is>
      </c>
      <c r="Q404" s="46" t="inlineStr">
        <is>
          <t xml:space="preserve">Arizona</t>
        </is>
      </c>
      <c r="R404" s="46" t="inlineStr">
        <is>
          <t xml:space="preserve">85001</t>
        </is>
      </c>
      <c r="S404" s="48" t="inlineStr">
        <is>
          <t xml:space="preserve">Wildfire - WUI high hazard</t>
        </is>
      </c>
      <c r="T404" s="36">
        <f>IF($A404="","",IF($S404="","",IFERROR(INDEX('[1]natural catastrophe'!$D$6:$D$17,MATCH($S404,'[1]natural catastrophe'!$B$6:$B$17,0)),"?")))</f>
      </c>
      <c r="U404" s="46" t="inlineStr">
        <is>
          <t xml:space="preserve">$5,000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5043.09</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CANON-202607-008214</t>
        </is>
      </c>
      <c r="B405" s="30" t="inlineStr">
        <is>
          <t xml:space="preserve">Marisol Harrington</t>
        </is>
      </c>
      <c r="C405" s="31">
        <v>46230</v>
      </c>
      <c r="D405" s="32" t="inlineStr">
        <is>
          <t xml:space="preserve">Bound - within authority</t>
        </is>
      </c>
      <c r="E405" s="32" t="inlineStr">
        <is>
          <t xml:space="preserve">New business</t>
        </is>
      </c>
      <c r="F405" s="30" t="inlineStr">
        <is>
          <t xml:space="preserve">B1234EXOTIC26</t>
        </is>
      </c>
      <c r="G405" s="33">
        <f>IF($A405="","",IF($C405="","",YEAR($C405)))</f>
      </c>
      <c r="H405" s="34">
        <v>2007</v>
      </c>
      <c r="I405" s="30" t="inlineStr">
        <is>
          <t xml:space="preserve">Mercedes-Benz</t>
        </is>
      </c>
      <c r="J405" s="30" t="inlineStr">
        <is>
          <t xml:space="preserve">AMG GT</t>
        </is>
      </c>
      <c r="K405" s="30" t="inlineStr">
        <is>
          <t xml:space="preserve">BTX1MY6YAPD4MKZBF</t>
        </is>
      </c>
      <c r="L405" s="32" t="inlineStr">
        <is>
          <t xml:space="preserve">02 - Sports / GT</t>
        </is>
      </c>
      <c r="M405" s="35">
        <v>720000</v>
      </c>
      <c r="N405" s="32" t="inlineStr">
        <is>
          <t xml:space="preserve">Personal</t>
        </is>
      </c>
      <c r="O405" s="30" t="inlineStr">
        <is>
          <t xml:space="preserve">Personal - regular use</t>
        </is>
      </c>
      <c r="P405" s="30" t="inlineStr">
        <is>
          <t xml:space="preserve">1,000 - 2,500</t>
        </is>
      </c>
      <c r="Q405" s="30" t="inlineStr">
        <is>
          <t xml:space="preserve">Indiana</t>
        </is>
      </c>
      <c r="R405" s="30" t="inlineStr">
        <is>
          <t xml:space="preserve">46204</t>
        </is>
      </c>
      <c r="S405" s="32" t="inlineStr">
        <is>
          <t xml:space="preserve">Severe convective - hail / tornado (moderate)</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8265.32</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CANON-202607-008215</t>
        </is>
      </c>
      <c r="B406" s="46" t="inlineStr">
        <is>
          <t xml:space="preserve">Emiliano Larsson</t>
        </is>
      </c>
      <c r="C406" s="47">
        <v>46228</v>
      </c>
      <c r="D406" s="48" t="inlineStr">
        <is>
          <t xml:space="preserve">Bound - within authority</t>
        </is>
      </c>
      <c r="E406" s="48" t="inlineStr">
        <is>
          <t xml:space="preserve">New business</t>
        </is>
      </c>
      <c r="F406" s="46" t="inlineStr">
        <is>
          <t xml:space="preserve">B1234EXOTIC26</t>
        </is>
      </c>
      <c r="G406" s="33">
        <f>IF($A406="","",IF($C406="","",YEAR($C406)))</f>
      </c>
      <c r="H406" s="49">
        <v>2005</v>
      </c>
      <c r="I406" s="46" t="inlineStr">
        <is>
          <t xml:space="preserve">Ferrari</t>
        </is>
      </c>
      <c r="J406" s="46" t="inlineStr">
        <is>
          <t xml:space="preserve">SF90 Stradale</t>
        </is>
      </c>
      <c r="K406" s="46" t="inlineStr">
        <is>
          <t xml:space="preserve">ZMR6TDFZ1JR5868CF</t>
        </is>
      </c>
      <c r="L406" s="48" t="inlineStr">
        <is>
          <t xml:space="preserve">03 - Supercar</t>
        </is>
      </c>
      <c r="M406" s="50">
        <v>1045000</v>
      </c>
      <c r="N406" s="48" t="inlineStr">
        <is>
          <t xml:space="preserve">Personal</t>
        </is>
      </c>
      <c r="O406" s="46" t="inlineStr">
        <is>
          <t xml:space="preserve">Personal - regular use</t>
        </is>
      </c>
      <c r="P406" s="46" t="inlineStr">
        <is>
          <t xml:space="preserve">2,500 - 5,000</t>
        </is>
      </c>
      <c r="Q406" s="46" t="inlineStr">
        <is>
          <t xml:space="preserve">New Jersey</t>
        </is>
      </c>
      <c r="R406" s="46" t="inlineStr">
        <is>
          <t xml:space="preserve">07102</t>
        </is>
      </c>
      <c r="S406" s="48" t="inlineStr">
        <is>
          <t xml:space="preserve">Tier 3 - Coastal wind (25-100 miles)</t>
        </is>
      </c>
      <c r="T406" s="36">
        <f>IF($A406="","",IF($S406="","",IFERROR(INDEX('[1]natural catastrophe'!$D$6:$D$17,MATCH($S406,'[1]natural catastrophe'!$B$6:$B$17,0)),"?")))</f>
      </c>
      <c r="U406" s="46" t="inlineStr">
        <is>
          <t xml:space="preserve">2% of agreed value, minimum $10,000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10923.36</v>
      </c>
      <c r="AC406" s="51">
        <v>0</v>
      </c>
      <c r="AD406" s="38">
        <f>IF(ISNUMBER($AB406),$AB406*(1+N($AC406)),"")</f>
      </c>
      <c r="AE406" s="50">
        <v>350</v>
      </c>
      <c r="AF406" s="50">
        <v>250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CANON-202607-008216</t>
        </is>
      </c>
      <c r="B407" s="30" t="inlineStr">
        <is>
          <t xml:space="preserve">Noor Thistlewood</t>
        </is>
      </c>
      <c r="C407" s="31">
        <v>46211</v>
      </c>
      <c r="D407" s="32" t="inlineStr">
        <is>
          <t xml:space="preserve">Bound - within authority</t>
        </is>
      </c>
      <c r="E407" s="32" t="inlineStr">
        <is>
          <t xml:space="preserve">New business</t>
        </is>
      </c>
      <c r="F407" s="30" t="inlineStr">
        <is>
          <t xml:space="preserve">B1234EXOTIC26</t>
        </is>
      </c>
      <c r="G407" s="33">
        <f>IF($A407="","",IF($C407="","",YEAR($C407)))</f>
      </c>
      <c r="H407" s="34">
        <v>2023</v>
      </c>
      <c r="I407" s="30" t="inlineStr">
        <is>
          <t xml:space="preserve">Singer</t>
        </is>
      </c>
      <c r="J407" s="30" t="inlineStr">
        <is>
          <t xml:space="preserve">911 Reimagined</t>
        </is>
      </c>
      <c r="K407" s="30" t="inlineStr">
        <is>
          <t xml:space="preserve">T134VMX1CZN5B9GFT</t>
        </is>
      </c>
      <c r="L407" s="32" t="inlineStr">
        <is>
          <t xml:space="preserve">11 - Restomod / Coachbuilt / Bespoke</t>
        </is>
      </c>
      <c r="M407" s="35">
        <v>235000</v>
      </c>
      <c r="N407" s="32" t="inlineStr">
        <is>
          <t xml:space="preserve">Personal</t>
        </is>
      </c>
      <c r="O407" s="30" t="inlineStr">
        <is>
          <t xml:space="preserve">Personal - regular use</t>
        </is>
      </c>
      <c r="P407" s="30" t="inlineStr">
        <is>
          <t xml:space="preserve">1,000 - 2,500</t>
        </is>
      </c>
      <c r="Q407" s="30" t="inlineStr">
        <is>
          <t xml:space="preserve">New York</t>
        </is>
      </c>
      <c r="R407" s="30" t="inlineStr">
        <is>
          <t xml:space="preserve">10022</t>
        </is>
      </c>
      <c r="S407" s="32" t="inlineStr">
        <is>
          <t xml:space="preserve">Tier 3 - Coastal wind (25-100 miles)</t>
        </is>
      </c>
      <c r="T407" s="36">
        <f>IF($A407="","",IF($S407="","",IFERROR(INDEX('[1]natural catastrophe'!$D$6:$D$17,MATCH($S407,'[1]natural catastrophe'!$B$6:$B$17,0)),"?")))</f>
      </c>
      <c r="U407" s="30" t="inlineStr">
        <is>
          <t xml:space="preserve">2% of agreed value, minimum $10,000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4534.99</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CANON-202607-008217</t>
        </is>
      </c>
      <c r="B408" s="46" t="inlineStr">
        <is>
          <t xml:space="preserve">Beatrix Montoya</t>
        </is>
      </c>
      <c r="C408" s="47">
        <v>46220</v>
      </c>
      <c r="D408" s="48" t="inlineStr">
        <is>
          <t xml:space="preserve">Bound - within authority</t>
        </is>
      </c>
      <c r="E408" s="48" t="inlineStr">
        <is>
          <t xml:space="preserve">New business</t>
        </is>
      </c>
      <c r="F408" s="46" t="inlineStr">
        <is>
          <t xml:space="preserve">B1234EXOTIC26</t>
        </is>
      </c>
      <c r="G408" s="33">
        <f>IF($A408="","",IF($C408="","",YEAR($C408)))</f>
      </c>
      <c r="H408" s="49">
        <v>1998</v>
      </c>
      <c r="I408" s="46" t="inlineStr">
        <is>
          <t xml:space="preserve">Lamborghini</t>
        </is>
      </c>
      <c r="J408" s="46" t="inlineStr">
        <is>
          <t xml:space="preserve">Huracan EVO</t>
        </is>
      </c>
      <c r="K408" s="46" t="inlineStr">
        <is>
          <t xml:space="preserve">BSF5Y7FJFET6WDZTK</t>
        </is>
      </c>
      <c r="L408" s="48" t="inlineStr">
        <is>
          <t xml:space="preserve">03 - Supercar</t>
        </is>
      </c>
      <c r="M408" s="50">
        <v>455000</v>
      </c>
      <c r="N408" s="48" t="inlineStr">
        <is>
          <t xml:space="preserve">Personal</t>
        </is>
      </c>
      <c r="O408" s="46" t="inlineStr">
        <is>
          <t xml:space="preserve">Personal - regular use</t>
        </is>
      </c>
      <c r="P408" s="46" t="inlineStr">
        <is>
          <t xml:space="preserve">1,000 - 2,500</t>
        </is>
      </c>
      <c r="Q408" s="46" t="inlineStr">
        <is>
          <t xml:space="preserve">New Jersey</t>
        </is>
      </c>
      <c r="R408" s="46" t="inlineStr">
        <is>
          <t xml:space="preserve">07102</t>
        </is>
      </c>
      <c r="S408" s="48" t="inlineStr">
        <is>
          <t xml:space="preserve">Tier 3 - Coastal wind (25-100 miles)</t>
        </is>
      </c>
      <c r="T408" s="36">
        <f>IF($A408="","",IF($S408="","",IFERROR(INDEX('[1]natural catastrophe'!$D$6:$D$17,MATCH($S408,'[1]natural catastrophe'!$B$6:$B$17,0)),"?")))</f>
      </c>
      <c r="U408" s="46" t="inlineStr">
        <is>
          <t xml:space="preserve">2% of agreed value, minimum $10,000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6836.9</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CANON-202607-008218</t>
        </is>
      </c>
      <c r="B409" s="30" t="inlineStr">
        <is>
          <t xml:space="preserve">Callum Vasquez</t>
        </is>
      </c>
      <c r="C409" s="31">
        <v>46209</v>
      </c>
      <c r="D409" s="32" t="inlineStr">
        <is>
          <t xml:space="preserve">Bound - within authority</t>
        </is>
      </c>
      <c r="E409" s="32" t="inlineStr">
        <is>
          <t xml:space="preserve">New business</t>
        </is>
      </c>
      <c r="F409" s="30" t="inlineStr">
        <is>
          <t xml:space="preserve">B1234EXOTIC26</t>
        </is>
      </c>
      <c r="G409" s="33">
        <f>IF($A409="","",IF($C409="","",YEAR($C409)))</f>
      </c>
      <c r="H409" s="34">
        <v>1975</v>
      </c>
      <c r="I409" s="30" t="inlineStr">
        <is>
          <t xml:space="preserve">BMW</t>
        </is>
      </c>
      <c r="J409" s="30" t="inlineStr">
        <is>
          <t xml:space="preserve">M8 Competition</t>
        </is>
      </c>
      <c r="K409" s="30" t="inlineStr">
        <is>
          <t xml:space="preserve">69UY69L4ED75YPC7C</t>
        </is>
      </c>
      <c r="L409" s="32" t="inlineStr">
        <is>
          <t xml:space="preserve">02 - Sports / GT</t>
        </is>
      </c>
      <c r="M409" s="35">
        <v>235000</v>
      </c>
      <c r="N409" s="32" t="inlineStr">
        <is>
          <t xml:space="preserve">Personal</t>
        </is>
      </c>
      <c r="O409" s="30" t="inlineStr">
        <is>
          <t xml:space="preserve">Personal - regular use</t>
        </is>
      </c>
      <c r="P409" s="30" t="inlineStr">
        <is>
          <t xml:space="preserve">2,500 - 5,000</t>
        </is>
      </c>
      <c r="Q409" s="30" t="inlineStr">
        <is>
          <t xml:space="preserve">Colorado</t>
        </is>
      </c>
      <c r="R409" s="30" t="inlineStr">
        <is>
          <t xml:space="preserve">80202</t>
        </is>
      </c>
      <c r="S409" s="32" t="inlineStr">
        <is>
          <t xml:space="preserve">Severe convective - hail alley (high)</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3414.74</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CANON-202607-008219</t>
        </is>
      </c>
      <c r="B410" s="46" t="inlineStr">
        <is>
          <t xml:space="preserve">Emiliano Vandermeer</t>
        </is>
      </c>
      <c r="C410" s="47">
        <v>46213</v>
      </c>
      <c r="D410" s="48" t="inlineStr">
        <is>
          <t xml:space="preserve">Bound - within authority</t>
        </is>
      </c>
      <c r="E410" s="48" t="inlineStr">
        <is>
          <t xml:space="preserve">New business</t>
        </is>
      </c>
      <c r="F410" s="46" t="inlineStr">
        <is>
          <t xml:space="preserve">B1234EXOTIC26</t>
        </is>
      </c>
      <c r="G410" s="33">
        <f>IF($A410="","",IF($C410="","",YEAR($C410)))</f>
      </c>
      <c r="H410" s="49">
        <v>1969</v>
      </c>
      <c r="I410" s="46" t="inlineStr">
        <is>
          <t xml:space="preserve">Bugatti</t>
        </is>
      </c>
      <c r="J410" s="46" t="inlineStr">
        <is>
          <t xml:space="preserve">Type 57</t>
        </is>
      </c>
      <c r="K410" s="46" t="inlineStr">
        <is>
          <t xml:space="preserve">2WBE5HJSRFRDDRRAC</t>
        </is>
      </c>
      <c r="L410" s="48" t="inlineStr">
        <is>
          <t xml:space="preserve">07 - Post-War Classic (1946-1972)</t>
        </is>
      </c>
      <c r="M410" s="50">
        <v>815000</v>
      </c>
      <c r="N410" s="48" t="inlineStr">
        <is>
          <t xml:space="preserve">Personal</t>
        </is>
      </c>
      <c r="O410" s="46" t="inlineStr">
        <is>
          <t xml:space="preserve">Personal - regular use</t>
        </is>
      </c>
      <c r="P410" s="46" t="inlineStr">
        <is>
          <t xml:space="preserve">1,000 - 2,500</t>
        </is>
      </c>
      <c r="Q410" s="46" t="inlineStr">
        <is>
          <t xml:space="preserve">Rhode Island</t>
        </is>
      </c>
      <c r="R410" s="46" t="inlineStr">
        <is>
          <t xml:space="preserve">02903</t>
        </is>
      </c>
      <c r="S410" s="48" t="inlineStr">
        <is>
          <t xml:space="preserve">Tier 3 - Coastal wind (25-100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6092.15</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CANON-202607-008220</t>
        </is>
      </c>
      <c r="B411" s="30" t="inlineStr">
        <is>
          <t xml:space="preserve">Desmond Underwood</t>
        </is>
      </c>
      <c r="C411" s="31">
        <v>46206</v>
      </c>
      <c r="D411" s="32" t="inlineStr">
        <is>
          <t xml:space="preserve">Bound - within authority</t>
        </is>
      </c>
      <c r="E411" s="32" t="inlineStr">
        <is>
          <t xml:space="preserve">New business</t>
        </is>
      </c>
      <c r="F411" s="30" t="inlineStr">
        <is>
          <t xml:space="preserve">B1234EXOTIC26</t>
        </is>
      </c>
      <c r="G411" s="33">
        <f>IF($A411="","",IF($C411="","",YEAR($C411)))</f>
      </c>
      <c r="H411" s="34">
        <v>1987</v>
      </c>
      <c r="I411" s="30" t="inlineStr">
        <is>
          <t xml:space="preserve">Lamborghini</t>
        </is>
      </c>
      <c r="J411" s="30" t="inlineStr">
        <is>
          <t xml:space="preserve">Huracan EVO</t>
        </is>
      </c>
      <c r="K411" s="30" t="inlineStr">
        <is>
          <t xml:space="preserve">0XWDP3M3YP41DRNKZ</t>
        </is>
      </c>
      <c r="L411" s="32" t="inlineStr">
        <is>
          <t xml:space="preserve">03 - Supercar</t>
        </is>
      </c>
      <c r="M411" s="35">
        <v>345000</v>
      </c>
      <c r="N411" s="32" t="inlineStr">
        <is>
          <t xml:space="preserve">Personal</t>
        </is>
      </c>
      <c r="O411" s="30" t="inlineStr">
        <is>
          <t xml:space="preserve">Personal - regular use</t>
        </is>
      </c>
      <c r="P411" s="30" t="inlineStr">
        <is>
          <t xml:space="preserve">2,500 - 5,000</t>
        </is>
      </c>
      <c r="Q411" s="30" t="inlineStr">
        <is>
          <t xml:space="preserve">Florida</t>
        </is>
      </c>
      <c r="R411" s="30" t="inlineStr">
        <is>
          <t xml:space="preserve">33139</t>
        </is>
      </c>
      <c r="S411" s="32" t="inlineStr">
        <is>
          <t xml:space="preserve">Tier 2 - Coastal wind (1-25 miles)</t>
        </is>
      </c>
      <c r="T411" s="36">
        <f>IF($A411="","",IF($S411="","",IFERROR(INDEX('[1]natural catastrophe'!$D$6:$D$17,MATCH($S411,'[1]natural catastrophe'!$B$6:$B$17,0)),"?")))</f>
      </c>
      <c r="U411" s="30" t="inlineStr">
        <is>
          <t xml:space="preserve">2% of agreed value, minimum $10,000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8089.36</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CANON-202607-008221</t>
        </is>
      </c>
      <c r="B412" s="46" t="inlineStr">
        <is>
          <t xml:space="preserve">Delphine Pennington</t>
        </is>
      </c>
      <c r="C412" s="47">
        <v>46224</v>
      </c>
      <c r="D412" s="48" t="inlineStr">
        <is>
          <t xml:space="preserve">Bound - within authority</t>
        </is>
      </c>
      <c r="E412" s="48" t="inlineStr">
        <is>
          <t xml:space="preserve">New business</t>
        </is>
      </c>
      <c r="F412" s="46" t="inlineStr">
        <is>
          <t xml:space="preserve">B1234EXOTIC26</t>
        </is>
      </c>
      <c r="G412" s="33">
        <f>IF($A412="","",IF($C412="","",YEAR($C412)))</f>
      </c>
      <c r="H412" s="49">
        <v>1999</v>
      </c>
      <c r="I412" s="46" t="inlineStr">
        <is>
          <t xml:space="preserve">Ferrari</t>
        </is>
      </c>
      <c r="J412" s="46" t="inlineStr">
        <is>
          <t xml:space="preserve">296 GTB</t>
        </is>
      </c>
      <c r="K412" s="46" t="inlineStr">
        <is>
          <t xml:space="preserve">0U60MGTVFZ33B4KCZ</t>
        </is>
      </c>
      <c r="L412" s="48" t="inlineStr">
        <is>
          <t xml:space="preserve">03 - Supercar</t>
        </is>
      </c>
      <c r="M412" s="50">
        <v>875000</v>
      </c>
      <c r="N412" s="48" t="inlineStr">
        <is>
          <t xml:space="preserve">Personal</t>
        </is>
      </c>
      <c r="O412" s="46" t="inlineStr">
        <is>
          <t xml:space="preserve">Personal - regular use</t>
        </is>
      </c>
      <c r="P412" s="46" t="inlineStr">
        <is>
          <t xml:space="preserve">1,000 - 2,500</t>
        </is>
      </c>
      <c r="Q412" s="46" t="inlineStr">
        <is>
          <t xml:space="preserve">Wyoming</t>
        </is>
      </c>
      <c r="R412" s="46" t="inlineStr">
        <is>
          <t xml:space="preserve">82001</t>
        </is>
      </c>
      <c r="S412" s="48" t="inlineStr">
        <is>
          <t xml:space="preserve">Severe convective - hail alley (high)</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12770.98</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CANON-202607-008222</t>
        </is>
      </c>
      <c r="B413" s="30" t="inlineStr">
        <is>
          <t xml:space="preserve">Ottilie Underwood</t>
        </is>
      </c>
      <c r="C413" s="31">
        <v>46220</v>
      </c>
      <c r="D413" s="32" t="inlineStr">
        <is>
          <t xml:space="preserve">Bound - within authority</t>
        </is>
      </c>
      <c r="E413" s="32" t="inlineStr">
        <is>
          <t xml:space="preserve">New business</t>
        </is>
      </c>
      <c r="F413" s="30" t="inlineStr">
        <is>
          <t xml:space="preserve">B1234EXOTIC26</t>
        </is>
      </c>
      <c r="G413" s="33">
        <f>IF($A413="","",IF($C413="","",YEAR($C413)))</f>
      </c>
      <c r="H413" s="34">
        <v>2019</v>
      </c>
      <c r="I413" s="30" t="inlineStr">
        <is>
          <t xml:space="preserve">BMW</t>
        </is>
      </c>
      <c r="J413" s="30" t="inlineStr">
        <is>
          <t xml:space="preserve">M8 Competition</t>
        </is>
      </c>
      <c r="K413" s="30" t="inlineStr">
        <is>
          <t xml:space="preserve">PDM4M58LNXPWEH65H</t>
        </is>
      </c>
      <c r="L413" s="32" t="inlineStr">
        <is>
          <t xml:space="preserve">02 - Sports / GT</t>
        </is>
      </c>
      <c r="M413" s="35">
        <v>765000</v>
      </c>
      <c r="N413" s="32" t="inlineStr">
        <is>
          <t xml:space="preserve">Personal</t>
        </is>
      </c>
      <c r="O413" s="30" t="inlineStr">
        <is>
          <t xml:space="preserve">Personal - regular use</t>
        </is>
      </c>
      <c r="P413" s="30" t="inlineStr">
        <is>
          <t xml:space="preserve">Under 1,000</t>
        </is>
      </c>
      <c r="Q413" s="30" t="inlineStr">
        <is>
          <t xml:space="preserve">Texas</t>
        </is>
      </c>
      <c r="R413" s="30" t="inlineStr">
        <is>
          <t xml:space="preserve">75201</t>
        </is>
      </c>
      <c r="S413" s="32" t="inlineStr">
        <is>
          <t xml:space="preserve">Tier 2 - Coastal wind (1-25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8210.73</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CANON-202607-008224</t>
        </is>
      </c>
      <c r="B414" s="46" t="inlineStr">
        <is>
          <t xml:space="preserve">Wilhelmina Pennington</t>
        </is>
      </c>
      <c r="C414" s="47">
        <v>46210</v>
      </c>
      <c r="D414" s="48" t="inlineStr">
        <is>
          <t xml:space="preserve">Bound - within authority</t>
        </is>
      </c>
      <c r="E414" s="48" t="inlineStr">
        <is>
          <t xml:space="preserve">New business</t>
        </is>
      </c>
      <c r="F414" s="46" t="inlineStr">
        <is>
          <t xml:space="preserve">B1234EXOTIC26</t>
        </is>
      </c>
      <c r="G414" s="33">
        <f>IF($A414="","",IF($C414="","",YEAR($C414)))</f>
      </c>
      <c r="H414" s="49">
        <v>1996</v>
      </c>
      <c r="I414" s="46" t="inlineStr">
        <is>
          <t xml:space="preserve">Mercedes-Benz</t>
        </is>
      </c>
      <c r="J414" s="46" t="inlineStr">
        <is>
          <t xml:space="preserve">AMG GT</t>
        </is>
      </c>
      <c r="K414" s="46" t="inlineStr">
        <is>
          <t xml:space="preserve">7FDH2GW1C4ULC0NAJ</t>
        </is>
      </c>
      <c r="L414" s="48" t="inlineStr">
        <is>
          <t xml:space="preserve">02 - Sports / GT</t>
        </is>
      </c>
      <c r="M414" s="50">
        <v>645000</v>
      </c>
      <c r="N414" s="48" t="inlineStr">
        <is>
          <t xml:space="preserve">Personal</t>
        </is>
      </c>
      <c r="O414" s="46" t="inlineStr">
        <is>
          <t xml:space="preserve">Personal - regular use</t>
        </is>
      </c>
      <c r="P414" s="46" t="inlineStr">
        <is>
          <t xml:space="preserve">Under 1,000</t>
        </is>
      </c>
      <c r="Q414" s="46" t="inlineStr">
        <is>
          <t xml:space="preserve">Nebraska</t>
        </is>
      </c>
      <c r="R414" s="46" t="inlineStr">
        <is>
          <t xml:space="preserve">68102</t>
        </is>
      </c>
      <c r="S414" s="48" t="inlineStr">
        <is>
          <t xml:space="preserve">Severe convective - hail alley (high)</t>
        </is>
      </c>
      <c r="T414" s="36">
        <f>IF($A414="","",IF($S414="","",IFERROR(INDEX('[1]natural catastrophe'!$D$6:$D$17,MATCH($S414,'[1]natural catastrophe'!$B$6:$B$17,0)),"?")))</f>
      </c>
      <c r="U414" s="46" t="inlineStr">
        <is>
          <t xml:space="preserve">$5,000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7825.74</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CANON-202607-008225</t>
        </is>
      </c>
      <c r="B415" s="30" t="inlineStr">
        <is>
          <t xml:space="preserve">Anouk Vandermeer</t>
        </is>
      </c>
      <c r="C415" s="31">
        <v>46232</v>
      </c>
      <c r="D415" s="32" t="inlineStr">
        <is>
          <t xml:space="preserve">Bound - within authority</t>
        </is>
      </c>
      <c r="E415" s="32" t="inlineStr">
        <is>
          <t xml:space="preserve">New business</t>
        </is>
      </c>
      <c r="F415" s="30" t="inlineStr">
        <is>
          <t xml:space="preserve">B1234EXOTIC26</t>
        </is>
      </c>
      <c r="G415" s="33">
        <f>IF($A415="","",IF($C415="","",YEAR($C415)))</f>
      </c>
      <c r="H415" s="34">
        <v>1984</v>
      </c>
      <c r="I415" s="30" t="inlineStr">
        <is>
          <t xml:space="preserve">Ferrari</t>
        </is>
      </c>
      <c r="J415" s="30" t="inlineStr">
        <is>
          <t xml:space="preserve">296 GTB</t>
        </is>
      </c>
      <c r="K415" s="30" t="inlineStr">
        <is>
          <t xml:space="preserve">6714HNRUBX6C8MX51</t>
        </is>
      </c>
      <c r="L415" s="32" t="inlineStr">
        <is>
          <t xml:space="preserve">03 - Supercar</t>
        </is>
      </c>
      <c r="M415" s="35">
        <v>990000</v>
      </c>
      <c r="N415" s="32" t="inlineStr">
        <is>
          <t xml:space="preserve">Personal</t>
        </is>
      </c>
      <c r="O415" s="30" t="inlineStr">
        <is>
          <t xml:space="preserve">Personal - regular use</t>
        </is>
      </c>
      <c r="P415" s="30" t="inlineStr">
        <is>
          <t xml:space="preserve">Under 1,000</t>
        </is>
      </c>
      <c r="Q415" s="30" t="inlineStr">
        <is>
          <t xml:space="preserve">Connecticut</t>
        </is>
      </c>
      <c r="R415" s="30" t="inlineStr">
        <is>
          <t xml:space="preserve">06103</t>
        </is>
      </c>
      <c r="S415" s="32" t="inlineStr">
        <is>
          <t xml:space="preserve">Tier 3 - Coastal wind (25-100 miles)</t>
        </is>
      </c>
      <c r="T415" s="36">
        <f>IF($A415="","",IF($S415="","",IFERROR(INDEX('[1]natural catastrophe'!$D$6:$D$17,MATCH($S415,'[1]natural catastrophe'!$B$6:$B$17,0)),"?")))</f>
      </c>
      <c r="U415" s="30" t="inlineStr">
        <is>
          <t xml:space="preserve">2% of agreed value, minimum $10,000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15124.66</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CANON-202607-008226</t>
        </is>
      </c>
      <c r="B416" s="46" t="inlineStr">
        <is>
          <t xml:space="preserve">Saoirse Fairweather</t>
        </is>
      </c>
      <c r="C416" s="47">
        <v>46219</v>
      </c>
      <c r="D416" s="48" t="inlineStr">
        <is>
          <t xml:space="preserve">Bound - within authority</t>
        </is>
      </c>
      <c r="E416" s="48" t="inlineStr">
        <is>
          <t xml:space="preserve">New business</t>
        </is>
      </c>
      <c r="F416" s="46" t="inlineStr">
        <is>
          <t xml:space="preserve">B1234EXOTIC26</t>
        </is>
      </c>
      <c r="G416" s="33">
        <f>IF($A416="","",IF($C416="","",YEAR($C416)))</f>
      </c>
      <c r="H416" s="49">
        <v>1994</v>
      </c>
      <c r="I416" s="46" t="inlineStr">
        <is>
          <t xml:space="preserve">Porsche</t>
        </is>
      </c>
      <c r="J416" s="46" t="inlineStr">
        <is>
          <t xml:space="preserve">911 Turbo S</t>
        </is>
      </c>
      <c r="K416" s="46" t="inlineStr">
        <is>
          <t xml:space="preserve">2CX39DH20LG1SWGYC</t>
        </is>
      </c>
      <c r="L416" s="48" t="inlineStr">
        <is>
          <t xml:space="preserve">02 - Sports / GT</t>
        </is>
      </c>
      <c r="M416" s="50">
        <v>230000</v>
      </c>
      <c r="N416" s="48" t="inlineStr">
        <is>
          <t xml:space="preserve">Personal</t>
        </is>
      </c>
      <c r="O416" s="46" t="inlineStr">
        <is>
          <t xml:space="preserve">Personal - regular use</t>
        </is>
      </c>
      <c r="P416" s="46" t="inlineStr">
        <is>
          <t xml:space="preserve">1,000 - 2,500</t>
        </is>
      </c>
      <c r="Q416" s="46" t="inlineStr">
        <is>
          <t xml:space="preserve">Massachusetts</t>
        </is>
      </c>
      <c r="R416" s="46" t="inlineStr">
        <is>
          <t xml:space="preserve">02108</t>
        </is>
      </c>
      <c r="S416" s="48" t="inlineStr">
        <is>
          <t xml:space="preserve">Tier 3 - Coastal wind (25-100 miles)</t>
        </is>
      </c>
      <c r="T416" s="36">
        <f>IF($A416="","",IF($S416="","",IFERROR(INDEX('[1]natural catastrophe'!$D$6:$D$17,MATCH($S416,'[1]natural catastrophe'!$B$6:$B$17,0)),"?")))</f>
      </c>
      <c r="U416" s="46" t="inlineStr">
        <is>
          <t xml:space="preserve">2% of agreed value, minimum $10,000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3797.82</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CANON-202607-008227</t>
        </is>
      </c>
      <c r="B417" s="30" t="inlineStr">
        <is>
          <t xml:space="preserve">Ottilie Fairweather</t>
        </is>
      </c>
      <c r="C417" s="31">
        <v>46224</v>
      </c>
      <c r="D417" s="32" t="inlineStr">
        <is>
          <t xml:space="preserve">Bound - within authority</t>
        </is>
      </c>
      <c r="E417" s="32" t="inlineStr">
        <is>
          <t xml:space="preserve">New business</t>
        </is>
      </c>
      <c r="F417" s="30" t="inlineStr">
        <is>
          <t xml:space="preserve">B1234EXOTIC26</t>
        </is>
      </c>
      <c r="G417" s="33">
        <f>IF($A417="","",IF($C417="","",YEAR($C417)))</f>
      </c>
      <c r="H417" s="34">
        <v>1974</v>
      </c>
      <c r="I417" s="30" t="inlineStr">
        <is>
          <t xml:space="preserve">Maserati</t>
        </is>
      </c>
      <c r="J417" s="30" t="inlineStr">
        <is>
          <t xml:space="preserve">GranTurismo</t>
        </is>
      </c>
      <c r="K417" s="30" t="inlineStr">
        <is>
          <t xml:space="preserve">D8AAET1XLA8RLEAUL</t>
        </is>
      </c>
      <c r="L417" s="32" t="inlineStr">
        <is>
          <t xml:space="preserve">02 - Sports / GT</t>
        </is>
      </c>
      <c r="M417" s="35">
        <v>760000</v>
      </c>
      <c r="N417" s="32" t="inlineStr">
        <is>
          <t xml:space="preserve">Personal</t>
        </is>
      </c>
      <c r="O417" s="30" t="inlineStr">
        <is>
          <t xml:space="preserve">Personal - regular use</t>
        </is>
      </c>
      <c r="P417" s="30" t="inlineStr">
        <is>
          <t xml:space="preserve">2,500 - 5,000</t>
        </is>
      </c>
      <c r="Q417" s="30" t="inlineStr">
        <is>
          <t xml:space="preserve">Texas</t>
        </is>
      </c>
      <c r="R417" s="30" t="inlineStr">
        <is>
          <t xml:space="preserve">75201</t>
        </is>
      </c>
      <c r="S417" s="32" t="inlineStr">
        <is>
          <t xml:space="preserve">Tier 2 - Coastal wind (1-25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8157.06</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CANON-202607-008228</t>
        </is>
      </c>
      <c r="B418" s="46" t="inlineStr">
        <is>
          <t xml:space="preserve">Callum Nakashima</t>
        </is>
      </c>
      <c r="C418" s="47">
        <v>46215</v>
      </c>
      <c r="D418" s="48" t="inlineStr">
        <is>
          <t xml:space="preserve">Bound - within authority</t>
        </is>
      </c>
      <c r="E418" s="48" t="inlineStr">
        <is>
          <t xml:space="preserve">New business</t>
        </is>
      </c>
      <c r="F418" s="46" t="inlineStr">
        <is>
          <t xml:space="preserve">B1234EXOTIC26</t>
        </is>
      </c>
      <c r="G418" s="33">
        <f>IF($A418="","",IF($C418="","",YEAR($C418)))</f>
      </c>
      <c r="H418" s="49">
        <v>1975</v>
      </c>
      <c r="I418" s="46" t="inlineStr">
        <is>
          <t xml:space="preserve">Aston Martin</t>
        </is>
      </c>
      <c r="J418" s="46" t="inlineStr">
        <is>
          <t xml:space="preserve">DB12</t>
        </is>
      </c>
      <c r="K418" s="46" t="inlineStr">
        <is>
          <t xml:space="preserve">3RTC4F6GAJHTCSTM5</t>
        </is>
      </c>
      <c r="L418" s="48" t="inlineStr">
        <is>
          <t xml:space="preserve">02 - Sports / GT</t>
        </is>
      </c>
      <c r="M418" s="50">
        <v>1090000</v>
      </c>
      <c r="N418" s="48" t="inlineStr">
        <is>
          <t xml:space="preserve">Personal</t>
        </is>
      </c>
      <c r="O418" s="46" t="inlineStr">
        <is>
          <t xml:space="preserve">Personal - regular use</t>
        </is>
      </c>
      <c r="P418" s="46" t="inlineStr">
        <is>
          <t xml:space="preserve">Under 1,000</t>
        </is>
      </c>
      <c r="Q418" s="46" t="inlineStr">
        <is>
          <t xml:space="preserve">Texas</t>
        </is>
      </c>
      <c r="R418" s="46" t="inlineStr">
        <is>
          <t xml:space="preserve">75201</t>
        </is>
      </c>
      <c r="S418" s="48" t="inlineStr">
        <is>
          <t xml:space="preserve">Tier 2 - Coastal wind (1-25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9899.1</v>
      </c>
      <c r="AC418" s="51">
        <v>0</v>
      </c>
      <c r="AD418" s="38">
        <f>IF(ISNUMBER($AB418),$AB418*(1+N($AC418)),"")</f>
      </c>
      <c r="AE418" s="50">
        <v>350</v>
      </c>
      <c r="AF418" s="50">
        <v>250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CANON-202607-008230</t>
        </is>
      </c>
      <c r="B419" s="30" t="inlineStr">
        <is>
          <t xml:space="preserve">Callum Harrington</t>
        </is>
      </c>
      <c r="C419" s="31">
        <v>46207</v>
      </c>
      <c r="D419" s="32" t="inlineStr">
        <is>
          <t xml:space="preserve">Bound - within authority</t>
        </is>
      </c>
      <c r="E419" s="32" t="inlineStr">
        <is>
          <t xml:space="preserve">New business</t>
        </is>
      </c>
      <c r="F419" s="30" t="inlineStr">
        <is>
          <t xml:space="preserve">B1234EXOTIC26</t>
        </is>
      </c>
      <c r="G419" s="33">
        <f>IF($A419="","",IF($C419="","",YEAR($C419)))</f>
      </c>
      <c r="H419" s="34">
        <v>1969</v>
      </c>
      <c r="I419" s="30" t="inlineStr">
        <is>
          <t xml:space="preserve">McLaren</t>
        </is>
      </c>
      <c r="J419" s="30" t="inlineStr">
        <is>
          <t xml:space="preserve">750S</t>
        </is>
      </c>
      <c r="K419" s="30" t="inlineStr">
        <is>
          <t xml:space="preserve">DKS782R8SXHVVDB5Z</t>
        </is>
      </c>
      <c r="L419" s="32" t="inlineStr">
        <is>
          <t xml:space="preserve">03 - Supercar</t>
        </is>
      </c>
      <c r="M419" s="35">
        <v>400000</v>
      </c>
      <c r="N419" s="32" t="inlineStr">
        <is>
          <t xml:space="preserve">Personal</t>
        </is>
      </c>
      <c r="O419" s="30" t="inlineStr">
        <is>
          <t xml:space="preserve">Personal - regular use</t>
        </is>
      </c>
      <c r="P419" s="30" t="inlineStr">
        <is>
          <t xml:space="preserve">2,500 - 5,000</t>
        </is>
      </c>
      <c r="Q419" s="30" t="inlineStr">
        <is>
          <t xml:space="preserve">Colorado</t>
        </is>
      </c>
      <c r="R419" s="30" t="inlineStr">
        <is>
          <t xml:space="preserve">80202</t>
        </is>
      </c>
      <c r="S419" s="32" t="inlineStr">
        <is>
          <t xml:space="preserve">Severe convective - hail alley (high)</t>
        </is>
      </c>
      <c r="T419" s="36">
        <f>IF($A419="","",IF($S419="","",IFERROR(INDEX('[1]natural catastrophe'!$D$6:$D$17,MATCH($S419,'[1]natural catastrophe'!$B$6:$B$17,0)),"?")))</f>
      </c>
      <c r="U419" s="30" t="inlineStr">
        <is>
          <t xml:space="preserve">$5,000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7265.4</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CANON-202607-008231</t>
        </is>
      </c>
      <c r="B420" s="46" t="inlineStr">
        <is>
          <t xml:space="preserve">Ingrid Rourke</t>
        </is>
      </c>
      <c r="C420" s="47">
        <v>46204</v>
      </c>
      <c r="D420" s="48" t="inlineStr">
        <is>
          <t xml:space="preserve">Bound - within authority</t>
        </is>
      </c>
      <c r="E420" s="48" t="inlineStr">
        <is>
          <t xml:space="preserve">New business</t>
        </is>
      </c>
      <c r="F420" s="46" t="inlineStr">
        <is>
          <t xml:space="preserve">B1234EXOTIC26</t>
        </is>
      </c>
      <c r="G420" s="33">
        <f>IF($A420="","",IF($C420="","",YEAR($C420)))</f>
      </c>
      <c r="H420" s="49">
        <v>2010</v>
      </c>
      <c r="I420" s="46" t="inlineStr">
        <is>
          <t xml:space="preserve">Mercedes-Benz</t>
        </is>
      </c>
      <c r="J420" s="46" t="inlineStr">
        <is>
          <t xml:space="preserve">AMG GT</t>
        </is>
      </c>
      <c r="K420" s="46" t="inlineStr">
        <is>
          <t xml:space="preserve">P5YR0SAS266T6JJ6T</t>
        </is>
      </c>
      <c r="L420" s="48" t="inlineStr">
        <is>
          <t xml:space="preserve">02 - Sports / GT</t>
        </is>
      </c>
      <c r="M420" s="50">
        <v>275000</v>
      </c>
      <c r="N420" s="48" t="inlineStr">
        <is>
          <t xml:space="preserve">Personal</t>
        </is>
      </c>
      <c r="O420" s="46" t="inlineStr">
        <is>
          <t xml:space="preserve">Personal - regular use</t>
        </is>
      </c>
      <c r="P420" s="46" t="inlineStr">
        <is>
          <t xml:space="preserve">Under 1,000</t>
        </is>
      </c>
      <c r="Q420" s="46" t="inlineStr">
        <is>
          <t xml:space="preserve">Texas</t>
        </is>
      </c>
      <c r="R420" s="46" t="inlineStr">
        <is>
          <t xml:space="preserve">75201</t>
        </is>
      </c>
      <c r="S420" s="48" t="inlineStr">
        <is>
          <t xml:space="preserve">Tier 2 - Coastal wind (1-25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3405.66</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CANON-202607-008232</t>
        </is>
      </c>
      <c r="B421" s="30" t="inlineStr">
        <is>
          <t xml:space="preserve">Desmond Larsson</t>
        </is>
      </c>
      <c r="C421" s="31">
        <v>46229</v>
      </c>
      <c r="D421" s="32" t="inlineStr">
        <is>
          <t xml:space="preserve">Bound - within authority</t>
        </is>
      </c>
      <c r="E421" s="32" t="inlineStr">
        <is>
          <t xml:space="preserve">New business</t>
        </is>
      </c>
      <c r="F421" s="30" t="inlineStr">
        <is>
          <t xml:space="preserve">B1234EXOTIC26</t>
        </is>
      </c>
      <c r="G421" s="33">
        <f>IF($A421="","",IF($C421="","",YEAR($C421)))</f>
      </c>
      <c r="H421" s="34">
        <v>2003</v>
      </c>
      <c r="I421" s="30" t="inlineStr">
        <is>
          <t xml:space="preserve">Bentley</t>
        </is>
      </c>
      <c r="J421" s="30" t="inlineStr">
        <is>
          <t xml:space="preserve">Continental GT</t>
        </is>
      </c>
      <c r="K421" s="30" t="inlineStr">
        <is>
          <t xml:space="preserve">CY1TYP4U1BXJ2G8TS</t>
        </is>
      </c>
      <c r="L421" s="32" t="inlineStr">
        <is>
          <t xml:space="preserve">02 - Sports / GT</t>
        </is>
      </c>
      <c r="M421" s="35">
        <v>640000</v>
      </c>
      <c r="N421" s="32" t="inlineStr">
        <is>
          <t xml:space="preserve">Personal</t>
        </is>
      </c>
      <c r="O421" s="30" t="inlineStr">
        <is>
          <t xml:space="preserve">Personal - regular use</t>
        </is>
      </c>
      <c r="P421" s="30" t="inlineStr">
        <is>
          <t xml:space="preserve">Under 1,000</t>
        </is>
      </c>
      <c r="Q421" s="30" t="inlineStr">
        <is>
          <t xml:space="preserve">Hawaii</t>
        </is>
      </c>
      <c r="R421" s="30" t="inlineStr">
        <is>
          <t xml:space="preserve">96813</t>
        </is>
      </c>
      <c r="S421" s="32" t="inlineStr">
        <is>
          <t xml:space="preserve">Earthquake - high (CA, Cascadia, New Madrid)</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7765.07</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CANON-202607-008233</t>
        </is>
      </c>
      <c r="B422" s="46" t="inlineStr">
        <is>
          <t xml:space="preserve">Fitzgerald Rourke</t>
        </is>
      </c>
      <c r="C422" s="47">
        <v>46219</v>
      </c>
      <c r="D422" s="48" t="inlineStr">
        <is>
          <t xml:space="preserve">Bound - within authority</t>
        </is>
      </c>
      <c r="E422" s="48" t="inlineStr">
        <is>
          <t xml:space="preserve">New business</t>
        </is>
      </c>
      <c r="F422" s="46" t="inlineStr">
        <is>
          <t xml:space="preserve">B1234EXOTIC26</t>
        </is>
      </c>
      <c r="G422" s="33">
        <f>IF($A422="","",IF($C422="","",YEAR($C422)))</f>
      </c>
      <c r="H422" s="49">
        <v>2015</v>
      </c>
      <c r="I422" s="46" t="inlineStr">
        <is>
          <t xml:space="preserve">Ferrari</t>
        </is>
      </c>
      <c r="J422" s="46" t="inlineStr">
        <is>
          <t xml:space="preserve">275 GTB/4</t>
        </is>
      </c>
      <c r="K422" s="46" t="inlineStr">
        <is>
          <t xml:space="preserve">WK41E6VK2WCUSZ1PA</t>
        </is>
      </c>
      <c r="L422" s="48" t="inlineStr">
        <is>
          <t xml:space="preserve">02 - Sports / GT</t>
        </is>
      </c>
      <c r="M422" s="50">
        <v>880000</v>
      </c>
      <c r="N422" s="48" t="inlineStr">
        <is>
          <t xml:space="preserve">Personal</t>
        </is>
      </c>
      <c r="O422" s="46" t="inlineStr">
        <is>
          <t xml:space="preserve">Personal - regular use</t>
        </is>
      </c>
      <c r="P422" s="46" t="inlineStr">
        <is>
          <t xml:space="preserve">Under 1,000</t>
        </is>
      </c>
      <c r="Q422" s="46" t="inlineStr">
        <is>
          <t xml:space="preserve">South Carolina</t>
        </is>
      </c>
      <c r="R422" s="46" t="inlineStr">
        <is>
          <t xml:space="preserve">29401</t>
        </is>
      </c>
      <c r="S422" s="48" t="inlineStr">
        <is>
          <t xml:space="preserve">Tier 2 - Coastal wind (1-25 miles)</t>
        </is>
      </c>
      <c r="T422" s="36">
        <f>IF($A422="","",IF($S422="","",IFERROR(INDEX('[1]natural catastrophe'!$D$6:$D$17,MATCH($S422,'[1]natural catastrophe'!$B$6:$B$17,0)),"?")))</f>
      </c>
      <c r="U422" s="46" t="inlineStr">
        <is>
          <t xml:space="preserve">2% of agreed value, minimum $10,000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6737.23</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CANON-202607-008235</t>
        </is>
      </c>
      <c r="B423" s="30" t="inlineStr">
        <is>
          <t xml:space="preserve">Marisol Vandermeer</t>
        </is>
      </c>
      <c r="C423" s="31">
        <v>46206</v>
      </c>
      <c r="D423" s="32" t="inlineStr">
        <is>
          <t xml:space="preserve">Bound - within authority</t>
        </is>
      </c>
      <c r="E423" s="32" t="inlineStr">
        <is>
          <t xml:space="preserve">New business</t>
        </is>
      </c>
      <c r="F423" s="30" t="inlineStr">
        <is>
          <t xml:space="preserve">B1234EXOTIC26</t>
        </is>
      </c>
      <c r="G423" s="33">
        <f>IF($A423="","",IF($C423="","",YEAR($C423)))</f>
      </c>
      <c r="H423" s="34">
        <v>1981</v>
      </c>
      <c r="I423" s="30" t="inlineStr">
        <is>
          <t xml:space="preserve">Porsche</t>
        </is>
      </c>
      <c r="J423" s="30" t="inlineStr">
        <is>
          <t xml:space="preserve">911 Turbo S</t>
        </is>
      </c>
      <c r="K423" s="30" t="inlineStr">
        <is>
          <t xml:space="preserve">BT8XPH98S1GUHUNTB</t>
        </is>
      </c>
      <c r="L423" s="32" t="inlineStr">
        <is>
          <t xml:space="preserve">02 - Sports / GT</t>
        </is>
      </c>
      <c r="M423" s="35">
        <v>275000</v>
      </c>
      <c r="N423" s="32" t="inlineStr">
        <is>
          <t xml:space="preserve">Personal</t>
        </is>
      </c>
      <c r="O423" s="30" t="inlineStr">
        <is>
          <t xml:space="preserve">Personal - regular use</t>
        </is>
      </c>
      <c r="P423" s="30" t="inlineStr">
        <is>
          <t xml:space="preserve">2,500 - 5,000</t>
        </is>
      </c>
      <c r="Q423" s="30" t="inlineStr">
        <is>
          <t xml:space="preserve">Colorado</t>
        </is>
      </c>
      <c r="R423" s="30" t="inlineStr">
        <is>
          <t xml:space="preserve">80202</t>
        </is>
      </c>
      <c r="S423" s="32" t="inlineStr">
        <is>
          <t xml:space="preserve">Severe convective - hail alley (high)</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3257.58</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CANON-202607-008236</t>
        </is>
      </c>
      <c r="B424" s="46" t="inlineStr">
        <is>
          <t xml:space="preserve">Desmond Nakashima</t>
        </is>
      </c>
      <c r="C424" s="47">
        <v>46215</v>
      </c>
      <c r="D424" s="48" t="inlineStr">
        <is>
          <t xml:space="preserve">Bound - within authority</t>
        </is>
      </c>
      <c r="E424" s="48" t="inlineStr">
        <is>
          <t xml:space="preserve">New business</t>
        </is>
      </c>
      <c r="F424" s="46" t="inlineStr">
        <is>
          <t xml:space="preserve">B1234EXOTIC26</t>
        </is>
      </c>
      <c r="G424" s="33">
        <f>IF($A424="","",IF($C424="","",YEAR($C424)))</f>
      </c>
      <c r="H424" s="49">
        <v>1975</v>
      </c>
      <c r="I424" s="46" t="inlineStr">
        <is>
          <t xml:space="preserve">Mercedes-Benz</t>
        </is>
      </c>
      <c r="J424" s="46" t="inlineStr">
        <is>
          <t xml:space="preserve">AMG GT</t>
        </is>
      </c>
      <c r="K424" s="46" t="inlineStr">
        <is>
          <t xml:space="preserve">X04J2NHK62W0489GA</t>
        </is>
      </c>
      <c r="L424" s="48" t="inlineStr">
        <is>
          <t xml:space="preserve">02 - Sports / GT</t>
        </is>
      </c>
      <c r="M424" s="50">
        <v>275000</v>
      </c>
      <c r="N424" s="48" t="inlineStr">
        <is>
          <t xml:space="preserve">Personal</t>
        </is>
      </c>
      <c r="O424" s="46" t="inlineStr">
        <is>
          <t xml:space="preserve">Personal - regular use</t>
        </is>
      </c>
      <c r="P424" s="46" t="inlineStr">
        <is>
          <t xml:space="preserve">1,000 - 2,500</t>
        </is>
      </c>
      <c r="Q424" s="46" t="inlineStr">
        <is>
          <t xml:space="preserve">Montana</t>
        </is>
      </c>
      <c r="R424" s="46" t="inlineStr">
        <is>
          <t xml:space="preserve">59601</t>
        </is>
      </c>
      <c r="S424" s="48" t="inlineStr">
        <is>
          <t xml:space="preserve">Wildfire - WUI high hazard</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2754.14</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CANON-202607-008237</t>
        </is>
      </c>
      <c r="B425" s="30" t="inlineStr">
        <is>
          <t xml:space="preserve">Horace Castellanos</t>
        </is>
      </c>
      <c r="C425" s="31">
        <v>46210</v>
      </c>
      <c r="D425" s="32" t="inlineStr">
        <is>
          <t xml:space="preserve">Bound - within authority</t>
        </is>
      </c>
      <c r="E425" s="32" t="inlineStr">
        <is>
          <t xml:space="preserve">New business</t>
        </is>
      </c>
      <c r="F425" s="30" t="inlineStr">
        <is>
          <t xml:space="preserve">B1234EXOTIC26</t>
        </is>
      </c>
      <c r="G425" s="33">
        <f>IF($A425="","",IF($C425="","",YEAR($C425)))</f>
      </c>
      <c r="H425" s="34">
        <v>1998</v>
      </c>
      <c r="I425" s="30" t="inlineStr">
        <is>
          <t xml:space="preserve">Bentley</t>
        </is>
      </c>
      <c r="J425" s="30" t="inlineStr">
        <is>
          <t xml:space="preserve">Continental GT</t>
        </is>
      </c>
      <c r="K425" s="30" t="inlineStr">
        <is>
          <t xml:space="preserve">1YNKZ7TS5SV8XDS2M</t>
        </is>
      </c>
      <c r="L425" s="32" t="inlineStr">
        <is>
          <t xml:space="preserve">02 - Sports / GT</t>
        </is>
      </c>
      <c r="M425" s="35">
        <v>845000</v>
      </c>
      <c r="N425" s="32" t="inlineStr">
        <is>
          <t xml:space="preserve">Personal</t>
        </is>
      </c>
      <c r="O425" s="30" t="inlineStr">
        <is>
          <t xml:space="preserve">Personal - regular use</t>
        </is>
      </c>
      <c r="P425" s="30" t="inlineStr">
        <is>
          <t xml:space="preserve">Under 1,000</t>
        </is>
      </c>
      <c r="Q425" s="30" t="inlineStr">
        <is>
          <t xml:space="preserve">New York</t>
        </is>
      </c>
      <c r="R425" s="30" t="inlineStr">
        <is>
          <t xml:space="preserve">10022</t>
        </is>
      </c>
      <c r="S425" s="32" t="inlineStr">
        <is>
          <t xml:space="preserve">Tier 3 - Coastal wind (25-100 miles)</t>
        </is>
      </c>
      <c r="T425" s="36">
        <f>IF($A425="","",IF($S425="","",IFERROR(INDEX('[1]natural catastrophe'!$D$6:$D$17,MATCH($S425,'[1]natural catastrophe'!$B$6:$B$17,0)),"?")))</f>
      </c>
      <c r="U425" s="30" t="inlineStr">
        <is>
          <t xml:space="preserve">2% of agreed value, minimum $10,000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10094.6</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CANON-202607-008239</t>
        </is>
      </c>
      <c r="B426" s="46" t="inlineStr">
        <is>
          <t xml:space="preserve">Saoirse Montoya</t>
        </is>
      </c>
      <c r="C426" s="47">
        <v>46216</v>
      </c>
      <c r="D426" s="48" t="inlineStr">
        <is>
          <t xml:space="preserve">Bound - within authority</t>
        </is>
      </c>
      <c r="E426" s="48" t="inlineStr">
        <is>
          <t xml:space="preserve">New business</t>
        </is>
      </c>
      <c r="F426" s="46" t="inlineStr">
        <is>
          <t xml:space="preserve">B1234EXOTIC26</t>
        </is>
      </c>
      <c r="G426" s="33">
        <f>IF($A426="","",IF($C426="","",YEAR($C426)))</f>
      </c>
      <c r="H426" s="49">
        <v>1968</v>
      </c>
      <c r="I426" s="46" t="inlineStr">
        <is>
          <t xml:space="preserve">Mercedes-Benz</t>
        </is>
      </c>
      <c r="J426" s="46" t="inlineStr">
        <is>
          <t xml:space="preserve">AMG GT</t>
        </is>
      </c>
      <c r="K426" s="46" t="inlineStr">
        <is>
          <t xml:space="preserve">85NMN23NNA5K0VMP0</t>
        </is>
      </c>
      <c r="L426" s="48" t="inlineStr">
        <is>
          <t xml:space="preserve">02 - Sports / GT</t>
        </is>
      </c>
      <c r="M426" s="50">
        <v>275000</v>
      </c>
      <c r="N426" s="48" t="inlineStr">
        <is>
          <t xml:space="preserve">Personal</t>
        </is>
      </c>
      <c r="O426" s="46" t="inlineStr">
        <is>
          <t xml:space="preserve">Personal - regular use</t>
        </is>
      </c>
      <c r="P426" s="46" t="inlineStr">
        <is>
          <t xml:space="preserve">2,500 - 5,000</t>
        </is>
      </c>
      <c r="Q426" s="46" t="inlineStr">
        <is>
          <t xml:space="preserve">Oregon</t>
        </is>
      </c>
      <c r="R426" s="46" t="inlineStr">
        <is>
          <t xml:space="preserve">97204</t>
        </is>
      </c>
      <c r="S426" s="48" t="inlineStr">
        <is>
          <t xml:space="preserve">Earthquake - high (CA, Cascadia, New Madrid)</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3346.43</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CANON-202607-008240</t>
        </is>
      </c>
      <c r="B427" s="30" t="inlineStr">
        <is>
          <t xml:space="preserve">Fenwick Vandermeer</t>
        </is>
      </c>
      <c r="C427" s="31">
        <v>46231</v>
      </c>
      <c r="D427" s="32" t="inlineStr">
        <is>
          <t xml:space="preserve">Bound - within authority</t>
        </is>
      </c>
      <c r="E427" s="32" t="inlineStr">
        <is>
          <t xml:space="preserve">New business</t>
        </is>
      </c>
      <c r="F427" s="30" t="inlineStr">
        <is>
          <t xml:space="preserve">B1234EXOTIC26</t>
        </is>
      </c>
      <c r="G427" s="33">
        <f>IF($A427="","",IF($C427="","",YEAR($C427)))</f>
      </c>
      <c r="H427" s="34">
        <v>1975</v>
      </c>
      <c r="I427" s="30" t="inlineStr">
        <is>
          <t xml:space="preserve">Maserati</t>
        </is>
      </c>
      <c r="J427" s="30" t="inlineStr">
        <is>
          <t xml:space="preserve">GranTurismo</t>
        </is>
      </c>
      <c r="K427" s="30" t="inlineStr">
        <is>
          <t xml:space="preserve">VRPHLC7JWY1CATDSW</t>
        </is>
      </c>
      <c r="L427" s="32" t="inlineStr">
        <is>
          <t xml:space="preserve">02 - Sports / GT</t>
        </is>
      </c>
      <c r="M427" s="35">
        <v>320000</v>
      </c>
      <c r="N427" s="32" t="inlineStr">
        <is>
          <t xml:space="preserve">Personal</t>
        </is>
      </c>
      <c r="O427" s="30" t="inlineStr">
        <is>
          <t xml:space="preserve">Personal - regular use</t>
        </is>
      </c>
      <c r="P427" s="30" t="inlineStr">
        <is>
          <t xml:space="preserve">Under 1,000</t>
        </is>
      </c>
      <c r="Q427" s="30" t="inlineStr">
        <is>
          <t xml:space="preserve">California</t>
        </is>
      </c>
      <c r="R427" s="30" t="inlineStr">
        <is>
          <t xml:space="preserve">90012</t>
        </is>
      </c>
      <c r="S427" s="32" t="inlineStr">
        <is>
          <t xml:space="preserve">Earthquake - high (CA, Cascadia, New Madrid)</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4652.15</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CANON-202607-008241</t>
        </is>
      </c>
      <c r="B428" s="46" t="inlineStr">
        <is>
          <t xml:space="preserve">Ingrid Montoya</t>
        </is>
      </c>
      <c r="C428" s="47">
        <v>46209</v>
      </c>
      <c r="D428" s="48" t="inlineStr">
        <is>
          <t xml:space="preserve">Bound - within authority</t>
        </is>
      </c>
      <c r="E428" s="48" t="inlineStr">
        <is>
          <t xml:space="preserve">New business</t>
        </is>
      </c>
      <c r="F428" s="46" t="inlineStr">
        <is>
          <t xml:space="preserve">B1234EXOTIC26</t>
        </is>
      </c>
      <c r="G428" s="33">
        <f>IF($A428="","",IF($C428="","",YEAR($C428)))</f>
      </c>
      <c r="H428" s="49">
        <v>1996</v>
      </c>
      <c r="I428" s="46" t="inlineStr">
        <is>
          <t xml:space="preserve">BMW</t>
        </is>
      </c>
      <c r="J428" s="46" t="inlineStr">
        <is>
          <t xml:space="preserve">M8 Competition</t>
        </is>
      </c>
      <c r="K428" s="46" t="inlineStr">
        <is>
          <t xml:space="preserve">5YV7GW0X68R5674EK</t>
        </is>
      </c>
      <c r="L428" s="48" t="inlineStr">
        <is>
          <t xml:space="preserve">02 - Sports / GT</t>
        </is>
      </c>
      <c r="M428" s="50">
        <v>660000</v>
      </c>
      <c r="N428" s="48" t="inlineStr">
        <is>
          <t xml:space="preserve">Personal</t>
        </is>
      </c>
      <c r="O428" s="46" t="inlineStr">
        <is>
          <t xml:space="preserve">Personal - regular use</t>
        </is>
      </c>
      <c r="P428" s="46" t="inlineStr">
        <is>
          <t xml:space="preserve">1,000 - 2,500</t>
        </is>
      </c>
      <c r="Q428" s="46" t="inlineStr">
        <is>
          <t xml:space="preserve">Louisiana</t>
        </is>
      </c>
      <c r="R428" s="46" t="inlineStr">
        <is>
          <t xml:space="preserve">70112</t>
        </is>
      </c>
      <c r="S428" s="48" t="inlineStr">
        <is>
          <t xml:space="preserve">Tier 2 - Coastal wind (1-25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7453.35</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CANON-202607-008242</t>
        </is>
      </c>
      <c r="B429" s="30" t="inlineStr">
        <is>
          <t xml:space="preserve">Marisol Pennington</t>
        </is>
      </c>
      <c r="C429" s="31">
        <v>46228</v>
      </c>
      <c r="D429" s="32" t="inlineStr">
        <is>
          <t xml:space="preserve">Bound - within authority</t>
        </is>
      </c>
      <c r="E429" s="32" t="inlineStr">
        <is>
          <t xml:space="preserve">New business</t>
        </is>
      </c>
      <c r="F429" s="30" t="inlineStr">
        <is>
          <t xml:space="preserve">B1234EXOTIC26</t>
        </is>
      </c>
      <c r="G429" s="33">
        <f>IF($A429="","",IF($C429="","",YEAR($C429)))</f>
      </c>
      <c r="H429" s="34">
        <v>1972</v>
      </c>
      <c r="I429" s="30" t="inlineStr">
        <is>
          <t xml:space="preserve">Maserati</t>
        </is>
      </c>
      <c r="J429" s="30" t="inlineStr">
        <is>
          <t xml:space="preserve">GranTurismo</t>
        </is>
      </c>
      <c r="K429" s="30" t="inlineStr">
        <is>
          <t xml:space="preserve">0CAGYPCNPG9FRJJZ1</t>
        </is>
      </c>
      <c r="L429" s="32" t="inlineStr">
        <is>
          <t xml:space="preserve">02 - Sports / GT</t>
        </is>
      </c>
      <c r="M429" s="35">
        <v>290000</v>
      </c>
      <c r="N429" s="32" t="inlineStr">
        <is>
          <t xml:space="preserve">Personal</t>
        </is>
      </c>
      <c r="O429" s="30" t="inlineStr">
        <is>
          <t xml:space="preserve">Personal - regular use</t>
        </is>
      </c>
      <c r="P429" s="30" t="inlineStr">
        <is>
          <t xml:space="preserve">1,000 - 2,500</t>
        </is>
      </c>
      <c r="Q429" s="30" t="inlineStr">
        <is>
          <t xml:space="preserve">South Carolina</t>
        </is>
      </c>
      <c r="R429" s="30" t="inlineStr">
        <is>
          <t xml:space="preserve">29401</t>
        </is>
      </c>
      <c r="S429" s="32" t="inlineStr">
        <is>
          <t xml:space="preserve">Tier 2 - Coastal wind (1-25 miles)</t>
        </is>
      </c>
      <c r="T429" s="36">
        <f>IF($A429="","",IF($S429="","",IFERROR(INDEX('[1]natural catastrophe'!$D$6:$D$17,MATCH($S429,'[1]natural catastrophe'!$B$6:$B$17,0)),"?")))</f>
      </c>
      <c r="U429" s="30" t="inlineStr">
        <is>
          <t xml:space="preserve">2% of agreed value, minimum $10,000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3872.49</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CANON-202607-008243</t>
        </is>
      </c>
      <c r="B430" s="46" t="inlineStr">
        <is>
          <t xml:space="preserve">Cassius Harrington</t>
        </is>
      </c>
      <c r="C430" s="47">
        <v>46215</v>
      </c>
      <c r="D430" s="48" t="inlineStr">
        <is>
          <t xml:space="preserve">Bound - within authority</t>
        </is>
      </c>
      <c r="E430" s="48" t="inlineStr">
        <is>
          <t xml:space="preserve">New business</t>
        </is>
      </c>
      <c r="F430" s="46" t="inlineStr">
        <is>
          <t xml:space="preserve">B1234EXOTIC26</t>
        </is>
      </c>
      <c r="G430" s="33">
        <f>IF($A430="","",IF($C430="","",YEAR($C430)))</f>
      </c>
      <c r="H430" s="49">
        <v>1962</v>
      </c>
      <c r="I430" s="46" t="inlineStr">
        <is>
          <t xml:space="preserve">Porsche</t>
        </is>
      </c>
      <c r="J430" s="46" t="inlineStr">
        <is>
          <t xml:space="preserve">911 Turbo S</t>
        </is>
      </c>
      <c r="K430" s="46" t="inlineStr">
        <is>
          <t xml:space="preserve">4ELNV7HVZ9RWPBMHL</t>
        </is>
      </c>
      <c r="L430" s="48" t="inlineStr">
        <is>
          <t xml:space="preserve">02 - Sports / GT</t>
        </is>
      </c>
      <c r="M430" s="50">
        <v>295000</v>
      </c>
      <c r="N430" s="48" t="inlineStr">
        <is>
          <t xml:space="preserve">Personal</t>
        </is>
      </c>
      <c r="O430" s="46" t="inlineStr">
        <is>
          <t xml:space="preserve">Personal - regular use</t>
        </is>
      </c>
      <c r="P430" s="46" t="inlineStr">
        <is>
          <t xml:space="preserve">Under 1,000</t>
        </is>
      </c>
      <c r="Q430" s="46" t="inlineStr">
        <is>
          <t xml:space="preserve">California</t>
        </is>
      </c>
      <c r="R430" s="46" t="inlineStr">
        <is>
          <t xml:space="preserve">90012</t>
        </is>
      </c>
      <c r="S430" s="48" t="inlineStr">
        <is>
          <t xml:space="preserve">Earthquake - high (CA, Cascadia, New Madrid)</t>
        </is>
      </c>
      <c r="T430" s="36">
        <f>IF($A430="","",IF($S430="","",IFERROR(INDEX('[1]natural catastrophe'!$D$6:$D$17,MATCH($S430,'[1]natural catastrophe'!$B$6:$B$17,0)),"?")))</f>
      </c>
      <c r="U430" s="46" t="inlineStr">
        <is>
          <t xml:space="preserve">$5,000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4288.7</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CANON-202607-008244</t>
        </is>
      </c>
      <c r="B431" s="30" t="inlineStr">
        <is>
          <t xml:space="preserve">Horace Farkas</t>
        </is>
      </c>
      <c r="C431" s="31">
        <v>46216</v>
      </c>
      <c r="D431" s="32" t="inlineStr">
        <is>
          <t xml:space="preserve">Bound - within authority</t>
        </is>
      </c>
      <c r="E431" s="32" t="inlineStr">
        <is>
          <t xml:space="preserve">New business</t>
        </is>
      </c>
      <c r="F431" s="30" t="inlineStr">
        <is>
          <t xml:space="preserve">B1234EXOTIC26</t>
        </is>
      </c>
      <c r="G431" s="33">
        <f>IF($A431="","",IF($C431="","",YEAR($C431)))</f>
      </c>
      <c r="H431" s="34">
        <v>1957</v>
      </c>
      <c r="I431" s="30" t="inlineStr">
        <is>
          <t xml:space="preserve">Mercedes-Benz</t>
        </is>
      </c>
      <c r="J431" s="30" t="inlineStr">
        <is>
          <t xml:space="preserve">280SL Pagoda</t>
        </is>
      </c>
      <c r="K431" s="30" t="inlineStr">
        <is>
          <t xml:space="preserve">5AJ555FE1019SV0UY</t>
        </is>
      </c>
      <c r="L431" s="32" t="inlineStr">
        <is>
          <t xml:space="preserve">07 - Post-War Classic (1946-1972)</t>
        </is>
      </c>
      <c r="M431" s="35">
        <v>200000</v>
      </c>
      <c r="N431" s="32" t="inlineStr">
        <is>
          <t xml:space="preserve">Personal</t>
        </is>
      </c>
      <c r="O431" s="30" t="inlineStr">
        <is>
          <t xml:space="preserve">Personal - regular use</t>
        </is>
      </c>
      <c r="P431" s="30" t="inlineStr">
        <is>
          <t xml:space="preserve">Under 1,000</t>
        </is>
      </c>
      <c r="Q431" s="30" t="inlineStr">
        <is>
          <t xml:space="preserve">Illinois</t>
        </is>
      </c>
      <c r="R431" s="30" t="inlineStr">
        <is>
          <t xml:space="preserve">60601</t>
        </is>
      </c>
      <c r="S431" s="32" t="inlineStr">
        <is>
          <t xml:space="preserve">Severe convective - hail / tornado (moderate)</t>
        </is>
      </c>
      <c r="T431" s="36">
        <f>IF($A431="","",IF($S431="","",IFERROR(INDEX('[1]natural catastrophe'!$D$6:$D$17,MATCH($S431,'[1]natural catastrophe'!$B$6:$B$17,0)),"?")))</f>
      </c>
      <c r="U431" s="30" t="inlineStr">
        <is>
          <t xml:space="preserve">$5,000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2226.14</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CANON-202607-008246</t>
        </is>
      </c>
      <c r="B432" s="46" t="inlineStr">
        <is>
          <t xml:space="preserve">Everett Thistlewood</t>
        </is>
      </c>
      <c r="C432" s="47">
        <v>46207</v>
      </c>
      <c r="D432" s="48" t="inlineStr">
        <is>
          <t xml:space="preserve">Bound - within authority</t>
        </is>
      </c>
      <c r="E432" s="48" t="inlineStr">
        <is>
          <t xml:space="preserve">New business</t>
        </is>
      </c>
      <c r="F432" s="46" t="inlineStr">
        <is>
          <t xml:space="preserve">B1234EXOTIC26</t>
        </is>
      </c>
      <c r="G432" s="33">
        <f>IF($A432="","",IF($C432="","",YEAR($C432)))</f>
      </c>
      <c r="H432" s="49">
        <v>1957</v>
      </c>
      <c r="I432" s="46" t="inlineStr">
        <is>
          <t xml:space="preserve">Lamborghini</t>
        </is>
      </c>
      <c r="J432" s="46" t="inlineStr">
        <is>
          <t xml:space="preserve">Huracan EVO</t>
        </is>
      </c>
      <c r="K432" s="46" t="inlineStr">
        <is>
          <t xml:space="preserve">JDTWEBBMKMNEYAFAU</t>
        </is>
      </c>
      <c r="L432" s="48" t="inlineStr">
        <is>
          <t xml:space="preserve">03 - Supercar</t>
        </is>
      </c>
      <c r="M432" s="50">
        <v>570000</v>
      </c>
      <c r="N432" s="48" t="inlineStr">
        <is>
          <t xml:space="preserve">Personal</t>
        </is>
      </c>
      <c r="O432" s="46" t="inlineStr">
        <is>
          <t xml:space="preserve">Personal - regular use</t>
        </is>
      </c>
      <c r="P432" s="46" t="inlineStr">
        <is>
          <t xml:space="preserve">1,000 - 2,500</t>
        </is>
      </c>
      <c r="Q432" s="46" t="inlineStr">
        <is>
          <t xml:space="preserve">New Mexico</t>
        </is>
      </c>
      <c r="R432" s="46" t="inlineStr">
        <is>
          <t xml:space="preserve">87501</t>
        </is>
      </c>
      <c r="S432" s="48" t="inlineStr">
        <is>
          <t xml:space="preserve">Wildfire - WUI high hazard</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9952.16</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CANON-202607-008248</t>
        </is>
      </c>
      <c r="B433" s="30" t="inlineStr">
        <is>
          <t xml:space="preserve">Ingrid Merriweather</t>
        </is>
      </c>
      <c r="C433" s="31">
        <v>46232</v>
      </c>
      <c r="D433" s="32" t="inlineStr">
        <is>
          <t xml:space="preserve">Bound - within authority</t>
        </is>
      </c>
      <c r="E433" s="32" t="inlineStr">
        <is>
          <t xml:space="preserve">New business</t>
        </is>
      </c>
      <c r="F433" s="30" t="inlineStr">
        <is>
          <t xml:space="preserve">B1234EXOTIC26</t>
        </is>
      </c>
      <c r="G433" s="33">
        <f>IF($A433="","",IF($C433="","",YEAR($C433)))</f>
      </c>
      <c r="H433" s="34">
        <v>2024</v>
      </c>
      <c r="I433" s="30" t="inlineStr">
        <is>
          <t xml:space="preserve">Ferrari</t>
        </is>
      </c>
      <c r="J433" s="30" t="inlineStr">
        <is>
          <t xml:space="preserve">SF90 Stradale</t>
        </is>
      </c>
      <c r="K433" s="30" t="inlineStr">
        <is>
          <t xml:space="preserve">R65CWGL0V8E3KHUS3</t>
        </is>
      </c>
      <c r="L433" s="32" t="inlineStr">
        <is>
          <t xml:space="preserve">03 - Supercar</t>
        </is>
      </c>
      <c r="M433" s="35">
        <v>695000</v>
      </c>
      <c r="N433" s="32" t="inlineStr">
        <is>
          <t xml:space="preserve">Personal</t>
        </is>
      </c>
      <c r="O433" s="30" t="inlineStr">
        <is>
          <t xml:space="preserve">Personal - regular use</t>
        </is>
      </c>
      <c r="P433" s="30" t="inlineStr">
        <is>
          <t xml:space="preserve">2,500 - 5,000</t>
        </is>
      </c>
      <c r="Q433" s="30" t="inlineStr">
        <is>
          <t xml:space="preserve">South Carolina</t>
        </is>
      </c>
      <c r="R433" s="30" t="inlineStr">
        <is>
          <t xml:space="preserve">29401</t>
        </is>
      </c>
      <c r="S433" s="32" t="inlineStr">
        <is>
          <t xml:space="preserve">Tier 2 - Coastal wind (1-25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11755.44</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CANON-202607-008250</t>
        </is>
      </c>
      <c r="B434" s="46" t="inlineStr">
        <is>
          <t xml:space="preserve">Sunniva Farkas</t>
        </is>
      </c>
      <c r="C434" s="47">
        <v>46233</v>
      </c>
      <c r="D434" s="48" t="inlineStr">
        <is>
          <t xml:space="preserve">Bound - within authority</t>
        </is>
      </c>
      <c r="E434" s="48" t="inlineStr">
        <is>
          <t xml:space="preserve">New business</t>
        </is>
      </c>
      <c r="F434" s="46" t="inlineStr">
        <is>
          <t xml:space="preserve">B1234EXOTIC26</t>
        </is>
      </c>
      <c r="G434" s="33">
        <f>IF($A434="","",IF($C434="","",YEAR($C434)))</f>
      </c>
      <c r="H434" s="49">
        <v>1982</v>
      </c>
      <c r="I434" s="46" t="inlineStr">
        <is>
          <t xml:space="preserve">Mercedes-Benz</t>
        </is>
      </c>
      <c r="J434" s="46" t="inlineStr">
        <is>
          <t xml:space="preserve">AMG GT</t>
        </is>
      </c>
      <c r="K434" s="46" t="inlineStr">
        <is>
          <t xml:space="preserve">BFU2L6LU61L0WRLSG</t>
        </is>
      </c>
      <c r="L434" s="48" t="inlineStr">
        <is>
          <t xml:space="preserve">02 - Sports / GT</t>
        </is>
      </c>
      <c r="M434" s="50">
        <v>320000</v>
      </c>
      <c r="N434" s="48" t="inlineStr">
        <is>
          <t xml:space="preserve">Personal</t>
        </is>
      </c>
      <c r="O434" s="46" t="inlineStr">
        <is>
          <t xml:space="preserve">Personal - regular use</t>
        </is>
      </c>
      <c r="P434" s="46" t="inlineStr">
        <is>
          <t xml:space="preserve">1,000 - 2,500</t>
        </is>
      </c>
      <c r="Q434" s="46" t="inlineStr">
        <is>
          <t xml:space="preserve">Pennsylvania</t>
        </is>
      </c>
      <c r="R434" s="46" t="inlineStr">
        <is>
          <t xml:space="preserve">19103</t>
        </is>
      </c>
      <c r="S434" s="48" t="inlineStr">
        <is>
          <t xml:space="preserve">Low hazard - inland benign</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3446.04</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CANON-202607-008251</t>
        </is>
      </c>
      <c r="B435" s="30" t="inlineStr">
        <is>
          <t xml:space="preserve">Cassius Vasquez</t>
        </is>
      </c>
      <c r="C435" s="31">
        <v>46230</v>
      </c>
      <c r="D435" s="32" t="inlineStr">
        <is>
          <t xml:space="preserve">Bound - within authority</t>
        </is>
      </c>
      <c r="E435" s="32" t="inlineStr">
        <is>
          <t xml:space="preserve">New business</t>
        </is>
      </c>
      <c r="F435" s="30" t="inlineStr">
        <is>
          <t xml:space="preserve">B1234EXOTIC26</t>
        </is>
      </c>
      <c r="G435" s="33">
        <f>IF($A435="","",IF($C435="","",YEAR($C435)))</f>
      </c>
      <c r="H435" s="34">
        <v>2005</v>
      </c>
      <c r="I435" s="30" t="inlineStr">
        <is>
          <t xml:space="preserve">Ferrari</t>
        </is>
      </c>
      <c r="J435" s="30" t="inlineStr">
        <is>
          <t xml:space="preserve">275 GTB/4</t>
        </is>
      </c>
      <c r="K435" s="30" t="inlineStr">
        <is>
          <t xml:space="preserve">KTF2RUGUVS6501ML8</t>
        </is>
      </c>
      <c r="L435" s="32" t="inlineStr">
        <is>
          <t xml:space="preserve">09 - Youngtimer / Collectible (2000-2010)</t>
        </is>
      </c>
      <c r="M435" s="35">
        <v>650000</v>
      </c>
      <c r="N435" s="32" t="inlineStr">
        <is>
          <t xml:space="preserve">Personal</t>
        </is>
      </c>
      <c r="O435" s="30" t="inlineStr">
        <is>
          <t xml:space="preserve">Personal - regular use</t>
        </is>
      </c>
      <c r="P435" s="30" t="inlineStr">
        <is>
          <t xml:space="preserve">Under 1,000</t>
        </is>
      </c>
      <c r="Q435" s="30" t="inlineStr">
        <is>
          <t xml:space="preserve">New York</t>
        </is>
      </c>
      <c r="R435" s="30" t="inlineStr">
        <is>
          <t xml:space="preserve">10022</t>
        </is>
      </c>
      <c r="S435" s="32" t="inlineStr">
        <is>
          <t xml:space="preserve">Tier 3 - Coastal wind (25-100 miles)</t>
        </is>
      </c>
      <c r="T435" s="36">
        <f>IF($A435="","",IF($S435="","",IFERROR(INDEX('[1]natural catastrophe'!$D$6:$D$17,MATCH($S435,'[1]natural catastrophe'!$B$6:$B$17,0)),"?")))</f>
      </c>
      <c r="U435" s="30" t="inlineStr">
        <is>
          <t xml:space="preserve">2% of agreed value, minimum $10,000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5136.89</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CANON-202607-008252</t>
        </is>
      </c>
      <c r="B436" s="46" t="inlineStr">
        <is>
          <t xml:space="preserve">Beatrix Ashcombe</t>
        </is>
      </c>
      <c r="C436" s="47">
        <v>46234</v>
      </c>
      <c r="D436" s="48" t="inlineStr">
        <is>
          <t xml:space="preserve">Bound - within authority</t>
        </is>
      </c>
      <c r="E436" s="48" t="inlineStr">
        <is>
          <t xml:space="preserve">New business</t>
        </is>
      </c>
      <c r="F436" s="46" t="inlineStr">
        <is>
          <t xml:space="preserve">B1234EXOTIC26</t>
        </is>
      </c>
      <c r="G436" s="33">
        <f>IF($A436="","",IF($C436="","",YEAR($C436)))</f>
      </c>
      <c r="H436" s="49">
        <v>2014</v>
      </c>
      <c r="I436" s="46" t="inlineStr">
        <is>
          <t xml:space="preserve">Mercedes-Benz</t>
        </is>
      </c>
      <c r="J436" s="46" t="inlineStr">
        <is>
          <t xml:space="preserve">AMG GT</t>
        </is>
      </c>
      <c r="K436" s="46" t="inlineStr">
        <is>
          <t xml:space="preserve">BNGZU96E6E5KP5M3L</t>
        </is>
      </c>
      <c r="L436" s="48" t="inlineStr">
        <is>
          <t xml:space="preserve">02 - Sports / GT</t>
        </is>
      </c>
      <c r="M436" s="50">
        <v>620000</v>
      </c>
      <c r="N436" s="48" t="inlineStr">
        <is>
          <t xml:space="preserve">Personal</t>
        </is>
      </c>
      <c r="O436" s="46" t="inlineStr">
        <is>
          <t xml:space="preserve">Personal - regular use</t>
        </is>
      </c>
      <c r="P436" s="46" t="inlineStr">
        <is>
          <t xml:space="preserve">1,000 - 2,500</t>
        </is>
      </c>
      <c r="Q436" s="46" t="inlineStr">
        <is>
          <t xml:space="preserve">Illinois</t>
        </is>
      </c>
      <c r="R436" s="46" t="inlineStr">
        <is>
          <t xml:space="preserve">60601</t>
        </is>
      </c>
      <c r="S436" s="48" t="inlineStr">
        <is>
          <t xml:space="preserve">Severe convective - hail / tornado (moderate)</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7869.6</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CANON-202607-008254</t>
        </is>
      </c>
      <c r="B437" s="30" t="inlineStr">
        <is>
          <t xml:space="preserve">Cassius Blackwood</t>
        </is>
      </c>
      <c r="C437" s="31">
        <v>46213</v>
      </c>
      <c r="D437" s="32" t="inlineStr">
        <is>
          <t xml:space="preserve">Bound - within authority</t>
        </is>
      </c>
      <c r="E437" s="32" t="inlineStr">
        <is>
          <t xml:space="preserve">New business</t>
        </is>
      </c>
      <c r="F437" s="30" t="inlineStr">
        <is>
          <t xml:space="preserve">B1234EXOTIC26</t>
        </is>
      </c>
      <c r="G437" s="33">
        <f>IF($A437="","",IF($C437="","",YEAR($C437)))</f>
      </c>
      <c r="H437" s="34">
        <v>1955</v>
      </c>
      <c r="I437" s="30" t="inlineStr">
        <is>
          <t xml:space="preserve">Ferrari</t>
        </is>
      </c>
      <c r="J437" s="30" t="inlineStr">
        <is>
          <t xml:space="preserve">296 GTB</t>
        </is>
      </c>
      <c r="K437" s="30" t="inlineStr">
        <is>
          <t xml:space="preserve">PZLBMAF5X0WSCKYNG</t>
        </is>
      </c>
      <c r="L437" s="32" t="inlineStr">
        <is>
          <t xml:space="preserve">03 - Supercar</t>
        </is>
      </c>
      <c r="M437" s="35">
        <v>625000</v>
      </c>
      <c r="N437" s="32" t="inlineStr">
        <is>
          <t xml:space="preserve">Personal</t>
        </is>
      </c>
      <c r="O437" s="30" t="inlineStr">
        <is>
          <t xml:space="preserve">Personal - regular use</t>
        </is>
      </c>
      <c r="P437" s="30" t="inlineStr">
        <is>
          <t xml:space="preserve">1,000 - 2,500</t>
        </is>
      </c>
      <c r="Q437" s="30" t="inlineStr">
        <is>
          <t xml:space="preserve">Oregon</t>
        </is>
      </c>
      <c r="R437" s="30" t="inlineStr">
        <is>
          <t xml:space="preserve">97204</t>
        </is>
      </c>
      <c r="S437" s="32" t="inlineStr">
        <is>
          <t xml:space="preserve">Earthquake - high (CA, Cascadia, New Madrid)</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9633.65</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CANON-202607-008255</t>
        </is>
      </c>
      <c r="B438" s="46" t="inlineStr">
        <is>
          <t xml:space="preserve">Thaddeus Harrington</t>
        </is>
      </c>
      <c r="C438" s="47">
        <v>46208</v>
      </c>
      <c r="D438" s="48" t="inlineStr">
        <is>
          <t xml:space="preserve">Bound - within authority</t>
        </is>
      </c>
      <c r="E438" s="48" t="inlineStr">
        <is>
          <t xml:space="preserve">New business</t>
        </is>
      </c>
      <c r="F438" s="46" t="inlineStr">
        <is>
          <t xml:space="preserve">B1234EXOTIC26</t>
        </is>
      </c>
      <c r="G438" s="33">
        <f>IF($A438="","",IF($C438="","",YEAR($C438)))</f>
      </c>
      <c r="H438" s="49">
        <v>1976</v>
      </c>
      <c r="I438" s="46" t="inlineStr">
        <is>
          <t xml:space="preserve">Maserati</t>
        </is>
      </c>
      <c r="J438" s="46" t="inlineStr">
        <is>
          <t xml:space="preserve">GranTurismo</t>
        </is>
      </c>
      <c r="K438" s="46" t="inlineStr">
        <is>
          <t xml:space="preserve">56STWU5BFUSBZMB18</t>
        </is>
      </c>
      <c r="L438" s="48" t="inlineStr">
        <is>
          <t xml:space="preserve">02 - Sports / GT</t>
        </is>
      </c>
      <c r="M438" s="50">
        <v>800000</v>
      </c>
      <c r="N438" s="48" t="inlineStr">
        <is>
          <t xml:space="preserve">Personal</t>
        </is>
      </c>
      <c r="O438" s="46" t="inlineStr">
        <is>
          <t xml:space="preserve">Personal - regular use</t>
        </is>
      </c>
      <c r="P438" s="46" t="inlineStr">
        <is>
          <t xml:space="preserve">Under 1,000</t>
        </is>
      </c>
      <c r="Q438" s="46" t="inlineStr">
        <is>
          <t xml:space="preserve">New York</t>
        </is>
      </c>
      <c r="R438" s="46" t="inlineStr">
        <is>
          <t xml:space="preserve">10022</t>
        </is>
      </c>
      <c r="S438" s="48" t="inlineStr">
        <is>
          <t xml:space="preserve">Tier 3 - Coastal wind (25-100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9557.01</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CANON-202607-008256</t>
        </is>
      </c>
      <c r="B439" s="30" t="inlineStr">
        <is>
          <t xml:space="preserve">Ingrid Bellandi</t>
        </is>
      </c>
      <c r="C439" s="31">
        <v>46216</v>
      </c>
      <c r="D439" s="32" t="inlineStr">
        <is>
          <t xml:space="preserve">Bound - within authority</t>
        </is>
      </c>
      <c r="E439" s="32" t="inlineStr">
        <is>
          <t xml:space="preserve">New business</t>
        </is>
      </c>
      <c r="F439" s="30" t="inlineStr">
        <is>
          <t xml:space="preserve">B1234EXOTIC26</t>
        </is>
      </c>
      <c r="G439" s="33">
        <f>IF($A439="","",IF($C439="","",YEAR($C439)))</f>
      </c>
      <c r="H439" s="34">
        <v>1984</v>
      </c>
      <c r="I439" s="30" t="inlineStr">
        <is>
          <t xml:space="preserve">Bentley</t>
        </is>
      </c>
      <c r="J439" s="30" t="inlineStr">
        <is>
          <t xml:space="preserve">Continental GT</t>
        </is>
      </c>
      <c r="K439" s="30" t="inlineStr">
        <is>
          <t xml:space="preserve">ZGT7G6GGE0UB0SHT3</t>
        </is>
      </c>
      <c r="L439" s="32" t="inlineStr">
        <is>
          <t xml:space="preserve">02 - Sports / GT</t>
        </is>
      </c>
      <c r="M439" s="35">
        <v>1125000</v>
      </c>
      <c r="N439" s="32" t="inlineStr">
        <is>
          <t xml:space="preserve">Personal</t>
        </is>
      </c>
      <c r="O439" s="30" t="inlineStr">
        <is>
          <t xml:space="preserve">Personal - regular use</t>
        </is>
      </c>
      <c r="P439" s="30" t="inlineStr">
        <is>
          <t xml:space="preserve">Under 1,000</t>
        </is>
      </c>
      <c r="Q439" s="30" t="inlineStr">
        <is>
          <t xml:space="preserve">North Dakota</t>
        </is>
      </c>
      <c r="R439" s="30" t="inlineStr">
        <is>
          <t xml:space="preserve">58501</t>
        </is>
      </c>
      <c r="S439" s="32" t="inlineStr">
        <is>
          <t xml:space="preserve">Severe convective - hail alley (high)</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9062</v>
      </c>
      <c r="AC439" s="37">
        <v>0</v>
      </c>
      <c r="AD439" s="38">
        <f>IF(ISNUMBER($AB439),$AB439*(1+N($AC439)),"")</f>
      </c>
      <c r="AE439" s="35">
        <v>350</v>
      </c>
      <c r="AF439" s="35">
        <v>250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CANON-202607-008257</t>
        </is>
      </c>
      <c r="B440" s="46" t="inlineStr">
        <is>
          <t xml:space="preserve">Callum Nakashima</t>
        </is>
      </c>
      <c r="C440" s="47">
        <v>46211</v>
      </c>
      <c r="D440" s="48" t="inlineStr">
        <is>
          <t xml:space="preserve">Bound - within authority</t>
        </is>
      </c>
      <c r="E440" s="48" t="inlineStr">
        <is>
          <t xml:space="preserve">New business</t>
        </is>
      </c>
      <c r="F440" s="46" t="inlineStr">
        <is>
          <t xml:space="preserve">B1234EXOTIC26</t>
        </is>
      </c>
      <c r="G440" s="33">
        <f>IF($A440="","",IF($C440="","",YEAR($C440)))</f>
      </c>
      <c r="H440" s="49">
        <v>1963</v>
      </c>
      <c r="I440" s="46" t="inlineStr">
        <is>
          <t xml:space="preserve">Ferrari</t>
        </is>
      </c>
      <c r="J440" s="46" t="inlineStr">
        <is>
          <t xml:space="preserve">275 GTB/4</t>
        </is>
      </c>
      <c r="K440" s="46" t="inlineStr">
        <is>
          <t xml:space="preserve">DV96GC3E90J9NMXYJ</t>
        </is>
      </c>
      <c r="L440" s="48" t="inlineStr">
        <is>
          <t xml:space="preserve">07 - Post-War Classic (1946-1972)</t>
        </is>
      </c>
      <c r="M440" s="50">
        <v>410000</v>
      </c>
      <c r="N440" s="48" t="inlineStr">
        <is>
          <t xml:space="preserve">Personal</t>
        </is>
      </c>
      <c r="O440" s="46" t="inlineStr">
        <is>
          <t xml:space="preserve">Personal - regular use</t>
        </is>
      </c>
      <c r="P440" s="46" t="inlineStr">
        <is>
          <t xml:space="preserve">1,000 - 2,500</t>
        </is>
      </c>
      <c r="Q440" s="46" t="inlineStr">
        <is>
          <t xml:space="preserve">Pennsylvania</t>
        </is>
      </c>
      <c r="R440" s="46" t="inlineStr">
        <is>
          <t xml:space="preserve">19103</t>
        </is>
      </c>
      <c r="S440" s="48" t="inlineStr">
        <is>
          <t xml:space="preserve">Low hazard - inland benign</t>
        </is>
      </c>
      <c r="T440" s="36">
        <f>IF($A440="","",IF($S440="","",IFERROR(INDEX('[1]natural catastrophe'!$D$6:$D$17,MATCH($S440,'[1]natural catastrophe'!$B$6:$B$17,0)),"?")))</f>
      </c>
      <c r="U440" s="46" t="inlineStr">
        <is>
          <t xml:space="preserve">$5,000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2825.75</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CANON-202607-008258</t>
        </is>
      </c>
      <c r="B441" s="30" t="inlineStr">
        <is>
          <t xml:space="preserve">Aurelio Fairweather</t>
        </is>
      </c>
      <c r="C441" s="31">
        <v>46225</v>
      </c>
      <c r="D441" s="32" t="inlineStr">
        <is>
          <t xml:space="preserve">Bound - within authority</t>
        </is>
      </c>
      <c r="E441" s="32" t="inlineStr">
        <is>
          <t xml:space="preserve">New business</t>
        </is>
      </c>
      <c r="F441" s="30" t="inlineStr">
        <is>
          <t xml:space="preserve">B1234EXOTIC26</t>
        </is>
      </c>
      <c r="G441" s="33">
        <f>IF($A441="","",IF($C441="","",YEAR($C441)))</f>
      </c>
      <c r="H441" s="34">
        <v>2003</v>
      </c>
      <c r="I441" s="30" t="inlineStr">
        <is>
          <t xml:space="preserve">Ferrari</t>
        </is>
      </c>
      <c r="J441" s="30" t="inlineStr">
        <is>
          <t xml:space="preserve">275 GTB/4</t>
        </is>
      </c>
      <c r="K441" s="30" t="inlineStr">
        <is>
          <t xml:space="preserve">FLPXPNYEB56J8BSBH</t>
        </is>
      </c>
      <c r="L441" s="32" t="inlineStr">
        <is>
          <t xml:space="preserve">09 - Youngtimer / Collectible (2000-2010)</t>
        </is>
      </c>
      <c r="M441" s="35">
        <v>1595000</v>
      </c>
      <c r="N441" s="32" t="inlineStr">
        <is>
          <t xml:space="preserve">Personal</t>
        </is>
      </c>
      <c r="O441" s="30" t="inlineStr">
        <is>
          <t xml:space="preserve">Personal - regular use</t>
        </is>
      </c>
      <c r="P441" s="30" t="inlineStr">
        <is>
          <t xml:space="preserve">2,500 - 5,000</t>
        </is>
      </c>
      <c r="Q441" s="30" t="inlineStr">
        <is>
          <t xml:space="preserve">California</t>
        </is>
      </c>
      <c r="R441" s="30" t="inlineStr">
        <is>
          <t xml:space="preserve">90012</t>
        </is>
      </c>
      <c r="S441" s="32" t="inlineStr">
        <is>
          <t xml:space="preserve">Earthquake - high (CA, Cascadia, New Madrid)</t>
        </is>
      </c>
      <c r="T441" s="36">
        <f>IF($A441="","",IF($S441="","",IFERROR(INDEX('[1]natural catastrophe'!$D$6:$D$17,MATCH($S441,'[1]natural catastrophe'!$B$6:$B$17,0)),"?")))</f>
      </c>
      <c r="U441" s="30" t="inlineStr">
        <is>
          <t xml:space="preserve">$5,000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11748.62</v>
      </c>
      <c r="AC441" s="37">
        <v>0</v>
      </c>
      <c r="AD441" s="38">
        <f>IF(ISNUMBER($AB441),$AB441*(1+N($AC441)),"")</f>
      </c>
      <c r="AE441" s="35">
        <v>350</v>
      </c>
      <c r="AF441" s="35">
        <v>250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CANON-202607-008259</t>
        </is>
      </c>
      <c r="B442" s="46" t="inlineStr">
        <is>
          <t xml:space="preserve">Emiliano Rourke</t>
        </is>
      </c>
      <c r="C442" s="47">
        <v>46211</v>
      </c>
      <c r="D442" s="48" t="inlineStr">
        <is>
          <t xml:space="preserve">Bound - within authority</t>
        </is>
      </c>
      <c r="E442" s="48" t="inlineStr">
        <is>
          <t xml:space="preserve">New business</t>
        </is>
      </c>
      <c r="F442" s="46" t="inlineStr">
        <is>
          <t xml:space="preserve">B1234EXOTIC26</t>
        </is>
      </c>
      <c r="G442" s="33">
        <f>IF($A442="","",IF($C442="","",YEAR($C442)))</f>
      </c>
      <c r="H442" s="49">
        <v>1964</v>
      </c>
      <c r="I442" s="46" t="inlineStr">
        <is>
          <t xml:space="preserve">Maserati</t>
        </is>
      </c>
      <c r="J442" s="46" t="inlineStr">
        <is>
          <t xml:space="preserve">GranTurismo</t>
        </is>
      </c>
      <c r="K442" s="46" t="inlineStr">
        <is>
          <t xml:space="preserve">9DY1BNW5C8KWMD757</t>
        </is>
      </c>
      <c r="L442" s="48" t="inlineStr">
        <is>
          <t xml:space="preserve">02 - Sports / GT</t>
        </is>
      </c>
      <c r="M442" s="50">
        <v>1740000</v>
      </c>
      <c r="N442" s="48" t="inlineStr">
        <is>
          <t xml:space="preserve">Personal</t>
        </is>
      </c>
      <c r="O442" s="46" t="inlineStr">
        <is>
          <t xml:space="preserve">Personal - regular use</t>
        </is>
      </c>
      <c r="P442" s="46" t="inlineStr">
        <is>
          <t xml:space="preserve">2,500 - 5,000</t>
        </is>
      </c>
      <c r="Q442" s="46" t="inlineStr">
        <is>
          <t xml:space="preserve">Virginia</t>
        </is>
      </c>
      <c r="R442" s="46" t="inlineStr">
        <is>
          <t xml:space="preserve">23219</t>
        </is>
      </c>
      <c r="S442" s="48" t="inlineStr">
        <is>
          <t xml:space="preserve">Tier 3 - Coastal wind (25-100 miles)</t>
        </is>
      </c>
      <c r="T442" s="36">
        <f>IF($A442="","",IF($S442="","",IFERROR(INDEX('[1]natural catastrophe'!$D$6:$D$17,MATCH($S442,'[1]natural catastrophe'!$B$6:$B$17,0)),"?")))</f>
      </c>
      <c r="U442" s="46" t="inlineStr">
        <is>
          <t xml:space="preserve">2% of agreed value, minimum $10,000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14977.77</v>
      </c>
      <c r="AC442" s="51">
        <v>0</v>
      </c>
      <c r="AD442" s="38">
        <f>IF(ISNUMBER($AB442),$AB442*(1+N($AC442)),"")</f>
      </c>
      <c r="AE442" s="50">
        <v>350</v>
      </c>
      <c r="AF442" s="50">
        <v>250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CANON-202607-008260</t>
        </is>
      </c>
      <c r="B443" s="30" t="inlineStr">
        <is>
          <t xml:space="preserve">Thaddeus Delacroix</t>
        </is>
      </c>
      <c r="C443" s="31">
        <v>46228</v>
      </c>
      <c r="D443" s="32" t="inlineStr">
        <is>
          <t xml:space="preserve">Bound - within authority</t>
        </is>
      </c>
      <c r="E443" s="32" t="inlineStr">
        <is>
          <t xml:space="preserve">New business</t>
        </is>
      </c>
      <c r="F443" s="30" t="inlineStr">
        <is>
          <t xml:space="preserve">B1234EXOTIC26</t>
        </is>
      </c>
      <c r="G443" s="33">
        <f>IF($A443="","",IF($C443="","",YEAR($C443)))</f>
      </c>
      <c r="H443" s="34">
        <v>1989</v>
      </c>
      <c r="I443" s="30" t="inlineStr">
        <is>
          <t xml:space="preserve">Ferrari</t>
        </is>
      </c>
      <c r="J443" s="30" t="inlineStr">
        <is>
          <t xml:space="preserve">275 GTB/4</t>
        </is>
      </c>
      <c r="K443" s="30" t="inlineStr">
        <is>
          <t xml:space="preserve">7CVJ6T9E7X9XH7KF6</t>
        </is>
      </c>
      <c r="L443" s="32" t="inlineStr">
        <is>
          <t xml:space="preserve">08 - Modern Classic (1973-1999)</t>
        </is>
      </c>
      <c r="M443" s="35">
        <v>345000</v>
      </c>
      <c r="N443" s="32" t="inlineStr">
        <is>
          <t xml:space="preserve">Personal</t>
        </is>
      </c>
      <c r="O443" s="30" t="inlineStr">
        <is>
          <t xml:space="preserve">Personal - regular use</t>
        </is>
      </c>
      <c r="P443" s="30" t="inlineStr">
        <is>
          <t xml:space="preserve">Under 1,000</t>
        </is>
      </c>
      <c r="Q443" s="30" t="inlineStr">
        <is>
          <t xml:space="preserve">California</t>
        </is>
      </c>
      <c r="R443" s="30" t="inlineStr">
        <is>
          <t xml:space="preserve">90012</t>
        </is>
      </c>
      <c r="S443" s="32" t="inlineStr">
        <is>
          <t xml:space="preserve">Earthquake - high (CA, Cascadia, New Madrid)</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3209.98</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CANON-202607-008261</t>
        </is>
      </c>
      <c r="B444" s="46" t="inlineStr">
        <is>
          <t xml:space="preserve">Fenwick Whitlock</t>
        </is>
      </c>
      <c r="C444" s="47">
        <v>46221</v>
      </c>
      <c r="D444" s="48" t="inlineStr">
        <is>
          <t xml:space="preserve">Bound - within authority</t>
        </is>
      </c>
      <c r="E444" s="48" t="inlineStr">
        <is>
          <t xml:space="preserve">New business</t>
        </is>
      </c>
      <c r="F444" s="46" t="inlineStr">
        <is>
          <t xml:space="preserve">B1234EXOTIC26</t>
        </is>
      </c>
      <c r="G444" s="33">
        <f>IF($A444="","",IF($C444="","",YEAR($C444)))</f>
      </c>
      <c r="H444" s="49">
        <v>2011</v>
      </c>
      <c r="I444" s="46" t="inlineStr">
        <is>
          <t xml:space="preserve">Aston Martin</t>
        </is>
      </c>
      <c r="J444" s="46" t="inlineStr">
        <is>
          <t xml:space="preserve">DB12</t>
        </is>
      </c>
      <c r="K444" s="46" t="inlineStr">
        <is>
          <t xml:space="preserve">D860MNPHS9F1KLJAB</t>
        </is>
      </c>
      <c r="L444" s="48" t="inlineStr">
        <is>
          <t xml:space="preserve">02 - Sports / GT</t>
        </is>
      </c>
      <c r="M444" s="50">
        <v>765000</v>
      </c>
      <c r="N444" s="48" t="inlineStr">
        <is>
          <t xml:space="preserve">Personal</t>
        </is>
      </c>
      <c r="O444" s="46" t="inlineStr">
        <is>
          <t xml:space="preserve">Personal - regular use</t>
        </is>
      </c>
      <c r="P444" s="46" t="inlineStr">
        <is>
          <t xml:space="preserve">1,000 - 2,500</t>
        </is>
      </c>
      <c r="Q444" s="46" t="inlineStr">
        <is>
          <t xml:space="preserve">New York</t>
        </is>
      </c>
      <c r="R444" s="46" t="inlineStr">
        <is>
          <t xml:space="preserve">10022</t>
        </is>
      </c>
      <c r="S444" s="48" t="inlineStr">
        <is>
          <t xml:space="preserve">Tier 3 - Coastal wind (25-100 miles)</t>
        </is>
      </c>
      <c r="T444" s="36">
        <f>IF($A444="","",IF($S444="","",IFERROR(INDEX('[1]natural catastrophe'!$D$6:$D$17,MATCH($S444,'[1]natural catastrophe'!$B$6:$B$17,0)),"?")))</f>
      </c>
      <c r="U444" s="46" t="inlineStr">
        <is>
          <t xml:space="preserve">2% of agreed value, minimum $10,000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9138.89</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CANON-202607-008262</t>
        </is>
      </c>
      <c r="B445" s="30" t="inlineStr">
        <is>
          <t xml:space="preserve">Beatrix Kingsford</t>
        </is>
      </c>
      <c r="C445" s="31">
        <v>46208</v>
      </c>
      <c r="D445" s="32" t="inlineStr">
        <is>
          <t xml:space="preserve">Bound - within authority</t>
        </is>
      </c>
      <c r="E445" s="32" t="inlineStr">
        <is>
          <t xml:space="preserve">New business</t>
        </is>
      </c>
      <c r="F445" s="30" t="inlineStr">
        <is>
          <t xml:space="preserve">B1234EXOTIC26</t>
        </is>
      </c>
      <c r="G445" s="33">
        <f>IF($A445="","",IF($C445="","",YEAR($C445)))</f>
      </c>
      <c r="H445" s="34">
        <v>1997</v>
      </c>
      <c r="I445" s="30" t="inlineStr">
        <is>
          <t xml:space="preserve">Porsche</t>
        </is>
      </c>
      <c r="J445" s="30" t="inlineStr">
        <is>
          <t xml:space="preserve">911 Turbo S</t>
        </is>
      </c>
      <c r="K445" s="30" t="inlineStr">
        <is>
          <t xml:space="preserve">3DYXTK0VVJ68JFKRF</t>
        </is>
      </c>
      <c r="L445" s="32" t="inlineStr">
        <is>
          <t xml:space="preserve">02 - Sports / GT</t>
        </is>
      </c>
      <c r="M445" s="35">
        <v>585000</v>
      </c>
      <c r="N445" s="32" t="inlineStr">
        <is>
          <t xml:space="preserve">Personal</t>
        </is>
      </c>
      <c r="O445" s="30" t="inlineStr">
        <is>
          <t xml:space="preserve">Personal - regular use</t>
        </is>
      </c>
      <c r="P445" s="30" t="inlineStr">
        <is>
          <t xml:space="preserve">Under 1,000</t>
        </is>
      </c>
      <c r="Q445" s="30" t="inlineStr">
        <is>
          <t xml:space="preserve">Vermont</t>
        </is>
      </c>
      <c r="R445" s="30" t="inlineStr">
        <is>
          <t xml:space="preserve">05601</t>
        </is>
      </c>
      <c r="S445" s="32" t="inlineStr">
        <is>
          <t xml:space="preserve">Low hazard - inland benign</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6660.97</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CANON-202607-008264</t>
        </is>
      </c>
      <c r="B446" s="46" t="inlineStr">
        <is>
          <t xml:space="preserve">Fenwick Ashcombe</t>
        </is>
      </c>
      <c r="C446" s="47">
        <v>46231</v>
      </c>
      <c r="D446" s="48" t="inlineStr">
        <is>
          <t xml:space="preserve">Bound - within authority</t>
        </is>
      </c>
      <c r="E446" s="48" t="inlineStr">
        <is>
          <t xml:space="preserve">New business</t>
        </is>
      </c>
      <c r="F446" s="46" t="inlineStr">
        <is>
          <t xml:space="preserve">B1234EXOTIC26</t>
        </is>
      </c>
      <c r="G446" s="33">
        <f>IF($A446="","",IF($C446="","",YEAR($C446)))</f>
      </c>
      <c r="H446" s="49">
        <v>1960</v>
      </c>
      <c r="I446" s="46" t="inlineStr">
        <is>
          <t xml:space="preserve">Maserati</t>
        </is>
      </c>
      <c r="J446" s="46" t="inlineStr">
        <is>
          <t xml:space="preserve">GranTurismo</t>
        </is>
      </c>
      <c r="K446" s="46" t="inlineStr">
        <is>
          <t xml:space="preserve">6HEC6DJEZVHUEW5W1</t>
        </is>
      </c>
      <c r="L446" s="48" t="inlineStr">
        <is>
          <t xml:space="preserve">02 - Sports / GT</t>
        </is>
      </c>
      <c r="M446" s="50">
        <v>290000</v>
      </c>
      <c r="N446" s="48" t="inlineStr">
        <is>
          <t xml:space="preserve">Personal</t>
        </is>
      </c>
      <c r="O446" s="46" t="inlineStr">
        <is>
          <t xml:space="preserve">Personal - regular use</t>
        </is>
      </c>
      <c r="P446" s="46" t="inlineStr">
        <is>
          <t xml:space="preserve">2,500 - 5,000</t>
        </is>
      </c>
      <c r="Q446" s="46" t="inlineStr">
        <is>
          <t xml:space="preserve">New York</t>
        </is>
      </c>
      <c r="R446" s="46" t="inlineStr">
        <is>
          <t xml:space="preserve">10022</t>
        </is>
      </c>
      <c r="S446" s="48" t="inlineStr">
        <is>
          <t xml:space="preserve">Tier 3 - Coastal wind (25-100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3997.4</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CANON-202607-008265</t>
        </is>
      </c>
      <c r="B447" s="30" t="inlineStr">
        <is>
          <t xml:space="preserve">Emiliano Vasquez</t>
        </is>
      </c>
      <c r="C447" s="31">
        <v>46227</v>
      </c>
      <c r="D447" s="32" t="inlineStr">
        <is>
          <t xml:space="preserve">Bound - within authority</t>
        </is>
      </c>
      <c r="E447" s="32" t="inlineStr">
        <is>
          <t xml:space="preserve">New business</t>
        </is>
      </c>
      <c r="F447" s="30" t="inlineStr">
        <is>
          <t xml:space="preserve">B1234EXOTIC26</t>
        </is>
      </c>
      <c r="G447" s="33">
        <f>IF($A447="","",IF($C447="","",YEAR($C447)))</f>
      </c>
      <c r="H447" s="34">
        <v>1972</v>
      </c>
      <c r="I447" s="30" t="inlineStr">
        <is>
          <t xml:space="preserve">Lamborghini</t>
        </is>
      </c>
      <c r="J447" s="30" t="inlineStr">
        <is>
          <t xml:space="preserve">Huracan EVO</t>
        </is>
      </c>
      <c r="K447" s="30" t="inlineStr">
        <is>
          <t xml:space="preserve">9ZZHSN7SN6F848SL6</t>
        </is>
      </c>
      <c r="L447" s="32" t="inlineStr">
        <is>
          <t xml:space="preserve">03 - Supercar</t>
        </is>
      </c>
      <c r="M447" s="35">
        <v>1360000</v>
      </c>
      <c r="N447" s="32" t="inlineStr">
        <is>
          <t xml:space="preserve">Personal</t>
        </is>
      </c>
      <c r="O447" s="30" t="inlineStr">
        <is>
          <t xml:space="preserve">Personal - regular use</t>
        </is>
      </c>
      <c r="P447" s="30" t="inlineStr">
        <is>
          <t xml:space="preserve">2,500 - 5,000</t>
        </is>
      </c>
      <c r="Q447" s="30" t="inlineStr">
        <is>
          <t xml:space="preserve">Georgia</t>
        </is>
      </c>
      <c r="R447" s="30" t="inlineStr">
        <is>
          <t xml:space="preserve">30303</t>
        </is>
      </c>
      <c r="S447" s="32" t="inlineStr">
        <is>
          <t xml:space="preserve">Tier 2 - Coastal wind (1-25 miles)</t>
        </is>
      </c>
      <c r="T447" s="36">
        <f>IF($A447="","",IF($S447="","",IFERROR(INDEX('[1]natural catastrophe'!$D$6:$D$17,MATCH($S447,'[1]natural catastrophe'!$B$6:$B$17,0)),"?")))</f>
      </c>
      <c r="U447" s="30" t="inlineStr">
        <is>
          <t xml:space="preserve">2% of agreed value, minimum $10,000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17496.68</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CANON-202607-008266</t>
        </is>
      </c>
      <c r="B448" s="46" t="inlineStr">
        <is>
          <t xml:space="preserve">Anouk Montoya</t>
        </is>
      </c>
      <c r="C448" s="47">
        <v>46209</v>
      </c>
      <c r="D448" s="48" t="inlineStr">
        <is>
          <t xml:space="preserve">Bound - within authority</t>
        </is>
      </c>
      <c r="E448" s="48" t="inlineStr">
        <is>
          <t xml:space="preserve">New business</t>
        </is>
      </c>
      <c r="F448" s="46" t="inlineStr">
        <is>
          <t xml:space="preserve">B1234EXOTIC26</t>
        </is>
      </c>
      <c r="G448" s="33">
        <f>IF($A448="","",IF($C448="","",YEAR($C448)))</f>
      </c>
      <c r="H448" s="49">
        <v>1974</v>
      </c>
      <c r="I448" s="46" t="inlineStr">
        <is>
          <t xml:space="preserve">Ferrari</t>
        </is>
      </c>
      <c r="J448" s="46" t="inlineStr">
        <is>
          <t xml:space="preserve">296 GTB</t>
        </is>
      </c>
      <c r="K448" s="46" t="inlineStr">
        <is>
          <t xml:space="preserve">BK98LLSERSWW0B24S</t>
        </is>
      </c>
      <c r="L448" s="48" t="inlineStr">
        <is>
          <t xml:space="preserve">03 - Supercar</t>
        </is>
      </c>
      <c r="M448" s="50">
        <v>1495000</v>
      </c>
      <c r="N448" s="48" t="inlineStr">
        <is>
          <t xml:space="preserve">Personal</t>
        </is>
      </c>
      <c r="O448" s="46" t="inlineStr">
        <is>
          <t xml:space="preserve">Personal - regular use</t>
        </is>
      </c>
      <c r="P448" s="46" t="inlineStr">
        <is>
          <t xml:space="preserve">2,500 - 5,000</t>
        </is>
      </c>
      <c r="Q448" s="46" t="inlineStr">
        <is>
          <t xml:space="preserve">Colorado</t>
        </is>
      </c>
      <c r="R448" s="46" t="inlineStr">
        <is>
          <t xml:space="preserve">80202</t>
        </is>
      </c>
      <c r="S448" s="48" t="inlineStr">
        <is>
          <t xml:space="preserve">Severe convective - hail alley (high)</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18890.03</v>
      </c>
      <c r="AC448" s="51">
        <v>0</v>
      </c>
      <c r="AD448" s="38">
        <f>IF(ISNUMBER($AB448),$AB448*(1+N($AC448)),"")</f>
      </c>
      <c r="AE448" s="50">
        <v>350</v>
      </c>
      <c r="AF448" s="50">
        <v>250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CANON-202607-008267</t>
        </is>
      </c>
      <c r="B449" s="30" t="inlineStr">
        <is>
          <t xml:space="preserve">Delphine Thistlewood</t>
        </is>
      </c>
      <c r="C449" s="31">
        <v>46226</v>
      </c>
      <c r="D449" s="32" t="inlineStr">
        <is>
          <t xml:space="preserve">Bound - within authority</t>
        </is>
      </c>
      <c r="E449" s="32" t="inlineStr">
        <is>
          <t xml:space="preserve">New business</t>
        </is>
      </c>
      <c r="F449" s="30" t="inlineStr">
        <is>
          <t xml:space="preserve">B1234EXOTIC26</t>
        </is>
      </c>
      <c r="G449" s="33">
        <f>IF($A449="","",IF($C449="","",YEAR($C449)))</f>
      </c>
      <c r="H449" s="34">
        <v>1994</v>
      </c>
      <c r="I449" s="30" t="inlineStr">
        <is>
          <t xml:space="preserve">Mercedes-Benz</t>
        </is>
      </c>
      <c r="J449" s="30" t="inlineStr">
        <is>
          <t xml:space="preserve">280SL Pagoda</t>
        </is>
      </c>
      <c r="K449" s="30" t="inlineStr">
        <is>
          <t xml:space="preserve">TL82Z076KL4YWZN4N</t>
        </is>
      </c>
      <c r="L449" s="32" t="inlineStr">
        <is>
          <t xml:space="preserve">08 - Modern Classic (1973-1999)</t>
        </is>
      </c>
      <c r="M449" s="35">
        <v>470000</v>
      </c>
      <c r="N449" s="32" t="inlineStr">
        <is>
          <t xml:space="preserve">Personal</t>
        </is>
      </c>
      <c r="O449" s="30" t="inlineStr">
        <is>
          <t xml:space="preserve">Personal - regular use</t>
        </is>
      </c>
      <c r="P449" s="30" t="inlineStr">
        <is>
          <t xml:space="preserve">1,000 - 2,500</t>
        </is>
      </c>
      <c r="Q449" s="30" t="inlineStr">
        <is>
          <t xml:space="preserve">Mississippi</t>
        </is>
      </c>
      <c r="R449" s="30" t="inlineStr">
        <is>
          <t xml:space="preserve">39201</t>
        </is>
      </c>
      <c r="S449" s="32" t="inlineStr">
        <is>
          <t xml:space="preserve">Tier 2 - Coastal wind (1-25 miles)</t>
        </is>
      </c>
      <c r="T449" s="36">
        <f>IF($A449="","",IF($S449="","",IFERROR(INDEX('[1]natural catastrophe'!$D$6:$D$17,MATCH($S449,'[1]natural catastrophe'!$B$6:$B$17,0)),"?")))</f>
      </c>
      <c r="U449" s="30" t="inlineStr">
        <is>
          <t xml:space="preserve">2% of agreed value, minimum $10,000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3854.74</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CANON-202607-008268</t>
        </is>
      </c>
      <c r="B450" s="46" t="inlineStr">
        <is>
          <t xml:space="preserve">Saoirse Rourke</t>
        </is>
      </c>
      <c r="C450" s="47">
        <v>46205</v>
      </c>
      <c r="D450" s="48" t="inlineStr">
        <is>
          <t xml:space="preserve">Bound - within authority</t>
        </is>
      </c>
      <c r="E450" s="48" t="inlineStr">
        <is>
          <t xml:space="preserve">New business</t>
        </is>
      </c>
      <c r="F450" s="46" t="inlineStr">
        <is>
          <t xml:space="preserve">B1234EXOTIC26</t>
        </is>
      </c>
      <c r="G450" s="33">
        <f>IF($A450="","",IF($C450="","",YEAR($C450)))</f>
      </c>
      <c r="H450" s="49">
        <v>1967</v>
      </c>
      <c r="I450" s="46" t="inlineStr">
        <is>
          <t xml:space="preserve">BMW</t>
        </is>
      </c>
      <c r="J450" s="46" t="inlineStr">
        <is>
          <t xml:space="preserve">M8 Competition</t>
        </is>
      </c>
      <c r="K450" s="46" t="inlineStr">
        <is>
          <t xml:space="preserve">L5M7C9PW381ZYXXBX</t>
        </is>
      </c>
      <c r="L450" s="48" t="inlineStr">
        <is>
          <t xml:space="preserve">02 - Sports / GT</t>
        </is>
      </c>
      <c r="M450" s="50">
        <v>725000</v>
      </c>
      <c r="N450" s="48" t="inlineStr">
        <is>
          <t xml:space="preserve">Personal</t>
        </is>
      </c>
      <c r="O450" s="46" t="inlineStr">
        <is>
          <t xml:space="preserve">Personal - regular use</t>
        </is>
      </c>
      <c r="P450" s="46" t="inlineStr">
        <is>
          <t xml:space="preserve">1,000 - 2,500</t>
        </is>
      </c>
      <c r="Q450" s="46" t="inlineStr">
        <is>
          <t xml:space="preserve">Oregon</t>
        </is>
      </c>
      <c r="R450" s="46" t="inlineStr">
        <is>
          <t xml:space="preserve">97204</t>
        </is>
      </c>
      <c r="S450" s="48" t="inlineStr">
        <is>
          <t xml:space="preserve">Earthquake - high (CA, Cascadia, New Madrid)</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7646.08</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CANON-202607-008269</t>
        </is>
      </c>
      <c r="B451" s="30" t="inlineStr">
        <is>
          <t xml:space="preserve">Noor Blackwood</t>
        </is>
      </c>
      <c r="C451" s="31">
        <v>46215</v>
      </c>
      <c r="D451" s="32" t="inlineStr">
        <is>
          <t xml:space="preserve">Bound - within authority</t>
        </is>
      </c>
      <c r="E451" s="32" t="inlineStr">
        <is>
          <t xml:space="preserve">New business</t>
        </is>
      </c>
      <c r="F451" s="30" t="inlineStr">
        <is>
          <t xml:space="preserve">B1234EXOTIC26</t>
        </is>
      </c>
      <c r="G451" s="33">
        <f>IF($A451="","",IF($C451="","",YEAR($C451)))</f>
      </c>
      <c r="H451" s="34">
        <v>2011</v>
      </c>
      <c r="I451" s="30" t="inlineStr">
        <is>
          <t xml:space="preserve">Mercedes-Benz</t>
        </is>
      </c>
      <c r="J451" s="30" t="inlineStr">
        <is>
          <t xml:space="preserve">AMG GT</t>
        </is>
      </c>
      <c r="K451" s="30" t="inlineStr">
        <is>
          <t xml:space="preserve">0UJ3G0YZ629WZGX10</t>
        </is>
      </c>
      <c r="L451" s="32" t="inlineStr">
        <is>
          <t xml:space="preserve">02 - Sports / GT</t>
        </is>
      </c>
      <c r="M451" s="35">
        <v>445000</v>
      </c>
      <c r="N451" s="32" t="inlineStr">
        <is>
          <t xml:space="preserve">Personal</t>
        </is>
      </c>
      <c r="O451" s="30" t="inlineStr">
        <is>
          <t xml:space="preserve">Personal - regular use</t>
        </is>
      </c>
      <c r="P451" s="30" t="inlineStr">
        <is>
          <t xml:space="preserve">Under 1,000</t>
        </is>
      </c>
      <c r="Q451" s="30" t="inlineStr">
        <is>
          <t xml:space="preserve">Georgia</t>
        </is>
      </c>
      <c r="R451" s="30" t="inlineStr">
        <is>
          <t xml:space="preserve">30303</t>
        </is>
      </c>
      <c r="S451" s="32" t="inlineStr">
        <is>
          <t xml:space="preserve">Tier 2 - Coastal wind (1-25 miles)</t>
        </is>
      </c>
      <c r="T451" s="36">
        <f>IF($A451="","",IF($S451="","",IFERROR(INDEX('[1]natural catastrophe'!$D$6:$D$17,MATCH($S451,'[1]natural catastrophe'!$B$6:$B$17,0)),"?")))</f>
      </c>
      <c r="U451" s="30" t="inlineStr">
        <is>
          <t xml:space="preserve">2% of agreed value, minimum $10,000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5367.2</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CANON-202607-008270</t>
        </is>
      </c>
      <c r="B452" s="46" t="inlineStr">
        <is>
          <t xml:space="preserve">Priya Delacroix</t>
        </is>
      </c>
      <c r="C452" s="47">
        <v>46225</v>
      </c>
      <c r="D452" s="48" t="inlineStr">
        <is>
          <t xml:space="preserve">Bound - within authority</t>
        </is>
      </c>
      <c r="E452" s="48" t="inlineStr">
        <is>
          <t xml:space="preserve">New business</t>
        </is>
      </c>
      <c r="F452" s="46" t="inlineStr">
        <is>
          <t xml:space="preserve">B1234EXOTIC26</t>
        </is>
      </c>
      <c r="G452" s="33">
        <f>IF($A452="","",IF($C452="","",YEAR($C452)))</f>
      </c>
      <c r="H452" s="49">
        <v>2022</v>
      </c>
      <c r="I452" s="46" t="inlineStr">
        <is>
          <t xml:space="preserve">Porsche</t>
        </is>
      </c>
      <c r="J452" s="46" t="inlineStr">
        <is>
          <t xml:space="preserve">911 Turbo S</t>
        </is>
      </c>
      <c r="K452" s="46" t="inlineStr">
        <is>
          <t xml:space="preserve">TU260NTAX3T12CW8G</t>
        </is>
      </c>
      <c r="L452" s="48" t="inlineStr">
        <is>
          <t xml:space="preserve">02 - Sports / GT</t>
        </is>
      </c>
      <c r="M452" s="50">
        <v>385000</v>
      </c>
      <c r="N452" s="48" t="inlineStr">
        <is>
          <t xml:space="preserve">Personal</t>
        </is>
      </c>
      <c r="O452" s="46" t="inlineStr">
        <is>
          <t xml:space="preserve">Personal - regular use</t>
        </is>
      </c>
      <c r="P452" s="46" t="inlineStr">
        <is>
          <t xml:space="preserve">2,500 - 5,000</t>
        </is>
      </c>
      <c r="Q452" s="46" t="inlineStr">
        <is>
          <t xml:space="preserve">Washington</t>
        </is>
      </c>
      <c r="R452" s="46" t="inlineStr">
        <is>
          <t xml:space="preserve">98101</t>
        </is>
      </c>
      <c r="S452" s="48" t="inlineStr">
        <is>
          <t xml:space="preserve">Earthquake - high (CA, Cascadia, New Madrid)</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3980.17</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CANON-202607-008271</t>
        </is>
      </c>
      <c r="B453" s="30" t="inlineStr">
        <is>
          <t xml:space="preserve">Mireille Delacroix</t>
        </is>
      </c>
      <c r="C453" s="31">
        <v>46223</v>
      </c>
      <c r="D453" s="32" t="inlineStr">
        <is>
          <t xml:space="preserve">Bound - within authority</t>
        </is>
      </c>
      <c r="E453" s="32" t="inlineStr">
        <is>
          <t xml:space="preserve">New business</t>
        </is>
      </c>
      <c r="F453" s="30" t="inlineStr">
        <is>
          <t xml:space="preserve">B1234EXOTIC26</t>
        </is>
      </c>
      <c r="G453" s="33">
        <f>IF($A453="","",IF($C453="","",YEAR($C453)))</f>
      </c>
      <c r="H453" s="34">
        <v>2023</v>
      </c>
      <c r="I453" s="30" t="inlineStr">
        <is>
          <t xml:space="preserve">BMW</t>
        </is>
      </c>
      <c r="J453" s="30" t="inlineStr">
        <is>
          <t xml:space="preserve">M8 Competition</t>
        </is>
      </c>
      <c r="K453" s="30" t="inlineStr">
        <is>
          <t xml:space="preserve">P0L8TWSZXXM8LLAY9</t>
        </is>
      </c>
      <c r="L453" s="32" t="inlineStr">
        <is>
          <t xml:space="preserve">02 - Sports / GT</t>
        </is>
      </c>
      <c r="M453" s="35">
        <v>580000</v>
      </c>
      <c r="N453" s="32" t="inlineStr">
        <is>
          <t xml:space="preserve">Personal</t>
        </is>
      </c>
      <c r="O453" s="30" t="inlineStr">
        <is>
          <t xml:space="preserve">Personal - regular use</t>
        </is>
      </c>
      <c r="P453" s="30" t="inlineStr">
        <is>
          <t xml:space="preserve">2,500 - 5,000</t>
        </is>
      </c>
      <c r="Q453" s="30" t="inlineStr">
        <is>
          <t xml:space="preserve">New York</t>
        </is>
      </c>
      <c r="R453" s="30" t="inlineStr">
        <is>
          <t xml:space="preserve">10022</t>
        </is>
      </c>
      <c r="S453" s="32" t="inlineStr">
        <is>
          <t xml:space="preserve">Tier 3 - Coastal wind (25-100 miles)</t>
        </is>
      </c>
      <c r="T453" s="36">
        <f>IF($A453="","",IF($S453="","",IFERROR(INDEX('[1]natural catastrophe'!$D$6:$D$17,MATCH($S453,'[1]natural catastrophe'!$B$6:$B$17,0)),"?")))</f>
      </c>
      <c r="U453" s="30" t="inlineStr">
        <is>
          <t xml:space="preserve">2% of agreed value, minimum $10,000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6928.84</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CANON-202607-008272</t>
        </is>
      </c>
      <c r="B454" s="46" t="inlineStr">
        <is>
          <t xml:space="preserve">Marisol Pennington</t>
        </is>
      </c>
      <c r="C454" s="47">
        <v>46215</v>
      </c>
      <c r="D454" s="48" t="inlineStr">
        <is>
          <t xml:space="preserve">Bound - within authority</t>
        </is>
      </c>
      <c r="E454" s="48" t="inlineStr">
        <is>
          <t xml:space="preserve">New business</t>
        </is>
      </c>
      <c r="F454" s="46" t="inlineStr">
        <is>
          <t xml:space="preserve">B1234EXOTIC26</t>
        </is>
      </c>
      <c r="G454" s="33">
        <f>IF($A454="","",IF($C454="","",YEAR($C454)))</f>
      </c>
      <c r="H454" s="49">
        <v>2015</v>
      </c>
      <c r="I454" s="46" t="inlineStr">
        <is>
          <t xml:space="preserve">Aston Martin</t>
        </is>
      </c>
      <c r="J454" s="46" t="inlineStr">
        <is>
          <t xml:space="preserve">DB12</t>
        </is>
      </c>
      <c r="K454" s="46" t="inlineStr">
        <is>
          <t xml:space="preserve">UMUDG93XMMJGZT7G0</t>
        </is>
      </c>
      <c r="L454" s="48" t="inlineStr">
        <is>
          <t xml:space="preserve">02 - Sports / GT</t>
        </is>
      </c>
      <c r="M454" s="50">
        <v>615000</v>
      </c>
      <c r="N454" s="48" t="inlineStr">
        <is>
          <t xml:space="preserve">Personal</t>
        </is>
      </c>
      <c r="O454" s="46" t="inlineStr">
        <is>
          <t xml:space="preserve">Personal - regular use</t>
        </is>
      </c>
      <c r="P454" s="46" t="inlineStr">
        <is>
          <t xml:space="preserve">2,500 - 5,000</t>
        </is>
      </c>
      <c r="Q454" s="46" t="inlineStr">
        <is>
          <t xml:space="preserve">Alaska</t>
        </is>
      </c>
      <c r="R454" s="46" t="inlineStr">
        <is>
          <t xml:space="preserve">99501</t>
        </is>
      </c>
      <c r="S454" s="48" t="inlineStr">
        <is>
          <t xml:space="preserve">Earthquake - high (CA, Cascadia, New Madrid)</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6543.38</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CANON-202607-008273</t>
        </is>
      </c>
      <c r="B455" s="30" t="inlineStr">
        <is>
          <t xml:space="preserve">Marisol Vandermeer</t>
        </is>
      </c>
      <c r="C455" s="31">
        <v>46229</v>
      </c>
      <c r="D455" s="32" t="inlineStr">
        <is>
          <t xml:space="preserve">Bound - within authority</t>
        </is>
      </c>
      <c r="E455" s="32" t="inlineStr">
        <is>
          <t xml:space="preserve">New business</t>
        </is>
      </c>
      <c r="F455" s="30" t="inlineStr">
        <is>
          <t xml:space="preserve">B1234EXOTIC26</t>
        </is>
      </c>
      <c r="G455" s="33">
        <f>IF($A455="","",IF($C455="","",YEAR($C455)))</f>
      </c>
      <c r="H455" s="34">
        <v>2008</v>
      </c>
      <c r="I455" s="30" t="inlineStr">
        <is>
          <t xml:space="preserve">Porsche</t>
        </is>
      </c>
      <c r="J455" s="30" t="inlineStr">
        <is>
          <t xml:space="preserve">911 Turbo S</t>
        </is>
      </c>
      <c r="K455" s="30" t="inlineStr">
        <is>
          <t xml:space="preserve">AU9FPXHGXPPX3M9DC</t>
        </is>
      </c>
      <c r="L455" s="32" t="inlineStr">
        <is>
          <t xml:space="preserve">02 - Sports / GT</t>
        </is>
      </c>
      <c r="M455" s="35">
        <v>485000</v>
      </c>
      <c r="N455" s="32" t="inlineStr">
        <is>
          <t xml:space="preserve">Personal</t>
        </is>
      </c>
      <c r="O455" s="30" t="inlineStr">
        <is>
          <t xml:space="preserve">Personal - regular use</t>
        </is>
      </c>
      <c r="P455" s="30" t="inlineStr">
        <is>
          <t xml:space="preserve">1,000 - 2,500</t>
        </is>
      </c>
      <c r="Q455" s="30" t="inlineStr">
        <is>
          <t xml:space="preserve">Georgia</t>
        </is>
      </c>
      <c r="R455" s="30" t="inlineStr">
        <is>
          <t xml:space="preserve">30303</t>
        </is>
      </c>
      <c r="S455" s="32" t="inlineStr">
        <is>
          <t xml:space="preserve">Tier 2 - Coastal wind (1-25 miles)</t>
        </is>
      </c>
      <c r="T455" s="36">
        <f>IF($A455="","",IF($S455="","",IFERROR(INDEX('[1]natural catastrophe'!$D$6:$D$17,MATCH($S455,'[1]natural catastrophe'!$B$6:$B$17,0)),"?")))</f>
      </c>
      <c r="U455" s="30" t="inlineStr">
        <is>
          <t xml:space="preserve">2% of agreed value, minimum $10,000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5849.65</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CANON-202607-008274</t>
        </is>
      </c>
      <c r="B456" s="46" t="inlineStr">
        <is>
          <t xml:space="preserve">Leopold Vasquez</t>
        </is>
      </c>
      <c r="C456" s="47">
        <v>46214</v>
      </c>
      <c r="D456" s="48" t="inlineStr">
        <is>
          <t xml:space="preserve">Bound - within authority</t>
        </is>
      </c>
      <c r="E456" s="48" t="inlineStr">
        <is>
          <t xml:space="preserve">New business</t>
        </is>
      </c>
      <c r="F456" s="46" t="inlineStr">
        <is>
          <t xml:space="preserve">B1234EXOTIC26</t>
        </is>
      </c>
      <c r="G456" s="33">
        <f>IF($A456="","",IF($C456="","",YEAR($C456)))</f>
      </c>
      <c r="H456" s="49">
        <v>1999</v>
      </c>
      <c r="I456" s="46" t="inlineStr">
        <is>
          <t xml:space="preserve">Maserati</t>
        </is>
      </c>
      <c r="J456" s="46" t="inlineStr">
        <is>
          <t xml:space="preserve">GranTurismo</t>
        </is>
      </c>
      <c r="K456" s="46" t="inlineStr">
        <is>
          <t xml:space="preserve">Z3BUB8D62LZS6VFC8</t>
        </is>
      </c>
      <c r="L456" s="48" t="inlineStr">
        <is>
          <t xml:space="preserve">02 - Sports / GT</t>
        </is>
      </c>
      <c r="M456" s="50">
        <v>390000</v>
      </c>
      <c r="N456" s="48" t="inlineStr">
        <is>
          <t xml:space="preserve">Personal</t>
        </is>
      </c>
      <c r="O456" s="46" t="inlineStr">
        <is>
          <t xml:space="preserve">Personal - regular use</t>
        </is>
      </c>
      <c r="P456" s="46" t="inlineStr">
        <is>
          <t xml:space="preserve">2,500 - 5,000</t>
        </is>
      </c>
      <c r="Q456" s="46" t="inlineStr">
        <is>
          <t xml:space="preserve">Maine</t>
        </is>
      </c>
      <c r="R456" s="46" t="inlineStr">
        <is>
          <t xml:space="preserve">04101</t>
        </is>
      </c>
      <c r="S456" s="48" t="inlineStr">
        <is>
          <t xml:space="preserve">Tier 3 - Coastal wind (25-100 miles)</t>
        </is>
      </c>
      <c r="T456" s="36">
        <f>IF($A456="","",IF($S456="","",IFERROR(INDEX('[1]natural catastrophe'!$D$6:$D$17,MATCH($S456,'[1]natural catastrophe'!$B$6:$B$17,0)),"?")))</f>
      </c>
      <c r="U456" s="46" t="inlineStr">
        <is>
          <t xml:space="preserve">2% of agreed value, minimum $10,000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4535.85</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CANON-202607-008275</t>
        </is>
      </c>
      <c r="B457" s="30" t="inlineStr">
        <is>
          <t xml:space="preserve">Mireille Nakashima</t>
        </is>
      </c>
      <c r="C457" s="31">
        <v>46215</v>
      </c>
      <c r="D457" s="32" t="inlineStr">
        <is>
          <t xml:space="preserve">Bound - within authority</t>
        </is>
      </c>
      <c r="E457" s="32" t="inlineStr">
        <is>
          <t xml:space="preserve">New business</t>
        </is>
      </c>
      <c r="F457" s="30" t="inlineStr">
        <is>
          <t xml:space="preserve">B1234EXOTIC26</t>
        </is>
      </c>
      <c r="G457" s="33">
        <f>IF($A457="","",IF($C457="","",YEAR($C457)))</f>
      </c>
      <c r="H457" s="34">
        <v>1971</v>
      </c>
      <c r="I457" s="30" t="inlineStr">
        <is>
          <t xml:space="preserve">Maserati</t>
        </is>
      </c>
      <c r="J457" s="30" t="inlineStr">
        <is>
          <t xml:space="preserve">GranTurismo</t>
        </is>
      </c>
      <c r="K457" s="30" t="inlineStr">
        <is>
          <t xml:space="preserve">9WCKWVBWYXD1CTWK8</t>
        </is>
      </c>
      <c r="L457" s="32" t="inlineStr">
        <is>
          <t xml:space="preserve">02 - Sports / GT</t>
        </is>
      </c>
      <c r="M457" s="35">
        <v>520000</v>
      </c>
      <c r="N457" s="32" t="inlineStr">
        <is>
          <t xml:space="preserve">Personal</t>
        </is>
      </c>
      <c r="O457" s="30" t="inlineStr">
        <is>
          <t xml:space="preserve">Personal - regular use</t>
        </is>
      </c>
      <c r="P457" s="30" t="inlineStr">
        <is>
          <t xml:space="preserve">1,000 - 2,500</t>
        </is>
      </c>
      <c r="Q457" s="30" t="inlineStr">
        <is>
          <t xml:space="preserve">Ohio</t>
        </is>
      </c>
      <c r="R457" s="30" t="inlineStr">
        <is>
          <t xml:space="preserve">43215</t>
        </is>
      </c>
      <c r="S457" s="32" t="inlineStr">
        <is>
          <t xml:space="preserve">Severe convective - hail / tornado (moderate)</t>
        </is>
      </c>
      <c r="T457" s="36">
        <f>IF($A457="","",IF($S457="","",IFERROR(INDEX('[1]natural catastrophe'!$D$6:$D$17,MATCH($S457,'[1]natural catastrophe'!$B$6:$B$17,0)),"?")))</f>
      </c>
      <c r="U457" s="30" t="inlineStr">
        <is>
          <t xml:space="preserve">$5,000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6745.91</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CANON-202607-008276</t>
        </is>
      </c>
      <c r="B458" s="46" t="inlineStr">
        <is>
          <t xml:space="preserve">Horace Fairweather</t>
        </is>
      </c>
      <c r="C458" s="47">
        <v>46217</v>
      </c>
      <c r="D458" s="48" t="inlineStr">
        <is>
          <t xml:space="preserve">Bound - within authority</t>
        </is>
      </c>
      <c r="E458" s="48" t="inlineStr">
        <is>
          <t xml:space="preserve">New business</t>
        </is>
      </c>
      <c r="F458" s="46" t="inlineStr">
        <is>
          <t xml:space="preserve">B1234EXOTIC26</t>
        </is>
      </c>
      <c r="G458" s="33">
        <f>IF($A458="","",IF($C458="","",YEAR($C458)))</f>
      </c>
      <c r="H458" s="49">
        <v>2005</v>
      </c>
      <c r="I458" s="46" t="inlineStr">
        <is>
          <t xml:space="preserve">Mercedes-Benz</t>
        </is>
      </c>
      <c r="J458" s="46" t="inlineStr">
        <is>
          <t xml:space="preserve">AMG GT</t>
        </is>
      </c>
      <c r="K458" s="46" t="inlineStr">
        <is>
          <t xml:space="preserve">YXC25DS6DK8UR3P2P</t>
        </is>
      </c>
      <c r="L458" s="48" t="inlineStr">
        <is>
          <t xml:space="preserve">02 - Sports / GT</t>
        </is>
      </c>
      <c r="M458" s="50">
        <v>255000</v>
      </c>
      <c r="N458" s="48" t="inlineStr">
        <is>
          <t xml:space="preserve">Personal</t>
        </is>
      </c>
      <c r="O458" s="46" t="inlineStr">
        <is>
          <t xml:space="preserve">Personal - regular use</t>
        </is>
      </c>
      <c r="P458" s="46" t="inlineStr">
        <is>
          <t xml:space="preserve">Under 1,000</t>
        </is>
      </c>
      <c r="Q458" s="46" t="inlineStr">
        <is>
          <t xml:space="preserve">New York</t>
        </is>
      </c>
      <c r="R458" s="46" t="inlineStr">
        <is>
          <t xml:space="preserve">10022</t>
        </is>
      </c>
      <c r="S458" s="48" t="inlineStr">
        <is>
          <t xml:space="preserve">Tier 3 - Coastal wind (25-100 miles)</t>
        </is>
      </c>
      <c r="T458" s="36">
        <f>IF($A458="","",IF($S458="","",IFERROR(INDEX('[1]natural catastrophe'!$D$6:$D$17,MATCH($S458,'[1]natural catastrophe'!$B$6:$B$17,0)),"?")))</f>
      </c>
      <c r="U458" s="46" t="inlineStr">
        <is>
          <t xml:space="preserve">2% of agreed value, minimum $10,000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3514.96</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CANON-202607-008278</t>
        </is>
      </c>
      <c r="B459" s="30" t="inlineStr">
        <is>
          <t xml:space="preserve">Aurelio Rourke</t>
        </is>
      </c>
      <c r="C459" s="31">
        <v>46211</v>
      </c>
      <c r="D459" s="32" t="inlineStr">
        <is>
          <t xml:space="preserve">Bound - within authority</t>
        </is>
      </c>
      <c r="E459" s="32" t="inlineStr">
        <is>
          <t xml:space="preserve">New business</t>
        </is>
      </c>
      <c r="F459" s="30" t="inlineStr">
        <is>
          <t xml:space="preserve">B1234EXOTIC26</t>
        </is>
      </c>
      <c r="G459" s="33">
        <f>IF($A459="","",IF($C459="","",YEAR($C459)))</f>
      </c>
      <c r="H459" s="34">
        <v>1988</v>
      </c>
      <c r="I459" s="30" t="inlineStr">
        <is>
          <t xml:space="preserve">Maserati</t>
        </is>
      </c>
      <c r="J459" s="30" t="inlineStr">
        <is>
          <t xml:space="preserve">GranTurismo</t>
        </is>
      </c>
      <c r="K459" s="30" t="inlineStr">
        <is>
          <t xml:space="preserve">0V0S4Y2DFMSZEGD07</t>
        </is>
      </c>
      <c r="L459" s="32" t="inlineStr">
        <is>
          <t xml:space="preserve">02 - Sports / GT</t>
        </is>
      </c>
      <c r="M459" s="35">
        <v>435000</v>
      </c>
      <c r="N459" s="32" t="inlineStr">
        <is>
          <t xml:space="preserve">Personal</t>
        </is>
      </c>
      <c r="O459" s="30" t="inlineStr">
        <is>
          <t xml:space="preserve">Personal - regular use</t>
        </is>
      </c>
      <c r="P459" s="30" t="inlineStr">
        <is>
          <t xml:space="preserve">Under 1,000</t>
        </is>
      </c>
      <c r="Q459" s="30" t="inlineStr">
        <is>
          <t xml:space="preserve">New York</t>
        </is>
      </c>
      <c r="R459" s="30" t="inlineStr">
        <is>
          <t xml:space="preserve">10022</t>
        </is>
      </c>
      <c r="S459" s="32" t="inlineStr">
        <is>
          <t xml:space="preserve">Tier 3 - Coastal wind (25-100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5996.11</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CANON-202607-008279</t>
        </is>
      </c>
      <c r="B460" s="46" t="inlineStr">
        <is>
          <t xml:space="preserve">Beatrix Larsson</t>
        </is>
      </c>
      <c r="C460" s="47">
        <v>46210</v>
      </c>
      <c r="D460" s="48" t="inlineStr">
        <is>
          <t xml:space="preserve">Bound - within authority</t>
        </is>
      </c>
      <c r="E460" s="48" t="inlineStr">
        <is>
          <t xml:space="preserve">New business</t>
        </is>
      </c>
      <c r="F460" s="46" t="inlineStr">
        <is>
          <t xml:space="preserve">B1234EXOTIC26</t>
        </is>
      </c>
      <c r="G460" s="33">
        <f>IF($A460="","",IF($C460="","",YEAR($C460)))</f>
      </c>
      <c r="H460" s="49">
        <v>2004</v>
      </c>
      <c r="I460" s="46" t="inlineStr">
        <is>
          <t xml:space="preserve">Jaguar</t>
        </is>
      </c>
      <c r="J460" s="46" t="inlineStr">
        <is>
          <t xml:space="preserve">E-Type Series 1</t>
        </is>
      </c>
      <c r="K460" s="46" t="inlineStr">
        <is>
          <t xml:space="preserve">P4JW6DGCHKSA3TAUV</t>
        </is>
      </c>
      <c r="L460" s="48" t="inlineStr">
        <is>
          <t xml:space="preserve">09 - Youngtimer / Collectible (2000-2010)</t>
        </is>
      </c>
      <c r="M460" s="50">
        <v>1080000</v>
      </c>
      <c r="N460" s="48" t="inlineStr">
        <is>
          <t xml:space="preserve">Personal</t>
        </is>
      </c>
      <c r="O460" s="46" t="inlineStr">
        <is>
          <t xml:space="preserve">Personal - regular use</t>
        </is>
      </c>
      <c r="P460" s="46" t="inlineStr">
        <is>
          <t xml:space="preserve">2,500 - 5,000</t>
        </is>
      </c>
      <c r="Q460" s="46" t="inlineStr">
        <is>
          <t xml:space="preserve">Rhode Island</t>
        </is>
      </c>
      <c r="R460" s="46" t="inlineStr">
        <is>
          <t xml:space="preserve">02903</t>
        </is>
      </c>
      <c r="S460" s="48" t="inlineStr">
        <is>
          <t xml:space="preserve">Tier 3 - Coastal wind (25-100 miles)</t>
        </is>
      </c>
      <c r="T460" s="36">
        <f>IF($A460="","",IF($S460="","",IFERROR(INDEX('[1]natural catastrophe'!$D$6:$D$17,MATCH($S460,'[1]natural catastrophe'!$B$6:$B$17,0)),"?")))</f>
      </c>
      <c r="U460" s="46" t="inlineStr">
        <is>
          <t xml:space="preserve">2% of agreed value, minimum $10,000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8073.03</v>
      </c>
      <c r="AC460" s="51">
        <v>0</v>
      </c>
      <c r="AD460" s="38">
        <f>IF(ISNUMBER($AB460),$AB460*(1+N($AC460)),"")</f>
      </c>
      <c r="AE460" s="50">
        <v>350</v>
      </c>
      <c r="AF460" s="50">
        <v>250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CANON-202607-008280</t>
        </is>
      </c>
      <c r="B461" s="30" t="inlineStr">
        <is>
          <t xml:space="preserve">Wilhelmina Kingsford</t>
        </is>
      </c>
      <c r="C461" s="31">
        <v>46217</v>
      </c>
      <c r="D461" s="32" t="inlineStr">
        <is>
          <t xml:space="preserve">Bound - within authority</t>
        </is>
      </c>
      <c r="E461" s="32" t="inlineStr">
        <is>
          <t xml:space="preserve">New business</t>
        </is>
      </c>
      <c r="F461" s="30" t="inlineStr">
        <is>
          <t xml:space="preserve">B1234EXOTIC26</t>
        </is>
      </c>
      <c r="G461" s="33">
        <f>IF($A461="","",IF($C461="","",YEAR($C461)))</f>
      </c>
      <c r="H461" s="34">
        <v>1986</v>
      </c>
      <c r="I461" s="30" t="inlineStr">
        <is>
          <t xml:space="preserve">Bentley</t>
        </is>
      </c>
      <c r="J461" s="30" t="inlineStr">
        <is>
          <t xml:space="preserve">Continental GT</t>
        </is>
      </c>
      <c r="K461" s="30" t="inlineStr">
        <is>
          <t xml:space="preserve">NYJK9WZ2BX5L04JB3</t>
        </is>
      </c>
      <c r="L461" s="32" t="inlineStr">
        <is>
          <t xml:space="preserve">02 - Sports / GT</t>
        </is>
      </c>
      <c r="M461" s="35">
        <v>210000</v>
      </c>
      <c r="N461" s="32" t="inlineStr">
        <is>
          <t xml:space="preserve">Personal</t>
        </is>
      </c>
      <c r="O461" s="30" t="inlineStr">
        <is>
          <t xml:space="preserve">Personal - regular use</t>
        </is>
      </c>
      <c r="P461" s="30" t="inlineStr">
        <is>
          <t xml:space="preserve">1,000 - 2,500</t>
        </is>
      </c>
      <c r="Q461" s="30" t="inlineStr">
        <is>
          <t xml:space="preserve">California</t>
        </is>
      </c>
      <c r="R461" s="30" t="inlineStr">
        <is>
          <t xml:space="preserve">90012</t>
        </is>
      </c>
      <c r="S461" s="32" t="inlineStr">
        <is>
          <t xml:space="preserve">Earthquake - high (CA, Cascadia, New Madrid)</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3744.98</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CANON-202607-008283</t>
        </is>
      </c>
      <c r="B462" s="46" t="inlineStr">
        <is>
          <t xml:space="preserve">Cassius Bellandi</t>
        </is>
      </c>
      <c r="C462" s="47">
        <v>46224</v>
      </c>
      <c r="D462" s="48" t="inlineStr">
        <is>
          <t xml:space="preserve">Bound - within authority</t>
        </is>
      </c>
      <c r="E462" s="48" t="inlineStr">
        <is>
          <t xml:space="preserve">New business</t>
        </is>
      </c>
      <c r="F462" s="46" t="inlineStr">
        <is>
          <t xml:space="preserve">B1234EXOTIC26</t>
        </is>
      </c>
      <c r="G462" s="33">
        <f>IF($A462="","",IF($C462="","",YEAR($C462)))</f>
      </c>
      <c r="H462" s="49">
        <v>1965</v>
      </c>
      <c r="I462" s="46" t="inlineStr">
        <is>
          <t xml:space="preserve">Bentley</t>
        </is>
      </c>
      <c r="J462" s="46" t="inlineStr">
        <is>
          <t xml:space="preserve">Continental GT</t>
        </is>
      </c>
      <c r="K462" s="46" t="inlineStr">
        <is>
          <t xml:space="preserve">NPNW6ZJ26N0ELGHJ7</t>
        </is>
      </c>
      <c r="L462" s="48" t="inlineStr">
        <is>
          <t xml:space="preserve">02 - Sports / GT</t>
        </is>
      </c>
      <c r="M462" s="50">
        <v>475000</v>
      </c>
      <c r="N462" s="48" t="inlineStr">
        <is>
          <t xml:space="preserve">Personal</t>
        </is>
      </c>
      <c r="O462" s="46" t="inlineStr">
        <is>
          <t xml:space="preserve">Personal - regular use</t>
        </is>
      </c>
      <c r="P462" s="46" t="inlineStr">
        <is>
          <t xml:space="preserve">1,000 - 2,500</t>
        </is>
      </c>
      <c r="Q462" s="46" t="inlineStr">
        <is>
          <t xml:space="preserve">Missouri</t>
        </is>
      </c>
      <c r="R462" s="46" t="inlineStr">
        <is>
          <t xml:space="preserve">63101</t>
        </is>
      </c>
      <c r="S462" s="48" t="inlineStr">
        <is>
          <t xml:space="preserve">Severe convective - hail / tornado (moderate)</t>
        </is>
      </c>
      <c r="T462" s="36">
        <f>IF($A462="","",IF($S462="","",IFERROR(INDEX('[1]natural catastrophe'!$D$6:$D$17,MATCH($S462,'[1]natural catastrophe'!$B$6:$B$17,0)),"?")))</f>
      </c>
      <c r="U462" s="46" t="inlineStr">
        <is>
          <t xml:space="preserve">$5,000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5422.12</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CANON-202607-008284</t>
        </is>
      </c>
      <c r="B463" s="30" t="inlineStr">
        <is>
          <t xml:space="preserve">Anouk Harrington</t>
        </is>
      </c>
      <c r="C463" s="31">
        <v>46230</v>
      </c>
      <c r="D463" s="32" t="inlineStr">
        <is>
          <t xml:space="preserve">Bound - within authority</t>
        </is>
      </c>
      <c r="E463" s="32" t="inlineStr">
        <is>
          <t xml:space="preserve">New business</t>
        </is>
      </c>
      <c r="F463" s="30" t="inlineStr">
        <is>
          <t xml:space="preserve">B1234EXOTIC26</t>
        </is>
      </c>
      <c r="G463" s="33">
        <f>IF($A463="","",IF($C463="","",YEAR($C463)))</f>
      </c>
      <c r="H463" s="34">
        <v>1965</v>
      </c>
      <c r="I463" s="30" t="inlineStr">
        <is>
          <t xml:space="preserve">Bugatti</t>
        </is>
      </c>
      <c r="J463" s="30" t="inlineStr">
        <is>
          <t xml:space="preserve">Type 57</t>
        </is>
      </c>
      <c r="K463" s="30" t="inlineStr">
        <is>
          <t xml:space="preserve">VK8BA8VUUY7UHUE57</t>
        </is>
      </c>
      <c r="L463" s="32" t="inlineStr">
        <is>
          <t xml:space="preserve">07 - Post-War Classic (1946-1972)</t>
        </is>
      </c>
      <c r="M463" s="35">
        <v>235000</v>
      </c>
      <c r="N463" s="32" t="inlineStr">
        <is>
          <t xml:space="preserve">Personal</t>
        </is>
      </c>
      <c r="O463" s="30" t="inlineStr">
        <is>
          <t xml:space="preserve">Personal - regular use</t>
        </is>
      </c>
      <c r="P463" s="30" t="inlineStr">
        <is>
          <t xml:space="preserve">1,000 - 2,500</t>
        </is>
      </c>
      <c r="Q463" s="30" t="inlineStr">
        <is>
          <t xml:space="preserve">Virginia</t>
        </is>
      </c>
      <c r="R463" s="30" t="inlineStr">
        <is>
          <t xml:space="preserve">23219</t>
        </is>
      </c>
      <c r="S463" s="32" t="inlineStr">
        <is>
          <t xml:space="preserve">Tier 3 - Coastal wind (25-100 miles)</t>
        </is>
      </c>
      <c r="T463" s="36">
        <f>IF($A463="","",IF($S463="","",IFERROR(INDEX('[1]natural catastrophe'!$D$6:$D$17,MATCH($S463,'[1]natural catastrophe'!$B$6:$B$17,0)),"?")))</f>
      </c>
      <c r="U463" s="30" t="inlineStr">
        <is>
          <t xml:space="preserve">2% of agreed value, minimum $10,000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1838.96</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CANON-202607-008287</t>
        </is>
      </c>
      <c r="B464" s="46" t="inlineStr">
        <is>
          <t xml:space="preserve">Ottilie Fairweather</t>
        </is>
      </c>
      <c r="C464" s="47">
        <v>46221</v>
      </c>
      <c r="D464" s="48" t="inlineStr">
        <is>
          <t xml:space="preserve">Bound - within authority</t>
        </is>
      </c>
      <c r="E464" s="48" t="inlineStr">
        <is>
          <t xml:space="preserve">New business</t>
        </is>
      </c>
      <c r="F464" s="46" t="inlineStr">
        <is>
          <t xml:space="preserve">B1234EXOTIC26</t>
        </is>
      </c>
      <c r="G464" s="33">
        <f>IF($A464="","",IF($C464="","",YEAR($C464)))</f>
      </c>
      <c r="H464" s="49">
        <v>2011</v>
      </c>
      <c r="I464" s="46" t="inlineStr">
        <is>
          <t xml:space="preserve">Porsche</t>
        </is>
      </c>
      <c r="J464" s="46" t="inlineStr">
        <is>
          <t xml:space="preserve">911 Turbo S</t>
        </is>
      </c>
      <c r="K464" s="46" t="inlineStr">
        <is>
          <t xml:space="preserve">UCXELENC60HZCP1YB</t>
        </is>
      </c>
      <c r="L464" s="48" t="inlineStr">
        <is>
          <t xml:space="preserve">02 - Sports / GT</t>
        </is>
      </c>
      <c r="M464" s="50">
        <v>1120000</v>
      </c>
      <c r="N464" s="48" t="inlineStr">
        <is>
          <t xml:space="preserve">Personal</t>
        </is>
      </c>
      <c r="O464" s="46" t="inlineStr">
        <is>
          <t xml:space="preserve">Personal - regular use</t>
        </is>
      </c>
      <c r="P464" s="46" t="inlineStr">
        <is>
          <t xml:space="preserve">Under 1,000</t>
        </is>
      </c>
      <c r="Q464" s="46" t="inlineStr">
        <is>
          <t xml:space="preserve">Texas</t>
        </is>
      </c>
      <c r="R464" s="46" t="inlineStr">
        <is>
          <t xml:space="preserve">75201</t>
        </is>
      </c>
      <c r="S464" s="48" t="inlineStr">
        <is>
          <t xml:space="preserve">Tier 2 - Coastal wind (1-25 miles)</t>
        </is>
      </c>
      <c r="T464" s="36">
        <f>IF($A464="","",IF($S464="","",IFERROR(INDEX('[1]natural catastrophe'!$D$6:$D$17,MATCH($S464,'[1]natural catastrophe'!$B$6:$B$17,0)),"?")))</f>
      </c>
      <c r="U464" s="46" t="inlineStr">
        <is>
          <t xml:space="preserve">2% of agreed value, minimum $10,000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10171.56</v>
      </c>
      <c r="AC464" s="51">
        <v>0</v>
      </c>
      <c r="AD464" s="38">
        <f>IF(ISNUMBER($AB464),$AB464*(1+N($AC464)),"")</f>
      </c>
      <c r="AE464" s="50">
        <v>350</v>
      </c>
      <c r="AF464" s="50">
        <v>250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CANON-202607-008288</t>
        </is>
      </c>
      <c r="B465" s="30" t="inlineStr">
        <is>
          <t xml:space="preserve">Mireille Vasquez</t>
        </is>
      </c>
      <c r="C465" s="31">
        <v>46232</v>
      </c>
      <c r="D465" s="32" t="inlineStr">
        <is>
          <t xml:space="preserve">Bound - within authority</t>
        </is>
      </c>
      <c r="E465" s="32" t="inlineStr">
        <is>
          <t xml:space="preserve">New business</t>
        </is>
      </c>
      <c r="F465" s="30" t="inlineStr">
        <is>
          <t xml:space="preserve">B1234EXOTIC26</t>
        </is>
      </c>
      <c r="G465" s="33">
        <f>IF($A465="","",IF($C465="","",YEAR($C465)))</f>
      </c>
      <c r="H465" s="34">
        <v>1987</v>
      </c>
      <c r="I465" s="30" t="inlineStr">
        <is>
          <t xml:space="preserve">BMW</t>
        </is>
      </c>
      <c r="J465" s="30" t="inlineStr">
        <is>
          <t xml:space="preserve">M8 Competition</t>
        </is>
      </c>
      <c r="K465" s="30" t="inlineStr">
        <is>
          <t xml:space="preserve">3KLF31BSHC1G6LHAZ</t>
        </is>
      </c>
      <c r="L465" s="32" t="inlineStr">
        <is>
          <t xml:space="preserve">02 - Sports / GT</t>
        </is>
      </c>
      <c r="M465" s="35">
        <v>495000</v>
      </c>
      <c r="N465" s="32" t="inlineStr">
        <is>
          <t xml:space="preserve">Personal</t>
        </is>
      </c>
      <c r="O465" s="30" t="inlineStr">
        <is>
          <t xml:space="preserve">Personal - regular use</t>
        </is>
      </c>
      <c r="P465" s="30" t="inlineStr">
        <is>
          <t xml:space="preserve">1,000 - 2,500</t>
        </is>
      </c>
      <c r="Q465" s="30" t="inlineStr">
        <is>
          <t xml:space="preserve">Utah</t>
        </is>
      </c>
      <c r="R465" s="30" t="inlineStr">
        <is>
          <t xml:space="preserve">84101</t>
        </is>
      </c>
      <c r="S465" s="32" t="inlineStr">
        <is>
          <t xml:space="preserve">Wildfire - WUI high hazard</t>
        </is>
      </c>
      <c r="T465" s="36">
        <f>IF($A465="","",IF($S465="","",IFERROR(INDEX('[1]natural catastrophe'!$D$6:$D$17,MATCH($S465,'[1]natural catastrophe'!$B$6:$B$17,0)),"?")))</f>
      </c>
      <c r="U465" s="30" t="inlineStr">
        <is>
          <t xml:space="preserve">$5,000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7196.3</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CANON-202607-008289</t>
        </is>
      </c>
      <c r="B466" s="46" t="inlineStr">
        <is>
          <t xml:space="preserve">Emiliano Underwood</t>
        </is>
      </c>
      <c r="C466" s="47">
        <v>46210</v>
      </c>
      <c r="D466" s="48" t="inlineStr">
        <is>
          <t xml:space="preserve">Bound - within authority</t>
        </is>
      </c>
      <c r="E466" s="48" t="inlineStr">
        <is>
          <t xml:space="preserve">New business</t>
        </is>
      </c>
      <c r="F466" s="46" t="inlineStr">
        <is>
          <t xml:space="preserve">B1234EXOTIC26</t>
        </is>
      </c>
      <c r="G466" s="33">
        <f>IF($A466="","",IF($C466="","",YEAR($C466)))</f>
      </c>
      <c r="H466" s="49">
        <v>1987</v>
      </c>
      <c r="I466" s="46" t="inlineStr">
        <is>
          <t xml:space="preserve">BMW</t>
        </is>
      </c>
      <c r="J466" s="46" t="inlineStr">
        <is>
          <t xml:space="preserve">M8 Competition</t>
        </is>
      </c>
      <c r="K466" s="46" t="inlineStr">
        <is>
          <t xml:space="preserve">ZY0WZ7V86ZTU8KRP2</t>
        </is>
      </c>
      <c r="L466" s="48" t="inlineStr">
        <is>
          <t xml:space="preserve">02 - Sports / GT</t>
        </is>
      </c>
      <c r="M466" s="50">
        <v>445000</v>
      </c>
      <c r="N466" s="48" t="inlineStr">
        <is>
          <t xml:space="preserve">Personal</t>
        </is>
      </c>
      <c r="O466" s="46" t="inlineStr">
        <is>
          <t xml:space="preserve">Personal - regular use</t>
        </is>
      </c>
      <c r="P466" s="46" t="inlineStr">
        <is>
          <t xml:space="preserve">Under 1,000</t>
        </is>
      </c>
      <c r="Q466" s="46" t="inlineStr">
        <is>
          <t xml:space="preserve">New York</t>
        </is>
      </c>
      <c r="R466" s="46" t="inlineStr">
        <is>
          <t xml:space="preserve">10022</t>
        </is>
      </c>
      <c r="S466" s="48" t="inlineStr">
        <is>
          <t xml:space="preserve">Tier 3 - Coastal wind (25-100 miles)</t>
        </is>
      </c>
      <c r="T466" s="36">
        <f>IF($A466="","",IF($S466="","",IFERROR(INDEX('[1]natural catastrophe'!$D$6:$D$17,MATCH($S466,'[1]natural catastrophe'!$B$6:$B$17,0)),"?")))</f>
      </c>
      <c r="U466" s="46" t="inlineStr">
        <is>
          <t xml:space="preserve">2% of agreed value, minimum $10,000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6133.95</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CANON-202607-008290</t>
        </is>
      </c>
      <c r="B467" s="30" t="inlineStr">
        <is>
          <t xml:space="preserve">Aurelio Larsson</t>
        </is>
      </c>
      <c r="C467" s="31">
        <v>46223</v>
      </c>
      <c r="D467" s="32" t="inlineStr">
        <is>
          <t xml:space="preserve">Bound - within authority</t>
        </is>
      </c>
      <c r="E467" s="32" t="inlineStr">
        <is>
          <t xml:space="preserve">New business</t>
        </is>
      </c>
      <c r="F467" s="30" t="inlineStr">
        <is>
          <t xml:space="preserve">B1234EXOTIC26</t>
        </is>
      </c>
      <c r="G467" s="33">
        <f>IF($A467="","",IF($C467="","",YEAR($C467)))</f>
      </c>
      <c r="H467" s="34">
        <v>1969</v>
      </c>
      <c r="I467" s="30" t="inlineStr">
        <is>
          <t xml:space="preserve">Lamborghini</t>
        </is>
      </c>
      <c r="J467" s="30" t="inlineStr">
        <is>
          <t xml:space="preserve">Huracan EVO</t>
        </is>
      </c>
      <c r="K467" s="30" t="inlineStr">
        <is>
          <t xml:space="preserve">LBA4AVAWLDL1APTCW</t>
        </is>
      </c>
      <c r="L467" s="32" t="inlineStr">
        <is>
          <t xml:space="preserve">03 - Supercar</t>
        </is>
      </c>
      <c r="M467" s="35">
        <v>535000</v>
      </c>
      <c r="N467" s="32" t="inlineStr">
        <is>
          <t xml:space="preserve">Personal</t>
        </is>
      </c>
      <c r="O467" s="30" t="inlineStr">
        <is>
          <t xml:space="preserve">Personal - regular use</t>
        </is>
      </c>
      <c r="P467" s="30" t="inlineStr">
        <is>
          <t xml:space="preserve">1,000 - 2,500</t>
        </is>
      </c>
      <c r="Q467" s="30" t="inlineStr">
        <is>
          <t xml:space="preserve">Colorado</t>
        </is>
      </c>
      <c r="R467" s="30" t="inlineStr">
        <is>
          <t xml:space="preserve">80202</t>
        </is>
      </c>
      <c r="S467" s="32" t="inlineStr">
        <is>
          <t xml:space="preserve">Severe convective - hail alley (high)</t>
        </is>
      </c>
      <c r="T467" s="36">
        <f>IF($A467="","",IF($S467="","",IFERROR(INDEX('[1]natural catastrophe'!$D$6:$D$17,MATCH($S467,'[1]natural catastrophe'!$B$6:$B$17,0)),"?")))</f>
      </c>
      <c r="U467" s="30" t="inlineStr">
        <is>
          <t xml:space="preserve">$5,000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8027.47</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CANON-202607-008291</t>
        </is>
      </c>
      <c r="B468" s="46" t="inlineStr">
        <is>
          <t xml:space="preserve">Delphine Harrington</t>
        </is>
      </c>
      <c r="C468" s="47">
        <v>46231</v>
      </c>
      <c r="D468" s="48" t="inlineStr">
        <is>
          <t xml:space="preserve">Bound - within authority</t>
        </is>
      </c>
      <c r="E468" s="48" t="inlineStr">
        <is>
          <t xml:space="preserve">New business</t>
        </is>
      </c>
      <c r="F468" s="46" t="inlineStr">
        <is>
          <t xml:space="preserve">B1234EXOTIC26</t>
        </is>
      </c>
      <c r="G468" s="33">
        <f>IF($A468="","",IF($C468="","",YEAR($C468)))</f>
      </c>
      <c r="H468" s="49">
        <v>1995</v>
      </c>
      <c r="I468" s="46" t="inlineStr">
        <is>
          <t xml:space="preserve">BMW</t>
        </is>
      </c>
      <c r="J468" s="46" t="inlineStr">
        <is>
          <t xml:space="preserve">M8 Competition</t>
        </is>
      </c>
      <c r="K468" s="46" t="inlineStr">
        <is>
          <t xml:space="preserve">MS076TZTJAX9WKJUC</t>
        </is>
      </c>
      <c r="L468" s="48" t="inlineStr">
        <is>
          <t xml:space="preserve">02 - Sports / GT</t>
        </is>
      </c>
      <c r="M468" s="50">
        <v>305000</v>
      </c>
      <c r="N468" s="48" t="inlineStr">
        <is>
          <t xml:space="preserve">Personal</t>
        </is>
      </c>
      <c r="O468" s="46" t="inlineStr">
        <is>
          <t xml:space="preserve">Personal - regular use</t>
        </is>
      </c>
      <c r="P468" s="46" t="inlineStr">
        <is>
          <t xml:space="preserve">1,000 - 2,500</t>
        </is>
      </c>
      <c r="Q468" s="46" t="inlineStr">
        <is>
          <t xml:space="preserve">Missouri</t>
        </is>
      </c>
      <c r="R468" s="46" t="inlineStr">
        <is>
          <t xml:space="preserve">63101</t>
        </is>
      </c>
      <c r="S468" s="48" t="inlineStr">
        <is>
          <t xml:space="preserve">Severe convective - hail / tornado (moderate)</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3481.57</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CANON-202607-008292</t>
        </is>
      </c>
      <c r="B469" s="30" t="inlineStr">
        <is>
          <t xml:space="preserve">Ottilie Rourke</t>
        </is>
      </c>
      <c r="C469" s="31">
        <v>46217</v>
      </c>
      <c r="D469" s="32" t="inlineStr">
        <is>
          <t xml:space="preserve">Bound - within authority</t>
        </is>
      </c>
      <c r="E469" s="32" t="inlineStr">
        <is>
          <t xml:space="preserve">New business</t>
        </is>
      </c>
      <c r="F469" s="30" t="inlineStr">
        <is>
          <t xml:space="preserve">B1234EXOTIC26</t>
        </is>
      </c>
      <c r="G469" s="33">
        <f>IF($A469="","",IF($C469="","",YEAR($C469)))</f>
      </c>
      <c r="H469" s="34">
        <v>2005</v>
      </c>
      <c r="I469" s="30" t="inlineStr">
        <is>
          <t xml:space="preserve">Mercedes-Benz</t>
        </is>
      </c>
      <c r="J469" s="30" t="inlineStr">
        <is>
          <t xml:space="preserve">280SL Pagoda</t>
        </is>
      </c>
      <c r="K469" s="30" t="inlineStr">
        <is>
          <t xml:space="preserve">LTGJY0XERNG33Z7D2</t>
        </is>
      </c>
      <c r="L469" s="32" t="inlineStr">
        <is>
          <t xml:space="preserve">09 - Youngtimer / Collectible (2000-2010)</t>
        </is>
      </c>
      <c r="M469" s="35">
        <v>940000</v>
      </c>
      <c r="N469" s="32" t="inlineStr">
        <is>
          <t xml:space="preserve">Personal</t>
        </is>
      </c>
      <c r="O469" s="30" t="inlineStr">
        <is>
          <t xml:space="preserve">Personal - regular use</t>
        </is>
      </c>
      <c r="P469" s="30" t="inlineStr">
        <is>
          <t xml:space="preserve">1,000 - 2,500</t>
        </is>
      </c>
      <c r="Q469" s="30" t="inlineStr">
        <is>
          <t xml:space="preserve">Nevada</t>
        </is>
      </c>
      <c r="R469" s="30" t="inlineStr">
        <is>
          <t xml:space="preserve">89101</t>
        </is>
      </c>
      <c r="S469" s="32" t="inlineStr">
        <is>
          <t xml:space="preserve">Wildfire - WUI high hazard</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6790.33</v>
      </c>
      <c r="AC469" s="37">
        <v>0</v>
      </c>
      <c r="AD469" s="38">
        <f>IF(ISNUMBER($AB469),$AB469*(1+N($AC469)),"")</f>
      </c>
      <c r="AE469" s="35">
        <v>350</v>
      </c>
      <c r="AF469" s="35">
        <v>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CANON-202607-008293</t>
        </is>
      </c>
      <c r="B470" s="46" t="inlineStr">
        <is>
          <t xml:space="preserve">Thaddeus Delacroix</t>
        </is>
      </c>
      <c r="C470" s="47">
        <v>46228</v>
      </c>
      <c r="D470" s="48" t="inlineStr">
        <is>
          <t xml:space="preserve">Bound - within authority</t>
        </is>
      </c>
      <c r="E470" s="48" t="inlineStr">
        <is>
          <t xml:space="preserve">New business</t>
        </is>
      </c>
      <c r="F470" s="46" t="inlineStr">
        <is>
          <t xml:space="preserve">B1234EXOTIC26</t>
        </is>
      </c>
      <c r="G470" s="33">
        <f>IF($A470="","",IF($C470="","",YEAR($C470)))</f>
      </c>
      <c r="H470" s="49">
        <v>1974</v>
      </c>
      <c r="I470" s="46" t="inlineStr">
        <is>
          <t xml:space="preserve">Maserati</t>
        </is>
      </c>
      <c r="J470" s="46" t="inlineStr">
        <is>
          <t xml:space="preserve">GranTurismo</t>
        </is>
      </c>
      <c r="K470" s="46" t="inlineStr">
        <is>
          <t xml:space="preserve">X6RCZEFK0MBMPACJA</t>
        </is>
      </c>
      <c r="L470" s="48" t="inlineStr">
        <is>
          <t xml:space="preserve">02 - Sports / GT</t>
        </is>
      </c>
      <c r="M470" s="50">
        <v>505000</v>
      </c>
      <c r="N470" s="48" t="inlineStr">
        <is>
          <t xml:space="preserve">Personal</t>
        </is>
      </c>
      <c r="O470" s="46" t="inlineStr">
        <is>
          <t xml:space="preserve">Personal - regular use</t>
        </is>
      </c>
      <c r="P470" s="46" t="inlineStr">
        <is>
          <t xml:space="preserve">Under 1,000</t>
        </is>
      </c>
      <c r="Q470" s="46" t="inlineStr">
        <is>
          <t xml:space="preserve">Texas</t>
        </is>
      </c>
      <c r="R470" s="46" t="inlineStr">
        <is>
          <t xml:space="preserve">75201</t>
        </is>
      </c>
      <c r="S470" s="48" t="inlineStr">
        <is>
          <t xml:space="preserve">Tier 2 - Coastal wind (1-25 miles)</t>
        </is>
      </c>
      <c r="T470" s="36">
        <f>IF($A470="","",IF($S470="","",IFERROR(INDEX('[1]natural catastrophe'!$D$6:$D$17,MATCH($S470,'[1]natural catastrophe'!$B$6:$B$17,0)),"?")))</f>
      </c>
      <c r="U470" s="46" t="inlineStr">
        <is>
          <t xml:space="preserve">2% of agreed value, minimum $10,000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5420.15</v>
      </c>
      <c r="AC470" s="51">
        <v>0</v>
      </c>
      <c r="AD470" s="38">
        <f>IF(ISNUMBER($AB470),$AB470*(1+N($AC470)),"")</f>
      </c>
      <c r="AE470" s="50">
        <v>350</v>
      </c>
      <c r="AF470" s="50">
        <v>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CANON-202607-008297</t>
        </is>
      </c>
      <c r="B471" s="30" t="inlineStr">
        <is>
          <t xml:space="preserve">Callum Kingsford</t>
        </is>
      </c>
      <c r="C471" s="31">
        <v>46210</v>
      </c>
      <c r="D471" s="32" t="inlineStr">
        <is>
          <t xml:space="preserve">Bound - within authority</t>
        </is>
      </c>
      <c r="E471" s="32" t="inlineStr">
        <is>
          <t xml:space="preserve">New business</t>
        </is>
      </c>
      <c r="F471" s="30" t="inlineStr">
        <is>
          <t xml:space="preserve">B1234EXOTIC26</t>
        </is>
      </c>
      <c r="G471" s="33">
        <f>IF($A471="","",IF($C471="","",YEAR($C471)))</f>
      </c>
      <c r="H471" s="34">
        <v>2000</v>
      </c>
      <c r="I471" s="30" t="inlineStr">
        <is>
          <t xml:space="preserve">Ferrari</t>
        </is>
      </c>
      <c r="J471" s="30" t="inlineStr">
        <is>
          <t xml:space="preserve">SF90 Stradale</t>
        </is>
      </c>
      <c r="K471" s="30" t="inlineStr">
        <is>
          <t xml:space="preserve">C6SWKVXR1DDSR7AA9</t>
        </is>
      </c>
      <c r="L471" s="32" t="inlineStr">
        <is>
          <t xml:space="preserve">03 - Supercar</t>
        </is>
      </c>
      <c r="M471" s="35">
        <v>240000</v>
      </c>
      <c r="N471" s="32" t="inlineStr">
        <is>
          <t xml:space="preserve">Personal</t>
        </is>
      </c>
      <c r="O471" s="30" t="inlineStr">
        <is>
          <t xml:space="preserve">Personal - regular use</t>
        </is>
      </c>
      <c r="P471" s="30" t="inlineStr">
        <is>
          <t xml:space="preserve">2,500 - 5,000</t>
        </is>
      </c>
      <c r="Q471" s="30" t="inlineStr">
        <is>
          <t xml:space="preserve">Idaho</t>
        </is>
      </c>
      <c r="R471" s="30" t="inlineStr">
        <is>
          <t xml:space="preserve">83702</t>
        </is>
      </c>
      <c r="S471" s="32" t="inlineStr">
        <is>
          <t xml:space="preserve">Wildfire - WUI high hazard</t>
        </is>
      </c>
      <c r="T471" s="36">
        <f>IF($A471="","",IF($S471="","",IFERROR(INDEX('[1]natural catastrophe'!$D$6:$D$17,MATCH($S471,'[1]natural catastrophe'!$B$6:$B$17,0)),"?")))</f>
      </c>
      <c r="U471" s="30" t="inlineStr">
        <is>
          <t xml:space="preserve">$5,000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4844.44</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CANON-202607-008298</t>
        </is>
      </c>
      <c r="B472" s="46" t="inlineStr">
        <is>
          <t xml:space="preserve">Fitzgerald Whitlock</t>
        </is>
      </c>
      <c r="C472" s="47">
        <v>46210</v>
      </c>
      <c r="D472" s="48" t="inlineStr">
        <is>
          <t xml:space="preserve">Bound - within authority</t>
        </is>
      </c>
      <c r="E472" s="48" t="inlineStr">
        <is>
          <t xml:space="preserve">New business</t>
        </is>
      </c>
      <c r="F472" s="46" t="inlineStr">
        <is>
          <t xml:space="preserve">B1234EXOTIC26</t>
        </is>
      </c>
      <c r="G472" s="33">
        <f>IF($A472="","",IF($C472="","",YEAR($C472)))</f>
      </c>
      <c r="H472" s="49">
        <v>2000</v>
      </c>
      <c r="I472" s="46" t="inlineStr">
        <is>
          <t xml:space="preserve">Aston Martin</t>
        </is>
      </c>
      <c r="J472" s="46" t="inlineStr">
        <is>
          <t xml:space="preserve">DB5</t>
        </is>
      </c>
      <c r="K472" s="46" t="inlineStr">
        <is>
          <t xml:space="preserve">J6BAZ5F0CYATJ7GBN</t>
        </is>
      </c>
      <c r="L472" s="48" t="inlineStr">
        <is>
          <t xml:space="preserve">09 - Youngtimer / Collectible (2000-2010)</t>
        </is>
      </c>
      <c r="M472" s="50">
        <v>1435000</v>
      </c>
      <c r="N472" s="48" t="inlineStr">
        <is>
          <t xml:space="preserve">Personal</t>
        </is>
      </c>
      <c r="O472" s="46" t="inlineStr">
        <is>
          <t xml:space="preserve">Personal - regular use</t>
        </is>
      </c>
      <c r="P472" s="46" t="inlineStr">
        <is>
          <t xml:space="preserve">1,000 - 2,500</t>
        </is>
      </c>
      <c r="Q472" s="46" t="inlineStr">
        <is>
          <t xml:space="preserve">California</t>
        </is>
      </c>
      <c r="R472" s="46" t="inlineStr">
        <is>
          <t xml:space="preserve">90012</t>
        </is>
      </c>
      <c r="S472" s="48" t="inlineStr">
        <is>
          <t xml:space="preserve">Earthquake - high (CA, Cascadia, New Madrid)</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10570.08</v>
      </c>
      <c r="AC472" s="51">
        <v>0</v>
      </c>
      <c r="AD472" s="38">
        <f>IF(ISNUMBER($AB472),$AB472*(1+N($AC472)),"")</f>
      </c>
      <c r="AE472" s="50">
        <v>350</v>
      </c>
      <c r="AF472" s="50">
        <v>250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CANON-202607-008301</t>
        </is>
      </c>
      <c r="B473" s="30" t="inlineStr">
        <is>
          <t xml:space="preserve">Ottilie Harrington</t>
        </is>
      </c>
      <c r="C473" s="31">
        <v>46208</v>
      </c>
      <c r="D473" s="32" t="inlineStr">
        <is>
          <t xml:space="preserve">Bound - within authority</t>
        </is>
      </c>
      <c r="E473" s="32" t="inlineStr">
        <is>
          <t xml:space="preserve">New business</t>
        </is>
      </c>
      <c r="F473" s="30" t="inlineStr">
        <is>
          <t xml:space="preserve">B1234EXOTIC26</t>
        </is>
      </c>
      <c r="G473" s="33">
        <f>IF($A473="","",IF($C473="","",YEAR($C473)))</f>
      </c>
      <c r="H473" s="34">
        <v>1990</v>
      </c>
      <c r="I473" s="30" t="inlineStr">
        <is>
          <t xml:space="preserve">Aston Martin</t>
        </is>
      </c>
      <c r="J473" s="30" t="inlineStr">
        <is>
          <t xml:space="preserve">DB12</t>
        </is>
      </c>
      <c r="K473" s="30" t="inlineStr">
        <is>
          <t xml:space="preserve">0EB8DHVV33R2LG8X7</t>
        </is>
      </c>
      <c r="L473" s="32" t="inlineStr">
        <is>
          <t xml:space="preserve">02 - Sports / GT</t>
        </is>
      </c>
      <c r="M473" s="35">
        <v>1005000</v>
      </c>
      <c r="N473" s="32" t="inlineStr">
        <is>
          <t xml:space="preserve">Personal</t>
        </is>
      </c>
      <c r="O473" s="30" t="inlineStr">
        <is>
          <t xml:space="preserve">Personal - regular use</t>
        </is>
      </c>
      <c r="P473" s="30" t="inlineStr">
        <is>
          <t xml:space="preserve">1,000 - 2,500</t>
        </is>
      </c>
      <c r="Q473" s="30" t="inlineStr">
        <is>
          <t xml:space="preserve">Delaware</t>
        </is>
      </c>
      <c r="R473" s="30" t="inlineStr">
        <is>
          <t xml:space="preserve">19801</t>
        </is>
      </c>
      <c r="S473" s="32" t="inlineStr">
        <is>
          <t xml:space="preserve">Tier 3 - Coastal wind (25-100 miles)</t>
        </is>
      </c>
      <c r="T473" s="36">
        <f>IF($A473="","",IF($S473="","",IFERROR(INDEX('[1]natural catastrophe'!$D$6:$D$17,MATCH($S473,'[1]natural catastrophe'!$B$6:$B$17,0)),"?")))</f>
      </c>
      <c r="U473" s="30" t="inlineStr">
        <is>
          <t xml:space="preserve">2% of agreed value, minimum $10,000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9920.82</v>
      </c>
      <c r="AC473" s="37">
        <v>0</v>
      </c>
      <c r="AD473" s="38">
        <f>IF(ISNUMBER($AB473),$AB473*(1+N($AC473)),"")</f>
      </c>
      <c r="AE473" s="35">
        <v>350</v>
      </c>
      <c r="AF473" s="35">
        <v>250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CANON-202607-008302</t>
        </is>
      </c>
      <c r="B474" s="46" t="inlineStr">
        <is>
          <t xml:space="preserve">Aurelio Fairweather</t>
        </is>
      </c>
      <c r="C474" s="47">
        <v>46212</v>
      </c>
      <c r="D474" s="48" t="inlineStr">
        <is>
          <t xml:space="preserve">Bound - within authority</t>
        </is>
      </c>
      <c r="E474" s="48" t="inlineStr">
        <is>
          <t xml:space="preserve">New business</t>
        </is>
      </c>
      <c r="F474" s="46" t="inlineStr">
        <is>
          <t xml:space="preserve">B1234EXOTIC26</t>
        </is>
      </c>
      <c r="G474" s="33">
        <f>IF($A474="","",IF($C474="","",YEAR($C474)))</f>
      </c>
      <c r="H474" s="49">
        <v>2003</v>
      </c>
      <c r="I474" s="46" t="inlineStr">
        <is>
          <t xml:space="preserve">Maserati</t>
        </is>
      </c>
      <c r="J474" s="46" t="inlineStr">
        <is>
          <t xml:space="preserve">GranTurismo</t>
        </is>
      </c>
      <c r="K474" s="46" t="inlineStr">
        <is>
          <t xml:space="preserve">NGXJF48CYLZPFK31G</t>
        </is>
      </c>
      <c r="L474" s="48" t="inlineStr">
        <is>
          <t xml:space="preserve">02 - Sports / GT</t>
        </is>
      </c>
      <c r="M474" s="50">
        <v>525000</v>
      </c>
      <c r="N474" s="48" t="inlineStr">
        <is>
          <t xml:space="preserve">Personal</t>
        </is>
      </c>
      <c r="O474" s="46" t="inlineStr">
        <is>
          <t xml:space="preserve">Personal - regular use</t>
        </is>
      </c>
      <c r="P474" s="46" t="inlineStr">
        <is>
          <t xml:space="preserve">Under 1,000</t>
        </is>
      </c>
      <c r="Q474" s="46" t="inlineStr">
        <is>
          <t xml:space="preserve">Washington</t>
        </is>
      </c>
      <c r="R474" s="46" t="inlineStr">
        <is>
          <t xml:space="preserve">98101</t>
        </is>
      </c>
      <c r="S474" s="48" t="inlineStr">
        <is>
          <t xml:space="preserve">Earthquake - high (CA, Cascadia, New Madrid)</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4703.84</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CANON-202607-008303</t>
        </is>
      </c>
      <c r="B475" s="30" t="inlineStr">
        <is>
          <t xml:space="preserve">Ottilie Ashcombe</t>
        </is>
      </c>
      <c r="C475" s="31">
        <v>46234</v>
      </c>
      <c r="D475" s="32" t="inlineStr">
        <is>
          <t xml:space="preserve">Bound - within authority</t>
        </is>
      </c>
      <c r="E475" s="32" t="inlineStr">
        <is>
          <t xml:space="preserve">New business</t>
        </is>
      </c>
      <c r="F475" s="30" t="inlineStr">
        <is>
          <t xml:space="preserve">B1234EXOTIC26</t>
        </is>
      </c>
      <c r="G475" s="33">
        <f>IF($A475="","",IF($C475="","",YEAR($C475)))</f>
      </c>
      <c r="H475" s="34">
        <v>2010</v>
      </c>
      <c r="I475" s="30" t="inlineStr">
        <is>
          <t xml:space="preserve">Lamborghini</t>
        </is>
      </c>
      <c r="J475" s="30" t="inlineStr">
        <is>
          <t xml:space="preserve">Huracan EVO</t>
        </is>
      </c>
      <c r="K475" s="30" t="inlineStr">
        <is>
          <t xml:space="preserve">ZJPL2LZ9BN9JNY3M8</t>
        </is>
      </c>
      <c r="L475" s="32" t="inlineStr">
        <is>
          <t xml:space="preserve">03 - Supercar</t>
        </is>
      </c>
      <c r="M475" s="35">
        <v>420000</v>
      </c>
      <c r="N475" s="32" t="inlineStr">
        <is>
          <t xml:space="preserve">Personal</t>
        </is>
      </c>
      <c r="O475" s="30" t="inlineStr">
        <is>
          <t xml:space="preserve">Personal - regular use</t>
        </is>
      </c>
      <c r="P475" s="30" t="inlineStr">
        <is>
          <t xml:space="preserve">2,500 - 5,000</t>
        </is>
      </c>
      <c r="Q475" s="30" t="inlineStr">
        <is>
          <t xml:space="preserve">Tennessee</t>
        </is>
      </c>
      <c r="R475" s="30" t="inlineStr">
        <is>
          <t xml:space="preserve">37203</t>
        </is>
      </c>
      <c r="S475" s="32" t="inlineStr">
        <is>
          <t xml:space="preserve">Severe convective - hail / tornado (moderate)</t>
        </is>
      </c>
      <c r="T475" s="36">
        <f>IF($A475="","",IF($S475="","",IFERROR(INDEX('[1]natural catastrophe'!$D$6:$D$17,MATCH($S475,'[1]natural catastrophe'!$B$6:$B$17,0)),"?")))</f>
      </c>
      <c r="U475" s="30" t="inlineStr">
        <is>
          <t xml:space="preserve">$5,000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6796.45</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CANON-202607-008304</t>
        </is>
      </c>
      <c r="B476" s="46" t="inlineStr">
        <is>
          <t xml:space="preserve">Horace Pennington</t>
        </is>
      </c>
      <c r="C476" s="47">
        <v>46229</v>
      </c>
      <c r="D476" s="48" t="inlineStr">
        <is>
          <t xml:space="preserve">Bound - within authority</t>
        </is>
      </c>
      <c r="E476" s="48" t="inlineStr">
        <is>
          <t xml:space="preserve">New business</t>
        </is>
      </c>
      <c r="F476" s="46" t="inlineStr">
        <is>
          <t xml:space="preserve">B1234EXOTIC26</t>
        </is>
      </c>
      <c r="G476" s="33">
        <f>IF($A476="","",IF($C476="","",YEAR($C476)))</f>
      </c>
      <c r="H476" s="49">
        <v>1988</v>
      </c>
      <c r="I476" s="46" t="inlineStr">
        <is>
          <t xml:space="preserve">Porsche</t>
        </is>
      </c>
      <c r="J476" s="46" t="inlineStr">
        <is>
          <t xml:space="preserve">911 Turbo S</t>
        </is>
      </c>
      <c r="K476" s="46" t="inlineStr">
        <is>
          <t xml:space="preserve">Z6C46FL4R97NUVF4U</t>
        </is>
      </c>
      <c r="L476" s="48" t="inlineStr">
        <is>
          <t xml:space="preserve">02 - Sports / GT</t>
        </is>
      </c>
      <c r="M476" s="50">
        <v>570000</v>
      </c>
      <c r="N476" s="48" t="inlineStr">
        <is>
          <t xml:space="preserve">Personal</t>
        </is>
      </c>
      <c r="O476" s="46" t="inlineStr">
        <is>
          <t xml:space="preserve">Personal - regular use</t>
        </is>
      </c>
      <c r="P476" s="46" t="inlineStr">
        <is>
          <t xml:space="preserve">2,500 - 5,000</t>
        </is>
      </c>
      <c r="Q476" s="46" t="inlineStr">
        <is>
          <t xml:space="preserve">Michigan</t>
        </is>
      </c>
      <c r="R476" s="46" t="inlineStr">
        <is>
          <t xml:space="preserve">48226</t>
        </is>
      </c>
      <c r="S476" s="48" t="inlineStr">
        <is>
          <t xml:space="preserve">Severe convective - hail / tornado (moderate)</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8245.72</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CANON-202607-008305</t>
        </is>
      </c>
      <c r="B477" s="30" t="inlineStr">
        <is>
          <t xml:space="preserve">Anouk Okonkwo</t>
        </is>
      </c>
      <c r="C477" s="31">
        <v>46224</v>
      </c>
      <c r="D477" s="32" t="inlineStr">
        <is>
          <t xml:space="preserve">Bound - within authority</t>
        </is>
      </c>
      <c r="E477" s="32" t="inlineStr">
        <is>
          <t xml:space="preserve">New business</t>
        </is>
      </c>
      <c r="F477" s="30" t="inlineStr">
        <is>
          <t xml:space="preserve">B1234EXOTIC26</t>
        </is>
      </c>
      <c r="G477" s="33">
        <f>IF($A477="","",IF($C477="","",YEAR($C477)))</f>
      </c>
      <c r="H477" s="34">
        <v>1961</v>
      </c>
      <c r="I477" s="30" t="inlineStr">
        <is>
          <t xml:space="preserve">Bentley</t>
        </is>
      </c>
      <c r="J477" s="30" t="inlineStr">
        <is>
          <t xml:space="preserve">Continental GT</t>
        </is>
      </c>
      <c r="K477" s="30" t="inlineStr">
        <is>
          <t xml:space="preserve">RMTP1E10CAYP00AEW</t>
        </is>
      </c>
      <c r="L477" s="32" t="inlineStr">
        <is>
          <t xml:space="preserve">02 - Sports / GT</t>
        </is>
      </c>
      <c r="M477" s="35">
        <v>105000</v>
      </c>
      <c r="N477" s="32" t="inlineStr">
        <is>
          <t xml:space="preserve">Personal</t>
        </is>
      </c>
      <c r="O477" s="30" t="inlineStr">
        <is>
          <t xml:space="preserve">Personal - regular use</t>
        </is>
      </c>
      <c r="P477" s="30" t="inlineStr">
        <is>
          <t xml:space="preserve">1,000 - 2,500</t>
        </is>
      </c>
      <c r="Q477" s="30" t="inlineStr">
        <is>
          <t xml:space="preserve">Michigan</t>
        </is>
      </c>
      <c r="R477" s="30" t="inlineStr">
        <is>
          <t xml:space="preserve">48226</t>
        </is>
      </c>
      <c r="S477" s="32" t="inlineStr">
        <is>
          <t xml:space="preserve">Severe convective - hail / tornado (moderate)</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2149.89</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CANON-202607-008306</t>
        </is>
      </c>
      <c r="B478" s="46" t="inlineStr">
        <is>
          <t xml:space="preserve">Ramona Kingsford</t>
        </is>
      </c>
      <c r="C478" s="47">
        <v>46227</v>
      </c>
      <c r="D478" s="48" t="inlineStr">
        <is>
          <t xml:space="preserve">Bound - within authority</t>
        </is>
      </c>
      <c r="E478" s="48" t="inlineStr">
        <is>
          <t xml:space="preserve">New business</t>
        </is>
      </c>
      <c r="F478" s="46" t="inlineStr">
        <is>
          <t xml:space="preserve">B1234EXOTIC26</t>
        </is>
      </c>
      <c r="G478" s="33">
        <f>IF($A478="","",IF($C478="","",YEAR($C478)))</f>
      </c>
      <c r="H478" s="49">
        <v>2017</v>
      </c>
      <c r="I478" s="46" t="inlineStr">
        <is>
          <t xml:space="preserve">Maserati</t>
        </is>
      </c>
      <c r="J478" s="46" t="inlineStr">
        <is>
          <t xml:space="preserve">GranTurismo</t>
        </is>
      </c>
      <c r="K478" s="46" t="inlineStr">
        <is>
          <t xml:space="preserve">THFD90CT5SDKWZ35A</t>
        </is>
      </c>
      <c r="L478" s="48" t="inlineStr">
        <is>
          <t xml:space="preserve">02 - Sports / GT</t>
        </is>
      </c>
      <c r="M478" s="50">
        <v>435000</v>
      </c>
      <c r="N478" s="48" t="inlineStr">
        <is>
          <t xml:space="preserve">Personal</t>
        </is>
      </c>
      <c r="O478" s="46" t="inlineStr">
        <is>
          <t xml:space="preserve">Personal - regular use</t>
        </is>
      </c>
      <c r="P478" s="46" t="inlineStr">
        <is>
          <t xml:space="preserve">2,500 - 5,000</t>
        </is>
      </c>
      <c r="Q478" s="46" t="inlineStr">
        <is>
          <t xml:space="preserve">Texas</t>
        </is>
      </c>
      <c r="R478" s="46" t="inlineStr">
        <is>
          <t xml:space="preserve">75201</t>
        </is>
      </c>
      <c r="S478" s="48" t="inlineStr">
        <is>
          <t xml:space="preserve">Tier 2 - Coastal wind (1-25 miles)</t>
        </is>
      </c>
      <c r="T478" s="36">
        <f>IF($A478="","",IF($S478="","",IFERROR(INDEX('[1]natural catastrophe'!$D$6:$D$17,MATCH($S478,'[1]natural catastrophe'!$B$6:$B$17,0)),"?")))</f>
      </c>
      <c r="U478" s="46" t="inlineStr">
        <is>
          <t xml:space="preserve">2% of agreed value, minimum $10,000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5387.13</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CANON-202607-008307</t>
        </is>
      </c>
      <c r="B479" s="30" t="inlineStr">
        <is>
          <t xml:space="preserve">Fitzgerald Underwood</t>
        </is>
      </c>
      <c r="C479" s="31">
        <v>46214</v>
      </c>
      <c r="D479" s="32" t="inlineStr">
        <is>
          <t xml:space="preserve">Bound - within authority</t>
        </is>
      </c>
      <c r="E479" s="32" t="inlineStr">
        <is>
          <t xml:space="preserve">New business</t>
        </is>
      </c>
      <c r="F479" s="30" t="inlineStr">
        <is>
          <t xml:space="preserve">B1234EXOTIC26</t>
        </is>
      </c>
      <c r="G479" s="33">
        <f>IF($A479="","",IF($C479="","",YEAR($C479)))</f>
      </c>
      <c r="H479" s="34">
        <v>1969</v>
      </c>
      <c r="I479" s="30" t="inlineStr">
        <is>
          <t xml:space="preserve">Porsche</t>
        </is>
      </c>
      <c r="J479" s="30" t="inlineStr">
        <is>
          <t xml:space="preserve">911 Turbo S</t>
        </is>
      </c>
      <c r="K479" s="30" t="inlineStr">
        <is>
          <t xml:space="preserve">JZTGVXSUG7TE7GBMV</t>
        </is>
      </c>
      <c r="L479" s="32" t="inlineStr">
        <is>
          <t xml:space="preserve">02 - Sports / GT</t>
        </is>
      </c>
      <c r="M479" s="35">
        <v>235000</v>
      </c>
      <c r="N479" s="32" t="inlineStr">
        <is>
          <t xml:space="preserve">Personal</t>
        </is>
      </c>
      <c r="O479" s="30" t="inlineStr">
        <is>
          <t xml:space="preserve">Personal - regular use</t>
        </is>
      </c>
      <c r="P479" s="30" t="inlineStr">
        <is>
          <t xml:space="preserve">2,500 - 5,000</t>
        </is>
      </c>
      <c r="Q479" s="30" t="inlineStr">
        <is>
          <t xml:space="preserve">Montana</t>
        </is>
      </c>
      <c r="R479" s="30" t="inlineStr">
        <is>
          <t xml:space="preserve">59601</t>
        </is>
      </c>
      <c r="S479" s="32" t="inlineStr">
        <is>
          <t xml:space="preserve">Wildfire - WUI high hazard</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2887.01</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CANON-202607-008308</t>
        </is>
      </c>
      <c r="B480" s="46" t="inlineStr">
        <is>
          <t xml:space="preserve">Emiliano Castellanos</t>
        </is>
      </c>
      <c r="C480" s="47">
        <v>46226</v>
      </c>
      <c r="D480" s="48" t="inlineStr">
        <is>
          <t xml:space="preserve">Bound - within authority</t>
        </is>
      </c>
      <c r="E480" s="48" t="inlineStr">
        <is>
          <t xml:space="preserve">New business</t>
        </is>
      </c>
      <c r="F480" s="46" t="inlineStr">
        <is>
          <t xml:space="preserve">B1234EXOTIC26</t>
        </is>
      </c>
      <c r="G480" s="33">
        <f>IF($A480="","",IF($C480="","",YEAR($C480)))</f>
      </c>
      <c r="H480" s="49">
        <v>1972</v>
      </c>
      <c r="I480" s="46" t="inlineStr">
        <is>
          <t xml:space="preserve">Porsche</t>
        </is>
      </c>
      <c r="J480" s="46" t="inlineStr">
        <is>
          <t xml:space="preserve">911 Turbo S</t>
        </is>
      </c>
      <c r="K480" s="46" t="inlineStr">
        <is>
          <t xml:space="preserve">0HHDLJ6ATU1G850AZ</t>
        </is>
      </c>
      <c r="L480" s="48" t="inlineStr">
        <is>
          <t xml:space="preserve">02 - Sports / GT</t>
        </is>
      </c>
      <c r="M480" s="50">
        <v>560000</v>
      </c>
      <c r="N480" s="48" t="inlineStr">
        <is>
          <t xml:space="preserve">Personal</t>
        </is>
      </c>
      <c r="O480" s="46" t="inlineStr">
        <is>
          <t xml:space="preserve">Personal - regular use</t>
        </is>
      </c>
      <c r="P480" s="46" t="inlineStr">
        <is>
          <t xml:space="preserve">1,000 - 2,500</t>
        </is>
      </c>
      <c r="Q480" s="46" t="inlineStr">
        <is>
          <t xml:space="preserve">Georgia</t>
        </is>
      </c>
      <c r="R480" s="46" t="inlineStr">
        <is>
          <t xml:space="preserve">30303</t>
        </is>
      </c>
      <c r="S480" s="48" t="inlineStr">
        <is>
          <t xml:space="preserve">Tier 2 - Coastal wind (1-25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5853.67</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CANON-202607-008309</t>
        </is>
      </c>
      <c r="B481" s="30" t="inlineStr">
        <is>
          <t xml:space="preserve">Marisol Kingsford</t>
        </is>
      </c>
      <c r="C481" s="31">
        <v>46232</v>
      </c>
      <c r="D481" s="32" t="inlineStr">
        <is>
          <t xml:space="preserve">Bound - within authority</t>
        </is>
      </c>
      <c r="E481" s="32" t="inlineStr">
        <is>
          <t xml:space="preserve">New business</t>
        </is>
      </c>
      <c r="F481" s="30" t="inlineStr">
        <is>
          <t xml:space="preserve">B1234EXOTIC26</t>
        </is>
      </c>
      <c r="G481" s="33">
        <f>IF($A481="","",IF($C481="","",YEAR($C481)))</f>
      </c>
      <c r="H481" s="34">
        <v>1989</v>
      </c>
      <c r="I481" s="30" t="inlineStr">
        <is>
          <t xml:space="preserve">Ferrari</t>
        </is>
      </c>
      <c r="J481" s="30" t="inlineStr">
        <is>
          <t xml:space="preserve">296 GTB</t>
        </is>
      </c>
      <c r="K481" s="30" t="inlineStr">
        <is>
          <t xml:space="preserve">6PBAH2P83S9XVSB5G</t>
        </is>
      </c>
      <c r="L481" s="32" t="inlineStr">
        <is>
          <t xml:space="preserve">03 - Supercar</t>
        </is>
      </c>
      <c r="M481" s="35">
        <v>780000</v>
      </c>
      <c r="N481" s="32" t="inlineStr">
        <is>
          <t xml:space="preserve">Personal</t>
        </is>
      </c>
      <c r="O481" s="30" t="inlineStr">
        <is>
          <t xml:space="preserve">Personal - regular use</t>
        </is>
      </c>
      <c r="P481" s="30" t="inlineStr">
        <is>
          <t xml:space="preserve">1,000 - 2,500</t>
        </is>
      </c>
      <c r="Q481" s="30" t="inlineStr">
        <is>
          <t xml:space="preserve">Missouri</t>
        </is>
      </c>
      <c r="R481" s="30" t="inlineStr">
        <is>
          <t xml:space="preserve">63101</t>
        </is>
      </c>
      <c r="S481" s="32" t="inlineStr">
        <is>
          <t xml:space="preserve">Severe convective - hail / tornado (moderate)</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11278.02</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CANON-202607-008310</t>
        </is>
      </c>
      <c r="B482" s="46" t="inlineStr">
        <is>
          <t xml:space="preserve">Emiliano Thistlewood</t>
        </is>
      </c>
      <c r="C482" s="47">
        <v>46222</v>
      </c>
      <c r="D482" s="48" t="inlineStr">
        <is>
          <t xml:space="preserve">Bound - within authority</t>
        </is>
      </c>
      <c r="E482" s="48" t="inlineStr">
        <is>
          <t xml:space="preserve">New business</t>
        </is>
      </c>
      <c r="F482" s="46" t="inlineStr">
        <is>
          <t xml:space="preserve">B1234EXOTIC26</t>
        </is>
      </c>
      <c r="G482" s="33">
        <f>IF($A482="","",IF($C482="","",YEAR($C482)))</f>
      </c>
      <c r="H482" s="49">
        <v>1961</v>
      </c>
      <c r="I482" s="46" t="inlineStr">
        <is>
          <t xml:space="preserve">BMW</t>
        </is>
      </c>
      <c r="J482" s="46" t="inlineStr">
        <is>
          <t xml:space="preserve">M8 Competition</t>
        </is>
      </c>
      <c r="K482" s="46" t="inlineStr">
        <is>
          <t xml:space="preserve">X9D3XT0WDK18D310S</t>
        </is>
      </c>
      <c r="L482" s="48" t="inlineStr">
        <is>
          <t xml:space="preserve">02 - Sports / GT</t>
        </is>
      </c>
      <c r="M482" s="50">
        <v>345000</v>
      </c>
      <c r="N482" s="48" t="inlineStr">
        <is>
          <t xml:space="preserve">Personal</t>
        </is>
      </c>
      <c r="O482" s="46" t="inlineStr">
        <is>
          <t xml:space="preserve">Personal - regular use</t>
        </is>
      </c>
      <c r="P482" s="46" t="inlineStr">
        <is>
          <t xml:space="preserve">Under 1,000</t>
        </is>
      </c>
      <c r="Q482" s="46" t="inlineStr">
        <is>
          <t xml:space="preserve">California</t>
        </is>
      </c>
      <c r="R482" s="46" t="inlineStr">
        <is>
          <t xml:space="preserve">90012</t>
        </is>
      </c>
      <c r="S482" s="48" t="inlineStr">
        <is>
          <t xml:space="preserve">Earthquake - high (CA, Cascadia, New Madrid)</t>
        </is>
      </c>
      <c r="T482" s="36">
        <f>IF($A482="","",IF($S482="","",IFERROR(INDEX('[1]natural catastrophe'!$D$6:$D$17,MATCH($S482,'[1]natural catastrophe'!$B$6:$B$17,0)),"?")))</f>
      </c>
      <c r="U482" s="46" t="inlineStr">
        <is>
          <t xml:space="preserve">$5,000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5015.6</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CANON-202607-008313</t>
        </is>
      </c>
      <c r="B483" s="30" t="inlineStr">
        <is>
          <t xml:space="preserve">Delphine Bellandi</t>
        </is>
      </c>
      <c r="C483" s="31">
        <v>46222</v>
      </c>
      <c r="D483" s="32" t="inlineStr">
        <is>
          <t xml:space="preserve">Bound - within authority</t>
        </is>
      </c>
      <c r="E483" s="32" t="inlineStr">
        <is>
          <t xml:space="preserve">New business</t>
        </is>
      </c>
      <c r="F483" s="30" t="inlineStr">
        <is>
          <t xml:space="preserve">B1234EXOTIC26</t>
        </is>
      </c>
      <c r="G483" s="33">
        <f>IF($A483="","",IF($C483="","",YEAR($C483)))</f>
      </c>
      <c r="H483" s="34">
        <v>2001</v>
      </c>
      <c r="I483" s="30" t="inlineStr">
        <is>
          <t xml:space="preserve">Jaguar</t>
        </is>
      </c>
      <c r="J483" s="30" t="inlineStr">
        <is>
          <t xml:space="preserve">E-Type Series 1</t>
        </is>
      </c>
      <c r="K483" s="30" t="inlineStr">
        <is>
          <t xml:space="preserve">2433TZVG5M1G9X3S4</t>
        </is>
      </c>
      <c r="L483" s="32" t="inlineStr">
        <is>
          <t xml:space="preserve">09 - Youngtimer / Collectible (2000-2010)</t>
        </is>
      </c>
      <c r="M483" s="35">
        <v>1035000</v>
      </c>
      <c r="N483" s="32" t="inlineStr">
        <is>
          <t xml:space="preserve">Personal</t>
        </is>
      </c>
      <c r="O483" s="30" t="inlineStr">
        <is>
          <t xml:space="preserve">Personal - regular use</t>
        </is>
      </c>
      <c r="P483" s="30" t="inlineStr">
        <is>
          <t xml:space="preserve">Under 1,000</t>
        </is>
      </c>
      <c r="Q483" s="30" t="inlineStr">
        <is>
          <t xml:space="preserve">North Dakota</t>
        </is>
      </c>
      <c r="R483" s="30" t="inlineStr">
        <is>
          <t xml:space="preserve">58501</t>
        </is>
      </c>
      <c r="S483" s="32" t="inlineStr">
        <is>
          <t xml:space="preserve">Severe convective - hail alley (high)</t>
        </is>
      </c>
      <c r="T483" s="36">
        <f>IF($A483="","",IF($S483="","",IFERROR(INDEX('[1]natural catastrophe'!$D$6:$D$17,MATCH($S483,'[1]natural catastrophe'!$B$6:$B$17,0)),"?")))</f>
      </c>
      <c r="U483" s="30" t="inlineStr">
        <is>
          <t xml:space="preserve">$5,000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5760.14</v>
      </c>
      <c r="AC483" s="37">
        <v>0</v>
      </c>
      <c r="AD483" s="38">
        <f>IF(ISNUMBER($AB483),$AB483*(1+N($AC483)),"")</f>
      </c>
      <c r="AE483" s="35">
        <v>350</v>
      </c>
      <c r="AF483" s="35">
        <v>250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CANON-202607-008314</t>
        </is>
      </c>
      <c r="B484" s="46" t="inlineStr">
        <is>
          <t xml:space="preserve">Thaddeus Underwood</t>
        </is>
      </c>
      <c r="C484" s="47">
        <v>46228</v>
      </c>
      <c r="D484" s="48" t="inlineStr">
        <is>
          <t xml:space="preserve">Bound - within authority</t>
        </is>
      </c>
      <c r="E484" s="48" t="inlineStr">
        <is>
          <t xml:space="preserve">New business</t>
        </is>
      </c>
      <c r="F484" s="46" t="inlineStr">
        <is>
          <t xml:space="preserve">B1234EXOTIC26</t>
        </is>
      </c>
      <c r="G484" s="33">
        <f>IF($A484="","",IF($C484="","",YEAR($C484)))</f>
      </c>
      <c r="H484" s="49">
        <v>2004</v>
      </c>
      <c r="I484" s="46" t="inlineStr">
        <is>
          <t xml:space="preserve">BMW</t>
        </is>
      </c>
      <c r="J484" s="46" t="inlineStr">
        <is>
          <t xml:space="preserve">M8 Competition</t>
        </is>
      </c>
      <c r="K484" s="46" t="inlineStr">
        <is>
          <t xml:space="preserve">U73BWEYL2ST30U8MP</t>
        </is>
      </c>
      <c r="L484" s="48" t="inlineStr">
        <is>
          <t xml:space="preserve">02 - Sports / GT</t>
        </is>
      </c>
      <c r="M484" s="50">
        <v>460000</v>
      </c>
      <c r="N484" s="48" t="inlineStr">
        <is>
          <t xml:space="preserve">Personal</t>
        </is>
      </c>
      <c r="O484" s="46" t="inlineStr">
        <is>
          <t xml:space="preserve">Personal - regular use</t>
        </is>
      </c>
      <c r="P484" s="46" t="inlineStr">
        <is>
          <t xml:space="preserve">Under 1,000</t>
        </is>
      </c>
      <c r="Q484" s="46" t="inlineStr">
        <is>
          <t xml:space="preserve">West Virginia</t>
        </is>
      </c>
      <c r="R484" s="46" t="inlineStr">
        <is>
          <t xml:space="preserve">25301</t>
        </is>
      </c>
      <c r="S484" s="48" t="inlineStr">
        <is>
          <t xml:space="preserve">Low hazard - inland benign</t>
        </is>
      </c>
      <c r="T484" s="36">
        <f>IF($A484="","",IF($S484="","",IFERROR(INDEX('[1]natural catastrophe'!$D$6:$D$17,MATCH($S484,'[1]natural catastrophe'!$B$6:$B$17,0)),"?")))</f>
      </c>
      <c r="U484" s="46" t="inlineStr">
        <is>
          <t xml:space="preserve">$5,000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6588.4</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CANON-202607-008315</t>
        </is>
      </c>
      <c r="B485" s="30" t="inlineStr">
        <is>
          <t xml:space="preserve">Fenwick Harrington</t>
        </is>
      </c>
      <c r="C485" s="31">
        <v>46209</v>
      </c>
      <c r="D485" s="32" t="inlineStr">
        <is>
          <t xml:space="preserve">Bound - within authority</t>
        </is>
      </c>
      <c r="E485" s="32" t="inlineStr">
        <is>
          <t xml:space="preserve">New business</t>
        </is>
      </c>
      <c r="F485" s="30" t="inlineStr">
        <is>
          <t xml:space="preserve">B1234EXOTIC26</t>
        </is>
      </c>
      <c r="G485" s="33">
        <f>IF($A485="","",IF($C485="","",YEAR($C485)))</f>
      </c>
      <c r="H485" s="34">
        <v>1985</v>
      </c>
      <c r="I485" s="30" t="inlineStr">
        <is>
          <t xml:space="preserve">Porsche</t>
        </is>
      </c>
      <c r="J485" s="30" t="inlineStr">
        <is>
          <t xml:space="preserve">911 Turbo S</t>
        </is>
      </c>
      <c r="K485" s="30" t="inlineStr">
        <is>
          <t xml:space="preserve">WXKKZK3LWG4VFSNZD</t>
        </is>
      </c>
      <c r="L485" s="32" t="inlineStr">
        <is>
          <t xml:space="preserve">02 - Sports / GT</t>
        </is>
      </c>
      <c r="M485" s="35">
        <v>595000</v>
      </c>
      <c r="N485" s="32" t="inlineStr">
        <is>
          <t xml:space="preserve">Personal</t>
        </is>
      </c>
      <c r="O485" s="30" t="inlineStr">
        <is>
          <t xml:space="preserve">Personal - regular use</t>
        </is>
      </c>
      <c r="P485" s="30" t="inlineStr">
        <is>
          <t xml:space="preserve">1,000 - 2,500</t>
        </is>
      </c>
      <c r="Q485" s="30" t="inlineStr">
        <is>
          <t xml:space="preserve">Alaska</t>
        </is>
      </c>
      <c r="R485" s="30" t="inlineStr">
        <is>
          <t xml:space="preserve">99501</t>
        </is>
      </c>
      <c r="S485" s="32" t="inlineStr">
        <is>
          <t xml:space="preserve">Earthquake - high (CA, Cascadia, New Madrid)</t>
        </is>
      </c>
      <c r="T485" s="36">
        <f>IF($A485="","",IF($S485="","",IFERROR(INDEX('[1]natural catastrophe'!$D$6:$D$17,MATCH($S485,'[1]natural catastrophe'!$B$6:$B$17,0)),"?")))</f>
      </c>
      <c r="U485" s="30" t="inlineStr">
        <is>
          <t xml:space="preserve">$5,000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6330.58</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CANON-202607-008317</t>
        </is>
      </c>
      <c r="B486" s="46" t="inlineStr">
        <is>
          <t xml:space="preserve">Leopold Rourke</t>
        </is>
      </c>
      <c r="C486" s="47">
        <v>46215</v>
      </c>
      <c r="D486" s="48" t="inlineStr">
        <is>
          <t xml:space="preserve">Bound - within authority</t>
        </is>
      </c>
      <c r="E486" s="48" t="inlineStr">
        <is>
          <t xml:space="preserve">New business</t>
        </is>
      </c>
      <c r="F486" s="46" t="inlineStr">
        <is>
          <t xml:space="preserve">B1234EXOTIC26</t>
        </is>
      </c>
      <c r="G486" s="33">
        <f>IF($A486="","",IF($C486="","",YEAR($C486)))</f>
      </c>
      <c r="H486" s="49">
        <v>1961</v>
      </c>
      <c r="I486" s="46" t="inlineStr">
        <is>
          <t xml:space="preserve">Maserati</t>
        </is>
      </c>
      <c r="J486" s="46" t="inlineStr">
        <is>
          <t xml:space="preserve">GranTurismo</t>
        </is>
      </c>
      <c r="K486" s="46" t="inlineStr">
        <is>
          <t xml:space="preserve">GJ2CYDKPNMEJ2UXLX</t>
        </is>
      </c>
      <c r="L486" s="48" t="inlineStr">
        <is>
          <t xml:space="preserve">02 - Sports / GT</t>
        </is>
      </c>
      <c r="M486" s="50">
        <v>995000</v>
      </c>
      <c r="N486" s="48" t="inlineStr">
        <is>
          <t xml:space="preserve">Personal</t>
        </is>
      </c>
      <c r="O486" s="46" t="inlineStr">
        <is>
          <t xml:space="preserve">Personal - regular use</t>
        </is>
      </c>
      <c r="P486" s="46" t="inlineStr">
        <is>
          <t xml:space="preserve">1,000 - 2,500</t>
        </is>
      </c>
      <c r="Q486" s="46" t="inlineStr">
        <is>
          <t xml:space="preserve">Tennessee</t>
        </is>
      </c>
      <c r="R486" s="46" t="inlineStr">
        <is>
          <t xml:space="preserve">37203</t>
        </is>
      </c>
      <c r="S486" s="48" t="inlineStr">
        <is>
          <t xml:space="preserve">Severe convective - hail / tornado (moderate)</t>
        </is>
      </c>
      <c r="T486" s="36">
        <f>IF($A486="","",IF($S486="","",IFERROR(INDEX('[1]natural catastrophe'!$D$6:$D$17,MATCH($S486,'[1]natural catastrophe'!$B$6:$B$17,0)),"?")))</f>
      </c>
      <c r="U486" s="46" t="inlineStr">
        <is>
          <t xml:space="preserve">$5,000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9100.62</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CANON-202607-008322</t>
        </is>
      </c>
      <c r="B487" s="30" t="inlineStr">
        <is>
          <t xml:space="preserve">Cassius Castellanos</t>
        </is>
      </c>
      <c r="C487" s="31">
        <v>46229</v>
      </c>
      <c r="D487" s="32" t="inlineStr">
        <is>
          <t xml:space="preserve">Bound - within authority</t>
        </is>
      </c>
      <c r="E487" s="32" t="inlineStr">
        <is>
          <t xml:space="preserve">New business</t>
        </is>
      </c>
      <c r="F487" s="30" t="inlineStr">
        <is>
          <t xml:space="preserve">B1234EXOTIC26</t>
        </is>
      </c>
      <c r="G487" s="33">
        <f>IF($A487="","",IF($C487="","",YEAR($C487)))</f>
      </c>
      <c r="H487" s="34">
        <v>1971</v>
      </c>
      <c r="I487" s="30" t="inlineStr">
        <is>
          <t xml:space="preserve">BMW</t>
        </is>
      </c>
      <c r="J487" s="30" t="inlineStr">
        <is>
          <t xml:space="preserve">M8 Competition</t>
        </is>
      </c>
      <c r="K487" s="30" t="inlineStr">
        <is>
          <t xml:space="preserve">72P74JL09LU16C4B4</t>
        </is>
      </c>
      <c r="L487" s="32" t="inlineStr">
        <is>
          <t xml:space="preserve">02 - Sports / GT</t>
        </is>
      </c>
      <c r="M487" s="35">
        <v>875000</v>
      </c>
      <c r="N487" s="32" t="inlineStr">
        <is>
          <t xml:space="preserve">Personal</t>
        </is>
      </c>
      <c r="O487" s="30" t="inlineStr">
        <is>
          <t xml:space="preserve">Personal - regular use</t>
        </is>
      </c>
      <c r="P487" s="30" t="inlineStr">
        <is>
          <t xml:space="preserve">Under 1,000</t>
        </is>
      </c>
      <c r="Q487" s="30" t="inlineStr">
        <is>
          <t xml:space="preserve">New Jersey</t>
        </is>
      </c>
      <c r="R487" s="30" t="inlineStr">
        <is>
          <t xml:space="preserve">07102</t>
        </is>
      </c>
      <c r="S487" s="32" t="inlineStr">
        <is>
          <t xml:space="preserve">Tier 3 - Coastal wind (25-100 miles)</t>
        </is>
      </c>
      <c r="T487" s="36">
        <f>IF($A487="","",IF($S487="","",IFERROR(INDEX('[1]natural catastrophe'!$D$6:$D$17,MATCH($S487,'[1]natural catastrophe'!$B$6:$B$17,0)),"?")))</f>
      </c>
      <c r="U487" s="30" t="inlineStr">
        <is>
          <t xml:space="preserve">2% of agreed value, minimum $10,000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7431.42</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CANON-202607-008324</t>
        </is>
      </c>
      <c r="B488" s="46" t="inlineStr">
        <is>
          <t xml:space="preserve">Fitzgerald Whitlock</t>
        </is>
      </c>
      <c r="C488" s="47">
        <v>46225</v>
      </c>
      <c r="D488" s="48" t="inlineStr">
        <is>
          <t xml:space="preserve">Bound - within authority</t>
        </is>
      </c>
      <c r="E488" s="48" t="inlineStr">
        <is>
          <t xml:space="preserve">New business</t>
        </is>
      </c>
      <c r="F488" s="46" t="inlineStr">
        <is>
          <t xml:space="preserve">B1234EXOTIC26</t>
        </is>
      </c>
      <c r="G488" s="33">
        <f>IF($A488="","",IF($C488="","",YEAR($C488)))</f>
      </c>
      <c r="H488" s="49">
        <v>1981</v>
      </c>
      <c r="I488" s="46" t="inlineStr">
        <is>
          <t xml:space="preserve">Maserati</t>
        </is>
      </c>
      <c r="J488" s="46" t="inlineStr">
        <is>
          <t xml:space="preserve">GranTurismo</t>
        </is>
      </c>
      <c r="K488" s="46" t="inlineStr">
        <is>
          <t xml:space="preserve">ZA6ANXDV9ND56SRS9</t>
        </is>
      </c>
      <c r="L488" s="48" t="inlineStr">
        <is>
          <t xml:space="preserve">02 - Sports / GT</t>
        </is>
      </c>
      <c r="M488" s="50">
        <v>790000</v>
      </c>
      <c r="N488" s="48" t="inlineStr">
        <is>
          <t xml:space="preserve">Personal</t>
        </is>
      </c>
      <c r="O488" s="46" t="inlineStr">
        <is>
          <t xml:space="preserve">Personal - regular use</t>
        </is>
      </c>
      <c r="P488" s="46" t="inlineStr">
        <is>
          <t xml:space="preserve">Under 1,000</t>
        </is>
      </c>
      <c r="Q488" s="46" t="inlineStr">
        <is>
          <t xml:space="preserve">Utah</t>
        </is>
      </c>
      <c r="R488" s="46" t="inlineStr">
        <is>
          <t xml:space="preserve">84101</t>
        </is>
      </c>
      <c r="S488" s="48" t="inlineStr">
        <is>
          <t xml:space="preserve">Wildfire - WUI high hazard</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9953.67</v>
      </c>
      <c r="AC488" s="51">
        <v>0</v>
      </c>
      <c r="AD488" s="38">
        <f>IF(ISNUMBER($AB488),$AB488*(1+N($AC488)),"")</f>
      </c>
      <c r="AE488" s="50">
        <v>350</v>
      </c>
      <c r="AF488" s="50">
        <v>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CANON-202607-008325</t>
        </is>
      </c>
      <c r="B489" s="30" t="inlineStr">
        <is>
          <t xml:space="preserve">Lorenzo Underwood</t>
        </is>
      </c>
      <c r="C489" s="31">
        <v>46223</v>
      </c>
      <c r="D489" s="32" t="inlineStr">
        <is>
          <t xml:space="preserve">Bound - within authority</t>
        </is>
      </c>
      <c r="E489" s="32" t="inlineStr">
        <is>
          <t xml:space="preserve">New business</t>
        </is>
      </c>
      <c r="F489" s="30" t="inlineStr">
        <is>
          <t xml:space="preserve">B1234EXOTIC26</t>
        </is>
      </c>
      <c r="G489" s="33">
        <f>IF($A489="","",IF($C489="","",YEAR($C489)))</f>
      </c>
      <c r="H489" s="34">
        <v>2016</v>
      </c>
      <c r="I489" s="30" t="inlineStr">
        <is>
          <t xml:space="preserve">Porsche</t>
        </is>
      </c>
      <c r="J489" s="30" t="inlineStr">
        <is>
          <t xml:space="preserve">911 Turbo S</t>
        </is>
      </c>
      <c r="K489" s="30" t="inlineStr">
        <is>
          <t xml:space="preserve">EFH7CUWZA7NVVXU90</t>
        </is>
      </c>
      <c r="L489" s="32" t="inlineStr">
        <is>
          <t xml:space="preserve">02 - Sports / GT</t>
        </is>
      </c>
      <c r="M489" s="35">
        <v>450000</v>
      </c>
      <c r="N489" s="32" t="inlineStr">
        <is>
          <t xml:space="preserve">Personal</t>
        </is>
      </c>
      <c r="O489" s="30" t="inlineStr">
        <is>
          <t xml:space="preserve">Personal - regular use</t>
        </is>
      </c>
      <c r="P489" s="30" t="inlineStr">
        <is>
          <t xml:space="preserve">1,000 - 2,500</t>
        </is>
      </c>
      <c r="Q489" s="30" t="inlineStr">
        <is>
          <t xml:space="preserve">New York</t>
        </is>
      </c>
      <c r="R489" s="30" t="inlineStr">
        <is>
          <t xml:space="preserve">10022</t>
        </is>
      </c>
      <c r="S489" s="32" t="inlineStr">
        <is>
          <t xml:space="preserve">Tier 3 - Coastal wind (25-100 miles)</t>
        </is>
      </c>
      <c r="T489" s="36">
        <f>IF($A489="","",IF($S489="","",IFERROR(INDEX('[1]natural catastrophe'!$D$6:$D$17,MATCH($S489,'[1]natural catastrophe'!$B$6:$B$17,0)),"?")))</f>
      </c>
      <c r="U489" s="30" t="inlineStr">
        <is>
          <t xml:space="preserve">2% of agreed value, minimum $10,000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6202.87</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CANON-202607-008326</t>
        </is>
      </c>
      <c r="B490" s="46" t="inlineStr">
        <is>
          <t xml:space="preserve">Ramona Montoya</t>
        </is>
      </c>
      <c r="C490" s="47">
        <v>46214</v>
      </c>
      <c r="D490" s="48" t="inlineStr">
        <is>
          <t xml:space="preserve">Bound - within authority</t>
        </is>
      </c>
      <c r="E490" s="48" t="inlineStr">
        <is>
          <t xml:space="preserve">New business</t>
        </is>
      </c>
      <c r="F490" s="46" t="inlineStr">
        <is>
          <t xml:space="preserve">B1234EXOTIC26</t>
        </is>
      </c>
      <c r="G490" s="33">
        <f>IF($A490="","",IF($C490="","",YEAR($C490)))</f>
      </c>
      <c r="H490" s="49">
        <v>2019</v>
      </c>
      <c r="I490" s="46" t="inlineStr">
        <is>
          <t xml:space="preserve">Aston Martin</t>
        </is>
      </c>
      <c r="J490" s="46" t="inlineStr">
        <is>
          <t xml:space="preserve">DB12</t>
        </is>
      </c>
      <c r="K490" s="46" t="inlineStr">
        <is>
          <t xml:space="preserve">66SHYVYT81VP9JXTS</t>
        </is>
      </c>
      <c r="L490" s="48" t="inlineStr">
        <is>
          <t xml:space="preserve">02 - Sports / GT</t>
        </is>
      </c>
      <c r="M490" s="50">
        <v>385000</v>
      </c>
      <c r="N490" s="48" t="inlineStr">
        <is>
          <t xml:space="preserve">Personal</t>
        </is>
      </c>
      <c r="O490" s="46" t="inlineStr">
        <is>
          <t xml:space="preserve">Personal - regular use</t>
        </is>
      </c>
      <c r="P490" s="46" t="inlineStr">
        <is>
          <t xml:space="preserve">Under 1,000</t>
        </is>
      </c>
      <c r="Q490" s="46" t="inlineStr">
        <is>
          <t xml:space="preserve">Alaska</t>
        </is>
      </c>
      <c r="R490" s="46" t="inlineStr">
        <is>
          <t xml:space="preserve">99501</t>
        </is>
      </c>
      <c r="S490" s="48" t="inlineStr">
        <is>
          <t xml:space="preserve">Earthquake - high (CA, Cascadia, New Madrid)</t>
        </is>
      </c>
      <c r="T490" s="36">
        <f>IF($A490="","",IF($S490="","",IFERROR(INDEX('[1]natural catastrophe'!$D$6:$D$17,MATCH($S490,'[1]natural catastrophe'!$B$6:$B$17,0)),"?")))</f>
      </c>
      <c r="U490" s="46" t="inlineStr">
        <is>
          <t xml:space="preserve">$5,000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4726.46</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CANON-202607-008327</t>
        </is>
      </c>
      <c r="B491" s="30" t="inlineStr">
        <is>
          <t xml:space="preserve">Cassius Thistlewood</t>
        </is>
      </c>
      <c r="C491" s="31">
        <v>46234</v>
      </c>
      <c r="D491" s="32" t="inlineStr">
        <is>
          <t xml:space="preserve">Bound - within authority</t>
        </is>
      </c>
      <c r="E491" s="32" t="inlineStr">
        <is>
          <t xml:space="preserve">New business</t>
        </is>
      </c>
      <c r="F491" s="30" t="inlineStr">
        <is>
          <t xml:space="preserve">B1234EXOTIC26</t>
        </is>
      </c>
      <c r="G491" s="33">
        <f>IF($A491="","",IF($C491="","",YEAR($C491)))</f>
      </c>
      <c r="H491" s="34">
        <v>1962</v>
      </c>
      <c r="I491" s="30" t="inlineStr">
        <is>
          <t xml:space="preserve">Ferrari</t>
        </is>
      </c>
      <c r="J491" s="30" t="inlineStr">
        <is>
          <t xml:space="preserve">275 GTB/4</t>
        </is>
      </c>
      <c r="K491" s="30" t="inlineStr">
        <is>
          <t xml:space="preserve">1UAJS3FXZJ48ACTX0</t>
        </is>
      </c>
      <c r="L491" s="32" t="inlineStr">
        <is>
          <t xml:space="preserve">07 - Post-War Classic (1946-1972)</t>
        </is>
      </c>
      <c r="M491" s="35">
        <v>1550000</v>
      </c>
      <c r="N491" s="32" t="inlineStr">
        <is>
          <t xml:space="preserve">Personal</t>
        </is>
      </c>
      <c r="O491" s="30" t="inlineStr">
        <is>
          <t xml:space="preserve">Personal - regular use</t>
        </is>
      </c>
      <c r="P491" s="30" t="inlineStr">
        <is>
          <t xml:space="preserve">Under 1,000</t>
        </is>
      </c>
      <c r="Q491" s="30" t="inlineStr">
        <is>
          <t xml:space="preserve">Oregon</t>
        </is>
      </c>
      <c r="R491" s="30" t="inlineStr">
        <is>
          <t xml:space="preserve">97204</t>
        </is>
      </c>
      <c r="S491" s="32" t="inlineStr">
        <is>
          <t xml:space="preserve">Earthquake - high (CA, Cascadia, New Madrid)</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9556.58</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CANON-202607-008328</t>
        </is>
      </c>
      <c r="B492" s="46" t="inlineStr">
        <is>
          <t xml:space="preserve">Desmond Whitlock</t>
        </is>
      </c>
      <c r="C492" s="47">
        <v>46208</v>
      </c>
      <c r="D492" s="48" t="inlineStr">
        <is>
          <t xml:space="preserve">Bound - within authority</t>
        </is>
      </c>
      <c r="E492" s="48" t="inlineStr">
        <is>
          <t xml:space="preserve">New business</t>
        </is>
      </c>
      <c r="F492" s="46" t="inlineStr">
        <is>
          <t xml:space="preserve">B1234EXOTIC26</t>
        </is>
      </c>
      <c r="G492" s="33">
        <f>IF($A492="","",IF($C492="","",YEAR($C492)))</f>
      </c>
      <c r="H492" s="49">
        <v>1990</v>
      </c>
      <c r="I492" s="46" t="inlineStr">
        <is>
          <t xml:space="preserve">Mercedes-Benz</t>
        </is>
      </c>
      <c r="J492" s="46" t="inlineStr">
        <is>
          <t xml:space="preserve">AMG GT</t>
        </is>
      </c>
      <c r="K492" s="46" t="inlineStr">
        <is>
          <t xml:space="preserve">N5DHMLDDX0J6BBBXC</t>
        </is>
      </c>
      <c r="L492" s="48" t="inlineStr">
        <is>
          <t xml:space="preserve">02 - Sports / GT</t>
        </is>
      </c>
      <c r="M492" s="50">
        <v>185000</v>
      </c>
      <c r="N492" s="48" t="inlineStr">
        <is>
          <t xml:space="preserve">Personal</t>
        </is>
      </c>
      <c r="O492" s="46" t="inlineStr">
        <is>
          <t xml:space="preserve">Personal - regular use</t>
        </is>
      </c>
      <c r="P492" s="46" t="inlineStr">
        <is>
          <t xml:space="preserve">1,000 - 2,500</t>
        </is>
      </c>
      <c r="Q492" s="46" t="inlineStr">
        <is>
          <t xml:space="preserve">Colorado</t>
        </is>
      </c>
      <c r="R492" s="46" t="inlineStr">
        <is>
          <t xml:space="preserve">80202</t>
        </is>
      </c>
      <c r="S492" s="48" t="inlineStr">
        <is>
          <t xml:space="preserve">Severe convective - hail alley (high)</t>
        </is>
      </c>
      <c r="T492" s="36">
        <f>IF($A492="","",IF($S492="","",IFERROR(INDEX('[1]natural catastrophe'!$D$6:$D$17,MATCH($S492,'[1]natural catastrophe'!$B$6:$B$17,0)),"?")))</f>
      </c>
      <c r="U492" s="46" t="inlineStr">
        <is>
          <t xml:space="preserve">$5,000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2688.19</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CANON-202607-008329</t>
        </is>
      </c>
      <c r="B493" s="30" t="inlineStr">
        <is>
          <t xml:space="preserve">Everett Fairweather</t>
        </is>
      </c>
      <c r="C493" s="31">
        <v>46206</v>
      </c>
      <c r="D493" s="32" t="inlineStr">
        <is>
          <t xml:space="preserve">Bound - within authority</t>
        </is>
      </c>
      <c r="E493" s="32" t="inlineStr">
        <is>
          <t xml:space="preserve">New business</t>
        </is>
      </c>
      <c r="F493" s="30" t="inlineStr">
        <is>
          <t xml:space="preserve">B1234EXOTIC26</t>
        </is>
      </c>
      <c r="G493" s="33">
        <f>IF($A493="","",IF($C493="","",YEAR($C493)))</f>
      </c>
      <c r="H493" s="34">
        <v>1966</v>
      </c>
      <c r="I493" s="30" t="inlineStr">
        <is>
          <t xml:space="preserve">Porsche</t>
        </is>
      </c>
      <c r="J493" s="30" t="inlineStr">
        <is>
          <t xml:space="preserve">911 Turbo S</t>
        </is>
      </c>
      <c r="K493" s="30" t="inlineStr">
        <is>
          <t xml:space="preserve">WK3MFZ15UGTY46K4E</t>
        </is>
      </c>
      <c r="L493" s="32" t="inlineStr">
        <is>
          <t xml:space="preserve">02 - Sports / GT</t>
        </is>
      </c>
      <c r="M493" s="35">
        <v>465000</v>
      </c>
      <c r="N493" s="32" t="inlineStr">
        <is>
          <t xml:space="preserve">Personal</t>
        </is>
      </c>
      <c r="O493" s="30" t="inlineStr">
        <is>
          <t xml:space="preserve">Personal - regular use</t>
        </is>
      </c>
      <c r="P493" s="30" t="inlineStr">
        <is>
          <t xml:space="preserve">Under 1,000</t>
        </is>
      </c>
      <c r="Q493" s="30" t="inlineStr">
        <is>
          <t xml:space="preserve">Connecticut</t>
        </is>
      </c>
      <c r="R493" s="30" t="inlineStr">
        <is>
          <t xml:space="preserve">06103</t>
        </is>
      </c>
      <c r="S493" s="32" t="inlineStr">
        <is>
          <t xml:space="preserve">Tier 3 - Coastal wind (25-100 miles)</t>
        </is>
      </c>
      <c r="T493" s="36">
        <f>IF($A493="","",IF($S493="","",IFERROR(INDEX('[1]natural catastrophe'!$D$6:$D$17,MATCH($S493,'[1]natural catastrophe'!$B$6:$B$17,0)),"?")))</f>
      </c>
      <c r="U493" s="30" t="inlineStr">
        <is>
          <t xml:space="preserve">2% of agreed value, minimum $10,000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5608.43</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CANON-202607-008330</t>
        </is>
      </c>
      <c r="B494" s="46" t="inlineStr">
        <is>
          <t xml:space="preserve">Lorenzo Ashcombe</t>
        </is>
      </c>
      <c r="C494" s="47">
        <v>46233</v>
      </c>
      <c r="D494" s="48" t="inlineStr">
        <is>
          <t xml:space="preserve">Bound - within authority</t>
        </is>
      </c>
      <c r="E494" s="48" t="inlineStr">
        <is>
          <t xml:space="preserve">New business</t>
        </is>
      </c>
      <c r="F494" s="46" t="inlineStr">
        <is>
          <t xml:space="preserve">B1234EXOTIC26</t>
        </is>
      </c>
      <c r="G494" s="33">
        <f>IF($A494="","",IF($C494="","",YEAR($C494)))</f>
      </c>
      <c r="H494" s="49">
        <v>2002</v>
      </c>
      <c r="I494" s="46" t="inlineStr">
        <is>
          <t xml:space="preserve">BMW</t>
        </is>
      </c>
      <c r="J494" s="46" t="inlineStr">
        <is>
          <t xml:space="preserve">M8 Competition</t>
        </is>
      </c>
      <c r="K494" s="46" t="inlineStr">
        <is>
          <t xml:space="preserve">3WW5TUC11D2H3WA22</t>
        </is>
      </c>
      <c r="L494" s="48" t="inlineStr">
        <is>
          <t xml:space="preserve">02 - Sports / GT</t>
        </is>
      </c>
      <c r="M494" s="50">
        <v>795000</v>
      </c>
      <c r="N494" s="48" t="inlineStr">
        <is>
          <t xml:space="preserve">Personal</t>
        </is>
      </c>
      <c r="O494" s="46" t="inlineStr">
        <is>
          <t xml:space="preserve">Personal - regular use</t>
        </is>
      </c>
      <c r="P494" s="46" t="inlineStr">
        <is>
          <t xml:space="preserve">2,500 - 5,000</t>
        </is>
      </c>
      <c r="Q494" s="46" t="inlineStr">
        <is>
          <t xml:space="preserve">Washington</t>
        </is>
      </c>
      <c r="R494" s="46" t="inlineStr">
        <is>
          <t xml:space="preserve">98101</t>
        </is>
      </c>
      <c r="S494" s="48" t="inlineStr">
        <is>
          <t xml:space="preserve">Earthquake - high (CA, Cascadia, New Madrid)</t>
        </is>
      </c>
      <c r="T494" s="36">
        <f>IF($A494="","",IF($S494="","",IFERROR(INDEX('[1]natural catastrophe'!$D$6:$D$17,MATCH($S494,'[1]natural catastrophe'!$B$6:$B$17,0)),"?")))</f>
      </c>
      <c r="U494" s="46" t="inlineStr">
        <is>
          <t xml:space="preserve">$5,000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7122.96</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CANON-202607-008331</t>
        </is>
      </c>
      <c r="B495" s="30" t="inlineStr">
        <is>
          <t xml:space="preserve">Sunniva Blackwood</t>
        </is>
      </c>
      <c r="C495" s="31">
        <v>46223</v>
      </c>
      <c r="D495" s="32" t="inlineStr">
        <is>
          <t xml:space="preserve">Bound - within authority</t>
        </is>
      </c>
      <c r="E495" s="32" t="inlineStr">
        <is>
          <t xml:space="preserve">New business</t>
        </is>
      </c>
      <c r="F495" s="30" t="inlineStr">
        <is>
          <t xml:space="preserve">B1234EXOTIC26</t>
        </is>
      </c>
      <c r="G495" s="33">
        <f>IF($A495="","",IF($C495="","",YEAR($C495)))</f>
      </c>
      <c r="H495" s="34">
        <v>1970</v>
      </c>
      <c r="I495" s="30" t="inlineStr">
        <is>
          <t xml:space="preserve">Mercedes-Benz</t>
        </is>
      </c>
      <c r="J495" s="30" t="inlineStr">
        <is>
          <t xml:space="preserve">AMG GT</t>
        </is>
      </c>
      <c r="K495" s="30" t="inlineStr">
        <is>
          <t xml:space="preserve">L3KDDPMEZ4NEWS96S</t>
        </is>
      </c>
      <c r="L495" s="32" t="inlineStr">
        <is>
          <t xml:space="preserve">02 - Sports / GT</t>
        </is>
      </c>
      <c r="M495" s="35">
        <v>1025000</v>
      </c>
      <c r="N495" s="32" t="inlineStr">
        <is>
          <t xml:space="preserve">Personal</t>
        </is>
      </c>
      <c r="O495" s="30" t="inlineStr">
        <is>
          <t xml:space="preserve">Personal - regular use</t>
        </is>
      </c>
      <c r="P495" s="30" t="inlineStr">
        <is>
          <t xml:space="preserve">1,000 - 2,500</t>
        </is>
      </c>
      <c r="Q495" s="30" t="inlineStr">
        <is>
          <t xml:space="preserve">Pennsylvania</t>
        </is>
      </c>
      <c r="R495" s="30" t="inlineStr">
        <is>
          <t xml:space="preserve">19103</t>
        </is>
      </c>
      <c r="S495" s="32" t="inlineStr">
        <is>
          <t xml:space="preserve">Low hazard - inland benign</t>
        </is>
      </c>
      <c r="T495" s="36">
        <f>IF($A495="","",IF($S495="","",IFERROR(INDEX('[1]natural catastrophe'!$D$6:$D$17,MATCH($S495,'[1]natural catastrophe'!$B$6:$B$17,0)),"?")))</f>
      </c>
      <c r="U495" s="30" t="inlineStr">
        <is>
          <t xml:space="preserve">$5,000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8094.6</v>
      </c>
      <c r="AC495" s="37">
        <v>0</v>
      </c>
      <c r="AD495" s="38">
        <f>IF(ISNUMBER($AB495),$AB495*(1+N($AC495)),"")</f>
      </c>
      <c r="AE495" s="35">
        <v>350</v>
      </c>
      <c r="AF495" s="35">
        <v>250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CANON-202607-008332</t>
        </is>
      </c>
      <c r="B496" s="46" t="inlineStr">
        <is>
          <t xml:space="preserve">Delphine Bellandi</t>
        </is>
      </c>
      <c r="C496" s="47">
        <v>46225</v>
      </c>
      <c r="D496" s="48" t="inlineStr">
        <is>
          <t xml:space="preserve">Bound - within authority</t>
        </is>
      </c>
      <c r="E496" s="48" t="inlineStr">
        <is>
          <t xml:space="preserve">New business</t>
        </is>
      </c>
      <c r="F496" s="46" t="inlineStr">
        <is>
          <t xml:space="preserve">B1234EXOTIC26</t>
        </is>
      </c>
      <c r="G496" s="33">
        <f>IF($A496="","",IF($C496="","",YEAR($C496)))</f>
      </c>
      <c r="H496" s="49">
        <v>1986</v>
      </c>
      <c r="I496" s="46" t="inlineStr">
        <is>
          <t xml:space="preserve">Ringbrothers</t>
        </is>
      </c>
      <c r="J496" s="46" t="inlineStr">
        <is>
          <t xml:space="preserve">Mustang</t>
        </is>
      </c>
      <c r="K496" s="46" t="inlineStr">
        <is>
          <t xml:space="preserve">5608FAZGBL1UD8FPU</t>
        </is>
      </c>
      <c r="L496" s="48" t="inlineStr">
        <is>
          <t xml:space="preserve">11 - Restomod / Coachbuilt / Bespoke</t>
        </is>
      </c>
      <c r="M496" s="50">
        <v>675000</v>
      </c>
      <c r="N496" s="48" t="inlineStr">
        <is>
          <t xml:space="preserve">Personal</t>
        </is>
      </c>
      <c r="O496" s="46" t="inlineStr">
        <is>
          <t xml:space="preserve">Personal - regular use</t>
        </is>
      </c>
      <c r="P496" s="46" t="inlineStr">
        <is>
          <t xml:space="preserve">1,000 - 2,500</t>
        </is>
      </c>
      <c r="Q496" s="46" t="inlineStr">
        <is>
          <t xml:space="preserve">California</t>
        </is>
      </c>
      <c r="R496" s="46" t="inlineStr">
        <is>
          <t xml:space="preserve">90012</t>
        </is>
      </c>
      <c r="S496" s="48" t="inlineStr">
        <is>
          <t xml:space="preserve">Earthquake - high (CA, Cascadia, New Madrid)</t>
        </is>
      </c>
      <c r="T496" s="36">
        <f>IF($A496="","",IF($S496="","",IFERROR(INDEX('[1]natural catastrophe'!$D$6:$D$17,MATCH($S496,'[1]natural catastrophe'!$B$6:$B$17,0)),"?")))</f>
      </c>
      <c r="U496" s="46" t="inlineStr">
        <is>
          <t xml:space="preserve">$5,000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10205.66</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CANON-202607-008333</t>
        </is>
      </c>
      <c r="B497" s="30" t="inlineStr">
        <is>
          <t xml:space="preserve">Fitzgerald Vandermeer</t>
        </is>
      </c>
      <c r="C497" s="31">
        <v>46219</v>
      </c>
      <c r="D497" s="32" t="inlineStr">
        <is>
          <t xml:space="preserve">Bound - within authority</t>
        </is>
      </c>
      <c r="E497" s="32" t="inlineStr">
        <is>
          <t xml:space="preserve">New business</t>
        </is>
      </c>
      <c r="F497" s="30" t="inlineStr">
        <is>
          <t xml:space="preserve">B1234EXOTIC26</t>
        </is>
      </c>
      <c r="G497" s="33">
        <f>IF($A497="","",IF($C497="","",YEAR($C497)))</f>
      </c>
      <c r="H497" s="34">
        <v>1987</v>
      </c>
      <c r="I497" s="30" t="inlineStr">
        <is>
          <t xml:space="preserve">BMW</t>
        </is>
      </c>
      <c r="J497" s="30" t="inlineStr">
        <is>
          <t xml:space="preserve">M8 Competition</t>
        </is>
      </c>
      <c r="K497" s="30" t="inlineStr">
        <is>
          <t xml:space="preserve">LDMCDJ83U815152PA</t>
        </is>
      </c>
      <c r="L497" s="32" t="inlineStr">
        <is>
          <t xml:space="preserve">02 - Sports / GT</t>
        </is>
      </c>
      <c r="M497" s="35">
        <v>465000</v>
      </c>
      <c r="N497" s="32" t="inlineStr">
        <is>
          <t xml:space="preserve">Personal</t>
        </is>
      </c>
      <c r="O497" s="30" t="inlineStr">
        <is>
          <t xml:space="preserve">Personal - regular use</t>
        </is>
      </c>
      <c r="P497" s="30" t="inlineStr">
        <is>
          <t xml:space="preserve">2,500 - 5,000</t>
        </is>
      </c>
      <c r="Q497" s="30" t="inlineStr">
        <is>
          <t xml:space="preserve">Kansas</t>
        </is>
      </c>
      <c r="R497" s="30" t="inlineStr">
        <is>
          <t xml:space="preserve">66603</t>
        </is>
      </c>
      <c r="S497" s="32" t="inlineStr">
        <is>
          <t xml:space="preserve">Severe convective - hail alley (high)</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4857.3</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CANON-202607-008334</t>
        </is>
      </c>
      <c r="B498" s="46" t="inlineStr">
        <is>
          <t xml:space="preserve">Sunniva Fairweather</t>
        </is>
      </c>
      <c r="C498" s="47">
        <v>46227</v>
      </c>
      <c r="D498" s="48" t="inlineStr">
        <is>
          <t xml:space="preserve">Bound - within authority</t>
        </is>
      </c>
      <c r="E498" s="48" t="inlineStr">
        <is>
          <t xml:space="preserve">New business</t>
        </is>
      </c>
      <c r="F498" s="46" t="inlineStr">
        <is>
          <t xml:space="preserve">B1234EXOTIC26</t>
        </is>
      </c>
      <c r="G498" s="33">
        <f>IF($A498="","",IF($C498="","",YEAR($C498)))</f>
      </c>
      <c r="H498" s="49">
        <v>1965</v>
      </c>
      <c r="I498" s="46" t="inlineStr">
        <is>
          <t xml:space="preserve">Aston Martin</t>
        </is>
      </c>
      <c r="J498" s="46" t="inlineStr">
        <is>
          <t xml:space="preserve">DB12</t>
        </is>
      </c>
      <c r="K498" s="46" t="inlineStr">
        <is>
          <t xml:space="preserve">7M5TCRK4TWYFL5D9Z</t>
        </is>
      </c>
      <c r="L498" s="48" t="inlineStr">
        <is>
          <t xml:space="preserve">02 - Sports / GT</t>
        </is>
      </c>
      <c r="M498" s="50">
        <v>845000</v>
      </c>
      <c r="N498" s="48" t="inlineStr">
        <is>
          <t xml:space="preserve">Personal</t>
        </is>
      </c>
      <c r="O498" s="46" t="inlineStr">
        <is>
          <t xml:space="preserve">Personal - regular use</t>
        </is>
      </c>
      <c r="P498" s="46" t="inlineStr">
        <is>
          <t xml:space="preserve">1,000 - 2,500</t>
        </is>
      </c>
      <c r="Q498" s="46" t="inlineStr">
        <is>
          <t xml:space="preserve">Texas</t>
        </is>
      </c>
      <c r="R498" s="46" t="inlineStr">
        <is>
          <t xml:space="preserve">75201</t>
        </is>
      </c>
      <c r="S498" s="48" t="inlineStr">
        <is>
          <t xml:space="preserve">Tier 2 - Coastal wind (1-25 miles)</t>
        </is>
      </c>
      <c r="T498" s="36">
        <f>IF($A498="","",IF($S498="","",IFERROR(INDEX('[1]natural catastrophe'!$D$6:$D$17,MATCH($S498,'[1]natural catastrophe'!$B$6:$B$17,0)),"?")))</f>
      </c>
      <c r="U498" s="46" t="inlineStr">
        <is>
          <t xml:space="preserve">2% of agreed value, minimum $10,000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9069.36</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CANON-202607-008335</t>
        </is>
      </c>
      <c r="B499" s="30" t="inlineStr">
        <is>
          <t xml:space="preserve">Thaddeus Merriweather</t>
        </is>
      </c>
      <c r="C499" s="31">
        <v>46219</v>
      </c>
      <c r="D499" s="32" t="inlineStr">
        <is>
          <t xml:space="preserve">Bound - within authority</t>
        </is>
      </c>
      <c r="E499" s="32" t="inlineStr">
        <is>
          <t xml:space="preserve">New business</t>
        </is>
      </c>
      <c r="F499" s="30" t="inlineStr">
        <is>
          <t xml:space="preserve">B1234EXOTIC26</t>
        </is>
      </c>
      <c r="G499" s="33">
        <f>IF($A499="","",IF($C499="","",YEAR($C499)))</f>
      </c>
      <c r="H499" s="34">
        <v>2000</v>
      </c>
      <c r="I499" s="30" t="inlineStr">
        <is>
          <t xml:space="preserve">Aston Martin</t>
        </is>
      </c>
      <c r="J499" s="30" t="inlineStr">
        <is>
          <t xml:space="preserve">DB12</t>
        </is>
      </c>
      <c r="K499" s="30" t="inlineStr">
        <is>
          <t xml:space="preserve">MD3PZ9XE8XF0MK099</t>
        </is>
      </c>
      <c r="L499" s="32" t="inlineStr">
        <is>
          <t xml:space="preserve">02 - Sports / GT</t>
        </is>
      </c>
      <c r="M499" s="35">
        <v>275000</v>
      </c>
      <c r="N499" s="32" t="inlineStr">
        <is>
          <t xml:space="preserve">Personal</t>
        </is>
      </c>
      <c r="O499" s="30" t="inlineStr">
        <is>
          <t xml:space="preserve">Personal - regular use</t>
        </is>
      </c>
      <c r="P499" s="30" t="inlineStr">
        <is>
          <t xml:space="preserve">1,000 - 2,500</t>
        </is>
      </c>
      <c r="Q499" s="30" t="inlineStr">
        <is>
          <t xml:space="preserve">Colorado</t>
        </is>
      </c>
      <c r="R499" s="30" t="inlineStr">
        <is>
          <t xml:space="preserve">80202</t>
        </is>
      </c>
      <c r="S499" s="32" t="inlineStr">
        <is>
          <t xml:space="preserve">Severe convective - hail alley (high)</t>
        </is>
      </c>
      <c r="T499" s="36">
        <f>IF($A499="","",IF($S499="","",IFERROR(INDEX('[1]natural catastrophe'!$D$6:$D$17,MATCH($S499,'[1]natural catastrophe'!$B$6:$B$17,0)),"?")))</f>
      </c>
      <c r="U499" s="30" t="inlineStr">
        <is>
          <t xml:space="preserve">$5,000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3257.58</v>
      </c>
      <c r="AC499" s="37">
        <v>0</v>
      </c>
      <c r="AD499" s="38">
        <f>IF(ISNUMBER($AB499),$AB499*(1+N($AC499)),"")</f>
      </c>
      <c r="AE499" s="35">
        <v>350</v>
      </c>
      <c r="AF499" s="35">
        <v>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CANON-202607-008336</t>
        </is>
      </c>
      <c r="B500" s="46" t="inlineStr">
        <is>
          <t xml:space="preserve">Mireille Vandermeer</t>
        </is>
      </c>
      <c r="C500" s="47">
        <v>46214</v>
      </c>
      <c r="D500" s="48" t="inlineStr">
        <is>
          <t xml:space="preserve">Bound - within authority</t>
        </is>
      </c>
      <c r="E500" s="48" t="inlineStr">
        <is>
          <t xml:space="preserve">New business</t>
        </is>
      </c>
      <c r="F500" s="46" t="inlineStr">
        <is>
          <t xml:space="preserve">B1234EXOTIC26</t>
        </is>
      </c>
      <c r="G500" s="33">
        <f>IF($A500="","",IF($C500="","",YEAR($C500)))</f>
      </c>
      <c r="H500" s="49">
        <v>2000</v>
      </c>
      <c r="I500" s="46" t="inlineStr">
        <is>
          <t xml:space="preserve">Ferrari</t>
        </is>
      </c>
      <c r="J500" s="46" t="inlineStr">
        <is>
          <t xml:space="preserve">275 GTB/4</t>
        </is>
      </c>
      <c r="K500" s="46" t="inlineStr">
        <is>
          <t xml:space="preserve">T0J1KPASL4JT7UV6B</t>
        </is>
      </c>
      <c r="L500" s="48" t="inlineStr">
        <is>
          <t xml:space="preserve">09 - Youngtimer / Collectible (2000-2010)</t>
        </is>
      </c>
      <c r="M500" s="50">
        <v>415000</v>
      </c>
      <c r="N500" s="48" t="inlineStr">
        <is>
          <t xml:space="preserve">Personal</t>
        </is>
      </c>
      <c r="O500" s="46" t="inlineStr">
        <is>
          <t xml:space="preserve">Personal - regular use</t>
        </is>
      </c>
      <c r="P500" s="46" t="inlineStr">
        <is>
          <t xml:space="preserve">Under 1,000</t>
        </is>
      </c>
      <c r="Q500" s="46" t="inlineStr">
        <is>
          <t xml:space="preserve">Alabama</t>
        </is>
      </c>
      <c r="R500" s="46" t="inlineStr">
        <is>
          <t xml:space="preserve">35203</t>
        </is>
      </c>
      <c r="S500" s="48" t="inlineStr">
        <is>
          <t xml:space="preserve">Tier 2 - Coastal wind (1-25 miles)</t>
        </is>
      </c>
      <c r="T500" s="36">
        <f>IF($A500="","",IF($S500="","",IFERROR(INDEX('[1]natural catastrophe'!$D$6:$D$17,MATCH($S500,'[1]natural catastrophe'!$B$6:$B$17,0)),"?")))</f>
      </c>
      <c r="U500" s="46" t="inlineStr">
        <is>
          <t xml:space="preserve">2% of agreed value, minimum $10,000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3632.47</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CANON-202607-008338</t>
        </is>
      </c>
      <c r="B501" s="30" t="inlineStr">
        <is>
          <t xml:space="preserve">Leopold Merriweather</t>
        </is>
      </c>
      <c r="C501" s="31">
        <v>46207</v>
      </c>
      <c r="D501" s="32" t="inlineStr">
        <is>
          <t xml:space="preserve">Bound - within authority</t>
        </is>
      </c>
      <c r="E501" s="32" t="inlineStr">
        <is>
          <t xml:space="preserve">New business</t>
        </is>
      </c>
      <c r="F501" s="30" t="inlineStr">
        <is>
          <t xml:space="preserve">B1234EXOTIC26</t>
        </is>
      </c>
      <c r="G501" s="33">
        <f>IF($A501="","",IF($C501="","",YEAR($C501)))</f>
      </c>
      <c r="H501" s="34">
        <v>2012</v>
      </c>
      <c r="I501" s="30" t="inlineStr">
        <is>
          <t xml:space="preserve">Porsche</t>
        </is>
      </c>
      <c r="J501" s="30" t="inlineStr">
        <is>
          <t xml:space="preserve">911 Turbo S</t>
        </is>
      </c>
      <c r="K501" s="30" t="inlineStr">
        <is>
          <t xml:space="preserve">DBWPHK6W4FT8X8V97</t>
        </is>
      </c>
      <c r="L501" s="32" t="inlineStr">
        <is>
          <t xml:space="preserve">02 - Sports / GT</t>
        </is>
      </c>
      <c r="M501" s="35">
        <v>955000</v>
      </c>
      <c r="N501" s="32" t="inlineStr">
        <is>
          <t xml:space="preserve">Personal</t>
        </is>
      </c>
      <c r="O501" s="30" t="inlineStr">
        <is>
          <t xml:space="preserve">Personal - regular use</t>
        </is>
      </c>
      <c r="P501" s="30" t="inlineStr">
        <is>
          <t xml:space="preserve">Under 1,000</t>
        </is>
      </c>
      <c r="Q501" s="30" t="inlineStr">
        <is>
          <t xml:space="preserve">Idaho</t>
        </is>
      </c>
      <c r="R501" s="30" t="inlineStr">
        <is>
          <t xml:space="preserve">83702</t>
        </is>
      </c>
      <c r="S501" s="32" t="inlineStr">
        <is>
          <t xml:space="preserve">Wildfire - WUI high hazard</t>
        </is>
      </c>
      <c r="T501" s="36">
        <f>IF($A501="","",IF($S501="","",IFERROR(INDEX('[1]natural catastrophe'!$D$6:$D$17,MATCH($S501,'[1]natural catastrophe'!$B$6:$B$17,0)),"?")))</f>
      </c>
      <c r="U501" s="30" t="inlineStr">
        <is>
          <t xml:space="preserve">$5,000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8823.9</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CANON-202607-008339</t>
        </is>
      </c>
      <c r="B502" s="46" t="inlineStr">
        <is>
          <t xml:space="preserve">Emiliano Thistlewood</t>
        </is>
      </c>
      <c r="C502" s="47">
        <v>46204</v>
      </c>
      <c r="D502" s="48" t="inlineStr">
        <is>
          <t xml:space="preserve">Bound - within authority</t>
        </is>
      </c>
      <c r="E502" s="48" t="inlineStr">
        <is>
          <t xml:space="preserve">New business</t>
        </is>
      </c>
      <c r="F502" s="46" t="inlineStr">
        <is>
          <t xml:space="preserve">B1234EXOTIC26</t>
        </is>
      </c>
      <c r="G502" s="33">
        <f>IF($A502="","",IF($C502="","",YEAR($C502)))</f>
      </c>
      <c r="H502" s="49">
        <v>1993</v>
      </c>
      <c r="I502" s="46" t="inlineStr">
        <is>
          <t xml:space="preserve">Porsche</t>
        </is>
      </c>
      <c r="J502" s="46" t="inlineStr">
        <is>
          <t xml:space="preserve">911 Turbo S</t>
        </is>
      </c>
      <c r="K502" s="46" t="inlineStr">
        <is>
          <t xml:space="preserve">W2SC8YHPVSJ0MSRZM</t>
        </is>
      </c>
      <c r="L502" s="48" t="inlineStr">
        <is>
          <t xml:space="preserve">02 - Sports / GT</t>
        </is>
      </c>
      <c r="M502" s="50">
        <v>835000</v>
      </c>
      <c r="N502" s="48" t="inlineStr">
        <is>
          <t xml:space="preserve">Personal</t>
        </is>
      </c>
      <c r="O502" s="46" t="inlineStr">
        <is>
          <t xml:space="preserve">Personal - regular use</t>
        </is>
      </c>
      <c r="P502" s="46" t="inlineStr">
        <is>
          <t xml:space="preserve">Under 1,000</t>
        </is>
      </c>
      <c r="Q502" s="46" t="inlineStr">
        <is>
          <t xml:space="preserve">Michigan</t>
        </is>
      </c>
      <c r="R502" s="46" t="inlineStr">
        <is>
          <t xml:space="preserve">48226</t>
        </is>
      </c>
      <c r="S502" s="48" t="inlineStr">
        <is>
          <t xml:space="preserve">Severe convective - hail / tornado (moderate)</t>
        </is>
      </c>
      <c r="T502" s="36">
        <f>IF($A502="","",IF($S502="","",IFERROR(INDEX('[1]natural catastrophe'!$D$6:$D$17,MATCH($S502,'[1]natural catastrophe'!$B$6:$B$17,0)),"?")))</f>
      </c>
      <c r="U502" s="46" t="inlineStr">
        <is>
          <t xml:space="preserve">$5,000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12079.26</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CANON-202607-008340</t>
        </is>
      </c>
      <c r="B503" s="30" t="inlineStr">
        <is>
          <t xml:space="preserve">Everett Rourke</t>
        </is>
      </c>
      <c r="C503" s="31">
        <v>46222</v>
      </c>
      <c r="D503" s="32" t="inlineStr">
        <is>
          <t xml:space="preserve">Bound - within authority</t>
        </is>
      </c>
      <c r="E503" s="32" t="inlineStr">
        <is>
          <t xml:space="preserve">New business</t>
        </is>
      </c>
      <c r="F503" s="30" t="inlineStr">
        <is>
          <t xml:space="preserve">B1234EXOTIC26</t>
        </is>
      </c>
      <c r="G503" s="33">
        <f>IF($A503="","",IF($C503="","",YEAR($C503)))</f>
      </c>
      <c r="H503" s="34">
        <v>1994</v>
      </c>
      <c r="I503" s="30" t="inlineStr">
        <is>
          <t xml:space="preserve">Aston Martin</t>
        </is>
      </c>
      <c r="J503" s="30" t="inlineStr">
        <is>
          <t xml:space="preserve">DB12</t>
        </is>
      </c>
      <c r="K503" s="30" t="inlineStr">
        <is>
          <t xml:space="preserve">3S2NHDC0C8UUW6DBW</t>
        </is>
      </c>
      <c r="L503" s="32" t="inlineStr">
        <is>
          <t xml:space="preserve">02 - Sports / GT</t>
        </is>
      </c>
      <c r="M503" s="35">
        <v>1860000</v>
      </c>
      <c r="N503" s="32" t="inlineStr">
        <is>
          <t xml:space="preserve">Personal</t>
        </is>
      </c>
      <c r="O503" s="30" t="inlineStr">
        <is>
          <t xml:space="preserve">Personal - regular use</t>
        </is>
      </c>
      <c r="P503" s="30" t="inlineStr">
        <is>
          <t xml:space="preserve">Under 1,000</t>
        </is>
      </c>
      <c r="Q503" s="30" t="inlineStr">
        <is>
          <t xml:space="preserve">Utah</t>
        </is>
      </c>
      <c r="R503" s="30" t="inlineStr">
        <is>
          <t xml:space="preserve">84101</t>
        </is>
      </c>
      <c r="S503" s="32" t="inlineStr">
        <is>
          <t xml:space="preserve">Wildfire - WUI high hazard</t>
        </is>
      </c>
      <c r="T503" s="36">
        <f>IF($A503="","",IF($S503="","",IFERROR(INDEX('[1]natural catastrophe'!$D$6:$D$17,MATCH($S503,'[1]natural catastrophe'!$B$6:$B$17,0)),"?")))</f>
      </c>
      <c r="U503" s="30" t="inlineStr">
        <is>
          <t xml:space="preserve">$5,000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19829.8</v>
      </c>
      <c r="AC503" s="37">
        <v>0</v>
      </c>
      <c r="AD503" s="38">
        <f>IF(ISNUMBER($AB503),$AB503*(1+N($AC503)),"")</f>
      </c>
      <c r="AE503" s="35">
        <v>350</v>
      </c>
      <c r="AF503" s="35">
        <v>250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CANON-202607-008341</t>
        </is>
      </c>
      <c r="B504" s="46" t="inlineStr">
        <is>
          <t xml:space="preserve">Sunniva Montoya</t>
        </is>
      </c>
      <c r="C504" s="47">
        <v>46222</v>
      </c>
      <c r="D504" s="48" t="inlineStr">
        <is>
          <t xml:space="preserve">Bound - within authority</t>
        </is>
      </c>
      <c r="E504" s="48" t="inlineStr">
        <is>
          <t xml:space="preserve">New business</t>
        </is>
      </c>
      <c r="F504" s="46" t="inlineStr">
        <is>
          <t xml:space="preserve">B1234EXOTIC26</t>
        </is>
      </c>
      <c r="G504" s="33">
        <f>IF($A504="","",IF($C504="","",YEAR($C504)))</f>
      </c>
      <c r="H504" s="49">
        <v>1969</v>
      </c>
      <c r="I504" s="46" t="inlineStr">
        <is>
          <t xml:space="preserve">Aston Martin</t>
        </is>
      </c>
      <c r="J504" s="46" t="inlineStr">
        <is>
          <t xml:space="preserve">DB12</t>
        </is>
      </c>
      <c r="K504" s="46" t="inlineStr">
        <is>
          <t xml:space="preserve">87UKH02HWS884FYRL</t>
        </is>
      </c>
      <c r="L504" s="48" t="inlineStr">
        <is>
          <t xml:space="preserve">02 - Sports / GT</t>
        </is>
      </c>
      <c r="M504" s="50">
        <v>550000</v>
      </c>
      <c r="N504" s="48" t="inlineStr">
        <is>
          <t xml:space="preserve">Personal</t>
        </is>
      </c>
      <c r="O504" s="46" t="inlineStr">
        <is>
          <t xml:space="preserve">Personal - regular use</t>
        </is>
      </c>
      <c r="P504" s="46" t="inlineStr">
        <is>
          <t xml:space="preserve">1,000 - 2,500</t>
        </is>
      </c>
      <c r="Q504" s="46" t="inlineStr">
        <is>
          <t xml:space="preserve">New Hampshire</t>
        </is>
      </c>
      <c r="R504" s="46" t="inlineStr">
        <is>
          <t xml:space="preserve">03301</t>
        </is>
      </c>
      <c r="S504" s="48" t="inlineStr">
        <is>
          <t xml:space="preserve">Tier 3 - Coastal wind (25-100 miles)</t>
        </is>
      </c>
      <c r="T504" s="36">
        <f>IF($A504="","",IF($S504="","",IFERROR(INDEX('[1]natural catastrophe'!$D$6:$D$17,MATCH($S504,'[1]natural catastrophe'!$B$6:$B$17,0)),"?")))</f>
      </c>
      <c r="U504" s="46" t="inlineStr">
        <is>
          <t xml:space="preserve">2% of agreed value, minimum $10,000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5338.48</v>
      </c>
      <c r="AC504" s="51">
        <v>0</v>
      </c>
      <c r="AD504" s="38">
        <f>IF(ISNUMBER($AB504),$AB504*(1+N($AC504)),"")</f>
      </c>
      <c r="AE504" s="50">
        <v>350</v>
      </c>
      <c r="AF504" s="50">
        <v>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CANON-202607-008343</t>
        </is>
      </c>
      <c r="B505" s="30" t="inlineStr">
        <is>
          <t xml:space="preserve">Mireille Blackwood</t>
        </is>
      </c>
      <c r="C505" s="31">
        <v>46216</v>
      </c>
      <c r="D505" s="32" t="inlineStr">
        <is>
          <t xml:space="preserve">Bound - within authority</t>
        </is>
      </c>
      <c r="E505" s="32" t="inlineStr">
        <is>
          <t xml:space="preserve">New business</t>
        </is>
      </c>
      <c r="F505" s="30" t="inlineStr">
        <is>
          <t xml:space="preserve">B1234EXOTIC26</t>
        </is>
      </c>
      <c r="G505" s="33">
        <f>IF($A505="","",IF($C505="","",YEAR($C505)))</f>
      </c>
      <c r="H505" s="34">
        <v>2013</v>
      </c>
      <c r="I505" s="30" t="inlineStr">
        <is>
          <t xml:space="preserve">Porsche</t>
        </is>
      </c>
      <c r="J505" s="30" t="inlineStr">
        <is>
          <t xml:space="preserve">911 Turbo S</t>
        </is>
      </c>
      <c r="K505" s="30" t="inlineStr">
        <is>
          <t xml:space="preserve">DANY583BSLTLEWTBA</t>
        </is>
      </c>
      <c r="L505" s="32" t="inlineStr">
        <is>
          <t xml:space="preserve">02 - Sports / GT</t>
        </is>
      </c>
      <c r="M505" s="35">
        <v>385000</v>
      </c>
      <c r="N505" s="32" t="inlineStr">
        <is>
          <t xml:space="preserve">Personal</t>
        </is>
      </c>
      <c r="O505" s="30" t="inlineStr">
        <is>
          <t xml:space="preserve">Personal - regular use</t>
        </is>
      </c>
      <c r="P505" s="30" t="inlineStr">
        <is>
          <t xml:space="preserve">Under 1,000</t>
        </is>
      </c>
      <c r="Q505" s="30" t="inlineStr">
        <is>
          <t xml:space="preserve">Minnesota</t>
        </is>
      </c>
      <c r="R505" s="30" t="inlineStr">
        <is>
          <t xml:space="preserve">55401</t>
        </is>
      </c>
      <c r="S505" s="32" t="inlineStr">
        <is>
          <t xml:space="preserve">Severe convective - hail / tornado (moderate)</t>
        </is>
      </c>
      <c r="T505" s="36">
        <f>IF($A505="","",IF($S505="","",IFERROR(INDEX('[1]natural catastrophe'!$D$6:$D$17,MATCH($S505,'[1]natural catastrophe'!$B$6:$B$17,0)),"?")))</f>
      </c>
      <c r="U505" s="30" t="inlineStr">
        <is>
          <t xml:space="preserve">$5,000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5472.74</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CANON-202607-008346</t>
        </is>
      </c>
      <c r="B506" s="46" t="inlineStr">
        <is>
          <t xml:space="preserve">Delphine Delacroix</t>
        </is>
      </c>
      <c r="C506" s="47">
        <v>46222</v>
      </c>
      <c r="D506" s="48" t="inlineStr">
        <is>
          <t xml:space="preserve">Bound - within authority</t>
        </is>
      </c>
      <c r="E506" s="48" t="inlineStr">
        <is>
          <t xml:space="preserve">New business</t>
        </is>
      </c>
      <c r="F506" s="46" t="inlineStr">
        <is>
          <t xml:space="preserve">B1234EXOTIC26</t>
        </is>
      </c>
      <c r="G506" s="33">
        <f>IF($A506="","",IF($C506="","",YEAR($C506)))</f>
      </c>
      <c r="H506" s="49">
        <v>1987</v>
      </c>
      <c r="I506" s="46" t="inlineStr">
        <is>
          <t xml:space="preserve">Mercedes-Benz</t>
        </is>
      </c>
      <c r="J506" s="46" t="inlineStr">
        <is>
          <t xml:space="preserve">AMG GT</t>
        </is>
      </c>
      <c r="K506" s="46" t="inlineStr">
        <is>
          <t xml:space="preserve">6YP1CNCZYCM64YAX7</t>
        </is>
      </c>
      <c r="L506" s="48" t="inlineStr">
        <is>
          <t xml:space="preserve">02 - Sports / GT</t>
        </is>
      </c>
      <c r="M506" s="50">
        <v>525000</v>
      </c>
      <c r="N506" s="48" t="inlineStr">
        <is>
          <t xml:space="preserve">Personal</t>
        </is>
      </c>
      <c r="O506" s="46" t="inlineStr">
        <is>
          <t xml:space="preserve">Personal - regular use</t>
        </is>
      </c>
      <c r="P506" s="46" t="inlineStr">
        <is>
          <t xml:space="preserve">Under 1,000</t>
        </is>
      </c>
      <c r="Q506" s="46" t="inlineStr">
        <is>
          <t xml:space="preserve">Florida</t>
        </is>
      </c>
      <c r="R506" s="46" t="inlineStr">
        <is>
          <t xml:space="preserve">33139</t>
        </is>
      </c>
      <c r="S506" s="48" t="inlineStr">
        <is>
          <t xml:space="preserve">Tier 2 - Coastal wind (1-25 miles)</t>
        </is>
      </c>
      <c r="T506" s="36">
        <f>IF($A506="","",IF($S506="","",IFERROR(INDEX('[1]natural catastrophe'!$D$6:$D$17,MATCH($S506,'[1]natural catastrophe'!$B$6:$B$17,0)),"?")))</f>
      </c>
      <c r="U506" s="46" t="inlineStr">
        <is>
          <t xml:space="preserve">2% of agreed value, minimum $10,000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6957.76</v>
      </c>
      <c r="AC506" s="51">
        <v>0</v>
      </c>
      <c r="AD506" s="38">
        <f>IF(ISNUMBER($AB506),$AB506*(1+N($AC506)),"")</f>
      </c>
      <c r="AE506" s="50">
        <v>350</v>
      </c>
      <c r="AF506" s="50">
        <v>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CANON-202607-008348</t>
        </is>
      </c>
      <c r="B507" s="30" t="inlineStr">
        <is>
          <t xml:space="preserve">Anouk Nakashima</t>
        </is>
      </c>
      <c r="C507" s="31">
        <v>46204</v>
      </c>
      <c r="D507" s="32" t="inlineStr">
        <is>
          <t xml:space="preserve">Bound - within authority</t>
        </is>
      </c>
      <c r="E507" s="32" t="inlineStr">
        <is>
          <t xml:space="preserve">New business</t>
        </is>
      </c>
      <c r="F507" s="30" t="inlineStr">
        <is>
          <t xml:space="preserve">B1234EXOTIC26</t>
        </is>
      </c>
      <c r="G507" s="33">
        <f>IF($A507="","",IF($C507="","",YEAR($C507)))</f>
      </c>
      <c r="H507" s="34">
        <v>2017</v>
      </c>
      <c r="I507" s="30" t="inlineStr">
        <is>
          <t xml:space="preserve">Bentley</t>
        </is>
      </c>
      <c r="J507" s="30" t="inlineStr">
        <is>
          <t xml:space="preserve">Continental GT</t>
        </is>
      </c>
      <c r="K507" s="30" t="inlineStr">
        <is>
          <t xml:space="preserve">CG8B8GZ6LNJNJ6YDD</t>
        </is>
      </c>
      <c r="L507" s="32" t="inlineStr">
        <is>
          <t xml:space="preserve">02 - Sports / GT</t>
        </is>
      </c>
      <c r="M507" s="35">
        <v>300000</v>
      </c>
      <c r="N507" s="32" t="inlineStr">
        <is>
          <t xml:space="preserve">Personal</t>
        </is>
      </c>
      <c r="O507" s="30" t="inlineStr">
        <is>
          <t xml:space="preserve">Personal - regular use</t>
        </is>
      </c>
      <c r="P507" s="30" t="inlineStr">
        <is>
          <t xml:space="preserve">Under 1,000</t>
        </is>
      </c>
      <c r="Q507" s="30" t="inlineStr">
        <is>
          <t xml:space="preserve">New Jersey</t>
        </is>
      </c>
      <c r="R507" s="30" t="inlineStr">
        <is>
          <t xml:space="preserve">07102</t>
        </is>
      </c>
      <c r="S507" s="32" t="inlineStr">
        <is>
          <t xml:space="preserve">Tier 3 - Coastal wind (25-100 miles)</t>
        </is>
      </c>
      <c r="T507" s="36">
        <f>IF($A507="","",IF($S507="","",IFERROR(INDEX('[1]natural catastrophe'!$D$6:$D$17,MATCH($S507,'[1]natural catastrophe'!$B$6:$B$17,0)),"?")))</f>
      </c>
      <c r="U507" s="30" t="inlineStr">
        <is>
          <t xml:space="preserve">2% of agreed value, minimum $10,000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2939.9</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CANON-202607-008349</t>
        </is>
      </c>
      <c r="B508" s="46" t="inlineStr">
        <is>
          <t xml:space="preserve">Beatrix Chattopadhyay</t>
        </is>
      </c>
      <c r="C508" s="47">
        <v>46210</v>
      </c>
      <c r="D508" s="48" t="inlineStr">
        <is>
          <t xml:space="preserve">Bound - within authority</t>
        </is>
      </c>
      <c r="E508" s="48" t="inlineStr">
        <is>
          <t xml:space="preserve">New business</t>
        </is>
      </c>
      <c r="F508" s="46" t="inlineStr">
        <is>
          <t xml:space="preserve">B1234EXOTIC26</t>
        </is>
      </c>
      <c r="G508" s="33">
        <f>IF($A508="","",IF($C508="","",YEAR($C508)))</f>
      </c>
      <c r="H508" s="49">
        <v>1991</v>
      </c>
      <c r="I508" s="46" t="inlineStr">
        <is>
          <t xml:space="preserve">Ferrari</t>
        </is>
      </c>
      <c r="J508" s="46" t="inlineStr">
        <is>
          <t xml:space="preserve">SF90 Stradale</t>
        </is>
      </c>
      <c r="K508" s="46" t="inlineStr">
        <is>
          <t xml:space="preserve">GLD5SKRB6M4G58DME</t>
        </is>
      </c>
      <c r="L508" s="48" t="inlineStr">
        <is>
          <t xml:space="preserve">03 - Supercar</t>
        </is>
      </c>
      <c r="M508" s="50">
        <v>445000</v>
      </c>
      <c r="N508" s="48" t="inlineStr">
        <is>
          <t xml:space="preserve">Personal</t>
        </is>
      </c>
      <c r="O508" s="46" t="inlineStr">
        <is>
          <t xml:space="preserve">Personal - regular use</t>
        </is>
      </c>
      <c r="P508" s="46" t="inlineStr">
        <is>
          <t xml:space="preserve">2,500 - 5,000</t>
        </is>
      </c>
      <c r="Q508" s="46" t="inlineStr">
        <is>
          <t xml:space="preserve">Montana</t>
        </is>
      </c>
      <c r="R508" s="46" t="inlineStr">
        <is>
          <t xml:space="preserve">59601</t>
        </is>
      </c>
      <c r="S508" s="48" t="inlineStr">
        <is>
          <t xml:space="preserve">Wildfire - WUI high hazard</t>
        </is>
      </c>
      <c r="T508" s="36">
        <f>IF($A508="","",IF($S508="","",IFERROR(INDEX('[1]natural catastrophe'!$D$6:$D$17,MATCH($S508,'[1]natural catastrophe'!$B$6:$B$17,0)),"?")))</f>
      </c>
      <c r="U508" s="46" t="inlineStr">
        <is>
          <t xml:space="preserve">$5,000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6833.6</v>
      </c>
      <c r="AC508" s="51">
        <v>0</v>
      </c>
      <c r="AD508" s="38">
        <f>IF(ISNUMBER($AB508),$AB508*(1+N($AC508)),"")</f>
      </c>
      <c r="AE508" s="50">
        <v>350</v>
      </c>
      <c r="AF508" s="50">
        <v>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CANON-202607-008350</t>
        </is>
      </c>
      <c r="B509" s="30" t="inlineStr">
        <is>
          <t xml:space="preserve">Desmond Whitlock</t>
        </is>
      </c>
      <c r="C509" s="31">
        <v>46208</v>
      </c>
      <c r="D509" s="32" t="inlineStr">
        <is>
          <t xml:space="preserve">Bound - within authority</t>
        </is>
      </c>
      <c r="E509" s="32" t="inlineStr">
        <is>
          <t xml:space="preserve">New business</t>
        </is>
      </c>
      <c r="F509" s="30" t="inlineStr">
        <is>
          <t xml:space="preserve">B1234EXOTIC26</t>
        </is>
      </c>
      <c r="G509" s="33">
        <f>IF($A509="","",IF($C509="","",YEAR($C509)))</f>
      </c>
      <c r="H509" s="34">
        <v>1977</v>
      </c>
      <c r="I509" s="30" t="inlineStr">
        <is>
          <t xml:space="preserve">Bentley</t>
        </is>
      </c>
      <c r="J509" s="30" t="inlineStr">
        <is>
          <t xml:space="preserve">Continental GT</t>
        </is>
      </c>
      <c r="K509" s="30" t="inlineStr">
        <is>
          <t xml:space="preserve">DNBZB44CBSB4V7ZJC</t>
        </is>
      </c>
      <c r="L509" s="32" t="inlineStr">
        <is>
          <t xml:space="preserve">02 - Sports / GT</t>
        </is>
      </c>
      <c r="M509" s="35">
        <v>1950000</v>
      </c>
      <c r="N509" s="32" t="inlineStr">
        <is>
          <t xml:space="preserve">Personal</t>
        </is>
      </c>
      <c r="O509" s="30" t="inlineStr">
        <is>
          <t xml:space="preserve">Personal - regular use</t>
        </is>
      </c>
      <c r="P509" s="30" t="inlineStr">
        <is>
          <t xml:space="preserve">2,500 - 5,000</t>
        </is>
      </c>
      <c r="Q509" s="30" t="inlineStr">
        <is>
          <t xml:space="preserve">Connecticut</t>
        </is>
      </c>
      <c r="R509" s="30" t="inlineStr">
        <is>
          <t xml:space="preserve">06103</t>
        </is>
      </c>
      <c r="S509" s="32" t="inlineStr">
        <is>
          <t xml:space="preserve">Tier 3 - Coastal wind (25-100 miles)</t>
        </is>
      </c>
      <c r="T509" s="36">
        <f>IF($A509="","",IF($S509="","",IFERROR(INDEX('[1]natural catastrophe'!$D$6:$D$17,MATCH($S509,'[1]natural catastrophe'!$B$6:$B$17,0)),"?")))</f>
      </c>
      <c r="U509" s="30" t="inlineStr">
        <is>
          <t xml:space="preserve">2% of agreed value, minimum $10,000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17247.42</v>
      </c>
      <c r="AC509" s="37">
        <v>0</v>
      </c>
      <c r="AD509" s="38">
        <f>IF(ISNUMBER($AB509),$AB509*(1+N($AC509)),"")</f>
      </c>
      <c r="AE509" s="35">
        <v>350</v>
      </c>
      <c r="AF509" s="35">
        <v>250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CANON-202607-008351</t>
        </is>
      </c>
      <c r="B510" s="46" t="inlineStr">
        <is>
          <t xml:space="preserve">Sunniva Bellandi</t>
        </is>
      </c>
      <c r="C510" s="47">
        <v>46224</v>
      </c>
      <c r="D510" s="48" t="inlineStr">
        <is>
          <t xml:space="preserve">Bound - within authority</t>
        </is>
      </c>
      <c r="E510" s="48" t="inlineStr">
        <is>
          <t xml:space="preserve">New business</t>
        </is>
      </c>
      <c r="F510" s="46" t="inlineStr">
        <is>
          <t xml:space="preserve">B1234EXOTIC26</t>
        </is>
      </c>
      <c r="G510" s="33">
        <f>IF($A510="","",IF($C510="","",YEAR($C510)))</f>
      </c>
      <c r="H510" s="49">
        <v>1960</v>
      </c>
      <c r="I510" s="46" t="inlineStr">
        <is>
          <t xml:space="preserve">Porsche</t>
        </is>
      </c>
      <c r="J510" s="46" t="inlineStr">
        <is>
          <t xml:space="preserve">911 Turbo S</t>
        </is>
      </c>
      <c r="K510" s="46" t="inlineStr">
        <is>
          <t xml:space="preserve">MDZ6G64GP66U1V4TG</t>
        </is>
      </c>
      <c r="L510" s="48" t="inlineStr">
        <is>
          <t xml:space="preserve">02 - Sports / GT</t>
        </is>
      </c>
      <c r="M510" s="50">
        <v>260000</v>
      </c>
      <c r="N510" s="48" t="inlineStr">
        <is>
          <t xml:space="preserve">Personal</t>
        </is>
      </c>
      <c r="O510" s="46" t="inlineStr">
        <is>
          <t xml:space="preserve">Personal - regular use</t>
        </is>
      </c>
      <c r="P510" s="46" t="inlineStr">
        <is>
          <t xml:space="preserve">Under 1,000</t>
        </is>
      </c>
      <c r="Q510" s="46" t="inlineStr">
        <is>
          <t xml:space="preserve">Utah</t>
        </is>
      </c>
      <c r="R510" s="46" t="inlineStr">
        <is>
          <t xml:space="preserve">84101</t>
        </is>
      </c>
      <c r="S510" s="48" t="inlineStr">
        <is>
          <t xml:space="preserve">Wildfire - WUI high hazard</t>
        </is>
      </c>
      <c r="T510" s="36">
        <f>IF($A510="","",IF($S510="","",IFERROR(INDEX('[1]natural catastrophe'!$D$6:$D$17,MATCH($S510,'[1]natural catastrophe'!$B$6:$B$17,0)),"?")))</f>
      </c>
      <c r="U510" s="46" t="inlineStr">
        <is>
          <t xml:space="preserve">$5,000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3779.87</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CANON-202607-008352</t>
        </is>
      </c>
      <c r="B511" s="30" t="inlineStr">
        <is>
          <t xml:space="preserve">Priya Kingsford</t>
        </is>
      </c>
      <c r="C511" s="31">
        <v>46230</v>
      </c>
      <c r="D511" s="32" t="inlineStr">
        <is>
          <t xml:space="preserve">Bound - within authority</t>
        </is>
      </c>
      <c r="E511" s="32" t="inlineStr">
        <is>
          <t xml:space="preserve">New business</t>
        </is>
      </c>
      <c r="F511" s="30" t="inlineStr">
        <is>
          <t xml:space="preserve">B1234EXOTIC26</t>
        </is>
      </c>
      <c r="G511" s="33">
        <f>IF($A511="","",IF($C511="","",YEAR($C511)))</f>
      </c>
      <c r="H511" s="34">
        <v>2002</v>
      </c>
      <c r="I511" s="30" t="inlineStr">
        <is>
          <t xml:space="preserve">Mercedes-Benz</t>
        </is>
      </c>
      <c r="J511" s="30" t="inlineStr">
        <is>
          <t xml:space="preserve">AMG GT</t>
        </is>
      </c>
      <c r="K511" s="30" t="inlineStr">
        <is>
          <t xml:space="preserve">Z65B3TMSEUAYCA9DN</t>
        </is>
      </c>
      <c r="L511" s="32" t="inlineStr">
        <is>
          <t xml:space="preserve">02 - Sports / GT</t>
        </is>
      </c>
      <c r="M511" s="35">
        <v>540000</v>
      </c>
      <c r="N511" s="32" t="inlineStr">
        <is>
          <t xml:space="preserve">Personal</t>
        </is>
      </c>
      <c r="O511" s="30" t="inlineStr">
        <is>
          <t xml:space="preserve">Personal - regular use</t>
        </is>
      </c>
      <c r="P511" s="30" t="inlineStr">
        <is>
          <t xml:space="preserve">Under 1,000</t>
        </is>
      </c>
      <c r="Q511" s="30" t="inlineStr">
        <is>
          <t xml:space="preserve">Colorado</t>
        </is>
      </c>
      <c r="R511" s="30" t="inlineStr">
        <is>
          <t xml:space="preserve">80202</t>
        </is>
      </c>
      <c r="S511" s="32" t="inlineStr">
        <is>
          <t xml:space="preserve">Severe convective - hail alley (high)</t>
        </is>
      </c>
      <c r="T511" s="36">
        <f>IF($A511="","",IF($S511="","",IFERROR(INDEX('[1]natural catastrophe'!$D$6:$D$17,MATCH($S511,'[1]natural catastrophe'!$B$6:$B$17,0)),"?")))</f>
      </c>
      <c r="U511" s="30" t="inlineStr">
        <is>
          <t xml:space="preserve">$5,000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5543.82</v>
      </c>
      <c r="AC511" s="37">
        <v>0</v>
      </c>
      <c r="AD511" s="38">
        <f>IF(ISNUMBER($AB511),$AB511*(1+N($AC511)),"")</f>
      </c>
      <c r="AE511" s="35">
        <v>350</v>
      </c>
      <c r="AF511" s="35">
        <v>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CANON-202607-008354</t>
        </is>
      </c>
      <c r="B512" s="46" t="inlineStr">
        <is>
          <t xml:space="preserve">Fitzgerald Pennington</t>
        </is>
      </c>
      <c r="C512" s="47">
        <v>46217</v>
      </c>
      <c r="D512" s="48" t="inlineStr">
        <is>
          <t xml:space="preserve">Bound - within authority</t>
        </is>
      </c>
      <c r="E512" s="48" t="inlineStr">
        <is>
          <t xml:space="preserve">New business</t>
        </is>
      </c>
      <c r="F512" s="46" t="inlineStr">
        <is>
          <t xml:space="preserve">B1234EXOTIC26</t>
        </is>
      </c>
      <c r="G512" s="33">
        <f>IF($A512="","",IF($C512="","",YEAR($C512)))</f>
      </c>
      <c r="H512" s="49">
        <v>2008</v>
      </c>
      <c r="I512" s="46" t="inlineStr">
        <is>
          <t xml:space="preserve">BMW</t>
        </is>
      </c>
      <c r="J512" s="46" t="inlineStr">
        <is>
          <t xml:space="preserve">M8 Competition</t>
        </is>
      </c>
      <c r="K512" s="46" t="inlineStr">
        <is>
          <t xml:space="preserve">LR4H2MZJ5K3WMPRVH</t>
        </is>
      </c>
      <c r="L512" s="48" t="inlineStr">
        <is>
          <t xml:space="preserve">02 - Sports / GT</t>
        </is>
      </c>
      <c r="M512" s="50">
        <v>565000</v>
      </c>
      <c r="N512" s="48" t="inlineStr">
        <is>
          <t xml:space="preserve">Personal</t>
        </is>
      </c>
      <c r="O512" s="46" t="inlineStr">
        <is>
          <t xml:space="preserve">Personal - regular use</t>
        </is>
      </c>
      <c r="P512" s="46" t="inlineStr">
        <is>
          <t xml:space="preserve">1,000 - 2,500</t>
        </is>
      </c>
      <c r="Q512" s="46" t="inlineStr">
        <is>
          <t xml:space="preserve">Wisconsin</t>
        </is>
      </c>
      <c r="R512" s="46" t="inlineStr">
        <is>
          <t xml:space="preserve">53202</t>
        </is>
      </c>
      <c r="S512" s="48" t="inlineStr">
        <is>
          <t xml:space="preserve">Severe convective - hail / tornado (moderate)</t>
        </is>
      </c>
      <c r="T512" s="36">
        <f>IF($A512="","",IF($S512="","",IFERROR(INDEX('[1]natural catastrophe'!$D$6:$D$17,MATCH($S512,'[1]natural catastrophe'!$B$6:$B$17,0)),"?")))</f>
      </c>
      <c r="U512" s="46" t="inlineStr">
        <is>
          <t xml:space="preserve">$5,000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6327.78</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CANON-202607-008356</t>
        </is>
      </c>
      <c r="B513" s="30" t="inlineStr">
        <is>
          <t xml:space="preserve">Mireille Fairweather</t>
        </is>
      </c>
      <c r="C513" s="31">
        <v>46206</v>
      </c>
      <c r="D513" s="32" t="inlineStr">
        <is>
          <t xml:space="preserve">Bound - within authority</t>
        </is>
      </c>
      <c r="E513" s="32" t="inlineStr">
        <is>
          <t xml:space="preserve">New business</t>
        </is>
      </c>
      <c r="F513" s="30" t="inlineStr">
        <is>
          <t xml:space="preserve">B1234EXOTIC26</t>
        </is>
      </c>
      <c r="G513" s="33">
        <f>IF($A513="","",IF($C513="","",YEAR($C513)))</f>
      </c>
      <c r="H513" s="34">
        <v>1981</v>
      </c>
      <c r="I513" s="30" t="inlineStr">
        <is>
          <t xml:space="preserve">Ferrari</t>
        </is>
      </c>
      <c r="J513" s="30" t="inlineStr">
        <is>
          <t xml:space="preserve">296 GTB</t>
        </is>
      </c>
      <c r="K513" s="30" t="inlineStr">
        <is>
          <t xml:space="preserve">8GV5AF45FR255CCNV</t>
        </is>
      </c>
      <c r="L513" s="32" t="inlineStr">
        <is>
          <t xml:space="preserve">03 - Supercar</t>
        </is>
      </c>
      <c r="M513" s="35">
        <v>1950000</v>
      </c>
      <c r="N513" s="32" t="inlineStr">
        <is>
          <t xml:space="preserve">Personal</t>
        </is>
      </c>
      <c r="O513" s="30" t="inlineStr">
        <is>
          <t xml:space="preserve">Personal - regular use</t>
        </is>
      </c>
      <c r="P513" s="30" t="inlineStr">
        <is>
          <t xml:space="preserve">Under 1,000</t>
        </is>
      </c>
      <c r="Q513" s="30" t="inlineStr">
        <is>
          <t xml:space="preserve">New York</t>
        </is>
      </c>
      <c r="R513" s="30" t="inlineStr">
        <is>
          <t xml:space="preserve">10022</t>
        </is>
      </c>
      <c r="S513" s="32" t="inlineStr">
        <is>
          <t xml:space="preserve">Tier 3 - Coastal wind (25-100 miles)</t>
        </is>
      </c>
      <c r="T513" s="36">
        <f>IF($A513="","",IF($S513="","",IFERROR(INDEX('[1]natural catastrophe'!$D$6:$D$17,MATCH($S513,'[1]natural catastrophe'!$B$6:$B$17,0)),"?")))</f>
      </c>
      <c r="U513" s="30" t="inlineStr">
        <is>
          <t xml:space="preserve">2% of agreed value, minimum $10,000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28671.03</v>
      </c>
      <c r="AC513" s="37">
        <v>0</v>
      </c>
      <c r="AD513" s="38">
        <f>IF(ISNUMBER($AB513),$AB513*(1+N($AC513)),"")</f>
      </c>
      <c r="AE513" s="35">
        <v>350</v>
      </c>
      <c r="AF513" s="35">
        <v>250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CANON-202607-008357</t>
        </is>
      </c>
      <c r="B514" s="46" t="inlineStr">
        <is>
          <t xml:space="preserve">Aurelio Okonkwo</t>
        </is>
      </c>
      <c r="C514" s="47">
        <v>46206</v>
      </c>
      <c r="D514" s="48" t="inlineStr">
        <is>
          <t xml:space="preserve">Bound - within authority</t>
        </is>
      </c>
      <c r="E514" s="48" t="inlineStr">
        <is>
          <t xml:space="preserve">New business</t>
        </is>
      </c>
      <c r="F514" s="46" t="inlineStr">
        <is>
          <t xml:space="preserve">B1234EXOTIC26</t>
        </is>
      </c>
      <c r="G514" s="33">
        <f>IF($A514="","",IF($C514="","",YEAR($C514)))</f>
      </c>
      <c r="H514" s="49">
        <v>1998</v>
      </c>
      <c r="I514" s="46" t="inlineStr">
        <is>
          <t xml:space="preserve">Mercedes-Benz</t>
        </is>
      </c>
      <c r="J514" s="46" t="inlineStr">
        <is>
          <t xml:space="preserve">AMG GT</t>
        </is>
      </c>
      <c r="K514" s="46" t="inlineStr">
        <is>
          <t xml:space="preserve">YSGUZ6V2RE8P2CXAJ</t>
        </is>
      </c>
      <c r="L514" s="48" t="inlineStr">
        <is>
          <t xml:space="preserve">02 - Sports / GT</t>
        </is>
      </c>
      <c r="M514" s="50">
        <v>320000</v>
      </c>
      <c r="N514" s="48" t="inlineStr">
        <is>
          <t xml:space="preserve">Personal</t>
        </is>
      </c>
      <c r="O514" s="46" t="inlineStr">
        <is>
          <t xml:space="preserve">Personal - regular use</t>
        </is>
      </c>
      <c r="P514" s="46" t="inlineStr">
        <is>
          <t xml:space="preserve">Under 1,000</t>
        </is>
      </c>
      <c r="Q514" s="46" t="inlineStr">
        <is>
          <t xml:space="preserve">Pennsylvania</t>
        </is>
      </c>
      <c r="R514" s="46" t="inlineStr">
        <is>
          <t xml:space="preserve">19103</t>
        </is>
      </c>
      <c r="S514" s="48" t="inlineStr">
        <is>
          <t xml:space="preserve">Low hazard - inland benign</t>
        </is>
      </c>
      <c r="T514" s="36">
        <f>IF($A514="","",IF($S514="","",IFERROR(INDEX('[1]natural catastrophe'!$D$6:$D$17,MATCH($S514,'[1]natural catastrophe'!$B$6:$B$17,0)),"?")))</f>
      </c>
      <c r="U514" s="46" t="inlineStr">
        <is>
          <t xml:space="preserve">$5,000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3446.04</v>
      </c>
      <c r="AC514" s="51">
        <v>0</v>
      </c>
      <c r="AD514" s="38">
        <f>IF(ISNUMBER($AB514),$AB514*(1+N($AC514)),"")</f>
      </c>
      <c r="AE514" s="50">
        <v>350</v>
      </c>
      <c r="AF514" s="50">
        <v>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CANON-202607-008359</t>
        </is>
      </c>
      <c r="B515" s="30" t="inlineStr">
        <is>
          <t xml:space="preserve">Fenwick Harrington</t>
        </is>
      </c>
      <c r="C515" s="31">
        <v>46226</v>
      </c>
      <c r="D515" s="32" t="inlineStr">
        <is>
          <t xml:space="preserve">Bound - within authority</t>
        </is>
      </c>
      <c r="E515" s="32" t="inlineStr">
        <is>
          <t xml:space="preserve">New business</t>
        </is>
      </c>
      <c r="F515" s="30" t="inlineStr">
        <is>
          <t xml:space="preserve">B1234EXOTIC26</t>
        </is>
      </c>
      <c r="G515" s="33">
        <f>IF($A515="","",IF($C515="","",YEAR($C515)))</f>
      </c>
      <c r="H515" s="34">
        <v>2007</v>
      </c>
      <c r="I515" s="30" t="inlineStr">
        <is>
          <t xml:space="preserve">Bugatti</t>
        </is>
      </c>
      <c r="J515" s="30" t="inlineStr">
        <is>
          <t xml:space="preserve">Type 57</t>
        </is>
      </c>
      <c r="K515" s="30" t="inlineStr">
        <is>
          <t xml:space="preserve">17DMG4KFC7GXL7378</t>
        </is>
      </c>
      <c r="L515" s="32" t="inlineStr">
        <is>
          <t xml:space="preserve">09 - Youngtimer / Collectible (2000-2010)</t>
        </is>
      </c>
      <c r="M515" s="35">
        <v>1950000</v>
      </c>
      <c r="N515" s="32" t="inlineStr">
        <is>
          <t xml:space="preserve">Personal</t>
        </is>
      </c>
      <c r="O515" s="30" t="inlineStr">
        <is>
          <t xml:space="preserve">Personal - regular use</t>
        </is>
      </c>
      <c r="P515" s="30" t="inlineStr">
        <is>
          <t xml:space="preserve">1,000 - 2,500</t>
        </is>
      </c>
      <c r="Q515" s="30" t="inlineStr">
        <is>
          <t xml:space="preserve">California</t>
        </is>
      </c>
      <c r="R515" s="30" t="inlineStr">
        <is>
          <t xml:space="preserve">90012</t>
        </is>
      </c>
      <c r="S515" s="32" t="inlineStr">
        <is>
          <t xml:space="preserve">Earthquake - high (CA, Cascadia, New Madrid)</t>
        </is>
      </c>
      <c r="T515" s="36">
        <f>IF($A515="","",IF($S515="","",IFERROR(INDEX('[1]natural catastrophe'!$D$6:$D$17,MATCH($S515,'[1]natural catastrophe'!$B$6:$B$17,0)),"?")))</f>
      </c>
      <c r="U515" s="30" t="inlineStr">
        <is>
          <t xml:space="preserve">$5,000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12851.57</v>
      </c>
      <c r="AC515" s="37">
        <v>0</v>
      </c>
      <c r="AD515" s="38">
        <f>IF(ISNUMBER($AB515),$AB515*(1+N($AC515)),"")</f>
      </c>
      <c r="AE515" s="35">
        <v>350</v>
      </c>
      <c r="AF515" s="35">
        <v>250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CANON-202607-008361</t>
        </is>
      </c>
      <c r="B516" s="46" t="inlineStr">
        <is>
          <t xml:space="preserve">Anouk Okonkwo</t>
        </is>
      </c>
      <c r="C516" s="47">
        <v>46232</v>
      </c>
      <c r="D516" s="48" t="inlineStr">
        <is>
          <t xml:space="preserve">Bound - within authority</t>
        </is>
      </c>
      <c r="E516" s="48" t="inlineStr">
        <is>
          <t xml:space="preserve">New business</t>
        </is>
      </c>
      <c r="F516" s="46" t="inlineStr">
        <is>
          <t xml:space="preserve">B1234EXOTIC26</t>
        </is>
      </c>
      <c r="G516" s="33">
        <f>IF($A516="","",IF($C516="","",YEAR($C516)))</f>
      </c>
      <c r="H516" s="49">
        <v>1973</v>
      </c>
      <c r="I516" s="46" t="inlineStr">
        <is>
          <t xml:space="preserve">Ferrari</t>
        </is>
      </c>
      <c r="J516" s="46" t="inlineStr">
        <is>
          <t xml:space="preserve">SF90 Stradale</t>
        </is>
      </c>
      <c r="K516" s="46" t="inlineStr">
        <is>
          <t xml:space="preserve">H01VMAHN7GLCT1XHY</t>
        </is>
      </c>
      <c r="L516" s="48" t="inlineStr">
        <is>
          <t xml:space="preserve">03 - Supercar</t>
        </is>
      </c>
      <c r="M516" s="50">
        <v>1085000</v>
      </c>
      <c r="N516" s="48" t="inlineStr">
        <is>
          <t xml:space="preserve">Personal</t>
        </is>
      </c>
      <c r="O516" s="46" t="inlineStr">
        <is>
          <t xml:space="preserve">Personal - regular use</t>
        </is>
      </c>
      <c r="P516" s="46" t="inlineStr">
        <is>
          <t xml:space="preserve">Under 1,000</t>
        </is>
      </c>
      <c r="Q516" s="46" t="inlineStr">
        <is>
          <t xml:space="preserve">New Jersey</t>
        </is>
      </c>
      <c r="R516" s="46" t="inlineStr">
        <is>
          <t xml:space="preserve">07102</t>
        </is>
      </c>
      <c r="S516" s="48" t="inlineStr">
        <is>
          <t xml:space="preserve">Tier 3 - Coastal wind (25-100 miles)</t>
        </is>
      </c>
      <c r="T516" s="36">
        <f>IF($A516="","",IF($S516="","",IFERROR(INDEX('[1]natural catastrophe'!$D$6:$D$17,MATCH($S516,'[1]natural catastrophe'!$B$6:$B$17,0)),"?")))</f>
      </c>
      <c r="U516" s="46" t="inlineStr">
        <is>
          <t xml:space="preserve">2% of agreed value, minimum $10,000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11341.49</v>
      </c>
      <c r="AC516" s="51">
        <v>0</v>
      </c>
      <c r="AD516" s="38">
        <f>IF(ISNUMBER($AB516),$AB516*(1+N($AC516)),"")</f>
      </c>
      <c r="AE516" s="50">
        <v>350</v>
      </c>
      <c r="AF516" s="50">
        <v>250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CANON-202607-008362</t>
        </is>
      </c>
      <c r="B517" s="30" t="inlineStr">
        <is>
          <t xml:space="preserve">Saoirse Underwood</t>
        </is>
      </c>
      <c r="C517" s="31">
        <v>46204</v>
      </c>
      <c r="D517" s="32" t="inlineStr">
        <is>
          <t xml:space="preserve">Bound - within authority</t>
        </is>
      </c>
      <c r="E517" s="32" t="inlineStr">
        <is>
          <t xml:space="preserve">New business</t>
        </is>
      </c>
      <c r="F517" s="30" t="inlineStr">
        <is>
          <t xml:space="preserve">B1234EXOTIC26</t>
        </is>
      </c>
      <c r="G517" s="33">
        <f>IF($A517="","",IF($C517="","",YEAR($C517)))</f>
      </c>
      <c r="H517" s="34">
        <v>2008</v>
      </c>
      <c r="I517" s="30" t="inlineStr">
        <is>
          <t xml:space="preserve">Bentley</t>
        </is>
      </c>
      <c r="J517" s="30" t="inlineStr">
        <is>
          <t xml:space="preserve">Continental GT</t>
        </is>
      </c>
      <c r="K517" s="30" t="inlineStr">
        <is>
          <t xml:space="preserve">8LN322JEB2J23RGGR</t>
        </is>
      </c>
      <c r="L517" s="32" t="inlineStr">
        <is>
          <t xml:space="preserve">02 - Sports / GT</t>
        </is>
      </c>
      <c r="M517" s="35">
        <v>670000</v>
      </c>
      <c r="N517" s="32" t="inlineStr">
        <is>
          <t xml:space="preserve">Personal</t>
        </is>
      </c>
      <c r="O517" s="30" t="inlineStr">
        <is>
          <t xml:space="preserve">Personal - regular use</t>
        </is>
      </c>
      <c r="P517" s="30" t="inlineStr">
        <is>
          <t xml:space="preserve">1,000 - 2,500</t>
        </is>
      </c>
      <c r="Q517" s="30" t="inlineStr">
        <is>
          <t xml:space="preserve">New Jersey</t>
        </is>
      </c>
      <c r="R517" s="30" t="inlineStr">
        <is>
          <t xml:space="preserve">07102</t>
        </is>
      </c>
      <c r="S517" s="32" t="inlineStr">
        <is>
          <t xml:space="preserve">Tier 3 - Coastal wind (25-100 miles)</t>
        </is>
      </c>
      <c r="T517" s="36">
        <f>IF($A517="","",IF($S517="","",IFERROR(INDEX('[1]natural catastrophe'!$D$6:$D$17,MATCH($S517,'[1]natural catastrophe'!$B$6:$B$17,0)),"?")))</f>
      </c>
      <c r="U517" s="30" t="inlineStr">
        <is>
          <t xml:space="preserve">2% of agreed value, minimum $10,000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5690.34</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CANON-202607-008364</t>
        </is>
      </c>
      <c r="B518" s="46" t="inlineStr">
        <is>
          <t xml:space="preserve">Emiliano Montoya</t>
        </is>
      </c>
      <c r="C518" s="47">
        <v>46229</v>
      </c>
      <c r="D518" s="48" t="inlineStr">
        <is>
          <t xml:space="preserve">Bound - within authority</t>
        </is>
      </c>
      <c r="E518" s="48" t="inlineStr">
        <is>
          <t xml:space="preserve">New business</t>
        </is>
      </c>
      <c r="F518" s="46" t="inlineStr">
        <is>
          <t xml:space="preserve">B1234EXOTIC26</t>
        </is>
      </c>
      <c r="G518" s="33">
        <f>IF($A518="","",IF($C518="","",YEAR($C518)))</f>
      </c>
      <c r="H518" s="49">
        <v>1969</v>
      </c>
      <c r="I518" s="46" t="inlineStr">
        <is>
          <t xml:space="preserve">Singer</t>
        </is>
      </c>
      <c r="J518" s="46" t="inlineStr">
        <is>
          <t xml:space="preserve">911 Reimagined</t>
        </is>
      </c>
      <c r="K518" s="46" t="inlineStr">
        <is>
          <t xml:space="preserve">55FP77LLYMMTJ6XZZ</t>
        </is>
      </c>
      <c r="L518" s="48" t="inlineStr">
        <is>
          <t xml:space="preserve">11 - Restomod / Coachbuilt / Bespoke</t>
        </is>
      </c>
      <c r="M518" s="50">
        <v>680000</v>
      </c>
      <c r="N518" s="48" t="inlineStr">
        <is>
          <t xml:space="preserve">Personal</t>
        </is>
      </c>
      <c r="O518" s="46" t="inlineStr">
        <is>
          <t xml:space="preserve">Personal - regular use</t>
        </is>
      </c>
      <c r="P518" s="46" t="inlineStr">
        <is>
          <t xml:space="preserve">Under 1,000</t>
        </is>
      </c>
      <c r="Q518" s="46" t="inlineStr">
        <is>
          <t xml:space="preserve">Indiana</t>
        </is>
      </c>
      <c r="R518" s="46" t="inlineStr">
        <is>
          <t xml:space="preserve">46204</t>
        </is>
      </c>
      <c r="S518" s="48" t="inlineStr">
        <is>
          <t xml:space="preserve">Severe convective - hail / tornado (moderate)</t>
        </is>
      </c>
      <c r="T518" s="36">
        <f>IF($A518="","",IF($S518="","",IFERROR(INDEX('[1]natural catastrophe'!$D$6:$D$17,MATCH($S518,'[1]natural catastrophe'!$B$6:$B$17,0)),"?")))</f>
      </c>
      <c r="U518" s="46" t="inlineStr">
        <is>
          <t xml:space="preserve">$5,000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9367.36</v>
      </c>
      <c r="AC518" s="51">
        <v>0</v>
      </c>
      <c r="AD518" s="38">
        <f>IF(ISNUMBER($AB518),$AB518*(1+N($AC518)),"")</f>
      </c>
      <c r="AE518" s="50">
        <v>350</v>
      </c>
      <c r="AF518" s="50">
        <v>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CANON-202607-008365</t>
        </is>
      </c>
      <c r="B519" s="30" t="inlineStr">
        <is>
          <t xml:space="preserve">Ramona Ashcombe</t>
        </is>
      </c>
      <c r="C519" s="31">
        <v>46210</v>
      </c>
      <c r="D519" s="32" t="inlineStr">
        <is>
          <t xml:space="preserve">Bound - within authority</t>
        </is>
      </c>
      <c r="E519" s="32" t="inlineStr">
        <is>
          <t xml:space="preserve">New business</t>
        </is>
      </c>
      <c r="F519" s="30" t="inlineStr">
        <is>
          <t xml:space="preserve">B1234EXOTIC26</t>
        </is>
      </c>
      <c r="G519" s="33">
        <f>IF($A519="","",IF($C519="","",YEAR($C519)))</f>
      </c>
      <c r="H519" s="34">
        <v>1985</v>
      </c>
      <c r="I519" s="30" t="inlineStr">
        <is>
          <t xml:space="preserve">McLaren</t>
        </is>
      </c>
      <c r="J519" s="30" t="inlineStr">
        <is>
          <t xml:space="preserve">750S</t>
        </is>
      </c>
      <c r="K519" s="30" t="inlineStr">
        <is>
          <t xml:space="preserve">0WHP22GN0AY74YDX7</t>
        </is>
      </c>
      <c r="L519" s="32" t="inlineStr">
        <is>
          <t xml:space="preserve">03 - Supercar</t>
        </is>
      </c>
      <c r="M519" s="35">
        <v>655000</v>
      </c>
      <c r="N519" s="32" t="inlineStr">
        <is>
          <t xml:space="preserve">Personal</t>
        </is>
      </c>
      <c r="O519" s="30" t="inlineStr">
        <is>
          <t xml:space="preserve">Personal - regular use</t>
        </is>
      </c>
      <c r="P519" s="30" t="inlineStr">
        <is>
          <t xml:space="preserve">Under 1,000</t>
        </is>
      </c>
      <c r="Q519" s="30" t="inlineStr">
        <is>
          <t xml:space="preserve">Washington</t>
        </is>
      </c>
      <c r="R519" s="30" t="inlineStr">
        <is>
          <t xml:space="preserve">98101</t>
        </is>
      </c>
      <c r="S519" s="32" t="inlineStr">
        <is>
          <t xml:space="preserve">Earthquake - high (CA, Cascadia, New Madrid)</t>
        </is>
      </c>
      <c r="T519" s="36">
        <f>IF($A519="","",IF($S519="","",IFERROR(INDEX('[1]natural catastrophe'!$D$6:$D$17,MATCH($S519,'[1]natural catastrophe'!$B$6:$B$17,0)),"?")))</f>
      </c>
      <c r="U519" s="30" t="inlineStr">
        <is>
          <t xml:space="preserve">$5,000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8577.19</v>
      </c>
      <c r="AC519" s="37">
        <v>0</v>
      </c>
      <c r="AD519" s="38">
        <f>IF(ISNUMBER($AB519),$AB519*(1+N($AC519)),"")</f>
      </c>
      <c r="AE519" s="35">
        <v>350</v>
      </c>
      <c r="AF519" s="35">
        <v>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CANON-202607-008367</t>
        </is>
      </c>
      <c r="B520" s="46" t="inlineStr">
        <is>
          <t xml:space="preserve">Fitzgerald Harrington</t>
        </is>
      </c>
      <c r="C520" s="47">
        <v>46230</v>
      </c>
      <c r="D520" s="48" t="inlineStr">
        <is>
          <t xml:space="preserve">Bound - within authority</t>
        </is>
      </c>
      <c r="E520" s="48" t="inlineStr">
        <is>
          <t xml:space="preserve">New business</t>
        </is>
      </c>
      <c r="F520" s="46" t="inlineStr">
        <is>
          <t xml:space="preserve">B1234EXOTIC26</t>
        </is>
      </c>
      <c r="G520" s="33">
        <f>IF($A520="","",IF($C520="","",YEAR($C520)))</f>
      </c>
      <c r="H520" s="49">
        <v>1966</v>
      </c>
      <c r="I520" s="46" t="inlineStr">
        <is>
          <t xml:space="preserve">BMW</t>
        </is>
      </c>
      <c r="J520" s="46" t="inlineStr">
        <is>
          <t xml:space="preserve">M8 Competition</t>
        </is>
      </c>
      <c r="K520" s="46" t="inlineStr">
        <is>
          <t xml:space="preserve">3A9F2PDME8YGC7U47</t>
        </is>
      </c>
      <c r="L520" s="48" t="inlineStr">
        <is>
          <t xml:space="preserve">02 - Sports / GT</t>
        </is>
      </c>
      <c r="M520" s="50">
        <v>1030000</v>
      </c>
      <c r="N520" s="48" t="inlineStr">
        <is>
          <t xml:space="preserve">Personal</t>
        </is>
      </c>
      <c r="O520" s="46" t="inlineStr">
        <is>
          <t xml:space="preserve">Personal - regular use</t>
        </is>
      </c>
      <c r="P520" s="46" t="inlineStr">
        <is>
          <t xml:space="preserve">2,500 - 5,000</t>
        </is>
      </c>
      <c r="Q520" s="46" t="inlineStr">
        <is>
          <t xml:space="preserve">South Dakota</t>
        </is>
      </c>
      <c r="R520" s="46" t="inlineStr">
        <is>
          <t xml:space="preserve">57501</t>
        </is>
      </c>
      <c r="S520" s="48" t="inlineStr">
        <is>
          <t xml:space="preserve">Severe convective - hail alley (high)</t>
        </is>
      </c>
      <c r="T520" s="36">
        <f>IF($A520="","",IF($S520="","",IFERROR(INDEX('[1]natural catastrophe'!$D$6:$D$17,MATCH($S520,'[1]natural catastrophe'!$B$6:$B$17,0)),"?")))</f>
      </c>
      <c r="U520" s="46" t="inlineStr">
        <is>
          <t xml:space="preserve">$5,000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9028.83</v>
      </c>
      <c r="AC520" s="51">
        <v>0</v>
      </c>
      <c r="AD520" s="38">
        <f>IF(ISNUMBER($AB520),$AB520*(1+N($AC520)),"")</f>
      </c>
      <c r="AE520" s="50">
        <v>350</v>
      </c>
      <c r="AF520" s="50">
        <v>250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CANON-202607-008368</t>
        </is>
      </c>
      <c r="B521" s="30" t="inlineStr">
        <is>
          <t xml:space="preserve">Ingrid Pennington</t>
        </is>
      </c>
      <c r="C521" s="31">
        <v>46206</v>
      </c>
      <c r="D521" s="32" t="inlineStr">
        <is>
          <t xml:space="preserve">Bound - within authority</t>
        </is>
      </c>
      <c r="E521" s="32" t="inlineStr">
        <is>
          <t xml:space="preserve">New business</t>
        </is>
      </c>
      <c r="F521" s="30" t="inlineStr">
        <is>
          <t xml:space="preserve">B1234EXOTIC26</t>
        </is>
      </c>
      <c r="G521" s="33">
        <f>IF($A521="","",IF($C521="","",YEAR($C521)))</f>
      </c>
      <c r="H521" s="34">
        <v>1968</v>
      </c>
      <c r="I521" s="30" t="inlineStr">
        <is>
          <t xml:space="preserve">BMW</t>
        </is>
      </c>
      <c r="J521" s="30" t="inlineStr">
        <is>
          <t xml:space="preserve">M8 Competition</t>
        </is>
      </c>
      <c r="K521" s="30" t="inlineStr">
        <is>
          <t xml:space="preserve">3SEJ3RHAJTR011FMX</t>
        </is>
      </c>
      <c r="L521" s="32" t="inlineStr">
        <is>
          <t xml:space="preserve">02 - Sports / GT</t>
        </is>
      </c>
      <c r="M521" s="35">
        <v>595000</v>
      </c>
      <c r="N521" s="32" t="inlineStr">
        <is>
          <t xml:space="preserve">Personal</t>
        </is>
      </c>
      <c r="O521" s="30" t="inlineStr">
        <is>
          <t xml:space="preserve">Personal - regular use</t>
        </is>
      </c>
      <c r="P521" s="30" t="inlineStr">
        <is>
          <t xml:space="preserve">1,000 - 2,500</t>
        </is>
      </c>
      <c r="Q521" s="30" t="inlineStr">
        <is>
          <t xml:space="preserve">Kentucky</t>
        </is>
      </c>
      <c r="R521" s="30" t="inlineStr">
        <is>
          <t xml:space="preserve">40202</t>
        </is>
      </c>
      <c r="S521" s="32" t="inlineStr">
        <is>
          <t xml:space="preserve">Severe convective - hail / tornado (moderate)</t>
        </is>
      </c>
      <c r="T521" s="36">
        <f>IF($A521="","",IF($S521="","",IFERROR(INDEX('[1]natural catastrophe'!$D$6:$D$17,MATCH($S521,'[1]natural catastrophe'!$B$6:$B$17,0)),"?")))</f>
      </c>
      <c r="U521" s="30" t="inlineStr">
        <is>
          <t xml:space="preserve">$5,000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7441.22</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CANON-202607-008369</t>
        </is>
      </c>
      <c r="B522" s="46" t="inlineStr">
        <is>
          <t xml:space="preserve">Mireille Castellanos</t>
        </is>
      </c>
      <c r="C522" s="47">
        <v>46222</v>
      </c>
      <c r="D522" s="48" t="inlineStr">
        <is>
          <t xml:space="preserve">Bound - within authority</t>
        </is>
      </c>
      <c r="E522" s="48" t="inlineStr">
        <is>
          <t xml:space="preserve">New business</t>
        </is>
      </c>
      <c r="F522" s="46" t="inlineStr">
        <is>
          <t xml:space="preserve">B1234EXOTIC26</t>
        </is>
      </c>
      <c r="G522" s="33">
        <f>IF($A522="","",IF($C522="","",YEAR($C522)))</f>
      </c>
      <c r="H522" s="49">
        <v>1962</v>
      </c>
      <c r="I522" s="46" t="inlineStr">
        <is>
          <t xml:space="preserve">Mercedes-Benz</t>
        </is>
      </c>
      <c r="J522" s="46" t="inlineStr">
        <is>
          <t xml:space="preserve">AMG GT</t>
        </is>
      </c>
      <c r="K522" s="46" t="inlineStr">
        <is>
          <t xml:space="preserve">FFF2A1E3CK1ANJ39K</t>
        </is>
      </c>
      <c r="L522" s="48" t="inlineStr">
        <is>
          <t xml:space="preserve">02 - Sports / GT</t>
        </is>
      </c>
      <c r="M522" s="50">
        <v>1740000</v>
      </c>
      <c r="N522" s="48" t="inlineStr">
        <is>
          <t xml:space="preserve">Personal</t>
        </is>
      </c>
      <c r="O522" s="46" t="inlineStr">
        <is>
          <t xml:space="preserve">Personal - regular use</t>
        </is>
      </c>
      <c r="P522" s="46" t="inlineStr">
        <is>
          <t xml:space="preserve">1,000 - 2,500</t>
        </is>
      </c>
      <c r="Q522" s="46" t="inlineStr">
        <is>
          <t xml:space="preserve">California</t>
        </is>
      </c>
      <c r="R522" s="46" t="inlineStr">
        <is>
          <t xml:space="preserve">90012</t>
        </is>
      </c>
      <c r="S522" s="48" t="inlineStr">
        <is>
          <t xml:space="preserve">Earthquake - high (CA, Cascadia, New Madrid)</t>
        </is>
      </c>
      <c r="T522" s="36">
        <f>IF($A522="","",IF($S522="","",IFERROR(INDEX('[1]natural catastrophe'!$D$6:$D$17,MATCH($S522,'[1]natural catastrophe'!$B$6:$B$17,0)),"?")))</f>
      </c>
      <c r="U522" s="46" t="inlineStr">
        <is>
          <t xml:space="preserve">$5,000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18550.46</v>
      </c>
      <c r="AC522" s="51">
        <v>0</v>
      </c>
      <c r="AD522" s="38">
        <f>IF(ISNUMBER($AB522),$AB522*(1+N($AC522)),"")</f>
      </c>
      <c r="AE522" s="50">
        <v>350</v>
      </c>
      <c r="AF522" s="50">
        <v>250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CANON-202607-008371</t>
        </is>
      </c>
      <c r="B523" s="30" t="inlineStr">
        <is>
          <t xml:space="preserve">Beatrix Thistlewood</t>
        </is>
      </c>
      <c r="C523" s="31">
        <v>46220</v>
      </c>
      <c r="D523" s="32" t="inlineStr">
        <is>
          <t xml:space="preserve">Bound - within authority</t>
        </is>
      </c>
      <c r="E523" s="32" t="inlineStr">
        <is>
          <t xml:space="preserve">New business</t>
        </is>
      </c>
      <c r="F523" s="30" t="inlineStr">
        <is>
          <t xml:space="preserve">B1234EXOTIC26</t>
        </is>
      </c>
      <c r="G523" s="33">
        <f>IF($A523="","",IF($C523="","",YEAR($C523)))</f>
      </c>
      <c r="H523" s="34">
        <v>1998</v>
      </c>
      <c r="I523" s="30" t="inlineStr">
        <is>
          <t xml:space="preserve">Mercedes-Benz</t>
        </is>
      </c>
      <c r="J523" s="30" t="inlineStr">
        <is>
          <t xml:space="preserve">AMG GT</t>
        </is>
      </c>
      <c r="K523" s="30" t="inlineStr">
        <is>
          <t xml:space="preserve">9FEJ3WEJGXD4NHVTJ</t>
        </is>
      </c>
      <c r="L523" s="32" t="inlineStr">
        <is>
          <t xml:space="preserve">02 - Sports / GT</t>
        </is>
      </c>
      <c r="M523" s="35">
        <v>555000</v>
      </c>
      <c r="N523" s="32" t="inlineStr">
        <is>
          <t xml:space="preserve">Personal</t>
        </is>
      </c>
      <c r="O523" s="30" t="inlineStr">
        <is>
          <t xml:space="preserve">Personal - regular use</t>
        </is>
      </c>
      <c r="P523" s="30" t="inlineStr">
        <is>
          <t xml:space="preserve">2,500 - 5,000</t>
        </is>
      </c>
      <c r="Q523" s="30" t="inlineStr">
        <is>
          <t xml:space="preserve">Tennessee</t>
        </is>
      </c>
      <c r="R523" s="30" t="inlineStr">
        <is>
          <t xml:space="preserve">37203</t>
        </is>
      </c>
      <c r="S523" s="32" t="inlineStr">
        <is>
          <t xml:space="preserve">Severe convective - hail / tornado (moderate)</t>
        </is>
      </c>
      <c r="T523" s="36">
        <f>IF($A523="","",IF($S523="","",IFERROR(INDEX('[1]natural catastrophe'!$D$6:$D$17,MATCH($S523,'[1]natural catastrophe'!$B$6:$B$17,0)),"?")))</f>
      </c>
      <c r="U523" s="30" t="inlineStr">
        <is>
          <t xml:space="preserve">$5,000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5076.23</v>
      </c>
      <c r="AC523" s="37">
        <v>0</v>
      </c>
      <c r="AD523" s="38">
        <f>IF(ISNUMBER($AB523),$AB523*(1+N($AC523)),"")</f>
      </c>
      <c r="AE523" s="35">
        <v>350</v>
      </c>
      <c r="AF523" s="35">
        <v>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CANON-202607-008372</t>
        </is>
      </c>
      <c r="B524" s="46" t="inlineStr">
        <is>
          <t xml:space="preserve">Fitzgerald Whitlock</t>
        </is>
      </c>
      <c r="C524" s="47">
        <v>46209</v>
      </c>
      <c r="D524" s="48" t="inlineStr">
        <is>
          <t xml:space="preserve">Bound - within authority</t>
        </is>
      </c>
      <c r="E524" s="48" t="inlineStr">
        <is>
          <t xml:space="preserve">New business</t>
        </is>
      </c>
      <c r="F524" s="46" t="inlineStr">
        <is>
          <t xml:space="preserve">B1234EXOTIC26</t>
        </is>
      </c>
      <c r="G524" s="33">
        <f>IF($A524="","",IF($C524="","",YEAR($C524)))</f>
      </c>
      <c r="H524" s="49">
        <v>1958</v>
      </c>
      <c r="I524" s="46" t="inlineStr">
        <is>
          <t xml:space="preserve">Porsche</t>
        </is>
      </c>
      <c r="J524" s="46" t="inlineStr">
        <is>
          <t xml:space="preserve">911 Turbo S</t>
        </is>
      </c>
      <c r="K524" s="46" t="inlineStr">
        <is>
          <t xml:space="preserve">P4LMV96K3GNY92HWJ</t>
        </is>
      </c>
      <c r="L524" s="48" t="inlineStr">
        <is>
          <t xml:space="preserve">02 - Sports / GT</t>
        </is>
      </c>
      <c r="M524" s="50">
        <v>465000</v>
      </c>
      <c r="N524" s="48" t="inlineStr">
        <is>
          <t xml:space="preserve">Personal</t>
        </is>
      </c>
      <c r="O524" s="46" t="inlineStr">
        <is>
          <t xml:space="preserve">Personal - regular use</t>
        </is>
      </c>
      <c r="P524" s="46" t="inlineStr">
        <is>
          <t xml:space="preserve">2,500 - 5,000</t>
        </is>
      </c>
      <c r="Q524" s="46" t="inlineStr">
        <is>
          <t xml:space="preserve">Alabama</t>
        </is>
      </c>
      <c r="R524" s="46" t="inlineStr">
        <is>
          <t xml:space="preserve">35203</t>
        </is>
      </c>
      <c r="S524" s="48" t="inlineStr">
        <is>
          <t xml:space="preserve">Tier 2 - Coastal wind (1-25 miles)</t>
        </is>
      </c>
      <c r="T524" s="36">
        <f>IF($A524="","",IF($S524="","",IFERROR(INDEX('[1]natural catastrophe'!$D$6:$D$17,MATCH($S524,'[1]natural catastrophe'!$B$6:$B$17,0)),"?")))</f>
      </c>
      <c r="U524" s="46" t="inlineStr">
        <is>
          <t xml:space="preserve">2% of agreed value, minimum $10,000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6359.56</v>
      </c>
      <c r="AC524" s="51">
        <v>0</v>
      </c>
      <c r="AD524" s="38">
        <f>IF(ISNUMBER($AB524),$AB524*(1+N($AC524)),"")</f>
      </c>
      <c r="AE524" s="50">
        <v>350</v>
      </c>
      <c r="AF524" s="50">
        <v>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CANON-202607-008373</t>
        </is>
      </c>
      <c r="B525" s="30" t="inlineStr">
        <is>
          <t xml:space="preserve">Lorenzo Nakashima</t>
        </is>
      </c>
      <c r="C525" s="31">
        <v>46214</v>
      </c>
      <c r="D525" s="32" t="inlineStr">
        <is>
          <t xml:space="preserve">Bound - within authority</t>
        </is>
      </c>
      <c r="E525" s="32" t="inlineStr">
        <is>
          <t xml:space="preserve">New business</t>
        </is>
      </c>
      <c r="F525" s="30" t="inlineStr">
        <is>
          <t xml:space="preserve">B1234EXOTIC26</t>
        </is>
      </c>
      <c r="G525" s="33">
        <f>IF($A525="","",IF($C525="","",YEAR($C525)))</f>
      </c>
      <c r="H525" s="34">
        <v>1977</v>
      </c>
      <c r="I525" s="30" t="inlineStr">
        <is>
          <t xml:space="preserve">Aston Martin</t>
        </is>
      </c>
      <c r="J525" s="30" t="inlineStr">
        <is>
          <t xml:space="preserve">DB12</t>
        </is>
      </c>
      <c r="K525" s="30" t="inlineStr">
        <is>
          <t xml:space="preserve">65XAUCJT9SABGJT5H</t>
        </is>
      </c>
      <c r="L525" s="32" t="inlineStr">
        <is>
          <t xml:space="preserve">02 - Sports / GT</t>
        </is>
      </c>
      <c r="M525" s="35">
        <v>845000</v>
      </c>
      <c r="N525" s="32" t="inlineStr">
        <is>
          <t xml:space="preserve">Personal</t>
        </is>
      </c>
      <c r="O525" s="30" t="inlineStr">
        <is>
          <t xml:space="preserve">Personal - regular use</t>
        </is>
      </c>
      <c r="P525" s="30" t="inlineStr">
        <is>
          <t xml:space="preserve">Under 1,000</t>
        </is>
      </c>
      <c r="Q525" s="30" t="inlineStr">
        <is>
          <t xml:space="preserve">Maryland</t>
        </is>
      </c>
      <c r="R525" s="30" t="inlineStr">
        <is>
          <t xml:space="preserve">21201</t>
        </is>
      </c>
      <c r="S525" s="32" t="inlineStr">
        <is>
          <t xml:space="preserve">Tier 3 - Coastal wind (25-100 miles)</t>
        </is>
      </c>
      <c r="T525" s="36">
        <f>IF($A525="","",IF($S525="","",IFERROR(INDEX('[1]natural catastrophe'!$D$6:$D$17,MATCH($S525,'[1]natural catastrophe'!$B$6:$B$17,0)),"?")))</f>
      </c>
      <c r="U525" s="30" t="inlineStr">
        <is>
          <t xml:space="preserve">2% of agreed value, minimum $10,000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7492.08</v>
      </c>
      <c r="AC525" s="37">
        <v>0</v>
      </c>
      <c r="AD525" s="38">
        <f>IF(ISNUMBER($AB525),$AB525*(1+N($AC525)),"")</f>
      </c>
      <c r="AE525" s="35">
        <v>350</v>
      </c>
      <c r="AF525" s="35">
        <v>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CANON-202607-008374</t>
        </is>
      </c>
      <c r="B526" s="46" t="inlineStr">
        <is>
          <t xml:space="preserve">Aurelio Vasquez</t>
        </is>
      </c>
      <c r="C526" s="47">
        <v>46204</v>
      </c>
      <c r="D526" s="48" t="inlineStr">
        <is>
          <t xml:space="preserve">Bound - within authority</t>
        </is>
      </c>
      <c r="E526" s="48" t="inlineStr">
        <is>
          <t xml:space="preserve">New business</t>
        </is>
      </c>
      <c r="F526" s="46" t="inlineStr">
        <is>
          <t xml:space="preserve">B1234EXOTIC26</t>
        </is>
      </c>
      <c r="G526" s="33">
        <f>IF($A526="","",IF($C526="","",YEAR($C526)))</f>
      </c>
      <c r="H526" s="49">
        <v>1981</v>
      </c>
      <c r="I526" s="46" t="inlineStr">
        <is>
          <t xml:space="preserve">Mercedes-Benz</t>
        </is>
      </c>
      <c r="J526" s="46" t="inlineStr">
        <is>
          <t xml:space="preserve">AMG GT</t>
        </is>
      </c>
      <c r="K526" s="46" t="inlineStr">
        <is>
          <t xml:space="preserve">89BADK3F7DAU2E3AK</t>
        </is>
      </c>
      <c r="L526" s="48" t="inlineStr">
        <is>
          <t xml:space="preserve">02 - Sports / GT</t>
        </is>
      </c>
      <c r="M526" s="50">
        <v>1235000</v>
      </c>
      <c r="N526" s="48" t="inlineStr">
        <is>
          <t xml:space="preserve">Personal</t>
        </is>
      </c>
      <c r="O526" s="46" t="inlineStr">
        <is>
          <t xml:space="preserve">Personal - regular use</t>
        </is>
      </c>
      <c r="P526" s="46" t="inlineStr">
        <is>
          <t xml:space="preserve">2,500 - 5,000</t>
        </is>
      </c>
      <c r="Q526" s="46" t="inlineStr">
        <is>
          <t xml:space="preserve">Nebraska</t>
        </is>
      </c>
      <c r="R526" s="46" t="inlineStr">
        <is>
          <t xml:space="preserve">68102</t>
        </is>
      </c>
      <c r="S526" s="48" t="inlineStr">
        <is>
          <t xml:space="preserve">Severe convective - hail alley (high)</t>
        </is>
      </c>
      <c r="T526" s="36">
        <f>IF($A526="","",IF($S526="","",IFERROR(INDEX('[1]natural catastrophe'!$D$6:$D$17,MATCH($S526,'[1]natural catastrophe'!$B$6:$B$17,0)),"?")))</f>
      </c>
      <c r="U526" s="46" t="inlineStr">
        <is>
          <t xml:space="preserve">$5,000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12678.91</v>
      </c>
      <c r="AC526" s="51">
        <v>0</v>
      </c>
      <c r="AD526" s="38">
        <f>IF(ISNUMBER($AB526),$AB526*(1+N($AC526)),"")</f>
      </c>
      <c r="AE526" s="50">
        <v>350</v>
      </c>
      <c r="AF526" s="50">
        <v>250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CANON-202607-008375</t>
        </is>
      </c>
      <c r="B527" s="30" t="inlineStr">
        <is>
          <t xml:space="preserve">Wilhelmina Castellanos</t>
        </is>
      </c>
      <c r="C527" s="31">
        <v>46228</v>
      </c>
      <c r="D527" s="32" t="inlineStr">
        <is>
          <t xml:space="preserve">Bound - within authority</t>
        </is>
      </c>
      <c r="E527" s="32" t="inlineStr">
        <is>
          <t xml:space="preserve">New business</t>
        </is>
      </c>
      <c r="F527" s="30" t="inlineStr">
        <is>
          <t xml:space="preserve">B1234EXOTIC26</t>
        </is>
      </c>
      <c r="G527" s="33">
        <f>IF($A527="","",IF($C527="","",YEAR($C527)))</f>
      </c>
      <c r="H527" s="34">
        <v>1982</v>
      </c>
      <c r="I527" s="30" t="inlineStr">
        <is>
          <t xml:space="preserve">Maserati</t>
        </is>
      </c>
      <c r="J527" s="30" t="inlineStr">
        <is>
          <t xml:space="preserve">GranTurismo</t>
        </is>
      </c>
      <c r="K527" s="30" t="inlineStr">
        <is>
          <t xml:space="preserve">JFS9TMZRYH1W945FU</t>
        </is>
      </c>
      <c r="L527" s="32" t="inlineStr">
        <is>
          <t xml:space="preserve">02 - Sports / GT</t>
        </is>
      </c>
      <c r="M527" s="35">
        <v>805000</v>
      </c>
      <c r="N527" s="32" t="inlineStr">
        <is>
          <t xml:space="preserve">Personal</t>
        </is>
      </c>
      <c r="O527" s="30" t="inlineStr">
        <is>
          <t xml:space="preserve">Personal - regular use</t>
        </is>
      </c>
      <c r="P527" s="30" t="inlineStr">
        <is>
          <t xml:space="preserve">2,500 - 5,000</t>
        </is>
      </c>
      <c r="Q527" s="30" t="inlineStr">
        <is>
          <t xml:space="preserve">Colorado</t>
        </is>
      </c>
      <c r="R527" s="30" t="inlineStr">
        <is>
          <t xml:space="preserve">80202</t>
        </is>
      </c>
      <c r="S527" s="32" t="inlineStr">
        <is>
          <t xml:space="preserve">Severe convective - hail alley (high)</t>
        </is>
      </c>
      <c r="T527" s="36">
        <f>IF($A527="","",IF($S527="","",IFERROR(INDEX('[1]natural catastrophe'!$D$6:$D$17,MATCH($S527,'[1]natural catastrophe'!$B$6:$B$17,0)),"?")))</f>
      </c>
      <c r="U527" s="30" t="inlineStr">
        <is>
          <t xml:space="preserve">$5,000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8264.39</v>
      </c>
      <c r="AC527" s="37">
        <v>0</v>
      </c>
      <c r="AD527" s="38">
        <f>IF(ISNUMBER($AB527),$AB527*(1+N($AC527)),"")</f>
      </c>
      <c r="AE527" s="35">
        <v>350</v>
      </c>
      <c r="AF527" s="35">
        <v>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CANON-202607-008376</t>
        </is>
      </c>
      <c r="B528" s="46" t="inlineStr">
        <is>
          <t xml:space="preserve">Fitzgerald Delacroix</t>
        </is>
      </c>
      <c r="C528" s="47">
        <v>46206</v>
      </c>
      <c r="D528" s="48" t="inlineStr">
        <is>
          <t xml:space="preserve">Bound - within authority</t>
        </is>
      </c>
      <c r="E528" s="48" t="inlineStr">
        <is>
          <t xml:space="preserve">New business</t>
        </is>
      </c>
      <c r="F528" s="46" t="inlineStr">
        <is>
          <t xml:space="preserve">B1234EXOTIC26</t>
        </is>
      </c>
      <c r="G528" s="33">
        <f>IF($A528="","",IF($C528="","",YEAR($C528)))</f>
      </c>
      <c r="H528" s="49">
        <v>1987</v>
      </c>
      <c r="I528" s="46" t="inlineStr">
        <is>
          <t xml:space="preserve">BMW</t>
        </is>
      </c>
      <c r="J528" s="46" t="inlineStr">
        <is>
          <t xml:space="preserve">M8 Competition</t>
        </is>
      </c>
      <c r="K528" s="46" t="inlineStr">
        <is>
          <t xml:space="preserve">C3T5BPXELC4J5YWLP</t>
        </is>
      </c>
      <c r="L528" s="48" t="inlineStr">
        <is>
          <t xml:space="preserve">02 - Sports / GT</t>
        </is>
      </c>
      <c r="M528" s="50">
        <v>315000</v>
      </c>
      <c r="N528" s="48" t="inlineStr">
        <is>
          <t xml:space="preserve">Personal</t>
        </is>
      </c>
      <c r="O528" s="46" t="inlineStr">
        <is>
          <t xml:space="preserve">Personal - regular use</t>
        </is>
      </c>
      <c r="P528" s="46" t="inlineStr">
        <is>
          <t xml:space="preserve">2,500 - 5,000</t>
        </is>
      </c>
      <c r="Q528" s="46" t="inlineStr">
        <is>
          <t xml:space="preserve">North Carolina</t>
        </is>
      </c>
      <c r="R528" s="46" t="inlineStr">
        <is>
          <t xml:space="preserve">28202</t>
        </is>
      </c>
      <c r="S528" s="48" t="inlineStr">
        <is>
          <t xml:space="preserve">Tier 2 - Coastal wind (1-25 miles)</t>
        </is>
      </c>
      <c r="T528" s="36">
        <f>IF($A528="","",IF($S528="","",IFERROR(INDEX('[1]natural catastrophe'!$D$6:$D$17,MATCH($S528,'[1]natural catastrophe'!$B$6:$B$17,0)),"?")))</f>
      </c>
      <c r="U528" s="46" t="inlineStr">
        <is>
          <t xml:space="preserve">2% of agreed value, minimum $10,000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3901.02</v>
      </c>
      <c r="AC528" s="51">
        <v>0</v>
      </c>
      <c r="AD528" s="38">
        <f>IF(ISNUMBER($AB528),$AB528*(1+N($AC528)),"")</f>
      </c>
      <c r="AE528" s="50">
        <v>350</v>
      </c>
      <c r="AF528" s="50">
        <v>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CANON-202607-008377</t>
        </is>
      </c>
      <c r="B529" s="30" t="inlineStr">
        <is>
          <t xml:space="preserve">Aurelio Rourke</t>
        </is>
      </c>
      <c r="C529" s="31">
        <v>46204</v>
      </c>
      <c r="D529" s="32" t="inlineStr">
        <is>
          <t xml:space="preserve">Bound - within authority</t>
        </is>
      </c>
      <c r="E529" s="32" t="inlineStr">
        <is>
          <t xml:space="preserve">New business</t>
        </is>
      </c>
      <c r="F529" s="30" t="inlineStr">
        <is>
          <t xml:space="preserve">B1234EXOTIC26</t>
        </is>
      </c>
      <c r="G529" s="33">
        <f>IF($A529="","",IF($C529="","",YEAR($C529)))</f>
      </c>
      <c r="H529" s="34">
        <v>1974</v>
      </c>
      <c r="I529" s="30" t="inlineStr">
        <is>
          <t xml:space="preserve">Ferrari</t>
        </is>
      </c>
      <c r="J529" s="30" t="inlineStr">
        <is>
          <t xml:space="preserve">SF90 Stradale</t>
        </is>
      </c>
      <c r="K529" s="30" t="inlineStr">
        <is>
          <t xml:space="preserve">6DMVAMSSSYDU2MSVT</t>
        </is>
      </c>
      <c r="L529" s="32" t="inlineStr">
        <is>
          <t xml:space="preserve">03 - Supercar</t>
        </is>
      </c>
      <c r="M529" s="35">
        <v>540000</v>
      </c>
      <c r="N529" s="32" t="inlineStr">
        <is>
          <t xml:space="preserve">Personal</t>
        </is>
      </c>
      <c r="O529" s="30" t="inlineStr">
        <is>
          <t xml:space="preserve">Personal - regular use</t>
        </is>
      </c>
      <c r="P529" s="30" t="inlineStr">
        <is>
          <t xml:space="preserve">Under 1,000</t>
        </is>
      </c>
      <c r="Q529" s="30" t="inlineStr">
        <is>
          <t xml:space="preserve">New Jersey</t>
        </is>
      </c>
      <c r="R529" s="30" t="inlineStr">
        <is>
          <t xml:space="preserve">07102</t>
        </is>
      </c>
      <c r="S529" s="32" t="inlineStr">
        <is>
          <t xml:space="preserve">Tier 3 - Coastal wind (25-100 miles)</t>
        </is>
      </c>
      <c r="T529" s="36">
        <f>IF($A529="","",IF($S529="","",IFERROR(INDEX('[1]natural catastrophe'!$D$6:$D$17,MATCH($S529,'[1]natural catastrophe'!$B$6:$B$17,0)),"?")))</f>
      </c>
      <c r="U529" s="30" t="inlineStr">
        <is>
          <t xml:space="preserve">2% of agreed value, minimum $10,000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6702.97</v>
      </c>
      <c r="AC529" s="37">
        <v>0</v>
      </c>
      <c r="AD529" s="38">
        <f>IF(ISNUMBER($AB529),$AB529*(1+N($AC529)),"")</f>
      </c>
      <c r="AE529" s="35">
        <v>350</v>
      </c>
      <c r="AF529" s="35">
        <v>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CANON-202607-008378</t>
        </is>
      </c>
      <c r="B530" s="46" t="inlineStr">
        <is>
          <t xml:space="preserve">Callum Vandermeer</t>
        </is>
      </c>
      <c r="C530" s="47">
        <v>46227</v>
      </c>
      <c r="D530" s="48" t="inlineStr">
        <is>
          <t xml:space="preserve">Bound - within authority</t>
        </is>
      </c>
      <c r="E530" s="48" t="inlineStr">
        <is>
          <t xml:space="preserve">New business</t>
        </is>
      </c>
      <c r="F530" s="46" t="inlineStr">
        <is>
          <t xml:space="preserve">B1234EXOTIC26</t>
        </is>
      </c>
      <c r="G530" s="33">
        <f>IF($A530="","",IF($C530="","",YEAR($C530)))</f>
      </c>
      <c r="H530" s="49">
        <v>1955</v>
      </c>
      <c r="I530" s="46" t="inlineStr">
        <is>
          <t xml:space="preserve">BMW</t>
        </is>
      </c>
      <c r="J530" s="46" t="inlineStr">
        <is>
          <t xml:space="preserve">M8 Competition</t>
        </is>
      </c>
      <c r="K530" s="46" t="inlineStr">
        <is>
          <t xml:space="preserve">F7M5RTW8W7TSFX9UA</t>
        </is>
      </c>
      <c r="L530" s="48" t="inlineStr">
        <is>
          <t xml:space="preserve">02 - Sports / GT</t>
        </is>
      </c>
      <c r="M530" s="50">
        <v>435000</v>
      </c>
      <c r="N530" s="48" t="inlineStr">
        <is>
          <t xml:space="preserve">Personal</t>
        </is>
      </c>
      <c r="O530" s="46" t="inlineStr">
        <is>
          <t xml:space="preserve">Personal - regular use</t>
        </is>
      </c>
      <c r="P530" s="46" t="inlineStr">
        <is>
          <t xml:space="preserve">Under 1,000</t>
        </is>
      </c>
      <c r="Q530" s="46" t="inlineStr">
        <is>
          <t xml:space="preserve">Nebraska</t>
        </is>
      </c>
      <c r="R530" s="46" t="inlineStr">
        <is>
          <t xml:space="preserve">68102</t>
        </is>
      </c>
      <c r="S530" s="48" t="inlineStr">
        <is>
          <t xml:space="preserve">Severe convective - hail alley (high)</t>
        </is>
      </c>
      <c r="T530" s="36">
        <f>IF($A530="","",IF($S530="","",IFERROR(INDEX('[1]natural catastrophe'!$D$6:$D$17,MATCH($S530,'[1]natural catastrophe'!$B$6:$B$17,0)),"?")))</f>
      </c>
      <c r="U530" s="46" t="inlineStr">
        <is>
          <t xml:space="preserve">$5,000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6089.8</v>
      </c>
      <c r="AC530" s="51">
        <v>0</v>
      </c>
      <c r="AD530" s="38">
        <f>IF(ISNUMBER($AB530),$AB530*(1+N($AC530)),"")</f>
      </c>
      <c r="AE530" s="50">
        <v>350</v>
      </c>
      <c r="AF530" s="50">
        <v>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CANON-202607-008379</t>
        </is>
      </c>
      <c r="B531" s="30" t="inlineStr">
        <is>
          <t xml:space="preserve">Wilhelmina Merriweather</t>
        </is>
      </c>
      <c r="C531" s="31">
        <v>46213</v>
      </c>
      <c r="D531" s="32" t="inlineStr">
        <is>
          <t xml:space="preserve">Bound - within authority</t>
        </is>
      </c>
      <c r="E531" s="32" t="inlineStr">
        <is>
          <t xml:space="preserve">New business</t>
        </is>
      </c>
      <c r="F531" s="30" t="inlineStr">
        <is>
          <t xml:space="preserve">B1234EXOTIC26</t>
        </is>
      </c>
      <c r="G531" s="33">
        <f>IF($A531="","",IF($C531="","",YEAR($C531)))</f>
      </c>
      <c r="H531" s="34">
        <v>2013</v>
      </c>
      <c r="I531" s="30" t="inlineStr">
        <is>
          <t xml:space="preserve">Aston Martin</t>
        </is>
      </c>
      <c r="J531" s="30" t="inlineStr">
        <is>
          <t xml:space="preserve">DB12</t>
        </is>
      </c>
      <c r="K531" s="30" t="inlineStr">
        <is>
          <t xml:space="preserve">FDKYZR3LMD9N4RYFJ</t>
        </is>
      </c>
      <c r="L531" s="32" t="inlineStr">
        <is>
          <t xml:space="preserve">02 - Sports / GT</t>
        </is>
      </c>
      <c r="M531" s="35">
        <v>295000</v>
      </c>
      <c r="N531" s="32" t="inlineStr">
        <is>
          <t xml:space="preserve">Personal</t>
        </is>
      </c>
      <c r="O531" s="30" t="inlineStr">
        <is>
          <t xml:space="preserve">Personal - regular use</t>
        </is>
      </c>
      <c r="P531" s="30" t="inlineStr">
        <is>
          <t xml:space="preserve">1,000 - 2,500</t>
        </is>
      </c>
      <c r="Q531" s="30" t="inlineStr">
        <is>
          <t xml:space="preserve">Minnesota</t>
        </is>
      </c>
      <c r="R531" s="30" t="inlineStr">
        <is>
          <t xml:space="preserve">55401</t>
        </is>
      </c>
      <c r="S531" s="32" t="inlineStr">
        <is>
          <t xml:space="preserve">Severe convective - hail / tornado (moderate)</t>
        </is>
      </c>
      <c r="T531" s="36">
        <f>IF($A531="","",IF($S531="","",IFERROR(INDEX('[1]natural catastrophe'!$D$6:$D$17,MATCH($S531,'[1]natural catastrophe'!$B$6:$B$17,0)),"?")))</f>
      </c>
      <c r="U531" s="30" t="inlineStr">
        <is>
          <t xml:space="preserve">$5,000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4193.4</v>
      </c>
      <c r="AC531" s="37">
        <v>0</v>
      </c>
      <c r="AD531" s="38">
        <f>IF(ISNUMBER($AB531),$AB531*(1+N($AC531)),"")</f>
      </c>
      <c r="AE531" s="35">
        <v>350</v>
      </c>
      <c r="AF531" s="35">
        <v>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CANON-202607-008380</t>
        </is>
      </c>
      <c r="B532" s="46" t="inlineStr">
        <is>
          <t xml:space="preserve">Aurelio Nakashima</t>
        </is>
      </c>
      <c r="C532" s="47">
        <v>46227</v>
      </c>
      <c r="D532" s="48" t="inlineStr">
        <is>
          <t xml:space="preserve">Bound - within authority</t>
        </is>
      </c>
      <c r="E532" s="48" t="inlineStr">
        <is>
          <t xml:space="preserve">New business</t>
        </is>
      </c>
      <c r="F532" s="46" t="inlineStr">
        <is>
          <t xml:space="preserve">B1234EXOTIC26</t>
        </is>
      </c>
      <c r="G532" s="33">
        <f>IF($A532="","",IF($C532="","",YEAR($C532)))</f>
      </c>
      <c r="H532" s="49">
        <v>2024</v>
      </c>
      <c r="I532" s="46" t="inlineStr">
        <is>
          <t xml:space="preserve">McLaren</t>
        </is>
      </c>
      <c r="J532" s="46" t="inlineStr">
        <is>
          <t xml:space="preserve">750S</t>
        </is>
      </c>
      <c r="K532" s="46" t="inlineStr">
        <is>
          <t xml:space="preserve">7NGGP3DVRC529235V</t>
        </is>
      </c>
      <c r="L532" s="48" t="inlineStr">
        <is>
          <t xml:space="preserve">03 - Supercar</t>
        </is>
      </c>
      <c r="M532" s="50">
        <v>480000</v>
      </c>
      <c r="N532" s="48" t="inlineStr">
        <is>
          <t xml:space="preserve">Personal</t>
        </is>
      </c>
      <c r="O532" s="46" t="inlineStr">
        <is>
          <t xml:space="preserve">Personal - regular use</t>
        </is>
      </c>
      <c r="P532" s="46" t="inlineStr">
        <is>
          <t xml:space="preserve">Under 1,000</t>
        </is>
      </c>
      <c r="Q532" s="46" t="inlineStr">
        <is>
          <t xml:space="preserve">New Jersey</t>
        </is>
      </c>
      <c r="R532" s="46" t="inlineStr">
        <is>
          <t xml:space="preserve">07102</t>
        </is>
      </c>
      <c r="S532" s="48" t="inlineStr">
        <is>
          <t xml:space="preserve">Tier 3 - Coastal wind (25-100 miles)</t>
        </is>
      </c>
      <c r="T532" s="36">
        <f>IF($A532="","",IF($S532="","",IFERROR(INDEX('[1]natural catastrophe'!$D$6:$D$17,MATCH($S532,'[1]natural catastrophe'!$B$6:$B$17,0)),"?")))</f>
      </c>
      <c r="U532" s="46" t="inlineStr">
        <is>
          <t xml:space="preserve">2% of agreed value, minimum $10,000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7212.56</v>
      </c>
      <c r="AC532" s="51">
        <v>0</v>
      </c>
      <c r="AD532" s="38">
        <f>IF(ISNUMBER($AB532),$AB532*(1+N($AC532)),"")</f>
      </c>
      <c r="AE532" s="50">
        <v>350</v>
      </c>
      <c r="AF532" s="50">
        <v>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CANON-202607-008382</t>
        </is>
      </c>
      <c r="B533" s="30" t="inlineStr">
        <is>
          <t xml:space="preserve">Saoirse Larsson</t>
        </is>
      </c>
      <c r="C533" s="31">
        <v>46213</v>
      </c>
      <c r="D533" s="32" t="inlineStr">
        <is>
          <t xml:space="preserve">Bound - within authority</t>
        </is>
      </c>
      <c r="E533" s="32" t="inlineStr">
        <is>
          <t xml:space="preserve">New business</t>
        </is>
      </c>
      <c r="F533" s="30" t="inlineStr">
        <is>
          <t xml:space="preserve">B1234EXOTIC26</t>
        </is>
      </c>
      <c r="G533" s="33">
        <f>IF($A533="","",IF($C533="","",YEAR($C533)))</f>
      </c>
      <c r="H533" s="34">
        <v>2010</v>
      </c>
      <c r="I533" s="30" t="inlineStr">
        <is>
          <t xml:space="preserve">Ferrari</t>
        </is>
      </c>
      <c r="J533" s="30" t="inlineStr">
        <is>
          <t xml:space="preserve">296 GTB</t>
        </is>
      </c>
      <c r="K533" s="30" t="inlineStr">
        <is>
          <t xml:space="preserve">JA19YUTLX2HF1YKDW</t>
        </is>
      </c>
      <c r="L533" s="32" t="inlineStr">
        <is>
          <t xml:space="preserve">03 - Supercar</t>
        </is>
      </c>
      <c r="M533" s="35">
        <v>530000</v>
      </c>
      <c r="N533" s="32" t="inlineStr">
        <is>
          <t xml:space="preserve">Personal</t>
        </is>
      </c>
      <c r="O533" s="30" t="inlineStr">
        <is>
          <t xml:space="preserve">Personal - regular use</t>
        </is>
      </c>
      <c r="P533" s="30" t="inlineStr">
        <is>
          <t xml:space="preserve">1,000 - 2,500</t>
        </is>
      </c>
      <c r="Q533" s="30" t="inlineStr">
        <is>
          <t xml:space="preserve">Connecticut</t>
        </is>
      </c>
      <c r="R533" s="30" t="inlineStr">
        <is>
          <t xml:space="preserve">06103</t>
        </is>
      </c>
      <c r="S533" s="32" t="inlineStr">
        <is>
          <t xml:space="preserve">Tier 3 - Coastal wind (25-100 miles)</t>
        </is>
      </c>
      <c r="T533" s="36">
        <f>IF($A533="","",IF($S533="","",IFERROR(INDEX('[1]natural catastrophe'!$D$6:$D$17,MATCH($S533,'[1]natural catastrophe'!$B$6:$B$17,0)),"?")))</f>
      </c>
      <c r="U533" s="30" t="inlineStr">
        <is>
          <t xml:space="preserve">2% of agreed value, minimum $10,000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8097.04</v>
      </c>
      <c r="AC533" s="37">
        <v>0</v>
      </c>
      <c r="AD533" s="38">
        <f>IF(ISNUMBER($AB533),$AB533*(1+N($AC533)),"")</f>
      </c>
      <c r="AE533" s="35">
        <v>350</v>
      </c>
      <c r="AF533" s="35">
        <v>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CANON-202607-008383</t>
        </is>
      </c>
      <c r="B534" s="46" t="inlineStr">
        <is>
          <t xml:space="preserve">Wilhelmina Vasquez</t>
        </is>
      </c>
      <c r="C534" s="47">
        <v>46207</v>
      </c>
      <c r="D534" s="48" t="inlineStr">
        <is>
          <t xml:space="preserve">Bound - within authority</t>
        </is>
      </c>
      <c r="E534" s="48" t="inlineStr">
        <is>
          <t xml:space="preserve">New business</t>
        </is>
      </c>
      <c r="F534" s="46" t="inlineStr">
        <is>
          <t xml:space="preserve">B1234EXOTIC26</t>
        </is>
      </c>
      <c r="G534" s="33">
        <f>IF($A534="","",IF($C534="","",YEAR($C534)))</f>
      </c>
      <c r="H534" s="49">
        <v>1962</v>
      </c>
      <c r="I534" s="46" t="inlineStr">
        <is>
          <t xml:space="preserve">Aston Martin</t>
        </is>
      </c>
      <c r="J534" s="46" t="inlineStr">
        <is>
          <t xml:space="preserve">DB12</t>
        </is>
      </c>
      <c r="K534" s="46" t="inlineStr">
        <is>
          <t xml:space="preserve">1PKJXVSYYPL5YCUVP</t>
        </is>
      </c>
      <c r="L534" s="48" t="inlineStr">
        <is>
          <t xml:space="preserve">02 - Sports / GT</t>
        </is>
      </c>
      <c r="M534" s="50">
        <v>340000</v>
      </c>
      <c r="N534" s="48" t="inlineStr">
        <is>
          <t xml:space="preserve">Personal</t>
        </is>
      </c>
      <c r="O534" s="46" t="inlineStr">
        <is>
          <t xml:space="preserve">Personal - regular use</t>
        </is>
      </c>
      <c r="P534" s="46" t="inlineStr">
        <is>
          <t xml:space="preserve">Under 1,000</t>
        </is>
      </c>
      <c r="Q534" s="46" t="inlineStr">
        <is>
          <t xml:space="preserve">New Hampshire</t>
        </is>
      </c>
      <c r="R534" s="46" t="inlineStr">
        <is>
          <t xml:space="preserve">03301</t>
        </is>
      </c>
      <c r="S534" s="48" t="inlineStr">
        <is>
          <t xml:space="preserve">Tier 3 - Coastal wind (25-100 miles)</t>
        </is>
      </c>
      <c r="T534" s="36">
        <f>IF($A534="","",IF($S534="","",IFERROR(INDEX('[1]natural catastrophe'!$D$6:$D$17,MATCH($S534,'[1]natural catastrophe'!$B$6:$B$17,0)),"?")))</f>
      </c>
      <c r="U534" s="46" t="inlineStr">
        <is>
          <t xml:space="preserve">2% of agreed value, minimum $10,000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3807.87</v>
      </c>
      <c r="AC534" s="51">
        <v>0</v>
      </c>
      <c r="AD534" s="38">
        <f>IF(ISNUMBER($AB534),$AB534*(1+N($AC534)),"")</f>
      </c>
      <c r="AE534" s="50">
        <v>350</v>
      </c>
      <c r="AF534" s="50">
        <v>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CANON-202607-008384</t>
        </is>
      </c>
      <c r="B535" s="30" t="inlineStr">
        <is>
          <t xml:space="preserve">Wilhelmina Vandermeer</t>
        </is>
      </c>
      <c r="C535" s="31">
        <v>46232</v>
      </c>
      <c r="D535" s="32" t="inlineStr">
        <is>
          <t xml:space="preserve">Bound - within authority</t>
        </is>
      </c>
      <c r="E535" s="32" t="inlineStr">
        <is>
          <t xml:space="preserve">New business</t>
        </is>
      </c>
      <c r="F535" s="30" t="inlineStr">
        <is>
          <t xml:space="preserve">B1234EXOTIC26</t>
        </is>
      </c>
      <c r="G535" s="33">
        <f>IF($A535="","",IF($C535="","",YEAR($C535)))</f>
      </c>
      <c r="H535" s="34">
        <v>1996</v>
      </c>
      <c r="I535" s="30" t="inlineStr">
        <is>
          <t xml:space="preserve">Ferrari</t>
        </is>
      </c>
      <c r="J535" s="30" t="inlineStr">
        <is>
          <t xml:space="preserve">SF90 Stradale</t>
        </is>
      </c>
      <c r="K535" s="30" t="inlineStr">
        <is>
          <t xml:space="preserve">3GBBZ4W2Z45A93NCV</t>
        </is>
      </c>
      <c r="L535" s="32" t="inlineStr">
        <is>
          <t xml:space="preserve">03 - Supercar</t>
        </is>
      </c>
      <c r="M535" s="35">
        <v>410000</v>
      </c>
      <c r="N535" s="32" t="inlineStr">
        <is>
          <t xml:space="preserve">Personal</t>
        </is>
      </c>
      <c r="O535" s="30" t="inlineStr">
        <is>
          <t xml:space="preserve">Personal - regular use</t>
        </is>
      </c>
      <c r="P535" s="30" t="inlineStr">
        <is>
          <t xml:space="preserve">1,000 - 2,500</t>
        </is>
      </c>
      <c r="Q535" s="30" t="inlineStr">
        <is>
          <t xml:space="preserve">Wisconsin</t>
        </is>
      </c>
      <c r="R535" s="30" t="inlineStr">
        <is>
          <t xml:space="preserve">53202</t>
        </is>
      </c>
      <c r="S535" s="32" t="inlineStr">
        <is>
          <t xml:space="preserve">Severe convective - hail / tornado (moderate)</t>
        </is>
      </c>
      <c r="T535" s="36">
        <f>IF($A535="","",IF($S535="","",IFERROR(INDEX('[1]natural catastrophe'!$D$6:$D$17,MATCH($S535,'[1]natural catastrophe'!$B$6:$B$17,0)),"?")))</f>
      </c>
      <c r="U535" s="30" t="inlineStr">
        <is>
          <t xml:space="preserve">$5,000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8124.03</v>
      </c>
      <c r="AC535" s="37">
        <v>0</v>
      </c>
      <c r="AD535" s="38">
        <f>IF(ISNUMBER($AB535),$AB535*(1+N($AC535)),"")</f>
      </c>
      <c r="AE535" s="35">
        <v>350</v>
      </c>
      <c r="AF535" s="35">
        <v>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CANON-202607-008385</t>
        </is>
      </c>
      <c r="B536" s="46" t="inlineStr">
        <is>
          <t xml:space="preserve">Saoirse Delacroix</t>
        </is>
      </c>
      <c r="C536" s="47">
        <v>46219</v>
      </c>
      <c r="D536" s="48" t="inlineStr">
        <is>
          <t xml:space="preserve">Bound - within authority</t>
        </is>
      </c>
      <c r="E536" s="48" t="inlineStr">
        <is>
          <t xml:space="preserve">New business</t>
        </is>
      </c>
      <c r="F536" s="46" t="inlineStr">
        <is>
          <t xml:space="preserve">B1234EXOTIC26</t>
        </is>
      </c>
      <c r="G536" s="33">
        <f>IF($A536="","",IF($C536="","",YEAR($C536)))</f>
      </c>
      <c r="H536" s="49">
        <v>2007</v>
      </c>
      <c r="I536" s="46" t="inlineStr">
        <is>
          <t xml:space="preserve">BMW</t>
        </is>
      </c>
      <c r="J536" s="46" t="inlineStr">
        <is>
          <t xml:space="preserve">M8 Competition</t>
        </is>
      </c>
      <c r="K536" s="46" t="inlineStr">
        <is>
          <t xml:space="preserve">XZTLTF370K7ZEKD3D</t>
        </is>
      </c>
      <c r="L536" s="48" t="inlineStr">
        <is>
          <t xml:space="preserve">02 - Sports / GT</t>
        </is>
      </c>
      <c r="M536" s="50">
        <v>1190000</v>
      </c>
      <c r="N536" s="48" t="inlineStr">
        <is>
          <t xml:space="preserve">Personal</t>
        </is>
      </c>
      <c r="O536" s="46" t="inlineStr">
        <is>
          <t xml:space="preserve">Personal - regular use</t>
        </is>
      </c>
      <c r="P536" s="46" t="inlineStr">
        <is>
          <t xml:space="preserve">2,500 - 5,000</t>
        </is>
      </c>
      <c r="Q536" s="46" t="inlineStr">
        <is>
          <t xml:space="preserve">Ohio</t>
        </is>
      </c>
      <c r="R536" s="46" t="inlineStr">
        <is>
          <t xml:space="preserve">43215</t>
        </is>
      </c>
      <c r="S536" s="48" t="inlineStr">
        <is>
          <t xml:space="preserve">Severe convective - hail / tornado (moderate)</t>
        </is>
      </c>
      <c r="T536" s="36">
        <f>IF($A536="","",IF($S536="","",IFERROR(INDEX('[1]natural catastrophe'!$D$6:$D$17,MATCH($S536,'[1]natural catastrophe'!$B$6:$B$17,0)),"?")))</f>
      </c>
      <c r="U536" s="46" t="inlineStr">
        <is>
          <t xml:space="preserve">$5,000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13062.71</v>
      </c>
      <c r="AC536" s="51">
        <v>0</v>
      </c>
      <c r="AD536" s="38">
        <f>IF(ISNUMBER($AB536),$AB536*(1+N($AC536)),"")</f>
      </c>
      <c r="AE536" s="50">
        <v>350</v>
      </c>
      <c r="AF536" s="50">
        <v>250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CANON-202607-008386</t>
        </is>
      </c>
      <c r="B537" s="30" t="inlineStr">
        <is>
          <t xml:space="preserve">Leopold Whitlock</t>
        </is>
      </c>
      <c r="C537" s="31">
        <v>46228</v>
      </c>
      <c r="D537" s="32" t="inlineStr">
        <is>
          <t xml:space="preserve">Bound - within authority</t>
        </is>
      </c>
      <c r="E537" s="32" t="inlineStr">
        <is>
          <t xml:space="preserve">New business</t>
        </is>
      </c>
      <c r="F537" s="30" t="inlineStr">
        <is>
          <t xml:space="preserve">B1234EXOTIC26</t>
        </is>
      </c>
      <c r="G537" s="33">
        <f>IF($A537="","",IF($C537="","",YEAR($C537)))</f>
      </c>
      <c r="H537" s="34">
        <v>2000</v>
      </c>
      <c r="I537" s="30" t="inlineStr">
        <is>
          <t xml:space="preserve">Porsche</t>
        </is>
      </c>
      <c r="J537" s="30" t="inlineStr">
        <is>
          <t xml:space="preserve">911 Turbo S</t>
        </is>
      </c>
      <c r="K537" s="30" t="inlineStr">
        <is>
          <t xml:space="preserve">2AAGCY2HYW9P1UJJ0</t>
        </is>
      </c>
      <c r="L537" s="32" t="inlineStr">
        <is>
          <t xml:space="preserve">02 - Sports / GT</t>
        </is>
      </c>
      <c r="M537" s="35">
        <v>620000</v>
      </c>
      <c r="N537" s="32" t="inlineStr">
        <is>
          <t xml:space="preserve">Personal</t>
        </is>
      </c>
      <c r="O537" s="30" t="inlineStr">
        <is>
          <t xml:space="preserve">Personal - regular use</t>
        </is>
      </c>
      <c r="P537" s="30" t="inlineStr">
        <is>
          <t xml:space="preserve">2,500 - 5,000</t>
        </is>
      </c>
      <c r="Q537" s="30" t="inlineStr">
        <is>
          <t xml:space="preserve">Connecticut</t>
        </is>
      </c>
      <c r="R537" s="30" t="inlineStr">
        <is>
          <t xml:space="preserve">06103</t>
        </is>
      </c>
      <c r="S537" s="32" t="inlineStr">
        <is>
          <t xml:space="preserve">Tier 3 - Coastal wind (25-100 miles)</t>
        </is>
      </c>
      <c r="T537" s="36">
        <f>IF($A537="","",IF($S537="","",IFERROR(INDEX('[1]natural catastrophe'!$D$6:$D$17,MATCH($S537,'[1]natural catastrophe'!$B$6:$B$17,0)),"?")))</f>
      </c>
      <c r="U537" s="30" t="inlineStr">
        <is>
          <t xml:space="preserve">2% of agreed value, minimum $10,000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6480.85</v>
      </c>
      <c r="AC537" s="37">
        <v>0</v>
      </c>
      <c r="AD537" s="38">
        <f>IF(ISNUMBER($AB537),$AB537*(1+N($AC537)),"")</f>
      </c>
      <c r="AE537" s="35">
        <v>350</v>
      </c>
      <c r="AF537" s="35">
        <v>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CANON-202607-008388</t>
        </is>
      </c>
      <c r="B538" s="46" t="inlineStr">
        <is>
          <t xml:space="preserve">Fitzgerald Farkas</t>
        </is>
      </c>
      <c r="C538" s="47">
        <v>46210</v>
      </c>
      <c r="D538" s="48" t="inlineStr">
        <is>
          <t xml:space="preserve">Bound - within authority</t>
        </is>
      </c>
      <c r="E538" s="48" t="inlineStr">
        <is>
          <t xml:space="preserve">New business</t>
        </is>
      </c>
      <c r="F538" s="46" t="inlineStr">
        <is>
          <t xml:space="preserve">B1234EXOTIC26</t>
        </is>
      </c>
      <c r="G538" s="33">
        <f>IF($A538="","",IF($C538="","",YEAR($C538)))</f>
      </c>
      <c r="H538" s="49">
        <v>2019</v>
      </c>
      <c r="I538" s="46" t="inlineStr">
        <is>
          <t xml:space="preserve">Jaguar</t>
        </is>
      </c>
      <c r="J538" s="46" t="inlineStr">
        <is>
          <t xml:space="preserve">E-Type Series 1</t>
        </is>
      </c>
      <c r="K538" s="46" t="inlineStr">
        <is>
          <t xml:space="preserve">BKBR1FCWMUK3Y341S</t>
        </is>
      </c>
      <c r="L538" s="48" t="inlineStr">
        <is>
          <t xml:space="preserve">02 - Sports / GT</t>
        </is>
      </c>
      <c r="M538" s="50">
        <v>800000</v>
      </c>
      <c r="N538" s="48" t="inlineStr">
        <is>
          <t xml:space="preserve">Personal</t>
        </is>
      </c>
      <c r="O538" s="46" t="inlineStr">
        <is>
          <t xml:space="preserve">Personal - regular use</t>
        </is>
      </c>
      <c r="P538" s="46" t="inlineStr">
        <is>
          <t xml:space="preserve">1,000 - 2,500</t>
        </is>
      </c>
      <c r="Q538" s="46" t="inlineStr">
        <is>
          <t xml:space="preserve">Ohio</t>
        </is>
      </c>
      <c r="R538" s="46" t="inlineStr">
        <is>
          <t xml:space="preserve">43215</t>
        </is>
      </c>
      <c r="S538" s="48" t="inlineStr">
        <is>
          <t xml:space="preserve">Severe convective - hail / tornado (moderate)</t>
        </is>
      </c>
      <c r="T538" s="36">
        <f>IF($A538="","",IF($S538="","",IFERROR(INDEX('[1]natural catastrophe'!$D$6:$D$17,MATCH($S538,'[1]natural catastrophe'!$B$6:$B$17,0)),"?")))</f>
      </c>
      <c r="U538" s="46" t="inlineStr">
        <is>
          <t xml:space="preserve">$5,000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6865.66</v>
      </c>
      <c r="AC538" s="51">
        <v>0</v>
      </c>
      <c r="AD538" s="38">
        <f>IF(ISNUMBER($AB538),$AB538*(1+N($AC538)),"")</f>
      </c>
      <c r="AE538" s="50">
        <v>350</v>
      </c>
      <c r="AF538" s="50">
        <v>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CANON-202607-008390</t>
        </is>
      </c>
      <c r="B539" s="30" t="inlineStr">
        <is>
          <t xml:space="preserve">Leopold Vandermeer</t>
        </is>
      </c>
      <c r="C539" s="31">
        <v>46218</v>
      </c>
      <c r="D539" s="32" t="inlineStr">
        <is>
          <t xml:space="preserve">Bound - within authority</t>
        </is>
      </c>
      <c r="E539" s="32" t="inlineStr">
        <is>
          <t xml:space="preserve">New business</t>
        </is>
      </c>
      <c r="F539" s="30" t="inlineStr">
        <is>
          <t xml:space="preserve">B1234EXOTIC26</t>
        </is>
      </c>
      <c r="G539" s="33">
        <f>IF($A539="","",IF($C539="","",YEAR($C539)))</f>
      </c>
      <c r="H539" s="34">
        <v>1982</v>
      </c>
      <c r="I539" s="30" t="inlineStr">
        <is>
          <t xml:space="preserve">Mercedes-Benz</t>
        </is>
      </c>
      <c r="J539" s="30" t="inlineStr">
        <is>
          <t xml:space="preserve">280SL Pagoda</t>
        </is>
      </c>
      <c r="K539" s="30" t="inlineStr">
        <is>
          <t xml:space="preserve">R3UJELZ2GB29UZHXM</t>
        </is>
      </c>
      <c r="L539" s="32" t="inlineStr">
        <is>
          <t xml:space="preserve">08 - Modern Classic (1973-1999)</t>
        </is>
      </c>
      <c r="M539" s="35">
        <v>520000</v>
      </c>
      <c r="N539" s="32" t="inlineStr">
        <is>
          <t xml:space="preserve">Personal</t>
        </is>
      </c>
      <c r="O539" s="30" t="inlineStr">
        <is>
          <t xml:space="preserve">Personal - regular use</t>
        </is>
      </c>
      <c r="P539" s="30" t="inlineStr">
        <is>
          <t xml:space="preserve">1,000 - 2,500</t>
        </is>
      </c>
      <c r="Q539" s="30" t="inlineStr">
        <is>
          <t xml:space="preserve">California</t>
        </is>
      </c>
      <c r="R539" s="30" t="inlineStr">
        <is>
          <t xml:space="preserve">90012</t>
        </is>
      </c>
      <c r="S539" s="32" t="inlineStr">
        <is>
          <t xml:space="preserve">Earthquake - high (CA, Cascadia, New Madrid)</t>
        </is>
      </c>
      <c r="T539" s="36">
        <f>IF($A539="","",IF($S539="","",IFERROR(INDEX('[1]natural catastrophe'!$D$6:$D$17,MATCH($S539,'[1]natural catastrophe'!$B$6:$B$17,0)),"?")))</f>
      </c>
      <c r="U539" s="30" t="inlineStr">
        <is>
          <t xml:space="preserve">$5,000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4334.25</v>
      </c>
      <c r="AC539" s="37">
        <v>0</v>
      </c>
      <c r="AD539" s="38">
        <f>IF(ISNUMBER($AB539),$AB539*(1+N($AC539)),"")</f>
      </c>
      <c r="AE539" s="35">
        <v>350</v>
      </c>
      <c r="AF539" s="35">
        <v>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CANON-202607-008391</t>
        </is>
      </c>
      <c r="B540" s="46" t="inlineStr">
        <is>
          <t xml:space="preserve">Fenwick Larsson</t>
        </is>
      </c>
      <c r="C540" s="47">
        <v>46231</v>
      </c>
      <c r="D540" s="48" t="inlineStr">
        <is>
          <t xml:space="preserve">Bound - within authority</t>
        </is>
      </c>
      <c r="E540" s="48" t="inlineStr">
        <is>
          <t xml:space="preserve">New business</t>
        </is>
      </c>
      <c r="F540" s="46" t="inlineStr">
        <is>
          <t xml:space="preserve">B1234EXOTIC26</t>
        </is>
      </c>
      <c r="G540" s="33">
        <f>IF($A540="","",IF($C540="","",YEAR($C540)))</f>
      </c>
      <c r="H540" s="49">
        <v>1995</v>
      </c>
      <c r="I540" s="46" t="inlineStr">
        <is>
          <t xml:space="preserve">Maserati</t>
        </is>
      </c>
      <c r="J540" s="46" t="inlineStr">
        <is>
          <t xml:space="preserve">GranTurismo</t>
        </is>
      </c>
      <c r="K540" s="46" t="inlineStr">
        <is>
          <t xml:space="preserve">8HDMDALH7HCWXZNAZ</t>
        </is>
      </c>
      <c r="L540" s="48" t="inlineStr">
        <is>
          <t xml:space="preserve">02 - Sports / GT</t>
        </is>
      </c>
      <c r="M540" s="50">
        <v>1155000</v>
      </c>
      <c r="N540" s="48" t="inlineStr">
        <is>
          <t xml:space="preserve">Personal</t>
        </is>
      </c>
      <c r="O540" s="46" t="inlineStr">
        <is>
          <t xml:space="preserve">Personal - regular use</t>
        </is>
      </c>
      <c r="P540" s="46" t="inlineStr">
        <is>
          <t xml:space="preserve">1,000 - 2,500</t>
        </is>
      </c>
      <c r="Q540" s="46" t="inlineStr">
        <is>
          <t xml:space="preserve">Vermont</t>
        </is>
      </c>
      <c r="R540" s="46" t="inlineStr">
        <is>
          <t xml:space="preserve">05601</t>
        </is>
      </c>
      <c r="S540" s="48" t="inlineStr">
        <is>
          <t xml:space="preserve">Low hazard - inland benign</t>
        </is>
      </c>
      <c r="T540" s="36">
        <f>IF($A540="","",IF($S540="","",IFERROR(INDEX('[1]natural catastrophe'!$D$6:$D$17,MATCH($S540,'[1]natural catastrophe'!$B$6:$B$17,0)),"?")))</f>
      </c>
      <c r="U540" s="46" t="inlineStr">
        <is>
          <t xml:space="preserve">$5,000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11127.91</v>
      </c>
      <c r="AC540" s="51">
        <v>0</v>
      </c>
      <c r="AD540" s="38">
        <f>IF(ISNUMBER($AB540),$AB540*(1+N($AC540)),"")</f>
      </c>
      <c r="AE540" s="50">
        <v>350</v>
      </c>
      <c r="AF540" s="50">
        <v>250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CANON-202607-008392</t>
        </is>
      </c>
      <c r="B541" s="30" t="inlineStr">
        <is>
          <t xml:space="preserve">Lorenzo Merriweather</t>
        </is>
      </c>
      <c r="C541" s="31">
        <v>46208</v>
      </c>
      <c r="D541" s="32" t="inlineStr">
        <is>
          <t xml:space="preserve">Bound - within authority</t>
        </is>
      </c>
      <c r="E541" s="32" t="inlineStr">
        <is>
          <t xml:space="preserve">New business</t>
        </is>
      </c>
      <c r="F541" s="30" t="inlineStr">
        <is>
          <t xml:space="preserve">B1234EXOTIC26</t>
        </is>
      </c>
      <c r="G541" s="33">
        <f>IF($A541="","",IF($C541="","",YEAR($C541)))</f>
      </c>
      <c r="H541" s="34">
        <v>1990</v>
      </c>
      <c r="I541" s="30" t="inlineStr">
        <is>
          <t xml:space="preserve">McLaren</t>
        </is>
      </c>
      <c r="J541" s="30" t="inlineStr">
        <is>
          <t xml:space="preserve">750S</t>
        </is>
      </c>
      <c r="K541" s="30" t="inlineStr">
        <is>
          <t xml:space="preserve">F4CFSCGT38F657WDC</t>
        </is>
      </c>
      <c r="L541" s="32" t="inlineStr">
        <is>
          <t xml:space="preserve">03 - Supercar</t>
        </is>
      </c>
      <c r="M541" s="35">
        <v>1950000</v>
      </c>
      <c r="N541" s="32" t="inlineStr">
        <is>
          <t xml:space="preserve">Personal</t>
        </is>
      </c>
      <c r="O541" s="30" t="inlineStr">
        <is>
          <t xml:space="preserve">Personal - regular use</t>
        </is>
      </c>
      <c r="P541" s="30" t="inlineStr">
        <is>
          <t xml:space="preserve">Under 1,000</t>
        </is>
      </c>
      <c r="Q541" s="30" t="inlineStr">
        <is>
          <t xml:space="preserve">Utah</t>
        </is>
      </c>
      <c r="R541" s="30" t="inlineStr">
        <is>
          <t xml:space="preserve">84101</t>
        </is>
      </c>
      <c r="S541" s="32" t="inlineStr">
        <is>
          <t xml:space="preserve">Wildfire - WUI high hazard</t>
        </is>
      </c>
      <c r="T541" s="36">
        <f>IF($A541="","",IF($S541="","",IFERROR(INDEX('[1]natural catastrophe'!$D$6:$D$17,MATCH($S541,'[1]natural catastrophe'!$B$6:$B$17,0)),"?")))</f>
      </c>
      <c r="U541" s="30" t="inlineStr">
        <is>
          <t xml:space="preserve">$5,000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30238.98</v>
      </c>
      <c r="AC541" s="37">
        <v>0</v>
      </c>
      <c r="AD541" s="38">
        <f>IF(ISNUMBER($AB541),$AB541*(1+N($AC541)),"")</f>
      </c>
      <c r="AE541" s="35">
        <v>350</v>
      </c>
      <c r="AF541" s="35">
        <v>250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CANON-202607-008393</t>
        </is>
      </c>
      <c r="B542" s="46" t="inlineStr">
        <is>
          <t xml:space="preserve">Everett Montoya</t>
        </is>
      </c>
      <c r="C542" s="47">
        <v>46234</v>
      </c>
      <c r="D542" s="48" t="inlineStr">
        <is>
          <t xml:space="preserve">Bound - within authority</t>
        </is>
      </c>
      <c r="E542" s="48" t="inlineStr">
        <is>
          <t xml:space="preserve">New business</t>
        </is>
      </c>
      <c r="F542" s="46" t="inlineStr">
        <is>
          <t xml:space="preserve">B1234EXOTIC26</t>
        </is>
      </c>
      <c r="G542" s="33">
        <f>IF($A542="","",IF($C542="","",YEAR($C542)))</f>
      </c>
      <c r="H542" s="49">
        <v>1962</v>
      </c>
      <c r="I542" s="46" t="inlineStr">
        <is>
          <t xml:space="preserve">Bentley</t>
        </is>
      </c>
      <c r="J542" s="46" t="inlineStr">
        <is>
          <t xml:space="preserve">Continental GT</t>
        </is>
      </c>
      <c r="K542" s="46" t="inlineStr">
        <is>
          <t xml:space="preserve">GLXCMHYHKHB2FWWCW</t>
        </is>
      </c>
      <c r="L542" s="48" t="inlineStr">
        <is>
          <t xml:space="preserve">02 - Sports / GT</t>
        </is>
      </c>
      <c r="M542" s="50">
        <v>355000</v>
      </c>
      <c r="N542" s="48" t="inlineStr">
        <is>
          <t xml:space="preserve">Personal</t>
        </is>
      </c>
      <c r="O542" s="46" t="inlineStr">
        <is>
          <t xml:space="preserve">Personal - regular use</t>
        </is>
      </c>
      <c r="P542" s="46" t="inlineStr">
        <is>
          <t xml:space="preserve">2,500 - 5,000</t>
        </is>
      </c>
      <c r="Q542" s="46" t="inlineStr">
        <is>
          <t xml:space="preserve">Wyoming</t>
        </is>
      </c>
      <c r="R542" s="46" t="inlineStr">
        <is>
          <t xml:space="preserve">82001</t>
        </is>
      </c>
      <c r="S542" s="48" t="inlineStr">
        <is>
          <t xml:space="preserve">Severe convective - hail alley (high)</t>
        </is>
      </c>
      <c r="T542" s="36">
        <f>IF($A542="","",IF($S542="","",IFERROR(INDEX('[1]natural catastrophe'!$D$6:$D$17,MATCH($S542,'[1]natural catastrophe'!$B$6:$B$17,0)),"?")))</f>
      </c>
      <c r="U542" s="46" t="inlineStr">
        <is>
          <t xml:space="preserve">$5,000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4090.56</v>
      </c>
      <c r="AC542" s="51">
        <v>0</v>
      </c>
      <c r="AD542" s="38">
        <f>IF(ISNUMBER($AB542),$AB542*(1+N($AC542)),"")</f>
      </c>
      <c r="AE542" s="50">
        <v>350</v>
      </c>
      <c r="AF542" s="50">
        <v>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CANON-202607-008394</t>
        </is>
      </c>
      <c r="B543" s="30" t="inlineStr">
        <is>
          <t xml:space="preserve">Wilhelmina Fairweather</t>
        </is>
      </c>
      <c r="C543" s="31">
        <v>46215</v>
      </c>
      <c r="D543" s="32" t="inlineStr">
        <is>
          <t xml:space="preserve">Bound - within authority</t>
        </is>
      </c>
      <c r="E543" s="32" t="inlineStr">
        <is>
          <t xml:space="preserve">New business</t>
        </is>
      </c>
      <c r="F543" s="30" t="inlineStr">
        <is>
          <t xml:space="preserve">B1234EXOTIC26</t>
        </is>
      </c>
      <c r="G543" s="33">
        <f>IF($A543="","",IF($C543="","",YEAR($C543)))</f>
      </c>
      <c r="H543" s="34">
        <v>1979</v>
      </c>
      <c r="I543" s="30" t="inlineStr">
        <is>
          <t xml:space="preserve">Aston Martin</t>
        </is>
      </c>
      <c r="J543" s="30" t="inlineStr">
        <is>
          <t xml:space="preserve">DB12</t>
        </is>
      </c>
      <c r="K543" s="30" t="inlineStr">
        <is>
          <t xml:space="preserve">DD51HCZALFSN3BXWV</t>
        </is>
      </c>
      <c r="L543" s="32" t="inlineStr">
        <is>
          <t xml:space="preserve">02 - Sports / GT</t>
        </is>
      </c>
      <c r="M543" s="35">
        <v>360000</v>
      </c>
      <c r="N543" s="32" t="inlineStr">
        <is>
          <t xml:space="preserve">Personal</t>
        </is>
      </c>
      <c r="O543" s="30" t="inlineStr">
        <is>
          <t xml:space="preserve">Personal - regular use</t>
        </is>
      </c>
      <c r="P543" s="30" t="inlineStr">
        <is>
          <t xml:space="preserve">2,500 - 5,000</t>
        </is>
      </c>
      <c r="Q543" s="30" t="inlineStr">
        <is>
          <t xml:space="preserve">California</t>
        </is>
      </c>
      <c r="R543" s="30" t="inlineStr">
        <is>
          <t xml:space="preserve">90012</t>
        </is>
      </c>
      <c r="S543" s="32" t="inlineStr">
        <is>
          <t xml:space="preserve">Earthquake - high (CA, Cascadia, New Madrid)</t>
        </is>
      </c>
      <c r="T543" s="36">
        <f>IF($A543="","",IF($S543="","",IFERROR(INDEX('[1]natural catastrophe'!$D$6:$D$17,MATCH($S543,'[1]natural catastrophe'!$B$6:$B$17,0)),"?")))</f>
      </c>
      <c r="U543" s="30" t="inlineStr">
        <is>
          <t xml:space="preserve">$5,000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5233.67</v>
      </c>
      <c r="AC543" s="37">
        <v>0</v>
      </c>
      <c r="AD543" s="38">
        <f>IF(ISNUMBER($AB543),$AB543*(1+N($AC543)),"")</f>
      </c>
      <c r="AE543" s="35">
        <v>350</v>
      </c>
      <c r="AF543" s="35">
        <v>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CANON-202607-008396</t>
        </is>
      </c>
      <c r="B544" s="46" t="inlineStr">
        <is>
          <t xml:space="preserve">Noor Nakashima</t>
        </is>
      </c>
      <c r="C544" s="47">
        <v>46209</v>
      </c>
      <c r="D544" s="48" t="inlineStr">
        <is>
          <t xml:space="preserve">Bound - within authority</t>
        </is>
      </c>
      <c r="E544" s="48" t="inlineStr">
        <is>
          <t xml:space="preserve">New business</t>
        </is>
      </c>
      <c r="F544" s="46" t="inlineStr">
        <is>
          <t xml:space="preserve">B1234EXOTIC26</t>
        </is>
      </c>
      <c r="G544" s="33">
        <f>IF($A544="","",IF($C544="","",YEAR($C544)))</f>
      </c>
      <c r="H544" s="49">
        <v>1994</v>
      </c>
      <c r="I544" s="46" t="inlineStr">
        <is>
          <t xml:space="preserve">Mercedes-Benz</t>
        </is>
      </c>
      <c r="J544" s="46" t="inlineStr">
        <is>
          <t xml:space="preserve">AMG GT</t>
        </is>
      </c>
      <c r="K544" s="46" t="inlineStr">
        <is>
          <t xml:space="preserve">P8MLW1RP3VABU67YF</t>
        </is>
      </c>
      <c r="L544" s="48" t="inlineStr">
        <is>
          <t xml:space="preserve">02 - Sports / GT</t>
        </is>
      </c>
      <c r="M544" s="50">
        <v>605000</v>
      </c>
      <c r="N544" s="48" t="inlineStr">
        <is>
          <t xml:space="preserve">Personal</t>
        </is>
      </c>
      <c r="O544" s="46" t="inlineStr">
        <is>
          <t xml:space="preserve">Personal - regular use</t>
        </is>
      </c>
      <c r="P544" s="46" t="inlineStr">
        <is>
          <t xml:space="preserve">1,000 - 2,500</t>
        </is>
      </c>
      <c r="Q544" s="46" t="inlineStr">
        <is>
          <t xml:space="preserve">Iowa</t>
        </is>
      </c>
      <c r="R544" s="46" t="inlineStr">
        <is>
          <t xml:space="preserve">50309</t>
        </is>
      </c>
      <c r="S544" s="48" t="inlineStr">
        <is>
          <t xml:space="preserve">Severe convective - hail alley (high)</t>
        </is>
      </c>
      <c r="T544" s="36">
        <f>IF($A544="","",IF($S544="","",IFERROR(INDEX('[1]natural catastrophe'!$D$6:$D$17,MATCH($S544,'[1]natural catastrophe'!$B$6:$B$17,0)),"?")))</f>
      </c>
      <c r="U544" s="46" t="inlineStr">
        <is>
          <t xml:space="preserve">$5,000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6211.12</v>
      </c>
      <c r="AC544" s="51">
        <v>0</v>
      </c>
      <c r="AD544" s="38">
        <f>IF(ISNUMBER($AB544),$AB544*(1+N($AC544)),"")</f>
      </c>
      <c r="AE544" s="50">
        <v>350</v>
      </c>
      <c r="AF544" s="50">
        <v>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CANON-202607-008397</t>
        </is>
      </c>
      <c r="B545" s="30" t="inlineStr">
        <is>
          <t xml:space="preserve">Fenwick Castellanos</t>
        </is>
      </c>
      <c r="C545" s="31">
        <v>46229</v>
      </c>
      <c r="D545" s="32" t="inlineStr">
        <is>
          <t xml:space="preserve">Bound - within authority</t>
        </is>
      </c>
      <c r="E545" s="32" t="inlineStr">
        <is>
          <t xml:space="preserve">New business</t>
        </is>
      </c>
      <c r="F545" s="30" t="inlineStr">
        <is>
          <t xml:space="preserve">B1234EXOTIC26</t>
        </is>
      </c>
      <c r="G545" s="33">
        <f>IF($A545="","",IF($C545="","",YEAR($C545)))</f>
      </c>
      <c r="H545" s="34">
        <v>2011</v>
      </c>
      <c r="I545" s="30" t="inlineStr">
        <is>
          <t xml:space="preserve">Porsche</t>
        </is>
      </c>
      <c r="J545" s="30" t="inlineStr">
        <is>
          <t xml:space="preserve">911 Turbo S</t>
        </is>
      </c>
      <c r="K545" s="30" t="inlineStr">
        <is>
          <t xml:space="preserve">NRKP22E59HY0HU94V</t>
        </is>
      </c>
      <c r="L545" s="32" t="inlineStr">
        <is>
          <t xml:space="preserve">02 - Sports / GT</t>
        </is>
      </c>
      <c r="M545" s="35">
        <v>450000</v>
      </c>
      <c r="N545" s="32" t="inlineStr">
        <is>
          <t xml:space="preserve">Personal</t>
        </is>
      </c>
      <c r="O545" s="30" t="inlineStr">
        <is>
          <t xml:space="preserve">Personal - regular use</t>
        </is>
      </c>
      <c r="P545" s="30" t="inlineStr">
        <is>
          <t xml:space="preserve">2,500 - 5,000</t>
        </is>
      </c>
      <c r="Q545" s="30" t="inlineStr">
        <is>
          <t xml:space="preserve">Nevada</t>
        </is>
      </c>
      <c r="R545" s="30" t="inlineStr">
        <is>
          <t xml:space="preserve">89101</t>
        </is>
      </c>
      <c r="S545" s="32" t="inlineStr">
        <is>
          <t xml:space="preserve">Wildfire - WUI high hazard</t>
        </is>
      </c>
      <c r="T545" s="36">
        <f>IF($A545="","",IF($S545="","",IFERROR(INDEX('[1]natural catastrophe'!$D$6:$D$17,MATCH($S545,'[1]natural catastrophe'!$B$6:$B$17,0)),"?")))</f>
      </c>
      <c r="U545" s="30" t="inlineStr">
        <is>
          <t xml:space="preserve">$5,000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5669.81</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CANON-202607-008398</t>
        </is>
      </c>
      <c r="B546" s="46" t="inlineStr">
        <is>
          <t xml:space="preserve">Callum Fairweather</t>
        </is>
      </c>
      <c r="C546" s="47">
        <v>46221</v>
      </c>
      <c r="D546" s="48" t="inlineStr">
        <is>
          <t xml:space="preserve">Bound - within authority</t>
        </is>
      </c>
      <c r="E546" s="48" t="inlineStr">
        <is>
          <t xml:space="preserve">New business</t>
        </is>
      </c>
      <c r="F546" s="46" t="inlineStr">
        <is>
          <t xml:space="preserve">B1234EXOTIC26</t>
        </is>
      </c>
      <c r="G546" s="33">
        <f>IF($A546="","",IF($C546="","",YEAR($C546)))</f>
      </c>
      <c r="H546" s="49">
        <v>1976</v>
      </c>
      <c r="I546" s="46" t="inlineStr">
        <is>
          <t xml:space="preserve">Bentley</t>
        </is>
      </c>
      <c r="J546" s="46" t="inlineStr">
        <is>
          <t xml:space="preserve">Continental GT</t>
        </is>
      </c>
      <c r="K546" s="46" t="inlineStr">
        <is>
          <t xml:space="preserve">S2GXZU265Y9PXX3FW</t>
        </is>
      </c>
      <c r="L546" s="48" t="inlineStr">
        <is>
          <t xml:space="preserve">02 - Sports / GT</t>
        </is>
      </c>
      <c r="M546" s="50">
        <v>205000</v>
      </c>
      <c r="N546" s="48" t="inlineStr">
        <is>
          <t xml:space="preserve">Personal</t>
        </is>
      </c>
      <c r="O546" s="46" t="inlineStr">
        <is>
          <t xml:space="preserve">Personal - regular use</t>
        </is>
      </c>
      <c r="P546" s="46" t="inlineStr">
        <is>
          <t xml:space="preserve">Under 1,000</t>
        </is>
      </c>
      <c r="Q546" s="46" t="inlineStr">
        <is>
          <t xml:space="preserve">Texas</t>
        </is>
      </c>
      <c r="R546" s="46" t="inlineStr">
        <is>
          <t xml:space="preserve">75201</t>
        </is>
      </c>
      <c r="S546" s="48" t="inlineStr">
        <is>
          <t xml:space="preserve">Tier 2 - Coastal wind (1-25 miles)</t>
        </is>
      </c>
      <c r="T546" s="36">
        <f>IF($A546="","",IF($S546="","",IFERROR(INDEX('[1]natural catastrophe'!$D$6:$D$17,MATCH($S546,'[1]natural catastrophe'!$B$6:$B$17,0)),"?")))</f>
      </c>
      <c r="U546" s="46" t="inlineStr">
        <is>
          <t xml:space="preserve">2% of agreed value, minimum $10,000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3114.21</v>
      </c>
      <c r="AC546" s="51">
        <v>0</v>
      </c>
      <c r="AD546" s="38">
        <f>IF(ISNUMBER($AB546),$AB546*(1+N($AC546)),"")</f>
      </c>
      <c r="AE546" s="50">
        <v>350</v>
      </c>
      <c r="AF546" s="50">
        <v>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CANON-202607-008400</t>
        </is>
      </c>
      <c r="B547" s="30" t="inlineStr">
        <is>
          <t xml:space="preserve">Aurelio Pennington</t>
        </is>
      </c>
      <c r="C547" s="31">
        <v>46224</v>
      </c>
      <c r="D547" s="32" t="inlineStr">
        <is>
          <t xml:space="preserve">Bound - within authority</t>
        </is>
      </c>
      <c r="E547" s="32" t="inlineStr">
        <is>
          <t xml:space="preserve">New business</t>
        </is>
      </c>
      <c r="F547" s="30" t="inlineStr">
        <is>
          <t xml:space="preserve">B1234EXOTIC26</t>
        </is>
      </c>
      <c r="G547" s="33">
        <f>IF($A547="","",IF($C547="","",YEAR($C547)))</f>
      </c>
      <c r="H547" s="34">
        <v>1980</v>
      </c>
      <c r="I547" s="30" t="inlineStr">
        <is>
          <t xml:space="preserve">Ferrari</t>
        </is>
      </c>
      <c r="J547" s="30" t="inlineStr">
        <is>
          <t xml:space="preserve">SF90 Stradale</t>
        </is>
      </c>
      <c r="K547" s="30" t="inlineStr">
        <is>
          <t xml:space="preserve">6F7B6VH3LVJUPCL25</t>
        </is>
      </c>
      <c r="L547" s="32" t="inlineStr">
        <is>
          <t xml:space="preserve">03 - Supercar</t>
        </is>
      </c>
      <c r="M547" s="35">
        <v>490000</v>
      </c>
      <c r="N547" s="32" t="inlineStr">
        <is>
          <t xml:space="preserve">Personal</t>
        </is>
      </c>
      <c r="O547" s="30" t="inlineStr">
        <is>
          <t xml:space="preserve">Personal - regular use</t>
        </is>
      </c>
      <c r="P547" s="30" t="inlineStr">
        <is>
          <t xml:space="preserve">2,500 - 5,000</t>
        </is>
      </c>
      <c r="Q547" s="30" t="inlineStr">
        <is>
          <t xml:space="preserve">Connecticut</t>
        </is>
      </c>
      <c r="R547" s="30" t="inlineStr">
        <is>
          <t xml:space="preserve">06103</t>
        </is>
      </c>
      <c r="S547" s="32" t="inlineStr">
        <is>
          <t xml:space="preserve">Tier 3 - Coastal wind (25-100 miles)</t>
        </is>
      </c>
      <c r="T547" s="36">
        <f>IF($A547="","",IF($S547="","",IFERROR(INDEX('[1]natural catastrophe'!$D$6:$D$17,MATCH($S547,'[1]natural catastrophe'!$B$6:$B$17,0)),"?")))</f>
      </c>
      <c r="U547" s="30" t="inlineStr">
        <is>
          <t xml:space="preserve">2% of agreed value, minimum $10,000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9061.93</v>
      </c>
      <c r="AC547" s="37">
        <v>0</v>
      </c>
      <c r="AD547" s="38">
        <f>IF(ISNUMBER($AB547),$AB547*(1+N($AC547)),"")</f>
      </c>
      <c r="AE547" s="35">
        <v>350</v>
      </c>
      <c r="AF547" s="35">
        <v>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CANON-202607-008401</t>
        </is>
      </c>
      <c r="B548" s="46" t="inlineStr">
        <is>
          <t xml:space="preserve">Thaddeus Harrington</t>
        </is>
      </c>
      <c r="C548" s="47">
        <v>46218</v>
      </c>
      <c r="D548" s="48" t="inlineStr">
        <is>
          <t xml:space="preserve">Bound - within authority</t>
        </is>
      </c>
      <c r="E548" s="48" t="inlineStr">
        <is>
          <t xml:space="preserve">New business</t>
        </is>
      </c>
      <c r="F548" s="46" t="inlineStr">
        <is>
          <t xml:space="preserve">B1234EXOTIC26</t>
        </is>
      </c>
      <c r="G548" s="33">
        <f>IF($A548="","",IF($C548="","",YEAR($C548)))</f>
      </c>
      <c r="H548" s="49">
        <v>1989</v>
      </c>
      <c r="I548" s="46" t="inlineStr">
        <is>
          <t xml:space="preserve">Lamborghini</t>
        </is>
      </c>
      <c r="J548" s="46" t="inlineStr">
        <is>
          <t xml:space="preserve">Huracan EVO</t>
        </is>
      </c>
      <c r="K548" s="46" t="inlineStr">
        <is>
          <t xml:space="preserve">0V8KXRP38LY33L48L</t>
        </is>
      </c>
      <c r="L548" s="48" t="inlineStr">
        <is>
          <t xml:space="preserve">03 - Supercar</t>
        </is>
      </c>
      <c r="M548" s="50">
        <v>845000</v>
      </c>
      <c r="N548" s="48" t="inlineStr">
        <is>
          <t xml:space="preserve">Personal</t>
        </is>
      </c>
      <c r="O548" s="46" t="inlineStr">
        <is>
          <t xml:space="preserve">Personal - regular use</t>
        </is>
      </c>
      <c r="P548" s="46" t="inlineStr">
        <is>
          <t xml:space="preserve">2,500 - 5,000</t>
        </is>
      </c>
      <c r="Q548" s="46" t="inlineStr">
        <is>
          <t xml:space="preserve">Maryland</t>
        </is>
      </c>
      <c r="R548" s="46" t="inlineStr">
        <is>
          <t xml:space="preserve">21201</t>
        </is>
      </c>
      <c r="S548" s="48" t="inlineStr">
        <is>
          <t xml:space="preserve">Tier 3 - Coastal wind (25-100 miles)</t>
        </is>
      </c>
      <c r="T548" s="36">
        <f>IF($A548="","",IF($S548="","",IFERROR(INDEX('[1]natural catastrophe'!$D$6:$D$17,MATCH($S548,'[1]natural catastrophe'!$B$6:$B$17,0)),"?")))</f>
      </c>
      <c r="U548" s="46" t="inlineStr">
        <is>
          <t xml:space="preserve">2% of agreed value, minimum $10,000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10949.97</v>
      </c>
      <c r="AC548" s="51">
        <v>0</v>
      </c>
      <c r="AD548" s="38">
        <f>IF(ISNUMBER($AB548),$AB548*(1+N($AC548)),"")</f>
      </c>
      <c r="AE548" s="50">
        <v>350</v>
      </c>
      <c r="AF548" s="50">
        <v>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CANON-202607-008402</t>
        </is>
      </c>
      <c r="B549" s="30" t="inlineStr">
        <is>
          <t xml:space="preserve">Mireille Nakashima</t>
        </is>
      </c>
      <c r="C549" s="31">
        <v>46215</v>
      </c>
      <c r="D549" s="32" t="inlineStr">
        <is>
          <t xml:space="preserve">Bound - within authority</t>
        </is>
      </c>
      <c r="E549" s="32" t="inlineStr">
        <is>
          <t xml:space="preserve">New business</t>
        </is>
      </c>
      <c r="F549" s="30" t="inlineStr">
        <is>
          <t xml:space="preserve">B1234EXOTIC26</t>
        </is>
      </c>
      <c r="G549" s="33">
        <f>IF($A549="","",IF($C549="","",YEAR($C549)))</f>
      </c>
      <c r="H549" s="34">
        <v>1995</v>
      </c>
      <c r="I549" s="30" t="inlineStr">
        <is>
          <t xml:space="preserve">Ferrari</t>
        </is>
      </c>
      <c r="J549" s="30" t="inlineStr">
        <is>
          <t xml:space="preserve">296 GTB</t>
        </is>
      </c>
      <c r="K549" s="30" t="inlineStr">
        <is>
          <t xml:space="preserve">JXZE5AMB42XXJTHP2</t>
        </is>
      </c>
      <c r="L549" s="32" t="inlineStr">
        <is>
          <t xml:space="preserve">03 - Supercar</t>
        </is>
      </c>
      <c r="M549" s="35">
        <v>625000</v>
      </c>
      <c r="N549" s="32" t="inlineStr">
        <is>
          <t xml:space="preserve">Personal</t>
        </is>
      </c>
      <c r="O549" s="30" t="inlineStr">
        <is>
          <t xml:space="preserve">Personal - regular use</t>
        </is>
      </c>
      <c r="P549" s="30" t="inlineStr">
        <is>
          <t xml:space="preserve">1,000 - 2,500</t>
        </is>
      </c>
      <c r="Q549" s="30" t="inlineStr">
        <is>
          <t xml:space="preserve">Washington</t>
        </is>
      </c>
      <c r="R549" s="30" t="inlineStr">
        <is>
          <t xml:space="preserve">98101</t>
        </is>
      </c>
      <c r="S549" s="32" t="inlineStr">
        <is>
          <t xml:space="preserve">Earthquake - high (CA, Cascadia, New Madrid)</t>
        </is>
      </c>
      <c r="T549" s="36">
        <f>IF($A549="","",IF($S549="","",IFERROR(INDEX('[1]natural catastrophe'!$D$6:$D$17,MATCH($S549,'[1]natural catastrophe'!$B$6:$B$17,0)),"?")))</f>
      </c>
      <c r="U549" s="30" t="inlineStr">
        <is>
          <t xml:space="preserve">$5,000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8184.34</v>
      </c>
      <c r="AC549" s="37">
        <v>0</v>
      </c>
      <c r="AD549" s="38">
        <f>IF(ISNUMBER($AB549),$AB549*(1+N($AC549)),"")</f>
      </c>
      <c r="AE549" s="35">
        <v>350</v>
      </c>
      <c r="AF549" s="35">
        <v>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CANON-202607-008403</t>
        </is>
      </c>
      <c r="B550" s="46" t="inlineStr">
        <is>
          <t xml:space="preserve">Desmond Blackwood</t>
        </is>
      </c>
      <c r="C550" s="47">
        <v>46209</v>
      </c>
      <c r="D550" s="48" t="inlineStr">
        <is>
          <t xml:space="preserve">Bound - within authority</t>
        </is>
      </c>
      <c r="E550" s="48" t="inlineStr">
        <is>
          <t xml:space="preserve">New business</t>
        </is>
      </c>
      <c r="F550" s="46" t="inlineStr">
        <is>
          <t xml:space="preserve">B1234EXOTIC26</t>
        </is>
      </c>
      <c r="G550" s="33">
        <f>IF($A550="","",IF($C550="","",YEAR($C550)))</f>
      </c>
      <c r="H550" s="49">
        <v>1955</v>
      </c>
      <c r="I550" s="46" t="inlineStr">
        <is>
          <t xml:space="preserve">BMW</t>
        </is>
      </c>
      <c r="J550" s="46" t="inlineStr">
        <is>
          <t xml:space="preserve">M8 Competition</t>
        </is>
      </c>
      <c r="K550" s="46" t="inlineStr">
        <is>
          <t xml:space="preserve">RKEJ9CCD39WYUBUXK</t>
        </is>
      </c>
      <c r="L550" s="48" t="inlineStr">
        <is>
          <t xml:space="preserve">02 - Sports / GT</t>
        </is>
      </c>
      <c r="M550" s="50">
        <v>320000</v>
      </c>
      <c r="N550" s="48" t="inlineStr">
        <is>
          <t xml:space="preserve">Personal</t>
        </is>
      </c>
      <c r="O550" s="46" t="inlineStr">
        <is>
          <t xml:space="preserve">Personal - regular use</t>
        </is>
      </c>
      <c r="P550" s="46" t="inlineStr">
        <is>
          <t xml:space="preserve">1,000 - 2,500</t>
        </is>
      </c>
      <c r="Q550" s="46" t="inlineStr">
        <is>
          <t xml:space="preserve">South Carolina</t>
        </is>
      </c>
      <c r="R550" s="46" t="inlineStr">
        <is>
          <t xml:space="preserve">29401</t>
        </is>
      </c>
      <c r="S550" s="48" t="inlineStr">
        <is>
          <t xml:space="preserve">Tier 2 - Coastal wind (1-25 miles)</t>
        </is>
      </c>
      <c r="T550" s="36">
        <f>IF($A550="","",IF($S550="","",IFERROR(INDEX('[1]natural catastrophe'!$D$6:$D$17,MATCH($S550,'[1]natural catastrophe'!$B$6:$B$17,0)),"?")))</f>
      </c>
      <c r="U550" s="46" t="inlineStr">
        <is>
          <t xml:space="preserve">2% of agreed value, minimum $10,000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4273.08</v>
      </c>
      <c r="AC550" s="51">
        <v>0</v>
      </c>
      <c r="AD550" s="38">
        <f>IF(ISNUMBER($AB550),$AB550*(1+N($AC550)),"")</f>
      </c>
      <c r="AE550" s="50">
        <v>350</v>
      </c>
      <c r="AF550" s="50">
        <v>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row r="551" spans="1:58" ht="18.75" customHeight="1" x14ac:dyDescent="0.25">
      <c r="A551" s="30" t="inlineStr">
        <is>
          <t xml:space="preserve">CANON-202607-008406</t>
        </is>
      </c>
      <c r="B551" s="30" t="inlineStr">
        <is>
          <t xml:space="preserve">Delphine Bellandi</t>
        </is>
      </c>
      <c r="C551" s="31">
        <v>46214</v>
      </c>
      <c r="D551" s="32" t="inlineStr">
        <is>
          <t xml:space="preserve">Bound - within authority</t>
        </is>
      </c>
      <c r="E551" s="32" t="inlineStr">
        <is>
          <t xml:space="preserve">New business</t>
        </is>
      </c>
      <c r="F551" s="30" t="inlineStr">
        <is>
          <t xml:space="preserve">B1234EXOTIC26</t>
        </is>
      </c>
      <c r="G551" s="33">
        <f>IF($A551="","",IF($C551="","",YEAR($C551)))</f>
      </c>
      <c r="H551" s="34">
        <v>2005</v>
      </c>
      <c r="I551" s="30" t="inlineStr">
        <is>
          <t xml:space="preserve">Bentley</t>
        </is>
      </c>
      <c r="J551" s="30" t="inlineStr">
        <is>
          <t xml:space="preserve">Continental GT</t>
        </is>
      </c>
      <c r="K551" s="30" t="inlineStr">
        <is>
          <t xml:space="preserve">TSV8DDXJ5HJP5JEFM</t>
        </is>
      </c>
      <c r="L551" s="32" t="inlineStr">
        <is>
          <t xml:space="preserve">02 - Sports / GT</t>
        </is>
      </c>
      <c r="M551" s="35">
        <v>330000</v>
      </c>
      <c r="N551" s="32" t="inlineStr">
        <is>
          <t xml:space="preserve">Personal</t>
        </is>
      </c>
      <c r="O551" s="30" t="inlineStr">
        <is>
          <t xml:space="preserve">Personal - regular use</t>
        </is>
      </c>
      <c r="P551" s="30" t="inlineStr">
        <is>
          <t xml:space="preserve">1,000 - 2,500</t>
        </is>
      </c>
      <c r="Q551" s="30" t="inlineStr">
        <is>
          <t xml:space="preserve">Pennsylvania</t>
        </is>
      </c>
      <c r="R551" s="30" t="inlineStr">
        <is>
          <t xml:space="preserve">19103</t>
        </is>
      </c>
      <c r="S551" s="32" t="inlineStr">
        <is>
          <t xml:space="preserve">Low hazard - inland benign</t>
        </is>
      </c>
      <c r="T551" s="36">
        <f>IF($A551="","",IF($S551="","",IFERROR(INDEX('[1]natural catastrophe'!$D$6:$D$17,MATCH($S551,'[1]natural catastrophe'!$B$6:$B$17,0)),"?")))</f>
      </c>
      <c r="U551" s="30" t="inlineStr">
        <is>
          <t xml:space="preserve">$5,000</t>
        </is>
      </c>
      <c r="V551" s="32" t="inlineStr">
        <is>
          <t xml:space="preserve">Agreed Value</t>
        </is>
      </c>
      <c r="W551" s="30" t="inlineStr">
        <is>
          <t xml:space="preserve">$1,000</t>
        </is>
      </c>
      <c r="X551" s="32" t="inlineStr">
        <is>
          <t xml:space="preserve">$1,000,000 CSL</t>
        </is>
      </c>
      <c r="Y551" s="30"/>
      <c r="Z551" s="30"/>
      <c r="AA551" s="32" t="inlineStr">
        <is>
          <t xml:space="preserve">Surplus Lines</t>
        </is>
      </c>
      <c r="AB551" s="35">
        <v>3553.73</v>
      </c>
      <c r="AC551" s="37">
        <v>0</v>
      </c>
      <c r="AD551" s="38">
        <f>IF(ISNUMBER($AB551),$AB551*(1+N($AC551)),"")</f>
      </c>
      <c r="AE551" s="35">
        <v>350</v>
      </c>
      <c r="AF551" s="35">
        <v>0</v>
      </c>
      <c r="AG551" s="37"/>
      <c r="AH551" s="39">
        <f>IF(ISNUMBER($AD551),($AD551+$AE551+$AF551)*$AG551,"")</f>
      </c>
      <c r="AI551" s="35"/>
      <c r="AJ551" s="38">
        <f>IF(ISNUMBER($AD551),SUM($AD551:$AH551),"")</f>
      </c>
      <c r="AK551" s="40">
        <f>IF(AND(ISNUMBER($AB551),ISNUMBER($AD551)),IF($AB551&gt;0,$AD551/$AB551,""),"")</f>
      </c>
      <c r="AL551" s="32" t="inlineStr">
        <is>
          <t xml:space="preserve">At technical</t>
        </is>
      </c>
      <c r="AM551" s="41">
        <f>IF(ISNUMBER($AD551),Header!$I$3,"")</f>
      </c>
      <c r="AN551" s="39">
        <f>IF(ISNUMBER($AD551),$AO551+$AP551,"")</f>
      </c>
      <c r="AO551" s="39">
        <f>IF(ISNUMBER($AD551),ROUND($AD551*Header!$K$3,2),"")</f>
      </c>
      <c r="AP551" s="39">
        <f>IF(ISNUMBER($AD551),ROUND($AD551*Header!$M$3,2),"")</f>
      </c>
      <c r="AQ551" s="38">
        <f>IF(ISNUMBER($AD551),ROUND($AD551,2)-$AO551-$AP551,"")</f>
      </c>
      <c r="AR551" s="39">
        <f>IF(ISNUMBER($AD551),IF(Header!$D$34="","?",$AD551*Header!$D$34),"")</f>
      </c>
      <c r="AS551" s="39">
        <f>IF(ISNUMBER($AB551),IF(Header!$D$34="","?",$AB551*Header!$D$34),"")</f>
      </c>
      <c r="AT551" s="42">
        <f>IF(AND(ISNUMBER($AB551),$M551&gt;0),$AB551/$M551*100,"")</f>
      </c>
      <c r="AU551" s="42">
        <f>IF(AND(ISNUMBER($AD551),$M551&gt;0),$AD551/$M551*100,"")</f>
      </c>
      <c r="AV551" s="40">
        <f>IF(AND(ISNUMBER($AB551),ISNUMBER($AD551),ABS($AB551)&gt;0),$AD551/$AB551,"")</f>
      </c>
      <c r="AW551" s="39">
        <f>IF(ISNUMBER($AD551),MAX(0,(1-0.55-Header!$O$3)*Header!$Q$3*$AQ551),"")</f>
      </c>
      <c r="AX551" s="43">
        <f>IF($A551="","",IF(TRIM(IF($A551="","Missing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",""))="","PASS","FAIL: "&amp;TRIM(IF($A551="","Missing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f>
      </c>
      <c r="AY551" s="44">
        <f>IF($M551="","",IF(ISNUMBER($M551),IF($M551&gt;=Header!$C$18,"YES — refer","No"),""))</f>
      </c>
      <c r="AZ551" s="44">
        <f>IF($AD551="","",IF(ISNUMBER($AD551),IF($AD551&lt;Header!$C$20,"BELOW MIN PREMIUM","OK"),""))</f>
      </c>
      <c r="BA551" s="32" t="inlineStr">
        <is>
          <t xml:space="preserve">Yes</t>
        </is>
      </c>
      <c r="BB551" s="32" t="inlineStr">
        <is>
          <t xml:space="preserve">Yes</t>
        </is>
      </c>
      <c r="BC551" s="30" t="inlineStr">
        <is>
          <t xml:space="preserve">Synthetic demo data</t>
        </is>
      </c>
      <c r="BE551" s="45">
        <f>IF(OR($A551="",$L551="",$H551=""),"",IF(AND(LEFT($L551,2)="06",$H551&gt;1945),"FAIL - pre-war class, year "&amp;$H551,IF(AND(LEFT($L551,2)="07",OR($H551&lt;1946,$H551&gt;1972)),"FAIL - 1946-72 class, year "&amp;$H551,IF(AND(LEFT($L551,2)="08",OR($H551&lt;1973,$H551&gt;1999)),"FAIL - 1973-99 class, year "&amp;$H551,IF(AND(LEFT($L551,2)="09",OR($H551&lt;2000,$H551&gt;2010)),"FAIL - 2000-10 class, year "&amp;$H551,"OK")))))</f>
      </c>
      <c r="BF551" s="45">
        <f>IF($AD551="","",IF(ROUND($AO551+$AP551+$AQ551-$AD551,2)=0,"OK","FAIL - out by "&amp;TEXT($AO551+$AP551+$AQ551-$AD551,"$0.00")))</f>
      </c>
    </row>
    <row r="552" spans="1:58" ht="18.75" customHeight="1" x14ac:dyDescent="0.25">
      <c r="A552" s="46" t="inlineStr">
        <is>
          <t xml:space="preserve">CANON-202607-008407</t>
        </is>
      </c>
      <c r="B552" s="46" t="inlineStr">
        <is>
          <t xml:space="preserve">Everett Farkas</t>
        </is>
      </c>
      <c r="C552" s="47">
        <v>46208</v>
      </c>
      <c r="D552" s="48" t="inlineStr">
        <is>
          <t xml:space="preserve">Bound - within authority</t>
        </is>
      </c>
      <c r="E552" s="48" t="inlineStr">
        <is>
          <t xml:space="preserve">New business</t>
        </is>
      </c>
      <c r="F552" s="46" t="inlineStr">
        <is>
          <t xml:space="preserve">B1234EXOTIC26</t>
        </is>
      </c>
      <c r="G552" s="33">
        <f>IF($A552="","",IF($C552="","",YEAR($C552)))</f>
      </c>
      <c r="H552" s="49">
        <v>1996</v>
      </c>
      <c r="I552" s="46" t="inlineStr">
        <is>
          <t xml:space="preserve">Bentley</t>
        </is>
      </c>
      <c r="J552" s="46" t="inlineStr">
        <is>
          <t xml:space="preserve">Continental GT</t>
        </is>
      </c>
      <c r="K552" s="46" t="inlineStr">
        <is>
          <t xml:space="preserve">SMDJBLHWJ0S5T453R</t>
        </is>
      </c>
      <c r="L552" s="48" t="inlineStr">
        <is>
          <t xml:space="preserve">02 - Sports / GT</t>
        </is>
      </c>
      <c r="M552" s="50">
        <v>450000</v>
      </c>
      <c r="N552" s="48" t="inlineStr">
        <is>
          <t xml:space="preserve">Personal</t>
        </is>
      </c>
      <c r="O552" s="46" t="inlineStr">
        <is>
          <t xml:space="preserve">Personal - regular use</t>
        </is>
      </c>
      <c r="P552" s="46" t="inlineStr">
        <is>
          <t xml:space="preserve">1,000 - 2,500</t>
        </is>
      </c>
      <c r="Q552" s="46" t="inlineStr">
        <is>
          <t xml:space="preserve">Illinois</t>
        </is>
      </c>
      <c r="R552" s="46" t="inlineStr">
        <is>
          <t xml:space="preserve">60601</t>
        </is>
      </c>
      <c r="S552" s="48" t="inlineStr">
        <is>
          <t xml:space="preserve">Severe convective - hail / tornado (moderate)</t>
        </is>
      </c>
      <c r="T552" s="36">
        <f>IF($A552="","",IF($S552="","",IFERROR(INDEX('[1]natural catastrophe'!$D$6:$D$17,MATCH($S552,'[1]natural catastrophe'!$B$6:$B$17,0)),"?")))</f>
      </c>
      <c r="U552" s="46" t="inlineStr">
        <is>
          <t xml:space="preserve">$5,000</t>
        </is>
      </c>
      <c r="V552" s="48" t="inlineStr">
        <is>
          <t xml:space="preserve">Agreed Value</t>
        </is>
      </c>
      <c r="W552" s="46" t="inlineStr">
        <is>
          <t xml:space="preserve">$1,000</t>
        </is>
      </c>
      <c r="X552" s="48" t="inlineStr">
        <is>
          <t xml:space="preserve">$1,000,000 CSL</t>
        </is>
      </c>
      <c r="Y552" s="46"/>
      <c r="Z552" s="46"/>
      <c r="AA552" s="48" t="inlineStr">
        <is>
          <t xml:space="preserve">Surplus Lines</t>
        </is>
      </c>
      <c r="AB552" s="50">
        <v>6590.55</v>
      </c>
      <c r="AC552" s="51">
        <v>0</v>
      </c>
      <c r="AD552" s="38">
        <f>IF(ISNUMBER($AB552),$AB552*(1+N($AC552)),"")</f>
      </c>
      <c r="AE552" s="50">
        <v>350</v>
      </c>
      <c r="AF552" s="50">
        <v>0</v>
      </c>
      <c r="AG552" s="51"/>
      <c r="AH552" s="39">
        <f>IF(ISNUMBER($AD552),($AD552+$AE552+$AF552)*$AG552,"")</f>
      </c>
      <c r="AI552" s="50"/>
      <c r="AJ552" s="38">
        <f>IF(ISNUMBER($AD552),SUM($AD552:$AH552),"")</f>
      </c>
      <c r="AK552" s="40">
        <f>IF(AND(ISNUMBER($AB552),ISNUMBER($AD552)),IF($AB552&gt;0,$AD552/$AB552,""),"")</f>
      </c>
      <c r="AL552" s="48" t="inlineStr">
        <is>
          <t xml:space="preserve">At technical</t>
        </is>
      </c>
      <c r="AM552" s="41">
        <f>IF(ISNUMBER($AD552),Header!$I$3,"")</f>
      </c>
      <c r="AN552" s="39">
        <f>IF(ISNUMBER($AD552),$AO552+$AP552,"")</f>
      </c>
      <c r="AO552" s="39">
        <f>IF(ISNUMBER($AD552),ROUND($AD552*Header!$K$3,2),"")</f>
      </c>
      <c r="AP552" s="39">
        <f>IF(ISNUMBER($AD552),ROUND($AD552*Header!$M$3,2),"")</f>
      </c>
      <c r="AQ552" s="38">
        <f>IF(ISNUMBER($AD552),ROUND($AD552,2)-$AO552-$AP552,"")</f>
      </c>
      <c r="AR552" s="39">
        <f>IF(ISNUMBER($AD552),IF(Header!$D$34="","?",$AD552*Header!$D$34),"")</f>
      </c>
      <c r="AS552" s="39">
        <f>IF(ISNUMBER($AB552),IF(Header!$D$34="","?",$AB552*Header!$D$34),"")</f>
      </c>
      <c r="AT552" s="42">
        <f>IF(AND(ISNUMBER($AB552),$M552&gt;0),$AB552/$M552*100,"")</f>
      </c>
      <c r="AU552" s="42">
        <f>IF(AND(ISNUMBER($AD552),$M552&gt;0),$AD552/$M552*100,"")</f>
      </c>
      <c r="AV552" s="40">
        <f>IF(AND(ISNUMBER($AB552),ISNUMBER($AD552),ABS($AB552)&gt;0),$AD552/$AB552,"")</f>
      </c>
      <c r="AW552" s="39">
        <f>IF(ISNUMBER($AD552),MAX(0,(1-0.55-Header!$O$3)*Header!$Q$3*$AQ552),"")</f>
      </c>
      <c r="AX552" s="43">
        <f>IF($A552="","",IF(TRIM(IF($A552="","Missing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",""))="","PASS","FAIL: "&amp;TRIM(IF($A552="","Missing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f>
      </c>
      <c r="AY552" s="44">
        <f>IF($M552="","",IF(ISNUMBER($M552),IF($M552&gt;=Header!$C$18,"YES — refer","No"),""))</f>
      </c>
      <c r="AZ552" s="44">
        <f>IF($AD552="","",IF(ISNUMBER($AD552),IF($AD552&lt;Header!$C$20,"BELOW MIN PREMIUM","OK"),""))</f>
      </c>
      <c r="BA552" s="48" t="inlineStr">
        <is>
          <t xml:space="preserve">Yes</t>
        </is>
      </c>
      <c r="BB552" s="48" t="inlineStr">
        <is>
          <t xml:space="preserve">Yes</t>
        </is>
      </c>
      <c r="BC552" s="46" t="inlineStr">
        <is>
          <t xml:space="preserve">Synthetic demo data</t>
        </is>
      </c>
      <c r="BE552" s="45">
        <f>IF(OR($A552="",$L552="",$H552=""),"",IF(AND(LEFT($L552,2)="06",$H552&gt;1945),"FAIL - pre-war class, year "&amp;$H552,IF(AND(LEFT($L552,2)="07",OR($H552&lt;1946,$H552&gt;1972)),"FAIL - 1946-72 class, year "&amp;$H552,IF(AND(LEFT($L552,2)="08",OR($H552&lt;1973,$H552&gt;1999)),"FAIL - 1973-99 class, year "&amp;$H552,IF(AND(LEFT($L552,2)="09",OR($H552&lt;2000,$H552&gt;2010)),"FAIL - 2000-10 class, year "&amp;$H552,"OK")))))</f>
      </c>
      <c r="BF552" s="45">
        <f>IF($AD552="","",IF(ROUND($AO552+$AP552+$AQ552-$AD552,2)=0,"OK","FAIL - out by "&amp;TEXT($AO552+$AP552+$AQ552-$AD552,"$0.00")))</f>
      </c>
    </row>
    <row r="553" spans="1:58" ht="18.75" customHeight="1" x14ac:dyDescent="0.25">
      <c r="A553" s="30" t="inlineStr">
        <is>
          <t xml:space="preserve">CANON-202607-008408</t>
        </is>
      </c>
      <c r="B553" s="30" t="inlineStr">
        <is>
          <t xml:space="preserve">Priya Ashcombe</t>
        </is>
      </c>
      <c r="C553" s="31">
        <v>46214</v>
      </c>
      <c r="D553" s="32" t="inlineStr">
        <is>
          <t xml:space="preserve">Bound - within authority</t>
        </is>
      </c>
      <c r="E553" s="32" t="inlineStr">
        <is>
          <t xml:space="preserve">New business</t>
        </is>
      </c>
      <c r="F553" s="30" t="inlineStr">
        <is>
          <t xml:space="preserve">B1234EXOTIC26</t>
        </is>
      </c>
      <c r="G553" s="33">
        <f>IF($A553="","",IF($C553="","",YEAR($C553)))</f>
      </c>
      <c r="H553" s="34">
        <v>1973</v>
      </c>
      <c r="I553" s="30" t="inlineStr">
        <is>
          <t xml:space="preserve">Bentley</t>
        </is>
      </c>
      <c r="J553" s="30" t="inlineStr">
        <is>
          <t xml:space="preserve">Continental GT</t>
        </is>
      </c>
      <c r="K553" s="30" t="inlineStr">
        <is>
          <t xml:space="preserve">1FB9RT4S7VAFZTDZX</t>
        </is>
      </c>
      <c r="L553" s="32" t="inlineStr">
        <is>
          <t xml:space="preserve">02 - Sports / GT</t>
        </is>
      </c>
      <c r="M553" s="35">
        <v>840000</v>
      </c>
      <c r="N553" s="32" t="inlineStr">
        <is>
          <t xml:space="preserve">Personal</t>
        </is>
      </c>
      <c r="O553" s="30" t="inlineStr">
        <is>
          <t xml:space="preserve">Personal - regular use</t>
        </is>
      </c>
      <c r="P553" s="30" t="inlineStr">
        <is>
          <t xml:space="preserve">2,500 - 5,000</t>
        </is>
      </c>
      <c r="Q553" s="30" t="inlineStr">
        <is>
          <t xml:space="preserve">California</t>
        </is>
      </c>
      <c r="R553" s="30" t="inlineStr">
        <is>
          <t xml:space="preserve">90012</t>
        </is>
      </c>
      <c r="S553" s="32" t="inlineStr">
        <is>
          <t xml:space="preserve">Earthquake - high (CA, Cascadia, New Madrid)</t>
        </is>
      </c>
      <c r="T553" s="36">
        <f>IF($A553="","",IF($S553="","",IFERROR(INDEX('[1]natural catastrophe'!$D$6:$D$17,MATCH($S553,'[1]natural catastrophe'!$B$6:$B$17,0)),"?")))</f>
      </c>
      <c r="U553" s="30" t="inlineStr">
        <is>
          <t xml:space="preserve">$5,000</t>
        </is>
      </c>
      <c r="V553" s="32" t="inlineStr">
        <is>
          <t xml:space="preserve">Agreed Value</t>
        </is>
      </c>
      <c r="W553" s="30" t="inlineStr">
        <is>
          <t xml:space="preserve">$1,000</t>
        </is>
      </c>
      <c r="X553" s="32" t="inlineStr">
        <is>
          <t xml:space="preserve">$1,000,000 CSL</t>
        </is>
      </c>
      <c r="Y553" s="30"/>
      <c r="Z553" s="30"/>
      <c r="AA553" s="32" t="inlineStr">
        <is>
          <t xml:space="preserve">Surplus Lines</t>
        </is>
      </c>
      <c r="AB553" s="35">
        <v>10583.65</v>
      </c>
      <c r="AC553" s="37">
        <v>0</v>
      </c>
      <c r="AD553" s="38">
        <f>IF(ISNUMBER($AB553),$AB553*(1+N($AC553)),"")</f>
      </c>
      <c r="AE553" s="35">
        <v>350</v>
      </c>
      <c r="AF553" s="35">
        <v>0</v>
      </c>
      <c r="AG553" s="37"/>
      <c r="AH553" s="39">
        <f>IF(ISNUMBER($AD553),($AD553+$AE553+$AF553)*$AG553,"")</f>
      </c>
      <c r="AI553" s="35"/>
      <c r="AJ553" s="38">
        <f>IF(ISNUMBER($AD553),SUM($AD553:$AH553),"")</f>
      </c>
      <c r="AK553" s="40">
        <f>IF(AND(ISNUMBER($AB553),ISNUMBER($AD553)),IF($AB553&gt;0,$AD553/$AB553,""),"")</f>
      </c>
      <c r="AL553" s="32" t="inlineStr">
        <is>
          <t xml:space="preserve">At technical</t>
        </is>
      </c>
      <c r="AM553" s="41">
        <f>IF(ISNUMBER($AD553),Header!$I$3,"")</f>
      </c>
      <c r="AN553" s="39">
        <f>IF(ISNUMBER($AD553),$AO553+$AP553,"")</f>
      </c>
      <c r="AO553" s="39">
        <f>IF(ISNUMBER($AD553),ROUND($AD553*Header!$K$3,2),"")</f>
      </c>
      <c r="AP553" s="39">
        <f>IF(ISNUMBER($AD553),ROUND($AD553*Header!$M$3,2),"")</f>
      </c>
      <c r="AQ553" s="38">
        <f>IF(ISNUMBER($AD553),ROUND($AD553,2)-$AO553-$AP553,"")</f>
      </c>
      <c r="AR553" s="39">
        <f>IF(ISNUMBER($AD553),IF(Header!$D$34="","?",$AD553*Header!$D$34),"")</f>
      </c>
      <c r="AS553" s="39">
        <f>IF(ISNUMBER($AB553),IF(Header!$D$34="","?",$AB553*Header!$D$34),"")</f>
      </c>
      <c r="AT553" s="42">
        <f>IF(AND(ISNUMBER($AB553),$M553&gt;0),$AB553/$M553*100,"")</f>
      </c>
      <c r="AU553" s="42">
        <f>IF(AND(ISNUMBER($AD553),$M553&gt;0),$AD553/$M553*100,"")</f>
      </c>
      <c r="AV553" s="40">
        <f>IF(AND(ISNUMBER($AB553),ISNUMBER($AD553),ABS($AB553)&gt;0),$AD553/$AB553,"")</f>
      </c>
      <c r="AW553" s="39">
        <f>IF(ISNUMBER($AD553),MAX(0,(1-0.55-Header!$O$3)*Header!$Q$3*$AQ553),"")</f>
      </c>
      <c r="AX553" s="43">
        <f>IF($A553="","",IF(TRIM(IF($A553="","Missing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",""))="","PASS","FAIL: "&amp;TRIM(IF($A553="","Missing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f>
      </c>
      <c r="AY553" s="44">
        <f>IF($M553="","",IF(ISNUMBER($M553),IF($M553&gt;=Header!$C$18,"YES — refer","No"),""))</f>
      </c>
      <c r="AZ553" s="44">
        <f>IF($AD553="","",IF(ISNUMBER($AD553),IF($AD553&lt;Header!$C$20,"BELOW MIN PREMIUM","OK"),""))</f>
      </c>
      <c r="BA553" s="32" t="inlineStr">
        <is>
          <t xml:space="preserve">Yes</t>
        </is>
      </c>
      <c r="BB553" s="32" t="inlineStr">
        <is>
          <t xml:space="preserve">Yes</t>
        </is>
      </c>
      <c r="BC553" s="30" t="inlineStr">
        <is>
          <t xml:space="preserve">Synthetic demo data</t>
        </is>
      </c>
      <c r="BE553" s="45">
        <f>IF(OR($A553="",$L553="",$H553=""),"",IF(AND(LEFT($L553,2)="06",$H553&gt;1945),"FAIL - pre-war class, year "&amp;$H553,IF(AND(LEFT($L553,2)="07",OR($H553&lt;1946,$H553&gt;1972)),"FAIL - 1946-72 class, year "&amp;$H553,IF(AND(LEFT($L553,2)="08",OR($H553&lt;1973,$H553&gt;1999)),"FAIL - 1973-99 class, year "&amp;$H553,IF(AND(LEFT($L553,2)="09",OR($H553&lt;2000,$H553&gt;2010)),"FAIL - 2000-10 class, year "&amp;$H553,"OK")))))</f>
      </c>
      <c r="BF553" s="45">
        <f>IF($AD553="","",IF(ROUND($AO553+$AP553+$AQ553-$AD553,2)=0,"OK","FAIL - out by "&amp;TEXT($AO553+$AP553+$AQ553-$AD553,"$0.00")))</f>
      </c>
    </row>
    <row r="554" spans="1:58" ht="18.75" customHeight="1" x14ac:dyDescent="0.25">
      <c r="A554" s="46" t="inlineStr">
        <is>
          <t xml:space="preserve">CANON-202607-008409</t>
        </is>
      </c>
      <c r="B554" s="46" t="inlineStr">
        <is>
          <t xml:space="preserve">Lorenzo Okonkwo</t>
        </is>
      </c>
      <c r="C554" s="47">
        <v>46233</v>
      </c>
      <c r="D554" s="48" t="inlineStr">
        <is>
          <t xml:space="preserve">Bound - within authority</t>
        </is>
      </c>
      <c r="E554" s="48" t="inlineStr">
        <is>
          <t xml:space="preserve">New business</t>
        </is>
      </c>
      <c r="F554" s="46" t="inlineStr">
        <is>
          <t xml:space="preserve">B1234EXOTIC26</t>
        </is>
      </c>
      <c r="G554" s="33">
        <f>IF($A554="","",IF($C554="","",YEAR($C554)))</f>
      </c>
      <c r="H554" s="49">
        <v>2007</v>
      </c>
      <c r="I554" s="46" t="inlineStr">
        <is>
          <t xml:space="preserve">Mercedes-Benz</t>
        </is>
      </c>
      <c r="J554" s="46" t="inlineStr">
        <is>
          <t xml:space="preserve">AMG GT</t>
        </is>
      </c>
      <c r="K554" s="46" t="inlineStr">
        <is>
          <t xml:space="preserve">CD7DSWWRS5A6DY29W</t>
        </is>
      </c>
      <c r="L554" s="48" t="inlineStr">
        <is>
          <t xml:space="preserve">02 - Sports / GT</t>
        </is>
      </c>
      <c r="M554" s="50">
        <v>350000</v>
      </c>
      <c r="N554" s="48" t="inlineStr">
        <is>
          <t xml:space="preserve">Personal</t>
        </is>
      </c>
      <c r="O554" s="46" t="inlineStr">
        <is>
          <t xml:space="preserve">Personal - regular use</t>
        </is>
      </c>
      <c r="P554" s="46" t="inlineStr">
        <is>
          <t xml:space="preserve">2,500 - 5,000</t>
        </is>
      </c>
      <c r="Q554" s="46" t="inlineStr">
        <is>
          <t xml:space="preserve">Massachusetts</t>
        </is>
      </c>
      <c r="R554" s="46" t="inlineStr">
        <is>
          <t xml:space="preserve">02108</t>
        </is>
      </c>
      <c r="S554" s="48" t="inlineStr">
        <is>
          <t xml:space="preserve">Tier 3 - Coastal wind (25-100 miles)</t>
        </is>
      </c>
      <c r="T554" s="36">
        <f>IF($A554="","",IF($S554="","",IFERROR(INDEX('[1]natural catastrophe'!$D$6:$D$17,MATCH($S554,'[1]natural catastrophe'!$B$6:$B$17,0)),"?")))</f>
      </c>
      <c r="U554" s="46" t="inlineStr">
        <is>
          <t xml:space="preserve">2% of agreed value, minimum $10,000</t>
        </is>
      </c>
      <c r="V554" s="48" t="inlineStr">
        <is>
          <t xml:space="preserve">Agreed Value</t>
        </is>
      </c>
      <c r="W554" s="46" t="inlineStr">
        <is>
          <t xml:space="preserve">$1,000</t>
        </is>
      </c>
      <c r="X554" s="48" t="inlineStr">
        <is>
          <t xml:space="preserve">$1,000,000 CSL</t>
        </is>
      </c>
      <c r="Y554" s="46"/>
      <c r="Z554" s="46"/>
      <c r="AA554" s="48" t="inlineStr">
        <is>
          <t xml:space="preserve">Surplus Lines</t>
        </is>
      </c>
      <c r="AB554" s="50">
        <v>4711.38</v>
      </c>
      <c r="AC554" s="51">
        <v>0</v>
      </c>
      <c r="AD554" s="38">
        <f>IF(ISNUMBER($AB554),$AB554*(1+N($AC554)),"")</f>
      </c>
      <c r="AE554" s="50">
        <v>350</v>
      </c>
      <c r="AF554" s="50">
        <v>0</v>
      </c>
      <c r="AG554" s="51"/>
      <c r="AH554" s="39">
        <f>IF(ISNUMBER($AD554),($AD554+$AE554+$AF554)*$AG554,"")</f>
      </c>
      <c r="AI554" s="50"/>
      <c r="AJ554" s="38">
        <f>IF(ISNUMBER($AD554),SUM($AD554:$AH554),"")</f>
      </c>
      <c r="AK554" s="40">
        <f>IF(AND(ISNUMBER($AB554),ISNUMBER($AD554)),IF($AB554&gt;0,$AD554/$AB554,""),"")</f>
      </c>
      <c r="AL554" s="48" t="inlineStr">
        <is>
          <t xml:space="preserve">At technical</t>
        </is>
      </c>
      <c r="AM554" s="41">
        <f>IF(ISNUMBER($AD554),Header!$I$3,"")</f>
      </c>
      <c r="AN554" s="39">
        <f>IF(ISNUMBER($AD554),$AO554+$AP554,"")</f>
      </c>
      <c r="AO554" s="39">
        <f>IF(ISNUMBER($AD554),ROUND($AD554*Header!$K$3,2),"")</f>
      </c>
      <c r="AP554" s="39">
        <f>IF(ISNUMBER($AD554),ROUND($AD554*Header!$M$3,2),"")</f>
      </c>
      <c r="AQ554" s="38">
        <f>IF(ISNUMBER($AD554),ROUND($AD554,2)-$AO554-$AP554,"")</f>
      </c>
      <c r="AR554" s="39">
        <f>IF(ISNUMBER($AD554),IF(Header!$D$34="","?",$AD554*Header!$D$34),"")</f>
      </c>
      <c r="AS554" s="39">
        <f>IF(ISNUMBER($AB554),IF(Header!$D$34="","?",$AB554*Header!$D$34),"")</f>
      </c>
      <c r="AT554" s="42">
        <f>IF(AND(ISNUMBER($AB554),$M554&gt;0),$AB554/$M554*100,"")</f>
      </c>
      <c r="AU554" s="42">
        <f>IF(AND(ISNUMBER($AD554),$M554&gt;0),$AD554/$M554*100,"")</f>
      </c>
      <c r="AV554" s="40">
        <f>IF(AND(ISNUMBER($AB554),ISNUMBER($AD554),ABS($AB554)&gt;0),$AD554/$AB554,"")</f>
      </c>
      <c r="AW554" s="39">
        <f>IF(ISNUMBER($AD554),MAX(0,(1-0.55-Header!$O$3)*Header!$Q$3*$AQ554),"")</f>
      </c>
      <c r="AX554" s="43">
        <f>IF($A554="","",IF(TRIM(IF($A554="","Missing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",""))="","PASS","FAIL: "&amp;TRIM(IF($A554="","Missing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f>
      </c>
      <c r="AY554" s="44">
        <f>IF($M554="","",IF(ISNUMBER($M554),IF($M554&gt;=Header!$C$18,"YES — refer","No"),""))</f>
      </c>
      <c r="AZ554" s="44">
        <f>IF($AD554="","",IF(ISNUMBER($AD554),IF($AD554&lt;Header!$C$20,"BELOW MIN PREMIUM","OK"),""))</f>
      </c>
      <c r="BA554" s="48" t="inlineStr">
        <is>
          <t xml:space="preserve">Yes</t>
        </is>
      </c>
      <c r="BB554" s="48" t="inlineStr">
        <is>
          <t xml:space="preserve">Yes</t>
        </is>
      </c>
      <c r="BC554" s="46" t="inlineStr">
        <is>
          <t xml:space="preserve">Synthetic demo data</t>
        </is>
      </c>
      <c r="BE554" s="45">
        <f>IF(OR($A554="",$L554="",$H554=""),"",IF(AND(LEFT($L554,2)="06",$H554&gt;1945),"FAIL - pre-war class, year "&amp;$H554,IF(AND(LEFT($L554,2)="07",OR($H554&lt;1946,$H554&gt;1972)),"FAIL - 1946-72 class, year "&amp;$H554,IF(AND(LEFT($L554,2)="08",OR($H554&lt;1973,$H554&gt;1999)),"FAIL - 1973-99 class, year "&amp;$H554,IF(AND(LEFT($L554,2)="09",OR($H554&lt;2000,$H554&gt;2010)),"FAIL - 2000-10 class, year "&amp;$H554,"OK")))))</f>
      </c>
      <c r="BF554" s="45">
        <f>IF($AD554="","",IF(ROUND($AO554+$AP554+$AQ554-$AD554,2)=0,"OK","FAIL - out by "&amp;TEXT($AO554+$AP554+$AQ554-$AD554,"$0.00")))</f>
      </c>
    </row>
    <row r="555" spans="1:58" ht="18.75" customHeight="1" x14ac:dyDescent="0.25">
      <c r="A555" s="30" t="inlineStr">
        <is>
          <t xml:space="preserve">CANON-202607-008410</t>
        </is>
      </c>
      <c r="B555" s="30" t="inlineStr">
        <is>
          <t xml:space="preserve">Cassius Merriweather</t>
        </is>
      </c>
      <c r="C555" s="31">
        <v>46208</v>
      </c>
      <c r="D555" s="32" t="inlineStr">
        <is>
          <t xml:space="preserve">Bound - within authority</t>
        </is>
      </c>
      <c r="E555" s="32" t="inlineStr">
        <is>
          <t xml:space="preserve">New business</t>
        </is>
      </c>
      <c r="F555" s="30" t="inlineStr">
        <is>
          <t xml:space="preserve">B1234EXOTIC26</t>
        </is>
      </c>
      <c r="G555" s="33">
        <f>IF($A555="","",IF($C555="","",YEAR($C555)))</f>
      </c>
      <c r="H555" s="34">
        <v>1959</v>
      </c>
      <c r="I555" s="30" t="inlineStr">
        <is>
          <t xml:space="preserve">Aston Martin</t>
        </is>
      </c>
      <c r="J555" s="30" t="inlineStr">
        <is>
          <t xml:space="preserve">DB5</t>
        </is>
      </c>
      <c r="K555" s="30" t="inlineStr">
        <is>
          <t xml:space="preserve">7C6H8YN7JD378DTMB</t>
        </is>
      </c>
      <c r="L555" s="32" t="inlineStr">
        <is>
          <t xml:space="preserve">07 - Post-War Classic (1946-1972)</t>
        </is>
      </c>
      <c r="M555" s="35">
        <v>1950000</v>
      </c>
      <c r="N555" s="32" t="inlineStr">
        <is>
          <t xml:space="preserve">Personal</t>
        </is>
      </c>
      <c r="O555" s="30" t="inlineStr">
        <is>
          <t xml:space="preserve">Personal - regular use</t>
        </is>
      </c>
      <c r="P555" s="30" t="inlineStr">
        <is>
          <t xml:space="preserve">1,000 - 2,500</t>
        </is>
      </c>
      <c r="Q555" s="30" t="inlineStr">
        <is>
          <t xml:space="preserve">Oklahoma</t>
        </is>
      </c>
      <c r="R555" s="30" t="inlineStr">
        <is>
          <t xml:space="preserve">73102</t>
        </is>
      </c>
      <c r="S555" s="32" t="inlineStr">
        <is>
          <t xml:space="preserve">Severe convective - hail alley (high)</t>
        </is>
      </c>
      <c r="T555" s="36">
        <f>IF($A555="","",IF($S555="","",IFERROR(INDEX('[1]natural catastrophe'!$D$6:$D$17,MATCH($S555,'[1]natural catastrophe'!$B$6:$B$17,0)),"?")))</f>
      </c>
      <c r="U555" s="30" t="inlineStr">
        <is>
          <t xml:space="preserve">$5,000</t>
        </is>
      </c>
      <c r="V555" s="32" t="inlineStr">
        <is>
          <t xml:space="preserve">Agreed Value</t>
        </is>
      </c>
      <c r="W555" s="30" t="inlineStr">
        <is>
          <t xml:space="preserve">$1,000</t>
        </is>
      </c>
      <c r="X555" s="32" t="inlineStr">
        <is>
          <t xml:space="preserve">$1,000,000 CSL</t>
        </is>
      </c>
      <c r="Y555" s="30"/>
      <c r="Z555" s="30"/>
      <c r="AA555" s="32" t="inlineStr">
        <is>
          <t xml:space="preserve">Surplus Lines</t>
        </is>
      </c>
      <c r="AB555" s="35">
        <v>13405.95</v>
      </c>
      <c r="AC555" s="37">
        <v>0</v>
      </c>
      <c r="AD555" s="38">
        <f>IF(ISNUMBER($AB555),$AB555*(1+N($AC555)),"")</f>
      </c>
      <c r="AE555" s="35">
        <v>350</v>
      </c>
      <c r="AF555" s="35">
        <v>250</v>
      </c>
      <c r="AG555" s="37"/>
      <c r="AH555" s="39">
        <f>IF(ISNUMBER($AD555),($AD555+$AE555+$AF555)*$AG555,"")</f>
      </c>
      <c r="AI555" s="35"/>
      <c r="AJ555" s="38">
        <f>IF(ISNUMBER($AD555),SUM($AD555:$AH555),"")</f>
      </c>
      <c r="AK555" s="40">
        <f>IF(AND(ISNUMBER($AB555),ISNUMBER($AD555)),IF($AB555&gt;0,$AD555/$AB555,""),"")</f>
      </c>
      <c r="AL555" s="32" t="inlineStr">
        <is>
          <t xml:space="preserve">At technical</t>
        </is>
      </c>
      <c r="AM555" s="41">
        <f>IF(ISNUMBER($AD555),Header!$I$3,"")</f>
      </c>
      <c r="AN555" s="39">
        <f>IF(ISNUMBER($AD555),$AO555+$AP555,"")</f>
      </c>
      <c r="AO555" s="39">
        <f>IF(ISNUMBER($AD555),ROUND($AD555*Header!$K$3,2),"")</f>
      </c>
      <c r="AP555" s="39">
        <f>IF(ISNUMBER($AD555),ROUND($AD555*Header!$M$3,2),"")</f>
      </c>
      <c r="AQ555" s="38">
        <f>IF(ISNUMBER($AD555),ROUND($AD555,2)-$AO555-$AP555,"")</f>
      </c>
      <c r="AR555" s="39">
        <f>IF(ISNUMBER($AD555),IF(Header!$D$34="","?",$AD555*Header!$D$34),"")</f>
      </c>
      <c r="AS555" s="39">
        <f>IF(ISNUMBER($AB555),IF(Header!$D$34="","?",$AB555*Header!$D$34),"")</f>
      </c>
      <c r="AT555" s="42">
        <f>IF(AND(ISNUMBER($AB555),$M555&gt;0),$AB555/$M555*100,"")</f>
      </c>
      <c r="AU555" s="42">
        <f>IF(AND(ISNUMBER($AD555),$M555&gt;0),$AD555/$M555*100,"")</f>
      </c>
      <c r="AV555" s="40">
        <f>IF(AND(ISNUMBER($AB555),ISNUMBER($AD555),ABS($AB555)&gt;0),$AD555/$AB555,"")</f>
      </c>
      <c r="AW555" s="39">
        <f>IF(ISNUMBER($AD555),MAX(0,(1-0.55-Header!$O$3)*Header!$Q$3*$AQ555),"")</f>
      </c>
      <c r="AX555" s="43">
        <f>IF($A555="","",IF(TRIM(IF($A555="","Missing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",""))="","PASS","FAIL: "&amp;TRIM(IF($A555="","Missing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f>
      </c>
      <c r="AY555" s="44">
        <f>IF($M555="","",IF(ISNUMBER($M555),IF($M555&gt;=Header!$C$18,"YES — refer","No"),""))</f>
      </c>
      <c r="AZ555" s="44">
        <f>IF($AD555="","",IF(ISNUMBER($AD555),IF($AD555&lt;Header!$C$20,"BELOW MIN PREMIUM","OK"),""))</f>
      </c>
      <c r="BA555" s="32" t="inlineStr">
        <is>
          <t xml:space="preserve">Yes</t>
        </is>
      </c>
      <c r="BB555" s="32" t="inlineStr">
        <is>
          <t xml:space="preserve">Yes</t>
        </is>
      </c>
      <c r="BC555" s="30" t="inlineStr">
        <is>
          <t xml:space="preserve">Synthetic demo data</t>
        </is>
      </c>
      <c r="BE555" s="45">
        <f>IF(OR($A555="",$L555="",$H555=""),"",IF(AND(LEFT($L555,2)="06",$H555&gt;1945),"FAIL - pre-war class, year "&amp;$H555,IF(AND(LEFT($L555,2)="07",OR($H555&lt;1946,$H555&gt;1972)),"FAIL - 1946-72 class, year "&amp;$H555,IF(AND(LEFT($L555,2)="08",OR($H555&lt;1973,$H555&gt;1999)),"FAIL - 1973-99 class, year "&amp;$H555,IF(AND(LEFT($L555,2)="09",OR($H555&lt;2000,$H555&gt;2010)),"FAIL - 2000-10 class, year "&amp;$H555,"OK")))))</f>
      </c>
      <c r="BF555" s="45">
        <f>IF($AD555="","",IF(ROUND($AO555+$AP555+$AQ555-$AD555,2)=0,"OK","FAIL - out by "&amp;TEXT($AO555+$AP555+$AQ555-$AD555,"$0.00")))</f>
      </c>
    </row>
    <row r="556" spans="1:58" ht="18.75" customHeight="1" x14ac:dyDescent="0.25">
      <c r="A556" s="46" t="inlineStr">
        <is>
          <t xml:space="preserve">CANON-202607-008412</t>
        </is>
      </c>
      <c r="B556" s="46" t="inlineStr">
        <is>
          <t xml:space="preserve">Aurelio Vasquez</t>
        </is>
      </c>
      <c r="C556" s="47">
        <v>46208</v>
      </c>
      <c r="D556" s="48" t="inlineStr">
        <is>
          <t xml:space="preserve">Bound - within authority</t>
        </is>
      </c>
      <c r="E556" s="48" t="inlineStr">
        <is>
          <t xml:space="preserve">New business</t>
        </is>
      </c>
      <c r="F556" s="46" t="inlineStr">
        <is>
          <t xml:space="preserve">B1234EXOTIC26</t>
        </is>
      </c>
      <c r="G556" s="33">
        <f>IF($A556="","",IF($C556="","",YEAR($C556)))</f>
      </c>
      <c r="H556" s="49">
        <v>1964</v>
      </c>
      <c r="I556" s="46" t="inlineStr">
        <is>
          <t xml:space="preserve">Porsche</t>
        </is>
      </c>
      <c r="J556" s="46" t="inlineStr">
        <is>
          <t xml:space="preserve">911 Turbo S</t>
        </is>
      </c>
      <c r="K556" s="46" t="inlineStr">
        <is>
          <t xml:space="preserve">ZM7PXAULHVP6LXG3N</t>
        </is>
      </c>
      <c r="L556" s="48" t="inlineStr">
        <is>
          <t xml:space="preserve">02 - Sports / GT</t>
        </is>
      </c>
      <c r="M556" s="50">
        <v>950000</v>
      </c>
      <c r="N556" s="48" t="inlineStr">
        <is>
          <t xml:space="preserve">Personal</t>
        </is>
      </c>
      <c r="O556" s="46" t="inlineStr">
        <is>
          <t xml:space="preserve">Personal - regular use</t>
        </is>
      </c>
      <c r="P556" s="46" t="inlineStr">
        <is>
          <t xml:space="preserve">2,500 - 5,000</t>
        </is>
      </c>
      <c r="Q556" s="46" t="inlineStr">
        <is>
          <t xml:space="preserve">Idaho</t>
        </is>
      </c>
      <c r="R556" s="46" t="inlineStr">
        <is>
          <t xml:space="preserve">83702</t>
        </is>
      </c>
      <c r="S556" s="48" t="inlineStr">
        <is>
          <t xml:space="preserve">Wildfire - WUI high hazard</t>
        </is>
      </c>
      <c r="T556" s="36">
        <f>IF($A556="","",IF($S556="","",IFERROR(INDEX('[1]natural catastrophe'!$D$6:$D$17,MATCH($S556,'[1]natural catastrophe'!$B$6:$B$17,0)),"?")))</f>
      </c>
      <c r="U556" s="46" t="inlineStr">
        <is>
          <t xml:space="preserve">$5,000</t>
        </is>
      </c>
      <c r="V556" s="48" t="inlineStr">
        <is>
          <t xml:space="preserve">Agreed Value</t>
        </is>
      </c>
      <c r="W556" s="46" t="inlineStr">
        <is>
          <t xml:space="preserve">$1,000</t>
        </is>
      </c>
      <c r="X556" s="48" t="inlineStr">
        <is>
          <t xml:space="preserve">$1,000,000 CSL</t>
        </is>
      </c>
      <c r="Y556" s="46"/>
      <c r="Z556" s="46"/>
      <c r="AA556" s="48" t="inlineStr">
        <is>
          <t xml:space="preserve">Surplus Lines</t>
        </is>
      </c>
      <c r="AB556" s="50">
        <v>8777.7</v>
      </c>
      <c r="AC556" s="51">
        <v>0</v>
      </c>
      <c r="AD556" s="38">
        <f>IF(ISNUMBER($AB556),$AB556*(1+N($AC556)),"")</f>
      </c>
      <c r="AE556" s="50">
        <v>350</v>
      </c>
      <c r="AF556" s="50">
        <v>0</v>
      </c>
      <c r="AG556" s="51"/>
      <c r="AH556" s="39">
        <f>IF(ISNUMBER($AD556),($AD556+$AE556+$AF556)*$AG556,"")</f>
      </c>
      <c r="AI556" s="50"/>
      <c r="AJ556" s="38">
        <f>IF(ISNUMBER($AD556),SUM($AD556:$AH556),"")</f>
      </c>
      <c r="AK556" s="40">
        <f>IF(AND(ISNUMBER($AB556),ISNUMBER($AD556)),IF($AB556&gt;0,$AD556/$AB556,""),"")</f>
      </c>
      <c r="AL556" s="48" t="inlineStr">
        <is>
          <t xml:space="preserve">At technical</t>
        </is>
      </c>
      <c r="AM556" s="41">
        <f>IF(ISNUMBER($AD556),Header!$I$3,"")</f>
      </c>
      <c r="AN556" s="39">
        <f>IF(ISNUMBER($AD556),$AO556+$AP556,"")</f>
      </c>
      <c r="AO556" s="39">
        <f>IF(ISNUMBER($AD556),ROUND($AD556*Header!$K$3,2),"")</f>
      </c>
      <c r="AP556" s="39">
        <f>IF(ISNUMBER($AD556),ROUND($AD556*Header!$M$3,2),"")</f>
      </c>
      <c r="AQ556" s="38">
        <f>IF(ISNUMBER($AD556),ROUND($AD556,2)-$AO556-$AP556,"")</f>
      </c>
      <c r="AR556" s="39">
        <f>IF(ISNUMBER($AD556),IF(Header!$D$34="","?",$AD556*Header!$D$34),"")</f>
      </c>
      <c r="AS556" s="39">
        <f>IF(ISNUMBER($AB556),IF(Header!$D$34="","?",$AB556*Header!$D$34),"")</f>
      </c>
      <c r="AT556" s="42">
        <f>IF(AND(ISNUMBER($AB556),$M556&gt;0),$AB556/$M556*100,"")</f>
      </c>
      <c r="AU556" s="42">
        <f>IF(AND(ISNUMBER($AD556),$M556&gt;0),$AD556/$M556*100,"")</f>
      </c>
      <c r="AV556" s="40">
        <f>IF(AND(ISNUMBER($AB556),ISNUMBER($AD556),ABS($AB556)&gt;0),$AD556/$AB556,"")</f>
      </c>
      <c r="AW556" s="39">
        <f>IF(ISNUMBER($AD556),MAX(0,(1-0.55-Header!$O$3)*Header!$Q$3*$AQ556),"")</f>
      </c>
      <c r="AX556" s="43">
        <f>IF($A556="","",IF(TRIM(IF($A556="","Missing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",""))="","PASS","FAIL: "&amp;TRIM(IF($A556="","Missing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f>
      </c>
      <c r="AY556" s="44">
        <f>IF($M556="","",IF(ISNUMBER($M556),IF($M556&gt;=Header!$C$18,"YES — refer","No"),""))</f>
      </c>
      <c r="AZ556" s="44">
        <f>IF($AD556="","",IF(ISNUMBER($AD556),IF($AD556&lt;Header!$C$20,"BELOW MIN PREMIUM","OK"),""))</f>
      </c>
      <c r="BA556" s="48" t="inlineStr">
        <is>
          <t xml:space="preserve">Yes</t>
        </is>
      </c>
      <c r="BB556" s="48" t="inlineStr">
        <is>
          <t xml:space="preserve">Yes</t>
        </is>
      </c>
      <c r="BC556" s="46" t="inlineStr">
        <is>
          <t xml:space="preserve">Synthetic demo data</t>
        </is>
      </c>
      <c r="BE556" s="45">
        <f>IF(OR($A556="",$L556="",$H556=""),"",IF(AND(LEFT($L556,2)="06",$H556&gt;1945),"FAIL - pre-war class, year "&amp;$H556,IF(AND(LEFT($L556,2)="07",OR($H556&lt;1946,$H556&gt;1972)),"FAIL - 1946-72 class, year "&amp;$H556,IF(AND(LEFT($L556,2)="08",OR($H556&lt;1973,$H556&gt;1999)),"FAIL - 1973-99 class, year "&amp;$H556,IF(AND(LEFT($L556,2)="09",OR($H556&lt;2000,$H556&gt;2010)),"FAIL - 2000-10 class, year "&amp;$H556,"OK")))))</f>
      </c>
      <c r="BF556" s="45">
        <f>IF($AD556="","",IF(ROUND($AO556+$AP556+$AQ556-$AD556,2)=0,"OK","FAIL - out by "&amp;TEXT($AO556+$AP556+$AQ556-$AD556,"$0.00")))</f>
      </c>
    </row>
    <row r="557" spans="1:58" ht="18.75" customHeight="1" x14ac:dyDescent="0.25">
      <c r="A557" s="30" t="inlineStr">
        <is>
          <t xml:space="preserve">CANON-202607-008413</t>
        </is>
      </c>
      <c r="B557" s="30" t="inlineStr">
        <is>
          <t xml:space="preserve">Mireille Merriweather</t>
        </is>
      </c>
      <c r="C557" s="31">
        <v>46222</v>
      </c>
      <c r="D557" s="32" t="inlineStr">
        <is>
          <t xml:space="preserve">Bound - within authority</t>
        </is>
      </c>
      <c r="E557" s="32" t="inlineStr">
        <is>
          <t xml:space="preserve">New business</t>
        </is>
      </c>
      <c r="F557" s="30" t="inlineStr">
        <is>
          <t xml:space="preserve">B1234EXOTIC26</t>
        </is>
      </c>
      <c r="G557" s="33">
        <f>IF($A557="","",IF($C557="","",YEAR($C557)))</f>
      </c>
      <c r="H557" s="34">
        <v>2019</v>
      </c>
      <c r="I557" s="30" t="inlineStr">
        <is>
          <t xml:space="preserve">Mercedes-Benz</t>
        </is>
      </c>
      <c r="J557" s="30" t="inlineStr">
        <is>
          <t xml:space="preserve">AMG GT</t>
        </is>
      </c>
      <c r="K557" s="30" t="inlineStr">
        <is>
          <t xml:space="preserve">WCUVBHGP5WLT9P216</t>
        </is>
      </c>
      <c r="L557" s="32" t="inlineStr">
        <is>
          <t xml:space="preserve">02 - Sports / GT</t>
        </is>
      </c>
      <c r="M557" s="35">
        <v>1085000</v>
      </c>
      <c r="N557" s="32" t="inlineStr">
        <is>
          <t xml:space="preserve">Personal</t>
        </is>
      </c>
      <c r="O557" s="30" t="inlineStr">
        <is>
          <t xml:space="preserve">Personal - regular use</t>
        </is>
      </c>
      <c r="P557" s="30" t="inlineStr">
        <is>
          <t xml:space="preserve">1,000 - 2,500</t>
        </is>
      </c>
      <c r="Q557" s="30" t="inlineStr">
        <is>
          <t xml:space="preserve">Illinois</t>
        </is>
      </c>
      <c r="R557" s="30" t="inlineStr">
        <is>
          <t xml:space="preserve">60601</t>
        </is>
      </c>
      <c r="S557" s="32" t="inlineStr">
        <is>
          <t xml:space="preserve">Severe convective - hail / tornado (moderate)</t>
        </is>
      </c>
      <c r="T557" s="36">
        <f>IF($A557="","",IF($S557="","",IFERROR(INDEX('[1]natural catastrophe'!$D$6:$D$17,MATCH($S557,'[1]natural catastrophe'!$B$6:$B$17,0)),"?")))</f>
      </c>
      <c r="U557" s="30" t="inlineStr">
        <is>
          <t xml:space="preserve">$5,000</t>
        </is>
      </c>
      <c r="V557" s="32" t="inlineStr">
        <is>
          <t xml:space="preserve">Agreed Value</t>
        </is>
      </c>
      <c r="W557" s="30" t="inlineStr">
        <is>
          <t xml:space="preserve">$1,000</t>
        </is>
      </c>
      <c r="X557" s="32" t="inlineStr">
        <is>
          <t xml:space="preserve">$1,000,000 CSL</t>
        </is>
      </c>
      <c r="Y557" s="30"/>
      <c r="Z557" s="30"/>
      <c r="AA557" s="32" t="inlineStr">
        <is>
          <t xml:space="preserve">Surplus Lines</t>
        </is>
      </c>
      <c r="AB557" s="35">
        <v>11653.06</v>
      </c>
      <c r="AC557" s="37">
        <v>0</v>
      </c>
      <c r="AD557" s="38">
        <f>IF(ISNUMBER($AB557),$AB557*(1+N($AC557)),"")</f>
      </c>
      <c r="AE557" s="35">
        <v>350</v>
      </c>
      <c r="AF557" s="35">
        <v>250</v>
      </c>
      <c r="AG557" s="37"/>
      <c r="AH557" s="39">
        <f>IF(ISNUMBER($AD557),($AD557+$AE557+$AF557)*$AG557,"")</f>
      </c>
      <c r="AI557" s="35"/>
      <c r="AJ557" s="38">
        <f>IF(ISNUMBER($AD557),SUM($AD557:$AH557),"")</f>
      </c>
      <c r="AK557" s="40">
        <f>IF(AND(ISNUMBER($AB557),ISNUMBER($AD557)),IF($AB557&gt;0,$AD557/$AB557,""),"")</f>
      </c>
      <c r="AL557" s="32" t="inlineStr">
        <is>
          <t xml:space="preserve">At technical</t>
        </is>
      </c>
      <c r="AM557" s="41">
        <f>IF(ISNUMBER($AD557),Header!$I$3,"")</f>
      </c>
      <c r="AN557" s="39">
        <f>IF(ISNUMBER($AD557),$AO557+$AP557,"")</f>
      </c>
      <c r="AO557" s="39">
        <f>IF(ISNUMBER($AD557),ROUND($AD557*Header!$K$3,2),"")</f>
      </c>
      <c r="AP557" s="39">
        <f>IF(ISNUMBER($AD557),ROUND($AD557*Header!$M$3,2),"")</f>
      </c>
      <c r="AQ557" s="38">
        <f>IF(ISNUMBER($AD557),ROUND($AD557,2)-$AO557-$AP557,"")</f>
      </c>
      <c r="AR557" s="39">
        <f>IF(ISNUMBER($AD557),IF(Header!$D$34="","?",$AD557*Header!$D$34),"")</f>
      </c>
      <c r="AS557" s="39">
        <f>IF(ISNUMBER($AB557),IF(Header!$D$34="","?",$AB557*Header!$D$34),"")</f>
      </c>
      <c r="AT557" s="42">
        <f>IF(AND(ISNUMBER($AB557),$M557&gt;0),$AB557/$M557*100,"")</f>
      </c>
      <c r="AU557" s="42">
        <f>IF(AND(ISNUMBER($AD557),$M557&gt;0),$AD557/$M557*100,"")</f>
      </c>
      <c r="AV557" s="40">
        <f>IF(AND(ISNUMBER($AB557),ISNUMBER($AD557),ABS($AB557)&gt;0),$AD557/$AB557,"")</f>
      </c>
      <c r="AW557" s="39">
        <f>IF(ISNUMBER($AD557),MAX(0,(1-0.55-Header!$O$3)*Header!$Q$3*$AQ557),"")</f>
      </c>
      <c r="AX557" s="43">
        <f>IF($A557="","",IF(TRIM(IF($A557="","Missing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",""))="","PASS","FAIL: "&amp;TRIM(IF($A557="","Missing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f>
      </c>
      <c r="AY557" s="44">
        <f>IF($M557="","",IF(ISNUMBER($M557),IF($M557&gt;=Header!$C$18,"YES — refer","No"),""))</f>
      </c>
      <c r="AZ557" s="44">
        <f>IF($AD557="","",IF(ISNUMBER($AD557),IF($AD557&lt;Header!$C$20,"BELOW MIN PREMIUM","OK"),""))</f>
      </c>
      <c r="BA557" s="32" t="inlineStr">
        <is>
          <t xml:space="preserve">Yes</t>
        </is>
      </c>
      <c r="BB557" s="32" t="inlineStr">
        <is>
          <t xml:space="preserve">Yes</t>
        </is>
      </c>
      <c r="BC557" s="30" t="inlineStr">
        <is>
          <t xml:space="preserve">Synthetic demo data</t>
        </is>
      </c>
      <c r="BE557" s="45">
        <f>IF(OR($A557="",$L557="",$H557=""),"",IF(AND(LEFT($L557,2)="06",$H557&gt;1945),"FAIL - pre-war class, year "&amp;$H557,IF(AND(LEFT($L557,2)="07",OR($H557&lt;1946,$H557&gt;1972)),"FAIL - 1946-72 class, year "&amp;$H557,IF(AND(LEFT($L557,2)="08",OR($H557&lt;1973,$H557&gt;1999)),"FAIL - 1973-99 class, year "&amp;$H557,IF(AND(LEFT($L557,2)="09",OR($H557&lt;2000,$H557&gt;2010)),"FAIL - 2000-10 class, year "&amp;$H557,"OK")))))</f>
      </c>
      <c r="BF557" s="45">
        <f>IF($AD557="","",IF(ROUND($AO557+$AP557+$AQ557-$AD557,2)=0,"OK","FAIL - out by "&amp;TEXT($AO557+$AP557+$AQ557-$AD557,"$0.00")))</f>
      </c>
    </row>
    <row r="558" spans="1:58" ht="18.75" customHeight="1" x14ac:dyDescent="0.25">
      <c r="A558" s="46" t="inlineStr">
        <is>
          <t xml:space="preserve">CANON-202607-008414</t>
        </is>
      </c>
      <c r="B558" s="46" t="inlineStr">
        <is>
          <t xml:space="preserve">Lorenzo Vasquez</t>
        </is>
      </c>
      <c r="C558" s="47">
        <v>46222</v>
      </c>
      <c r="D558" s="48" t="inlineStr">
        <is>
          <t xml:space="preserve">Bound - within authority</t>
        </is>
      </c>
      <c r="E558" s="48" t="inlineStr">
        <is>
          <t xml:space="preserve">New business</t>
        </is>
      </c>
      <c r="F558" s="46" t="inlineStr">
        <is>
          <t xml:space="preserve">B1234EXOTIC26</t>
        </is>
      </c>
      <c r="G558" s="33">
        <f>IF($A558="","",IF($C558="","",YEAR($C558)))</f>
      </c>
      <c r="H558" s="49">
        <v>1961</v>
      </c>
      <c r="I558" s="46" t="inlineStr">
        <is>
          <t xml:space="preserve">BMW</t>
        </is>
      </c>
      <c r="J558" s="46" t="inlineStr">
        <is>
          <t xml:space="preserve">M8 Competition</t>
        </is>
      </c>
      <c r="K558" s="46" t="inlineStr">
        <is>
          <t xml:space="preserve">LA8F3ZVR9ZX5K0B5P</t>
        </is>
      </c>
      <c r="L558" s="48" t="inlineStr">
        <is>
          <t xml:space="preserve">02 - Sports / GT</t>
        </is>
      </c>
      <c r="M558" s="50">
        <v>415000</v>
      </c>
      <c r="N558" s="48" t="inlineStr">
        <is>
          <t xml:space="preserve">Personal</t>
        </is>
      </c>
      <c r="O558" s="46" t="inlineStr">
        <is>
          <t xml:space="preserve">Personal - regular use</t>
        </is>
      </c>
      <c r="P558" s="46" t="inlineStr">
        <is>
          <t xml:space="preserve">Under 1,000</t>
        </is>
      </c>
      <c r="Q558" s="46" t="inlineStr">
        <is>
          <t xml:space="preserve">West Virginia</t>
        </is>
      </c>
      <c r="R558" s="46" t="inlineStr">
        <is>
          <t xml:space="preserve">25301</t>
        </is>
      </c>
      <c r="S558" s="48" t="inlineStr">
        <is>
          <t xml:space="preserve">Low hazard - inland benign</t>
        </is>
      </c>
      <c r="T558" s="36">
        <f>IF($A558="","",IF($S558="","",IFERROR(INDEX('[1]natural catastrophe'!$D$6:$D$17,MATCH($S558,'[1]natural catastrophe'!$B$6:$B$17,0)),"?")))</f>
      </c>
      <c r="U558" s="46" t="inlineStr">
        <is>
          <t xml:space="preserve">$5,000</t>
        </is>
      </c>
      <c r="V558" s="48" t="inlineStr">
        <is>
          <t xml:space="preserve">Agreed Value</t>
        </is>
      </c>
      <c r="W558" s="46" t="inlineStr">
        <is>
          <t xml:space="preserve">$1,000</t>
        </is>
      </c>
      <c r="X558" s="48" t="inlineStr">
        <is>
          <t xml:space="preserve">$1,000,000 CSL</t>
        </is>
      </c>
      <c r="Y558" s="46"/>
      <c r="Z558" s="46"/>
      <c r="AA558" s="48" t="inlineStr">
        <is>
          <t xml:space="preserve">Surplus Lines</t>
        </is>
      </c>
      <c r="AB558" s="50">
        <v>5943.87</v>
      </c>
      <c r="AC558" s="51">
        <v>0</v>
      </c>
      <c r="AD558" s="38">
        <f>IF(ISNUMBER($AB558),$AB558*(1+N($AC558)),"")</f>
      </c>
      <c r="AE558" s="50">
        <v>350</v>
      </c>
      <c r="AF558" s="50">
        <v>0</v>
      </c>
      <c r="AG558" s="51"/>
      <c r="AH558" s="39">
        <f>IF(ISNUMBER($AD558),($AD558+$AE558+$AF558)*$AG558,"")</f>
      </c>
      <c r="AI558" s="50"/>
      <c r="AJ558" s="38">
        <f>IF(ISNUMBER($AD558),SUM($AD558:$AH558),"")</f>
      </c>
      <c r="AK558" s="40">
        <f>IF(AND(ISNUMBER($AB558),ISNUMBER($AD558)),IF($AB558&gt;0,$AD558/$AB558,""),"")</f>
      </c>
      <c r="AL558" s="48" t="inlineStr">
        <is>
          <t xml:space="preserve">At technical</t>
        </is>
      </c>
      <c r="AM558" s="41">
        <f>IF(ISNUMBER($AD558),Header!$I$3,"")</f>
      </c>
      <c r="AN558" s="39">
        <f>IF(ISNUMBER($AD558),$AO558+$AP558,"")</f>
      </c>
      <c r="AO558" s="39">
        <f>IF(ISNUMBER($AD558),ROUND($AD558*Header!$K$3,2),"")</f>
      </c>
      <c r="AP558" s="39">
        <f>IF(ISNUMBER($AD558),ROUND($AD558*Header!$M$3,2),"")</f>
      </c>
      <c r="AQ558" s="38">
        <f>IF(ISNUMBER($AD558),ROUND($AD558,2)-$AO558-$AP558,"")</f>
      </c>
      <c r="AR558" s="39">
        <f>IF(ISNUMBER($AD558),IF(Header!$D$34="","?",$AD558*Header!$D$34),"")</f>
      </c>
      <c r="AS558" s="39">
        <f>IF(ISNUMBER($AB558),IF(Header!$D$34="","?",$AB558*Header!$D$34),"")</f>
      </c>
      <c r="AT558" s="42">
        <f>IF(AND(ISNUMBER($AB558),$M558&gt;0),$AB558/$M558*100,"")</f>
      </c>
      <c r="AU558" s="42">
        <f>IF(AND(ISNUMBER($AD558),$M558&gt;0),$AD558/$M558*100,"")</f>
      </c>
      <c r="AV558" s="40">
        <f>IF(AND(ISNUMBER($AB558),ISNUMBER($AD558),ABS($AB558)&gt;0),$AD558/$AB558,"")</f>
      </c>
      <c r="AW558" s="39">
        <f>IF(ISNUMBER($AD558),MAX(0,(1-0.55-Header!$O$3)*Header!$Q$3*$AQ558),"")</f>
      </c>
      <c r="AX558" s="43">
        <f>IF($A558="","",IF(TRIM(IF($A558="","Missing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",""))="","PASS","FAIL: "&amp;TRIM(IF($A558="","Missing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f>
      </c>
      <c r="AY558" s="44">
        <f>IF($M558="","",IF(ISNUMBER($M558),IF($M558&gt;=Header!$C$18,"YES — refer","No"),""))</f>
      </c>
      <c r="AZ558" s="44">
        <f>IF($AD558="","",IF(ISNUMBER($AD558),IF($AD558&lt;Header!$C$20,"BELOW MIN PREMIUM","OK"),""))</f>
      </c>
      <c r="BA558" s="48" t="inlineStr">
        <is>
          <t xml:space="preserve">Yes</t>
        </is>
      </c>
      <c r="BB558" s="48" t="inlineStr">
        <is>
          <t xml:space="preserve">Yes</t>
        </is>
      </c>
      <c r="BC558" s="46" t="inlineStr">
        <is>
          <t xml:space="preserve">Synthetic demo data</t>
        </is>
      </c>
      <c r="BE558" s="45">
        <f>IF(OR($A558="",$L558="",$H558=""),"",IF(AND(LEFT($L558,2)="06",$H558&gt;1945),"FAIL - pre-war class, year "&amp;$H558,IF(AND(LEFT($L558,2)="07",OR($H558&lt;1946,$H558&gt;1972)),"FAIL - 1946-72 class, year "&amp;$H558,IF(AND(LEFT($L558,2)="08",OR($H558&lt;1973,$H558&gt;1999)),"FAIL - 1973-99 class, year "&amp;$H558,IF(AND(LEFT($L558,2)="09",OR($H558&lt;2000,$H558&gt;2010)),"FAIL - 2000-10 class, year "&amp;$H558,"OK")))))</f>
      </c>
      <c r="BF558" s="45">
        <f>IF($AD558="","",IF(ROUND($AO558+$AP558+$AQ558-$AD558,2)=0,"OK","FAIL - out by "&amp;TEXT($AO558+$AP558+$AQ558-$AD558,"$0.00")))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D5:D558</xm:sqref>
        </x14:dataValidation>
        <x14:dataValidation type="list" allowBlank="1" xr:uid="{00000000-0002-0000-0200-000001000000}">
          <x14:formula1>
            <xm:f>Lists!$A$5:$A$11</xm:f>
          </x14:formula1>
          <x14:formula2>
            <xm:f>0</xm:f>
          </x14:formula2>
          <xm:sqref>E5:E558</xm:sqref>
        </x14:dataValidation>
        <x14:dataValidation type="list" allowBlank="1" xr:uid="{00000000-0002-0000-0200-000002000000}">
          <x14:formula1>
            <xm:f>Lists!$D$5:$D$16</xm:f>
          </x14:formula1>
          <x14:formula2>
            <xm:f>0</xm:f>
          </x14:formula2>
          <xm:sqref>L5:L558</xm:sqref>
        </x14:dataValidation>
        <x14:dataValidation type="list" allowBlank="1" xr:uid="{00000000-0002-0000-0200-000003000000}">
          <x14:formula1>
            <xm:f>Lists!$C$5:$C$6</xm:f>
          </x14:formula1>
          <x14:formula2>
            <xm:f>0</xm:f>
          </x14:formula2>
          <xm:sqref>N5:N558</xm:sqref>
        </x14:dataValidation>
        <x14:dataValidation type="list" allowBlank="1" xr:uid="{00000000-0002-0000-0200-000004000000}">
          <x14:formula1>
            <xm:f>Lists!$G$5:$G$16</xm:f>
          </x14:formula1>
          <x14:formula2>
            <xm:f>0</xm:f>
          </x14:formula2>
          <xm:sqref>S5:S558</xm:sqref>
        </x14:dataValidation>
        <x14:dataValidation type="list" allowBlank="1" xr:uid="{00000000-0002-0000-0200-000005000000}">
          <x14:formula1>
            <xm:f>Lists!$E$5:$E$8</xm:f>
          </x14:formula1>
          <x14:formula2>
            <xm:f>0</xm:f>
          </x14:formula2>
          <xm:sqref>V5:V558</xm:sqref>
        </x14:dataValidation>
        <x14:dataValidation type="list" allowBlank="1" xr:uid="{00000000-0002-0000-0200-000006000000}">
          <x14:formula1>
            <xm:f>Lists!$F$5:$F$10</xm:f>
          </x14:formula1>
          <x14:formula2>
            <xm:f>0</xm:f>
          </x14:formula2>
          <xm:sqref>X5:X558</xm:sqref>
        </x14:dataValidation>
        <x14:dataValidation type="list" allowBlank="1" xr:uid="{00000000-0002-0000-0200-000007000000}">
          <x14:formula1>
            <xm:f>Lists!$K$5:$K$7</xm:f>
          </x14:formula1>
          <x14:formula2>
            <xm:f>0</xm:f>
          </x14:formula2>
          <xm:sqref>AA5:AA558</xm:sqref>
        </x14:dataValidation>
        <x14:dataValidation type="list" allowBlank="1" xr:uid="{00000000-0002-0000-0200-000008000000}">
          <x14:formula1>
            <xm:f>Lists!$H$5:$H$8</xm:f>
          </x14:formula1>
          <x14:formula2>
            <xm:f>0</xm:f>
          </x14:formula2>
          <xm:sqref>AL5:AL558</xm:sqref>
        </x14:dataValidation>
        <x14:dataValidation type="list" allowBlank="1" xr:uid="{00000000-0002-0000-0200-000009000000}">
          <x14:formula1>
            <xm:f>Lists!$J$5:$J$6</xm:f>
          </x14:formula1>
          <x14:formula2>
            <xm:f>0</xm:f>
          </x14:formula2>
          <xm:sqref>BA5:BB558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Bordereaux'!$D$5:$D$558,"Bound*",'UW Bordereaux'!$AD$5:$AD$558)</f>
      </c>
    </row>
    <row r="6" spans="1:7" ht="15" customHeight="1" x14ac:dyDescent="0.25">
      <c r="B6" s="23" t="s">
        <v>264</v>
      </c>
      <c r="C6" s="52">
        <f>-SUMIF('UW Bordereaux'!$D$5:$D$558,"Bound*",'UW Bordereaux'!$AN$5:$AN$558)</f>
      </c>
    </row>
    <row r="7" spans="1:7" ht="15" customHeight="1" x14ac:dyDescent="0.25">
      <c r="B7" s="25" t="s">
        <v>265</v>
      </c>
      <c r="C7" s="22">
        <f>SUMIF('UW Bordereaux'!$D$5:$D$558,"Bound*",'UW Bordereaux'!$AQ$5:$AQ$558)</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Bordereaux'!$D$5:$D$558,"Bound*",'UW Bordereaux'!$AE$5:$AE$558)</f>
      </c>
    </row>
    <row r="11" spans="1:7" ht="15" customHeight="1" x14ac:dyDescent="0.25">
      <c r="B11" s="23" t="s">
        <v>105</v>
      </c>
      <c r="C11" s="52">
        <f>SUMIF('UW Bordereaux'!$D$5:$D$558,"Bound*",'UW Bordereaux'!$AH$5:$AH$558)</f>
      </c>
    </row>
    <row r="12" spans="1:7" ht="15" customHeight="1" x14ac:dyDescent="0.25">
      <c r="B12" s="25" t="s">
        <v>268</v>
      </c>
      <c r="C12" s="22">
        <f>SUMIF('UW Bordereaux'!$D$5:$D$558,"Bound*",'UW Bordereaux'!$AI$5:$AI$558)</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Bordereaux'!$D$5:$D$558,"Bound*",'UW Bordereaux'!$AD$5:$AD$558)*Header!$D$24</f>
      </c>
    </row>
    <row r="16" spans="1:7" ht="15" customHeight="1" x14ac:dyDescent="0.25">
      <c r="B16" s="23" t="s">
        <v>271</v>
      </c>
      <c r="C16" s="52">
        <f>SUMIF('UW Bordereaux'!$D$5:$D$558,"Bound*",'UW Bordereaux'!$AD$5:$AD$558)*Header!$D$34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Bordereaux'!$D$5:$D$558,"Bound*",'UW Bordereaux'!$A$5:$A$558,"")=0,"PASS","FAIL — "&amp;COUNTIFS('UW Bordereaux'!$D$5:$D$558,"Bound*",'UW Bordereaux'!$A$5:$A$558,"")&amp;" bound risks missing certificate")</f>
      </c>
      <c r="D20" s="76"/>
      <c r="E20" s="76"/>
      <c r="F20" s="78"/>
      <c r="G20" s="78"/>
    </row>
    <row r="21" spans="2:7" ht="25.5" customHeight="1" x14ac:dyDescent="0.25">
      <c r="B21" s="56" t="s">
        <v>276</v>
      </c>
      <c r="C21" s="75" t="str">
        <f>IF(SUMPRODUCT((LEN('UW Bordereaux'!$A$5:$A$558)&gt;0)*(LEN('UW Bordereaux'!$D$5:$D$558)=0))=0,"PASS","FAIL — "&amp;SUMPRODUCT((LEN('UW Bordereaux'!$A$5:$A$558)&gt;0)*(LEN('UW Bordereaux'!$D$5:$D$558)=0))&amp;" rows missing status")</f>
      </c>
      <c r="D21" s="75"/>
      <c r="E21" s="75"/>
      <c r="F21" s="79"/>
      <c r="G21" s="79"/>
    </row>
    <row r="22" spans="2:7" ht="25.5" customHeight="1" x14ac:dyDescent="0.25">
      <c r="B22" s="55" t="s">
        <v>277</v>
      </c>
      <c r="C22" s="76" t="str">
        <f>IF(COUNTIFS('UW Bordereaux'!$D$5:$D$558,"Bound*",'UW Bordereaux'!$C$5:$C$558,"")=0,"PASS","FAIL — "&amp;COUNTIFS('UW Bordereaux'!$D$5:$D$558,"Bound*",'UW Bordereaux'!$C$5:$C$558,"")&amp;" bound risks missing effective date")</f>
      </c>
      <c r="D22" s="76"/>
      <c r="E22" s="76"/>
      <c r="F22" s="78"/>
      <c r="G22" s="78"/>
    </row>
    <row r="23" spans="2:7" ht="25.5" customHeight="1" x14ac:dyDescent="0.25">
      <c r="B23" s="56" t="s">
        <v>278</v>
      </c>
      <c r="C23" s="75" t="str">
        <f>IF(COUNTIFS('UW Bordereaux'!$D$5:$D$558,"Bound*",'UW Bordereaux'!$AB$5:$AB$558,"")=0,"PASS","FAIL — "&amp;COUNTIFS('UW Bordereaux'!$D$5:$D$558,"Bound*",'UW Bordereaux'!$AB$5:$AB$558,"")&amp;" bound risks missing technical premium")</f>
      </c>
      <c r="D23" s="75"/>
      <c r="E23" s="75"/>
      <c r="F23" s="79"/>
      <c r="G23" s="79"/>
    </row>
    <row r="24" spans="2:7" ht="25.5" customHeight="1" x14ac:dyDescent="0.25">
      <c r="B24" s="55" t="s">
        <v>279</v>
      </c>
      <c r="C24" s="76" t="str">
        <f>IF(COUNTIFS('UW Bordereaux'!$D$5:$D$558,"Bound*",'UW Bordereaux'!$AF$5:$AF$558,"")=0,"PASS","FAIL — "&amp;COUNTIFS('UW Bordereaux'!$D$5:$D$558,"Bound*",'UW Bordereaux'!$AF$5:$AF$558,"")&amp;" bound risks missing SL tax rate")</f>
      </c>
      <c r="D24" s="76"/>
      <c r="E24" s="76"/>
      <c r="F24" s="78" t="s">
        <v>280</v>
      </c>
      <c r="G24" s="78"/>
    </row>
    <row r="25" spans="2:7" ht="25.5" customHeight="1" x14ac:dyDescent="0.25">
      <c r="B25" s="56" t="s">
        <v>281</v>
      </c>
      <c r="C25" s="75" t="str">
        <f>IF(SUMPRODUCT(('UW Bordereaux'!$M$5:$M$558&lt;0)*('UW Bordereaux'!$A$5:$A$558&lt;&gt;""))=0,"PASS","FAIL — negative agreed value detected")</f>
      </c>
      <c r="D25" s="75"/>
      <c r="E25" s="75"/>
      <c r="F25" s="79"/>
      <c r="G25" s="79"/>
    </row>
    <row r="26" spans="2:7" ht="25.5" customHeight="1" x14ac:dyDescent="0.25">
      <c r="B26" s="55" t="s">
        <v>282</v>
      </c>
      <c r="C26" s="76" t="str">
        <f>IF(SUMPRODUCT(('UW Bordereaux'!$M$5:$M$558&lt;100000)*('UW Bordereaux'!$M$5:$M$558&gt;0)*('UW Bordereaux'!$A$5:$A$558&lt;&gt;""))=0,"PASS","FAIL — "&amp;SUMPRODUCT(('UW Bordereaux'!$M$5:$M$558&lt;100000)*('UW Bordereaux'!$M$5:$M$558&gt;0)*('UW Bordereaux'!$A$5:$A$558&lt;&gt;""))&amp;"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Bordereaux'!$AJ$5:$AJ$558,"&lt;0.85",'UW Bordereaux'!$D$5:$D$558,"Bound*")=0,"PASS","WARN — "&amp;COUNTIFS('UW Bordereaux'!$AJ$5:$AJ$558,"&lt;0.85",'UW Bordereaux'!$D$5:$D$558,"Bound*")&amp;" risks below 85% rate adequacy")</f>
      </c>
      <c r="D28" s="76"/>
      <c r="E28" s="76"/>
      <c r="F28" s="78" t="s">
        <v>285</v>
      </c>
      <c r="G28" s="78"/>
    </row>
    <row r="29" spans="2:7" ht="25.5" customHeight="1" x14ac:dyDescent="0.25">
      <c r="B29" s="56" t="s">
        <v>286</v>
      </c>
      <c r="C29" s="75" t="str">
        <f>COUNTIFS('UW Bordereaux'!$M$5:$M$558,"&gt;="&amp;Header!$C$18,'UW Bordereaux'!$D$5:$D$558,"Bound*")&amp;" risk(s) at or above $2m AV — confirm individual referral is on file"</f>
      </c>
      <c r="D29" s="75"/>
      <c r="E29" s="75"/>
      <c r="F29" s="79"/>
      <c r="G29" s="79"/>
    </row>
    <row r="30" spans="2:7" ht="25.5" customHeight="1" x14ac:dyDescent="0.25">
      <c r="B30" s="55" t="s">
        <v>287</v>
      </c>
      <c r="C30" s="76" t="str">
        <f>COUNTIF('UW Bordereaux'!$AK$5:$AK$558,"BEYOND AUTHORITY")&amp;" risk(s) — confirm approval is on file in the Referral Log"</f>
      </c>
      <c r="D30" s="76"/>
      <c r="E30" s="76"/>
      <c r="F30" s="78"/>
      <c r="G30" s="78"/>
    </row>
    <row r="31" spans="2:7" ht="25.5" customHeight="1" x14ac:dyDescent="0.25">
      <c r="B31" s="56" t="s">
        <v>288</v>
      </c>
      <c r="C31" s="75" t="str">
        <f>IF(COUNTIF('UW Bordereaux'!$AW$5:$AW$558,"FAIL*")=0,"PASS — all mandatory fields complete","FAIL — "&amp;COUNTIF('UW Bordereaux'!$AW$5:$AW$558,"FAIL*")&amp;" rows with missing mandatory fields")</f>
      </c>
      <c r="D31" s="75"/>
      <c r="E31" s="75"/>
      <c r="F31" s="79" t="s">
        <v>289</v>
      </c>
      <c r="G31" s="79"/>
    </row>
    <row r="33" spans="2:7" ht="25.5" customHeight="1" x14ac:dyDescent="0.25">
      <c r="B33" s="57" t="s">
        <v>290</v>
      </c>
      <c r="C33" s="76" t="str">
        <f>IF(COUNTIF('UW Bordereaux'!$BE$5:$BE$558,"FAIL*")=0,"PASS","FAIL - "&amp;COUNTIF('UW Bordereaux'!$BE$5:$BE$558,"FAIL*")&amp;" rows where vehicle year falls outside its class era")</f>
      </c>
      <c r="D33" s="76"/>
      <c r="E33" s="76"/>
    </row>
    <row r="34" spans="2:7" ht="25.5" customHeight="1" x14ac:dyDescent="0.25">
      <c r="B34" s="56" t="s">
        <v>291</v>
      </c>
      <c r="C34" s="75" t="str">
        <f>IF(COUNTIF('UW Bordereaux'!$BF$5:$BF$558,"FAIL*")=0,"PASS - all rows foot to the cent","FAIL - "&amp;COUNTIF('UW Bordereaux'!$BF$5:$BF$558,"FAIL*")&amp;"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Bordereaux'!$D$5:$D$558,"Bound*",'UW Bordereaux'!$AD$5:$AD$558)</f>
      </c>
    </row>
    <row r="41" spans="2:7" x14ac:dyDescent="0.25">
      <c r="B41" s="55" t="s">
        <v>296</v>
      </c>
      <c r="C41" s="59">
        <f>SUMIF('UW Bordereaux'!$D$5:$D$558,"Bound*",'UW Bordereaux'!$AO$5:$AO$558)</f>
      </c>
    </row>
    <row r="42" spans="2:7" x14ac:dyDescent="0.25">
      <c r="B42" s="55" t="s">
        <v>297</v>
      </c>
      <c r="C42" s="59">
        <f>SUMIF('UW Bordereaux'!$D$5:$D$558,"Bound*",'UW Bordereaux'!$AP$5:$AP$558)</f>
      </c>
    </row>
    <row r="43" spans="2:7" x14ac:dyDescent="0.25">
      <c r="B43" s="55" t="s">
        <v>298</v>
      </c>
      <c r="C43" s="59">
        <f>SUMIF('UW Bordereaux'!$D$5:$D$558,"Bound*",'UW Bordereaux'!$AQ$5:$AQ$558)</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