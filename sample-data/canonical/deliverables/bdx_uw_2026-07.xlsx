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<sst xmlns="http://schemas.openxmlformats.org/spreadsheetml/2006/main" count="621" uniqueCount="445">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</sst>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Bordereaux'!$D$5:$D$711,"Bound*",'UW Bordereaux'!$AD$5:$AD$711))*$D24</f>
      </c>
      <c r="F24" s="15">
        <f>(SUMIF('UW Bordereaux'!$D$5:$D$711,"Bound*",'UW Bordereaux'!$AB$5:$AB$711))*$D24</f>
      </c>
      <c r="G24" s="15">
        <f>(SUMIF('UW Bordereaux'!$D$5:$D$711,"Bound*",'UW Bordereaux'!$AQ$5:$AQ$711))*$D24</f>
      </c>
    </row>
    <row r="25" spans="2:7" ht="15" customHeight="1" x14ac:dyDescent="0.25">
      <c r="B25" s="16" t="s">
        <v>77</v>
      </c>
      <c r="C25" s="17" t="s">
        <v>78</v>
      </c>
      <c r="D25" s="18">
        <v>0.1</v>
      </c>
      <c r="E25" s="19">
        <f>(SUMIF('UW Bordereaux'!$D$5:$D$711,"Bound*",'UW Bordereaux'!$AD$5:$AD$711))*$D25</f>
      </c>
      <c r="F25" s="19">
        <f>(SUMIF('UW Bordereaux'!$D$5:$D$711,"Bound*",'UW Bordereaux'!$AB$5:$AB$711))*$D25</f>
      </c>
      <c r="G25" s="19">
        <f>(SUMIF('UW Bordereaux'!$D$5:$D$711,"Bound*",'UW Bordereaux'!$AQ$5:$AQ$711))*$D25</f>
      </c>
    </row>
    <row r="26" spans="2:7" ht="15" customHeight="1" x14ac:dyDescent="0.25">
      <c r="B26" s="13" t="s">
        <v>79</v>
      </c>
      <c r="C26" s="14" t="s">
        <v>80</v>
      </c>
      <c r="D26" s="6">
        <v>0.1</v>
      </c>
      <c r="E26" s="15">
        <f>(SUMIF('UW Bordereaux'!$D$5:$D$711,"Bound*",'UW Bordereaux'!$AD$5:$AD$711))*$D26</f>
      </c>
      <c r="F26" s="15">
        <f>(SUMIF('UW Bordereaux'!$D$5:$D$711,"Bound*",'UW Bordereaux'!$AB$5:$AB$711))*$D26</f>
      </c>
      <c r="G26" s="15">
        <f>(SUMIF('UW Bordereaux'!$D$5:$D$711,"Bound*",'UW Bordereaux'!$AQ$5:$AQ$711))*$D26</f>
      </c>
    </row>
    <row r="27" spans="2:7" ht="15" customHeight="1" x14ac:dyDescent="0.25">
      <c r="B27" s="16" t="s">
        <v>81</v>
      </c>
      <c r="C27" s="17" t="s">
        <v>82</v>
      </c>
      <c r="D27" s="18">
        <v>0.1</v>
      </c>
      <c r="E27" s="19">
        <f>(SUMIF('UW Bordereaux'!$D$5:$D$711,"Bound*",'UW Bordereaux'!$AD$5:$AD$711))*$D27</f>
      </c>
      <c r="F27" s="19">
        <f>(SUMIF('UW Bordereaux'!$D$5:$D$711,"Bound*",'UW Bordereaux'!$AB$5:$AB$711))*$D27</f>
      </c>
      <c r="G27" s="19">
        <f>(SUMIF('UW Bordereaux'!$D$5:$D$711,"Bound*",'UW Bordereaux'!$AQ$5:$AQ$711))*$D27</f>
      </c>
    </row>
    <row r="28" spans="2:7" ht="15" customHeight="1" x14ac:dyDescent="0.25">
      <c r="B28" s="13" t="s">
        <v>83</v>
      </c>
      <c r="C28" s="14" t="s">
        <v>84</v>
      </c>
      <c r="D28" s="6">
        <v>0.1</v>
      </c>
      <c r="E28" s="15">
        <f>(SUMIF('UW Bordereaux'!$D$5:$D$711,"Bound*",'UW Bordereaux'!$AD$5:$AD$711))*$D28</f>
      </c>
      <c r="F28" s="15">
        <f>(SUMIF('UW Bordereaux'!$D$5:$D$711,"Bound*",'UW Bordereaux'!$AB$5:$AB$711))*$D28</f>
      </c>
      <c r="G28" s="15">
        <f>(SUMIF('UW Bordereaux'!$D$5:$D$711,"Bound*",'UW Bordereaux'!$AQ$5:$AQ$711))*$D28</f>
      </c>
    </row>
    <row r="29" spans="2:7" ht="15" customHeight="1" x14ac:dyDescent="0.25">
      <c r="B29" s="16" t="s">
        <v>85</v>
      </c>
      <c r="C29" s="17" t="s">
        <v>86</v>
      </c>
      <c r="D29" s="18">
        <v>0.1</v>
      </c>
      <c r="E29" s="19">
        <f>(SUMIF('UW Bordereaux'!$D$5:$D$711,"Bound*",'UW Bordereaux'!$AD$5:$AD$711))*$D29</f>
      </c>
      <c r="F29" s="19">
        <f>(SUMIF('UW Bordereaux'!$D$5:$D$711,"Bound*",'UW Bordereaux'!$AB$5:$AB$711))*$D29</f>
      </c>
      <c r="G29" s="19">
        <f>(SUMIF('UW Bordereaux'!$D$5:$D$711,"Bound*",'UW Bordereaux'!$AQ$5:$AQ$711))*$D29</f>
      </c>
    </row>
    <row r="30" spans="2:7" ht="15" customHeight="1" x14ac:dyDescent="0.25">
      <c r="B30" s="13" t="s">
        <v>87</v>
      </c>
      <c r="C30" s="14" t="s">
        <v>88</v>
      </c>
      <c r="D30" s="6">
        <v>0.1</v>
      </c>
      <c r="E30" s="15">
        <f>(SUMIF('UW Bordereaux'!$D$5:$D$711,"Bound*",'UW Bordereaux'!$AD$5:$AD$711))*$D30</f>
      </c>
      <c r="F30" s="15">
        <f>(SUMIF('UW Bordereaux'!$D$5:$D$711,"Bound*",'UW Bordereaux'!$AB$5:$AB$711))*$D30</f>
      </c>
      <c r="G30" s="15">
        <f>(SUMIF('UW Bordereaux'!$D$5:$D$711,"Bound*",'UW Bordereaux'!$AQ$5:$AQ$711))*$D30</f>
      </c>
    </row>
    <row r="31" spans="2:7" ht="15" customHeight="1" x14ac:dyDescent="0.25">
      <c r="B31" s="16" t="s">
        <v>89</v>
      </c>
      <c r="C31" s="17" t="s">
        <v>90</v>
      </c>
      <c r="D31" s="18">
        <v>0.1</v>
      </c>
      <c r="E31" s="19">
        <f>(SUMIF('UW Bordereaux'!$D$5:$D$711,"Bound*",'UW Bordereaux'!$AD$5:$AD$711))*$D31</f>
      </c>
      <c r="F31" s="19">
        <f>(SUMIF('UW Bordereaux'!$D$5:$D$711,"Bound*",'UW Bordereaux'!$AB$5:$AB$711))*$D31</f>
      </c>
      <c r="G31" s="19">
        <f>(SUMIF('UW Bordereaux'!$D$5:$D$711,"Bound*",'UW Bordereaux'!$AQ$5:$AQ$711))*$D31</f>
      </c>
    </row>
    <row r="32" spans="2:7" ht="15" customHeight="1" x14ac:dyDescent="0.25">
      <c r="B32" s="13" t="s">
        <v>91</v>
      </c>
      <c r="C32" s="14" t="s">
        <v>92</v>
      </c>
      <c r="D32" s="6">
        <v>0.1</v>
      </c>
      <c r="E32" s="15">
        <f>(SUMIF('UW Bordereaux'!$D$5:$D$711,"Bound*",'UW Bordereaux'!$AD$5:$AD$711))*$D32</f>
      </c>
      <c r="F32" s="15">
        <f>(SUMIF('UW Bordereaux'!$D$5:$D$711,"Bound*",'UW Bordereaux'!$AB$5:$AB$711))*$D32</f>
      </c>
      <c r="G32" s="15">
        <f>(SUMIF('UW Bordereaux'!$D$5:$D$711,"Bound*",'UW Bordereaux'!$AQ$5:$AQ$711))*$D32</f>
      </c>
    </row>
    <row r="33" spans="2:7" ht="15" customHeight="1" x14ac:dyDescent="0.25">
      <c r="B33" s="16" t="s">
        <v>93</v>
      </c>
      <c r="C33" s="17" t="s">
        <v>94</v>
      </c>
      <c r="D33" s="18">
        <v>0.1</v>
      </c>
      <c r="E33" s="19">
        <f>(SUMIF('UW Bordereaux'!$D$5:$D$711,"Bound*",'UW Bordereaux'!$AD$5:$AD$711))*$D33</f>
      </c>
      <c r="F33" s="19">
        <f>(SUMIF('UW Bordereaux'!$D$5:$D$711,"Bound*",'UW Bordereaux'!$AB$5:$AB$711))*$D33</f>
      </c>
      <c r="G33" s="19">
        <f>(SUMIF('UW Bordereaux'!$D$5:$D$711,"Bound*",'UW Bordereaux'!$AQ$5:$AQ$711))*$D33</f>
      </c>
    </row>
    <row r="34" spans="2:7" ht="15" customHeight="1" x14ac:dyDescent="0.25">
      <c r="C34" s="20" t="s">
        <v>95</v>
      </c>
      <c r="D34" s="21">
        <f>SUM(D24:D33)</f>
      </c>
      <c r="E34" s="22">
        <f>SUMIF('UW Bordereaux'!$D$5:$D$711,"Bound*",'UW Bordereaux'!$AD$5:$AD$711)</f>
      </c>
      <c r="F34" s="22">
        <f>SUMIF('UW Bordereaux'!$D$5:$D$711,"Bound*",'UW Bordereaux'!$AB$5:$AB$711)</f>
      </c>
      <c r="G34" s="22">
        <f>SUMIF('UW Bordereaux'!$D$5:$D$711,"Bound*",'UW Bordereaux'!$AQ$5:$AQ$711)</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Bordereaux'!$A$5:$A$711)</f>
      </c>
    </row>
    <row r="39" spans="2:7" ht="15" customHeight="1" x14ac:dyDescent="0.25">
      <c r="B39" s="23" t="s">
        <v>98</v>
      </c>
      <c r="C39" s="24">
        <f>COUNTIF('UW Bordereaux'!$D$5:$D$711,"Bound*")</f>
      </c>
    </row>
    <row r="40" spans="2:7" ht="15" customHeight="1" x14ac:dyDescent="0.25">
      <c r="B40" s="23" t="s">
        <v>99</v>
      </c>
      <c r="C40" s="24">
        <f>COUNTIF('UW Bordereaux'!$D$5:$D$711,"Declined")+COUNTIF('UW Bordereaux'!$D$5:$D$711,"Cancelled")+COUNTIF('UW Bordereaux'!$D$5:$D$711,"Lapsed")</f>
      </c>
    </row>
    <row r="41" spans="2:7" ht="15" customHeight="1" x14ac:dyDescent="0.25">
      <c r="B41" s="25" t="s">
        <v>100</v>
      </c>
      <c r="C41" s="26">
        <f>SUMIF('UW Bordereaux'!$D$5:$D$711,"Bound*",'UW Bordereaux'!$AD$5:$AD$711)</f>
      </c>
    </row>
    <row r="42" spans="2:7" ht="15" customHeight="1" x14ac:dyDescent="0.25">
      <c r="B42" s="25" t="s">
        <v>101</v>
      </c>
      <c r="C42" s="26">
        <f>SUMIF('UW Bordereaux'!$D$5:$D$711,"Bound*",'UW Bordereaux'!$AB$5:$AB$711)</f>
      </c>
    </row>
    <row r="43" spans="2:7" ht="15" customHeight="1" x14ac:dyDescent="0.25">
      <c r="B43" s="25" t="s">
        <v>102</v>
      </c>
      <c r="C43" s="27">
        <f>IFERROR((SUMIF('UW Bordereaux'!$D$5:$D$711,"Bound*",'UW Bordereaux'!$AD$5:$AD$711))/(SUMIF('UW Bordereaux'!$D$5:$D$711,"Bound*",'UW Bordereaux'!$AB$5:$AB$711)),0)</f>
      </c>
    </row>
    <row r="44" spans="2:7" ht="15" customHeight="1" x14ac:dyDescent="0.25">
      <c r="B44" s="23" t="s">
        <v>103</v>
      </c>
      <c r="C44" s="28">
        <f>SUMIF('UW Bordereaux'!$D$5:$D$711,"Bound*",'UW Bordereaux'!$AQ$5:$AQ$711)</f>
      </c>
    </row>
    <row r="45" spans="2:7" ht="15" customHeight="1" x14ac:dyDescent="0.25">
      <c r="B45" s="23" t="s">
        <v>104</v>
      </c>
      <c r="C45" s="28">
        <f>SUMIF('UW Bordereaux'!$D$5:$D$711,"Bound*",'UW Bordereaux'!$AE$5:$AE$711)</f>
      </c>
    </row>
    <row r="46" spans="2:7" ht="15" customHeight="1" x14ac:dyDescent="0.25">
      <c r="B46" s="23" t="s">
        <v>105</v>
      </c>
      <c r="C46" s="28">
        <f>SUMIF('UW Bordereaux'!$D$5:$D$711,"Bound*",'UW Bordereaux'!$AH$5:$AH$711)</f>
      </c>
    </row>
    <row r="47" spans="2:7" ht="15" customHeight="1" x14ac:dyDescent="0.25">
      <c r="B47" s="23" t="s">
        <v>106</v>
      </c>
      <c r="C47" s="24">
        <f>COUNTIFS('UW Bordereaux'!$AD$5:$AD$711,"&gt;="&amp;Header!$C$18,'UW Bordereaux'!$D$5:$D$711,"Bound*")</f>
      </c>
    </row>
    <row r="48" spans="2:7" ht="15" customHeight="1" x14ac:dyDescent="0.25">
      <c r="B48" s="23" t="s">
        <v>107</v>
      </c>
      <c r="C48" s="24">
        <f>COUNTIF('UW Bordereaux'!$AL$5:$AL$711,"BEYOND AUTHORITY")</f>
      </c>
    </row>
    <row r="49" spans="2:3" ht="15" customHeight="1" x14ac:dyDescent="0.25">
      <c r="B49" s="23" t="s">
        <v>108</v>
      </c>
      <c r="C49" s="24">
        <f>COUNTA('UW Bordereaux'!$A$5:$A$711)-COUNTIF('UW Bordereaux'!$D$5:$D$711,"Bound*")-COUNTIF('UW Bordereaux'!$D$5:$D$711,"Declined")-COUNTIF('UW Bordereaux'!$D$5:$D$711,"Cancelled")-COUNTIF('UW Bordereaux'!$D$5:$D$711,"Lapsed")-COUNTIF('UW Bordereaux'!$D$5:$D$711,"Quoted*")-COUNTIF('UW Bordereaux'!$D$5:$D$711,"Void")-COUNTIF('UW Bordereaux'!$D$5:$D$711,"Reinstatement")</f>
      </c>
    </row>
    <row r="50" spans="2:3" ht="15" customHeight="1" x14ac:dyDescent="0.25">
      <c r="B50" s="23" t="s">
        <v>109</v>
      </c>
      <c r="C50" s="24">
        <f>COUNTIF('UW Bordereaux'!$AX$5:$AX$711,"FAIL*")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711"/>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CANON-202607-009534</t>
        </is>
      </c>
      <c r="B5" s="30" t="inlineStr">
        <is>
          <t xml:space="preserve">Thaddeus Castellanos</t>
        </is>
      </c>
      <c r="C5" s="31">
        <v>46227</v>
      </c>
      <c r="D5" s="32" t="inlineStr">
        <is>
          <t xml:space="preserve">Bound - within authority</t>
        </is>
      </c>
      <c r="E5" s="32" t="inlineStr">
        <is>
          <t xml:space="preserve">New business</t>
        </is>
      </c>
      <c r="F5" s="30" t="inlineStr">
        <is>
          <t xml:space="preserve">B1234EXOTIC26</t>
        </is>
      </c>
      <c r="G5" s="33">
        <f>IF($A5="","",IF($C5="","",YEAR($C5)))</f>
      </c>
      <c r="H5" s="34">
        <v>1984</v>
      </c>
      <c r="I5" s="30" t="inlineStr">
        <is>
          <t xml:space="preserve">Ferrari</t>
        </is>
      </c>
      <c r="J5" s="30" t="inlineStr">
        <is>
          <t xml:space="preserve">275 GTB/4</t>
        </is>
      </c>
      <c r="K5" s="30" t="inlineStr">
        <is>
          <t xml:space="preserve">B3E8SENEAPWKNUP9D</t>
        </is>
      </c>
      <c r="L5" s="32" t="inlineStr">
        <is>
          <t xml:space="preserve">08 - Modern Classic (1973-1999)</t>
        </is>
      </c>
      <c r="M5" s="35">
        <v>1950000</v>
      </c>
      <c r="N5" s="32" t="inlineStr">
        <is>
          <t xml:space="preserve">Personal</t>
        </is>
      </c>
      <c r="O5" s="30" t="inlineStr">
        <is>
          <t xml:space="preserve">Personal - regular use</t>
        </is>
      </c>
      <c r="P5" s="30" t="inlineStr">
        <is>
          <t xml:space="preserve">1,000 - 2,500</t>
        </is>
      </c>
      <c r="Q5" s="30" t="inlineStr">
        <is>
          <t xml:space="preserve">Iowa</t>
        </is>
      </c>
      <c r="R5" s="30" t="inlineStr">
        <is>
          <t xml:space="preserve">50309</t>
        </is>
      </c>
      <c r="S5" s="32" t="inlineStr">
        <is>
          <t xml:space="preserve">Severe convective - hail alley (high)</t>
        </is>
      </c>
      <c r="T5" s="36">
        <f>IF($A5="","",IF($S5="","",IFERROR(INDEX('[1]natural catastrophe'!$D$6:$D$17,MATCH($S5,'[1]natural catastrophe'!$B$6:$B$17,0)),"?")))</f>
      </c>
      <c r="U5" s="30" t="inlineStr">
        <is>
          <t xml:space="preserve">$5,000</t>
        </is>
      </c>
      <c r="V5" s="32" t="inlineStr">
        <is>
          <t xml:space="preserve">Agreed Value</t>
        </is>
      </c>
      <c r="W5" s="30" t="inlineStr">
        <is>
          <t xml:space="preserve">$1,000</t>
        </is>
      </c>
      <c r="X5" s="32" t="inlineStr">
        <is>
          <t xml:space="preserve">$1,000,000 CSL</t>
        </is>
      </c>
      <c r="Y5" s="30"/>
      <c r="Z5" s="30"/>
      <c r="AA5" s="32" t="inlineStr">
        <is>
          <t xml:space="preserve">Surplus Lines</t>
        </is>
      </c>
      <c r="AB5" s="35">
        <v>11703.61</v>
      </c>
      <c r="AC5" s="37">
        <v>0</v>
      </c>
      <c r="AD5" s="38">
        <f>IF(ISNUMBER($AB5),$AB5*(1+N($AC5)),"")</f>
      </c>
      <c r="AE5" s="35">
        <v>350</v>
      </c>
      <c r="AF5" s="35">
        <v>250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CANON-202607-009535</t>
        </is>
      </c>
      <c r="B6" s="46" t="inlineStr">
        <is>
          <t xml:space="preserve">Anouk Montoya</t>
        </is>
      </c>
      <c r="C6" s="47">
        <v>46230</v>
      </c>
      <c r="D6" s="48" t="inlineStr">
        <is>
          <t xml:space="preserve">Bound - within authority</t>
        </is>
      </c>
      <c r="E6" s="48" t="inlineStr">
        <is>
          <t xml:space="preserve">New business</t>
        </is>
      </c>
      <c r="F6" s="46" t="inlineStr">
        <is>
          <t xml:space="preserve">B1234EXOTIC26</t>
        </is>
      </c>
      <c r="G6" s="33">
        <f>IF($A6="","",IF($C6="","",YEAR($C6)))</f>
      </c>
      <c r="H6" s="49">
        <v>2020</v>
      </c>
      <c r="I6" s="46" t="inlineStr">
        <is>
          <t xml:space="preserve">Ferrari</t>
        </is>
      </c>
      <c r="J6" s="46" t="inlineStr">
        <is>
          <t xml:space="preserve">275 GTB/4</t>
        </is>
      </c>
      <c r="K6" s="46" t="inlineStr">
        <is>
          <t xml:space="preserve">L2N2AN7FN6W7CM6H3</t>
        </is>
      </c>
      <c r="L6" s="48" t="inlineStr">
        <is>
          <t xml:space="preserve">02 - Sports / GT</t>
        </is>
      </c>
      <c r="M6" s="50">
        <v>590000</v>
      </c>
      <c r="N6" s="48" t="inlineStr">
        <is>
          <t xml:space="preserve">Personal</t>
        </is>
      </c>
      <c r="O6" s="46" t="inlineStr">
        <is>
          <t xml:space="preserve">Personal - regular use</t>
        </is>
      </c>
      <c r="P6" s="46" t="inlineStr">
        <is>
          <t xml:space="preserve">1,000 - 2,500</t>
        </is>
      </c>
      <c r="Q6" s="46" t="inlineStr">
        <is>
          <t xml:space="preserve">Pennsylvania</t>
        </is>
      </c>
      <c r="R6" s="46" t="inlineStr">
        <is>
          <t xml:space="preserve">19103</t>
        </is>
      </c>
      <c r="S6" s="48" t="inlineStr">
        <is>
          <t xml:space="preserve">Low hazard - inland benign</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3642.75</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CANON-202607-009537</t>
        </is>
      </c>
      <c r="B7" s="30" t="inlineStr">
        <is>
          <t xml:space="preserve">Mireille Delacroix</t>
        </is>
      </c>
      <c r="C7" s="31">
        <v>46207</v>
      </c>
      <c r="D7" s="32" t="inlineStr">
        <is>
          <t xml:space="preserve">Bound - within authority</t>
        </is>
      </c>
      <c r="E7" s="32" t="inlineStr">
        <is>
          <t xml:space="preserve">New business</t>
        </is>
      </c>
      <c r="F7" s="30" t="inlineStr">
        <is>
          <t xml:space="preserve">B1234EXOTIC26</t>
        </is>
      </c>
      <c r="G7" s="33">
        <f>IF($A7="","",IF($C7="","",YEAR($C7)))</f>
      </c>
      <c r="H7" s="34">
        <v>1981</v>
      </c>
      <c r="I7" s="30" t="inlineStr">
        <is>
          <t xml:space="preserve">Jaguar</t>
        </is>
      </c>
      <c r="J7" s="30" t="inlineStr">
        <is>
          <t xml:space="preserve">E-Type Series 1</t>
        </is>
      </c>
      <c r="K7" s="30" t="inlineStr">
        <is>
          <t xml:space="preserve">TS4Y85DCXKC0X3XTC</t>
        </is>
      </c>
      <c r="L7" s="32" t="inlineStr">
        <is>
          <t xml:space="preserve">08 - Modern Classic (1973-1999)</t>
        </is>
      </c>
      <c r="M7" s="35">
        <v>555000</v>
      </c>
      <c r="N7" s="32" t="inlineStr">
        <is>
          <t xml:space="preserve">Personal</t>
        </is>
      </c>
      <c r="O7" s="30" t="inlineStr">
        <is>
          <t xml:space="preserve">Personal - regular use</t>
        </is>
      </c>
      <c r="P7" s="30" t="inlineStr">
        <is>
          <t xml:space="preserve">1,000 - 2,500</t>
        </is>
      </c>
      <c r="Q7" s="30" t="inlineStr">
        <is>
          <t xml:space="preserve">New York</t>
        </is>
      </c>
      <c r="R7" s="30" t="inlineStr">
        <is>
          <t xml:space="preserve">10022</t>
        </is>
      </c>
      <c r="S7" s="32" t="inlineStr">
        <is>
          <t xml:space="preserve">Tier 3 - Coastal wind (25-100 miles)</t>
        </is>
      </c>
      <c r="T7" s="36">
        <f>IF($A7="","",IF($S7="","",IFERROR(INDEX('[1]natural catastrophe'!$D$6:$D$17,MATCH($S7,'[1]natural catastrophe'!$B$6:$B$17,0)),"?")))</f>
      </c>
      <c r="U7" s="30" t="inlineStr">
        <is>
          <t xml:space="preserve">2% of agreed value, minimum $10,000</t>
        </is>
      </c>
      <c r="V7" s="32" t="inlineStr">
        <is>
          <t xml:space="preserve">Agreed Value</t>
        </is>
      </c>
      <c r="W7" s="30" t="inlineStr">
        <is>
          <t xml:space="preserve">$1,000</t>
        </is>
      </c>
      <c r="X7" s="32" t="inlineStr">
        <is>
          <t xml:space="preserve">$1,000,000 CSL</t>
        </is>
      </c>
      <c r="Y7" s="30"/>
      <c r="Z7" s="30"/>
      <c r="AA7" s="32" t="inlineStr">
        <is>
          <t xml:space="preserve">Surplus Lines</t>
        </is>
      </c>
      <c r="AB7" s="35">
        <v>4386.11</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CANON-202607-009538</t>
        </is>
      </c>
      <c r="B8" s="46" t="inlineStr">
        <is>
          <t xml:space="preserve">Leopold Kingsford</t>
        </is>
      </c>
      <c r="C8" s="47">
        <v>46209</v>
      </c>
      <c r="D8" s="48" t="inlineStr">
        <is>
          <t xml:space="preserve">Bound - within authority</t>
        </is>
      </c>
      <c r="E8" s="48" t="inlineStr">
        <is>
          <t xml:space="preserve">New business</t>
        </is>
      </c>
      <c r="F8" s="46" t="inlineStr">
        <is>
          <t xml:space="preserve">B1234EXOTIC26</t>
        </is>
      </c>
      <c r="G8" s="33">
        <f>IF($A8="","",IF($C8="","",YEAR($C8)))</f>
      </c>
      <c r="H8" s="49">
        <v>1958</v>
      </c>
      <c r="I8" s="46" t="inlineStr">
        <is>
          <t xml:space="preserve">Bugatti</t>
        </is>
      </c>
      <c r="J8" s="46" t="inlineStr">
        <is>
          <t xml:space="preserve">Type 57</t>
        </is>
      </c>
      <c r="K8" s="46" t="inlineStr">
        <is>
          <t xml:space="preserve">VNGZKWGLGVKGFX0FH</t>
        </is>
      </c>
      <c r="L8" s="48" t="inlineStr">
        <is>
          <t xml:space="preserve">07 - Post-War Classic (1946-1972)</t>
        </is>
      </c>
      <c r="M8" s="50">
        <v>910000</v>
      </c>
      <c r="N8" s="48" t="inlineStr">
        <is>
          <t xml:space="preserve">Personal</t>
        </is>
      </c>
      <c r="O8" s="46" t="inlineStr">
        <is>
          <t xml:space="preserve">Personal - regular use</t>
        </is>
      </c>
      <c r="P8" s="46" t="inlineStr">
        <is>
          <t xml:space="preserve">Under 1,000</t>
        </is>
      </c>
      <c r="Q8" s="46" t="inlineStr">
        <is>
          <t xml:space="preserve">Kentucky</t>
        </is>
      </c>
      <c r="R8" s="46" t="inlineStr">
        <is>
          <t xml:space="preserve">40202</t>
        </is>
      </c>
      <c r="S8" s="48" t="inlineStr">
        <is>
          <t xml:space="preserve">Severe convective - hail / tornado (moderate)</t>
        </is>
      </c>
      <c r="T8" s="36">
        <f>IF($A8="","",IF($S8="","",IFERROR(INDEX('[1]natural catastrophe'!$D$6:$D$17,MATCH($S8,'[1]natural catastrophe'!$B$6:$B$17,0)),"?")))</f>
      </c>
      <c r="U8" s="46" t="inlineStr">
        <is>
          <t xml:space="preserve">$5,000</t>
        </is>
      </c>
      <c r="V8" s="48" t="inlineStr">
        <is>
          <t xml:space="preserve">Agreed Value</t>
        </is>
      </c>
      <c r="W8" s="46" t="inlineStr">
        <is>
          <t xml:space="preserve">$1,000</t>
        </is>
      </c>
      <c r="X8" s="48" t="inlineStr">
        <is>
          <t xml:space="preserve">$1,000,000 CSL</t>
        </is>
      </c>
      <c r="Y8" s="46"/>
      <c r="Z8" s="46"/>
      <c r="AA8" s="48" t="inlineStr">
        <is>
          <t xml:space="preserve">Surplus Lines</t>
        </is>
      </c>
      <c r="AB8" s="50">
        <v>6653.32</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CANON-202607-009539</t>
        </is>
      </c>
      <c r="B9" s="30" t="inlineStr">
        <is>
          <t xml:space="preserve">Mireille Castellanos</t>
        </is>
      </c>
      <c r="C9" s="31">
        <v>46230</v>
      </c>
      <c r="D9" s="32" t="inlineStr">
        <is>
          <t xml:space="preserve">Bound - within authority</t>
        </is>
      </c>
      <c r="E9" s="32" t="inlineStr">
        <is>
          <t xml:space="preserve">New business</t>
        </is>
      </c>
      <c r="F9" s="30" t="inlineStr">
        <is>
          <t xml:space="preserve">B1234EXOTIC26</t>
        </is>
      </c>
      <c r="G9" s="33">
        <f>IF($A9="","",IF($C9="","",YEAR($C9)))</f>
      </c>
      <c r="H9" s="34">
        <v>2008</v>
      </c>
      <c r="I9" s="30" t="inlineStr">
        <is>
          <t xml:space="preserve">Maserati</t>
        </is>
      </c>
      <c r="J9" s="30" t="inlineStr">
        <is>
          <t xml:space="preserve">GranTurismo</t>
        </is>
      </c>
      <c r="K9" s="30" t="inlineStr">
        <is>
          <t xml:space="preserve">U1CWYDT0B05X67162</t>
        </is>
      </c>
      <c r="L9" s="32" t="inlineStr">
        <is>
          <t xml:space="preserve">02 - Sports / GT</t>
        </is>
      </c>
      <c r="M9" s="35">
        <v>715000</v>
      </c>
      <c r="N9" s="32" t="inlineStr">
        <is>
          <t xml:space="preserve">Personal</t>
        </is>
      </c>
      <c r="O9" s="30" t="inlineStr">
        <is>
          <t xml:space="preserve">Personal - regular use</t>
        </is>
      </c>
      <c r="P9" s="30" t="inlineStr">
        <is>
          <t xml:space="preserve">2,500 - 5,000</t>
        </is>
      </c>
      <c r="Q9" s="30" t="inlineStr">
        <is>
          <t xml:space="preserve">Alabama</t>
        </is>
      </c>
      <c r="R9" s="30" t="inlineStr">
        <is>
          <t xml:space="preserve">35203</t>
        </is>
      </c>
      <c r="S9" s="32" t="inlineStr">
        <is>
          <t xml:space="preserve">Tier 2 - Coastal wind (1-25 miles)</t>
        </is>
      </c>
      <c r="T9" s="36">
        <f>IF($A9="","",IF($S9="","",IFERROR(INDEX('[1]natural catastrophe'!$D$6:$D$17,MATCH($S9,'[1]natural catastrophe'!$B$6:$B$17,0)),"?")))</f>
      </c>
      <c r="U9" s="30" t="inlineStr">
        <is>
          <t xml:space="preserve">2% of agreed value, minimum $10,000</t>
        </is>
      </c>
      <c r="V9" s="32" t="inlineStr">
        <is>
          <t xml:space="preserve">Agreed Value</t>
        </is>
      </c>
      <c r="W9" s="30" t="inlineStr">
        <is>
          <t xml:space="preserve">$1,000</t>
        </is>
      </c>
      <c r="X9" s="32" t="inlineStr">
        <is>
          <t xml:space="preserve">$1,000,000 CSL</t>
        </is>
      </c>
      <c r="Y9" s="30"/>
      <c r="Z9" s="30"/>
      <c r="AA9" s="32" t="inlineStr">
        <is>
          <t xml:space="preserve">Surplus Lines</t>
        </is>
      </c>
      <c r="AB9" s="35">
        <v>8474.85</v>
      </c>
      <c r="AC9" s="37">
        <v>0</v>
      </c>
      <c r="AD9" s="38">
        <f>IF(ISNUMBER($AB9),$AB9*(1+N($AC9)),"")</f>
      </c>
      <c r="AE9" s="35">
        <v>350</v>
      </c>
      <c r="AF9" s="35">
        <v>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CANON-202607-009540</t>
        </is>
      </c>
      <c r="B10" s="46" t="inlineStr">
        <is>
          <t xml:space="preserve">Ingrid Ashcombe</t>
        </is>
      </c>
      <c r="C10" s="47">
        <v>46223</v>
      </c>
      <c r="D10" s="48" t="inlineStr">
        <is>
          <t xml:space="preserve">Bound - within authority</t>
        </is>
      </c>
      <c r="E10" s="48" t="inlineStr">
        <is>
          <t xml:space="preserve">New business</t>
        </is>
      </c>
      <c r="F10" s="46" t="inlineStr">
        <is>
          <t xml:space="preserve">B1234EXOTIC26</t>
        </is>
      </c>
      <c r="G10" s="33">
        <f>IF($A10="","",IF($C10="","",YEAR($C10)))</f>
      </c>
      <c r="H10" s="49">
        <v>1995</v>
      </c>
      <c r="I10" s="46" t="inlineStr">
        <is>
          <t xml:space="preserve">Porsche</t>
        </is>
      </c>
      <c r="J10" s="46" t="inlineStr">
        <is>
          <t xml:space="preserve">911 Turbo S</t>
        </is>
      </c>
      <c r="K10" s="46" t="inlineStr">
        <is>
          <t xml:space="preserve">36TYZ6PPMFA9Y7M9T</t>
        </is>
      </c>
      <c r="L10" s="48" t="inlineStr">
        <is>
          <t xml:space="preserve">02 - Sports / GT</t>
        </is>
      </c>
      <c r="M10" s="50">
        <v>740000</v>
      </c>
      <c r="N10" s="48" t="inlineStr">
        <is>
          <t xml:space="preserve">Personal</t>
        </is>
      </c>
      <c r="O10" s="46" t="inlineStr">
        <is>
          <t xml:space="preserve">Personal - regular use</t>
        </is>
      </c>
      <c r="P10" s="46" t="inlineStr">
        <is>
          <t xml:space="preserve">2,500 - 5,000</t>
        </is>
      </c>
      <c r="Q10" s="46" t="inlineStr">
        <is>
          <t xml:space="preserve">Arkansas</t>
        </is>
      </c>
      <c r="R10" s="46" t="inlineStr">
        <is>
          <t xml:space="preserve">72201</t>
        </is>
      </c>
      <c r="S10" s="48" t="inlineStr">
        <is>
          <t xml:space="preserve">Severe convective - hail / tornado (moderate)</t>
        </is>
      </c>
      <c r="T10" s="36">
        <f>IF($A10="","",IF($S10="","",IFERROR(INDEX('[1]natural catastrophe'!$D$6:$D$17,MATCH($S10,'[1]natural catastrophe'!$B$6:$B$17,0)),"?")))</f>
      </c>
      <c r="U10" s="46" t="inlineStr">
        <is>
          <t xml:space="preserve">$5,000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9530.88</v>
      </c>
      <c r="AC10" s="51">
        <v>0</v>
      </c>
      <c r="AD10" s="38">
        <f>IF(ISNUMBER($AB10),$AB10*(1+N($AC10)),"")</f>
      </c>
      <c r="AE10" s="50">
        <v>350</v>
      </c>
      <c r="AF10" s="50">
        <v>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CANON-202607-009541</t>
        </is>
      </c>
      <c r="B11" s="30" t="inlineStr">
        <is>
          <t xml:space="preserve">Delphine Nakashima</t>
        </is>
      </c>
      <c r="C11" s="31">
        <v>46209</v>
      </c>
      <c r="D11" s="32" t="inlineStr">
        <is>
          <t xml:space="preserve">Bound - within authority</t>
        </is>
      </c>
      <c r="E11" s="32" t="inlineStr">
        <is>
          <t xml:space="preserve">New business</t>
        </is>
      </c>
      <c r="F11" s="30" t="inlineStr">
        <is>
          <t xml:space="preserve">B1234EXOTIC26</t>
        </is>
      </c>
      <c r="G11" s="33">
        <f>IF($A11="","",IF($C11="","",YEAR($C11)))</f>
      </c>
      <c r="H11" s="34">
        <v>2021</v>
      </c>
      <c r="I11" s="30" t="inlineStr">
        <is>
          <t xml:space="preserve">Aston Martin</t>
        </is>
      </c>
      <c r="J11" s="30" t="inlineStr">
        <is>
          <t xml:space="preserve">DB12</t>
        </is>
      </c>
      <c r="K11" s="30" t="inlineStr">
        <is>
          <t xml:space="preserve">8LRMN86UL19ADRP5M</t>
        </is>
      </c>
      <c r="L11" s="32" t="inlineStr">
        <is>
          <t xml:space="preserve">02 - Sports / GT</t>
        </is>
      </c>
      <c r="M11" s="35">
        <v>475000</v>
      </c>
      <c r="N11" s="32" t="inlineStr">
        <is>
          <t xml:space="preserve">Personal</t>
        </is>
      </c>
      <c r="O11" s="30" t="inlineStr">
        <is>
          <t xml:space="preserve">Personal - regular use</t>
        </is>
      </c>
      <c r="P11" s="30" t="inlineStr">
        <is>
          <t xml:space="preserve">1,000 - 2,500</t>
        </is>
      </c>
      <c r="Q11" s="30" t="inlineStr">
        <is>
          <t xml:space="preserve">California</t>
        </is>
      </c>
      <c r="R11" s="30" t="inlineStr">
        <is>
          <t xml:space="preserve">90012</t>
        </is>
      </c>
      <c r="S11" s="32" t="inlineStr">
        <is>
          <t xml:space="preserve">Earthquake - high (CA, Cascadia, New Madrid)</t>
        </is>
      </c>
      <c r="T11" s="36">
        <f>IF($A11="","",IF($S11="","",IFERROR(INDEX('[1]natural catastrophe'!$D$6:$D$17,MATCH($S11,'[1]natural catastrophe'!$B$6:$B$17,0)),"?")))</f>
      </c>
      <c r="U11" s="30" t="inlineStr">
        <is>
          <t xml:space="preserve">$5,000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6905.53</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CANON-202607-009542</t>
        </is>
      </c>
      <c r="B12" s="46" t="inlineStr">
        <is>
          <t xml:space="preserve">Priya Blackwood</t>
        </is>
      </c>
      <c r="C12" s="47">
        <v>46205</v>
      </c>
      <c r="D12" s="48" t="inlineStr">
        <is>
          <t xml:space="preserve">Bound - within authority</t>
        </is>
      </c>
      <c r="E12" s="48" t="inlineStr">
        <is>
          <t xml:space="preserve">New business</t>
        </is>
      </c>
      <c r="F12" s="46" t="inlineStr">
        <is>
          <t xml:space="preserve">B1234EXOTIC26</t>
        </is>
      </c>
      <c r="G12" s="33">
        <f>IF($A12="","",IF($C12="","",YEAR($C12)))</f>
      </c>
      <c r="H12" s="49">
        <v>1994</v>
      </c>
      <c r="I12" s="46" t="inlineStr">
        <is>
          <t xml:space="preserve">McLaren</t>
        </is>
      </c>
      <c r="J12" s="46" t="inlineStr">
        <is>
          <t xml:space="preserve">750S</t>
        </is>
      </c>
      <c r="K12" s="46" t="inlineStr">
        <is>
          <t xml:space="preserve">0LJCL993ZM067S0UP</t>
        </is>
      </c>
      <c r="L12" s="48" t="inlineStr">
        <is>
          <t xml:space="preserve">03 - Supercar</t>
        </is>
      </c>
      <c r="M12" s="50">
        <v>655000</v>
      </c>
      <c r="N12" s="48" t="inlineStr">
        <is>
          <t xml:space="preserve">Personal</t>
        </is>
      </c>
      <c r="O12" s="46" t="inlineStr">
        <is>
          <t xml:space="preserve">Personal - regular use</t>
        </is>
      </c>
      <c r="P12" s="46" t="inlineStr">
        <is>
          <t xml:space="preserve">Under 1,000</t>
        </is>
      </c>
      <c r="Q12" s="46" t="inlineStr">
        <is>
          <t xml:space="preserve">Arkansas</t>
        </is>
      </c>
      <c r="R12" s="46" t="inlineStr">
        <is>
          <t xml:space="preserve">72201</t>
        </is>
      </c>
      <c r="S12" s="48" t="inlineStr">
        <is>
          <t xml:space="preserve">Severe convective - hail / tornado (moderate)</t>
        </is>
      </c>
      <c r="T12" s="36">
        <f>IF($A12="","",IF($S12="","",IFERROR(INDEX('[1]natural catastrophe'!$D$6:$D$17,MATCH($S12,'[1]natural catastrophe'!$B$6:$B$17,0)),"?")))</f>
      </c>
      <c r="U12" s="46" t="inlineStr">
        <is>
          <t xml:space="preserve">$5,000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12329.71</v>
      </c>
      <c r="AC12" s="51">
        <v>0</v>
      </c>
      <c r="AD12" s="38">
        <f>IF(ISNUMBER($AB12),$AB12*(1+N($AC12)),"")</f>
      </c>
      <c r="AE12" s="50">
        <v>350</v>
      </c>
      <c r="AF12" s="50">
        <v>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CANON-202607-009543</t>
        </is>
      </c>
      <c r="B13" s="30" t="inlineStr">
        <is>
          <t xml:space="preserve">Cassius Bellandi</t>
        </is>
      </c>
      <c r="C13" s="31">
        <v>46234</v>
      </c>
      <c r="D13" s="32" t="inlineStr">
        <is>
          <t xml:space="preserve">Bound - within authority</t>
        </is>
      </c>
      <c r="E13" s="32" t="inlineStr">
        <is>
          <t xml:space="preserve">New business</t>
        </is>
      </c>
      <c r="F13" s="30" t="inlineStr">
        <is>
          <t xml:space="preserve">B1234EXOTIC26</t>
        </is>
      </c>
      <c r="G13" s="33">
        <f>IF($A13="","",IF($C13="","",YEAR($C13)))</f>
      </c>
      <c r="H13" s="34">
        <v>1957</v>
      </c>
      <c r="I13" s="30" t="inlineStr">
        <is>
          <t xml:space="preserve">Ringbrothers</t>
        </is>
      </c>
      <c r="J13" s="30" t="inlineStr">
        <is>
          <t xml:space="preserve">Mustang</t>
        </is>
      </c>
      <c r="K13" s="30" t="inlineStr">
        <is>
          <t xml:space="preserve">MM4WZDHGBXYB4KC2U</t>
        </is>
      </c>
      <c r="L13" s="32" t="inlineStr">
        <is>
          <t xml:space="preserve">11 - Restomod / Coachbuilt / Bespoke</t>
        </is>
      </c>
      <c r="M13" s="35">
        <v>425000</v>
      </c>
      <c r="N13" s="32" t="inlineStr">
        <is>
          <t xml:space="preserve">Personal</t>
        </is>
      </c>
      <c r="O13" s="30" t="inlineStr">
        <is>
          <t xml:space="preserve">Personal - regular use</t>
        </is>
      </c>
      <c r="P13" s="30" t="inlineStr">
        <is>
          <t xml:space="preserve">1,000 - 2,500</t>
        </is>
      </c>
      <c r="Q13" s="30" t="inlineStr">
        <is>
          <t xml:space="preserve">Michigan</t>
        </is>
      </c>
      <c r="R13" s="30" t="inlineStr">
        <is>
          <t xml:space="preserve">48226</t>
        </is>
      </c>
      <c r="S13" s="32" t="inlineStr">
        <is>
          <t xml:space="preserve">Severe convective - hail / tornado (moderate)</t>
        </is>
      </c>
      <c r="T13" s="36">
        <f>IF($A13="","",IF($S13="","",IFERROR(INDEX('[1]natural catastrophe'!$D$6:$D$17,MATCH($S13,'[1]natural catastrophe'!$B$6:$B$17,0)),"?")))</f>
      </c>
      <c r="U13" s="30" t="inlineStr">
        <is>
          <t xml:space="preserve">$5,000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8323.62</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CANON-202607-009544</t>
        </is>
      </c>
      <c r="B14" s="46" t="inlineStr">
        <is>
          <t xml:space="preserve">Fitzgerald Pennington</t>
        </is>
      </c>
      <c r="C14" s="47">
        <v>46206</v>
      </c>
      <c r="D14" s="48" t="inlineStr">
        <is>
          <t xml:space="preserve">Bound - within authority</t>
        </is>
      </c>
      <c r="E14" s="48" t="inlineStr">
        <is>
          <t xml:space="preserve">New business</t>
        </is>
      </c>
      <c r="F14" s="46" t="inlineStr">
        <is>
          <t xml:space="preserve">B1234EXOTIC26</t>
        </is>
      </c>
      <c r="G14" s="33">
        <f>IF($A14="","",IF($C14="","",YEAR($C14)))</f>
      </c>
      <c r="H14" s="49">
        <v>1974</v>
      </c>
      <c r="I14" s="46" t="inlineStr">
        <is>
          <t xml:space="preserve">Aston Martin</t>
        </is>
      </c>
      <c r="J14" s="46" t="inlineStr">
        <is>
          <t xml:space="preserve">DB12</t>
        </is>
      </c>
      <c r="K14" s="46" t="inlineStr">
        <is>
          <t xml:space="preserve">0M32MNBFALWAWFH1G</t>
        </is>
      </c>
      <c r="L14" s="48" t="inlineStr">
        <is>
          <t xml:space="preserve">02 - Sports / GT</t>
        </is>
      </c>
      <c r="M14" s="50">
        <v>360000</v>
      </c>
      <c r="N14" s="48" t="inlineStr">
        <is>
          <t xml:space="preserve">Personal</t>
        </is>
      </c>
      <c r="O14" s="46" t="inlineStr">
        <is>
          <t xml:space="preserve">Personal - regular use</t>
        </is>
      </c>
      <c r="P14" s="46" t="inlineStr">
        <is>
          <t xml:space="preserve">1,000 - 2,500</t>
        </is>
      </c>
      <c r="Q14" s="46" t="inlineStr">
        <is>
          <t xml:space="preserve">West Virginia</t>
        </is>
      </c>
      <c r="R14" s="46" t="inlineStr">
        <is>
          <t xml:space="preserve">25301</t>
        </is>
      </c>
      <c r="S14" s="48" t="inlineStr">
        <is>
          <t xml:space="preserve">Low hazard - inland benign</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5156.13</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CANON-202607-009545</t>
        </is>
      </c>
      <c r="B15" s="30" t="inlineStr">
        <is>
          <t xml:space="preserve">Beatrix Bellandi</t>
        </is>
      </c>
      <c r="C15" s="31">
        <v>46231</v>
      </c>
      <c r="D15" s="32" t="inlineStr">
        <is>
          <t xml:space="preserve">Bound - within authority</t>
        </is>
      </c>
      <c r="E15" s="32" t="inlineStr">
        <is>
          <t xml:space="preserve">New business</t>
        </is>
      </c>
      <c r="F15" s="30" t="inlineStr">
        <is>
          <t xml:space="preserve">B1234EXOTIC26</t>
        </is>
      </c>
      <c r="G15" s="33">
        <f>IF($A15="","",IF($C15="","",YEAR($C15)))</f>
      </c>
      <c r="H15" s="34">
        <v>1985</v>
      </c>
      <c r="I15" s="30" t="inlineStr">
        <is>
          <t xml:space="preserve">Bentley</t>
        </is>
      </c>
      <c r="J15" s="30" t="inlineStr">
        <is>
          <t xml:space="preserve">Continental GT</t>
        </is>
      </c>
      <c r="K15" s="30" t="inlineStr">
        <is>
          <t xml:space="preserve">MR28W6NLNENC5Y781</t>
        </is>
      </c>
      <c r="L15" s="32" t="inlineStr">
        <is>
          <t xml:space="preserve">02 - Sports / GT</t>
        </is>
      </c>
      <c r="M15" s="35">
        <v>515000</v>
      </c>
      <c r="N15" s="32" t="inlineStr">
        <is>
          <t xml:space="preserve">Personal</t>
        </is>
      </c>
      <c r="O15" s="30" t="inlineStr">
        <is>
          <t xml:space="preserve">Personal - regular use</t>
        </is>
      </c>
      <c r="P15" s="30" t="inlineStr">
        <is>
          <t xml:space="preserve">2,500 - 5,000</t>
        </is>
      </c>
      <c r="Q15" s="30" t="inlineStr">
        <is>
          <t xml:space="preserve">Indiana</t>
        </is>
      </c>
      <c r="R15" s="30" t="inlineStr">
        <is>
          <t xml:space="preserve">46204</t>
        </is>
      </c>
      <c r="S15" s="32" t="inlineStr">
        <is>
          <t xml:space="preserve">Severe convective - hail / tornado (moderate)</t>
        </is>
      </c>
      <c r="T15" s="36">
        <f>IF($A15="","",IF($S15="","",IFERROR(INDEX('[1]natural catastrophe'!$D$6:$D$17,MATCH($S15,'[1]natural catastrophe'!$B$6:$B$17,0)),"?")))</f>
      </c>
      <c r="U15" s="30" t="inlineStr">
        <is>
          <t xml:space="preserve">$5,000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5912</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CANON-202607-009546</t>
        </is>
      </c>
      <c r="B16" s="46" t="inlineStr">
        <is>
          <t xml:space="preserve">Fenwick Delacroix</t>
        </is>
      </c>
      <c r="C16" s="47">
        <v>46209</v>
      </c>
      <c r="D16" s="48" t="inlineStr">
        <is>
          <t xml:space="preserve">Bound - within authority</t>
        </is>
      </c>
      <c r="E16" s="48" t="inlineStr">
        <is>
          <t xml:space="preserve">New business</t>
        </is>
      </c>
      <c r="F16" s="46" t="inlineStr">
        <is>
          <t xml:space="preserve">B1234EXOTIC26</t>
        </is>
      </c>
      <c r="G16" s="33">
        <f>IF($A16="","",IF($C16="","",YEAR($C16)))</f>
      </c>
      <c r="H16" s="49">
        <v>1963</v>
      </c>
      <c r="I16" s="46" t="inlineStr">
        <is>
          <t xml:space="preserve">McLaren</t>
        </is>
      </c>
      <c r="J16" s="46" t="inlineStr">
        <is>
          <t xml:space="preserve">750S</t>
        </is>
      </c>
      <c r="K16" s="46" t="inlineStr">
        <is>
          <t xml:space="preserve">WBVMK33ANHEM06YUE</t>
        </is>
      </c>
      <c r="L16" s="48" t="inlineStr">
        <is>
          <t xml:space="preserve">03 - Supercar</t>
        </is>
      </c>
      <c r="M16" s="50">
        <v>590000</v>
      </c>
      <c r="N16" s="48" t="inlineStr">
        <is>
          <t xml:space="preserve">Personal</t>
        </is>
      </c>
      <c r="O16" s="46" t="inlineStr">
        <is>
          <t xml:space="preserve">Personal - regular use</t>
        </is>
      </c>
      <c r="P16" s="46" t="inlineStr">
        <is>
          <t xml:space="preserve">2,500 - 5,000</t>
        </is>
      </c>
      <c r="Q16" s="46" t="inlineStr">
        <is>
          <t xml:space="preserve">Hawaii</t>
        </is>
      </c>
      <c r="R16" s="46" t="inlineStr">
        <is>
          <t xml:space="preserve">96813</t>
        </is>
      </c>
      <c r="S16" s="48" t="inlineStr">
        <is>
          <t xml:space="preserve">Earthquake - high (CA, Cascadia, New Madrid)</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10462.31</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CANON-202607-009547</t>
        </is>
      </c>
      <c r="B17" s="30" t="inlineStr">
        <is>
          <t xml:space="preserve">Saoirse Vasquez</t>
        </is>
      </c>
      <c r="C17" s="31">
        <v>46217</v>
      </c>
      <c r="D17" s="32" t="inlineStr">
        <is>
          <t xml:space="preserve">Bound - within authority</t>
        </is>
      </c>
      <c r="E17" s="32" t="inlineStr">
        <is>
          <t xml:space="preserve">New business</t>
        </is>
      </c>
      <c r="F17" s="30" t="inlineStr">
        <is>
          <t xml:space="preserve">B1234EXOTIC26</t>
        </is>
      </c>
      <c r="G17" s="33">
        <f>IF($A17="","",IF($C17="","",YEAR($C17)))</f>
      </c>
      <c r="H17" s="34">
        <v>1991</v>
      </c>
      <c r="I17" s="30" t="inlineStr">
        <is>
          <t xml:space="preserve">Maserati</t>
        </is>
      </c>
      <c r="J17" s="30" t="inlineStr">
        <is>
          <t xml:space="preserve">GranTurismo</t>
        </is>
      </c>
      <c r="K17" s="30" t="inlineStr">
        <is>
          <t xml:space="preserve">J96NRNZWXM7Z3CWSW</t>
        </is>
      </c>
      <c r="L17" s="32" t="inlineStr">
        <is>
          <t xml:space="preserve">02 - Sports / GT</t>
        </is>
      </c>
      <c r="M17" s="35">
        <v>285000</v>
      </c>
      <c r="N17" s="32" t="inlineStr">
        <is>
          <t xml:space="preserve">Personal</t>
        </is>
      </c>
      <c r="O17" s="30" t="inlineStr">
        <is>
          <t xml:space="preserve">Personal - regular use</t>
        </is>
      </c>
      <c r="P17" s="30" t="inlineStr">
        <is>
          <t xml:space="preserve">2,500 - 5,000</t>
        </is>
      </c>
      <c r="Q17" s="30" t="inlineStr">
        <is>
          <t xml:space="preserve">Arkansas</t>
        </is>
      </c>
      <c r="R17" s="30" t="inlineStr">
        <is>
          <t xml:space="preserve">72201</t>
        </is>
      </c>
      <c r="S17" s="32" t="inlineStr">
        <is>
          <t xml:space="preserve">Severe convective - hail / tornado (moderate)</t>
        </is>
      </c>
      <c r="T17" s="36">
        <f>IF($A17="","",IF($S17="","",IFERROR(INDEX('[1]natural catastrophe'!$D$6:$D$17,MATCH($S17,'[1]natural catastrophe'!$B$6:$B$17,0)),"?")))</f>
      </c>
      <c r="U17" s="30" t="inlineStr">
        <is>
          <t xml:space="preserve">$5,000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4235.4</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CANON-202607-009549</t>
        </is>
      </c>
      <c r="B18" s="46" t="inlineStr">
        <is>
          <t xml:space="preserve">Mireille Nakashima</t>
        </is>
      </c>
      <c r="C18" s="47">
        <v>46206</v>
      </c>
      <c r="D18" s="48" t="inlineStr">
        <is>
          <t xml:space="preserve">Bound - within authority</t>
        </is>
      </c>
      <c r="E18" s="48" t="inlineStr">
        <is>
          <t xml:space="preserve">New business</t>
        </is>
      </c>
      <c r="F18" s="46" t="inlineStr">
        <is>
          <t xml:space="preserve">B1234EXOTIC26</t>
        </is>
      </c>
      <c r="G18" s="33">
        <f>IF($A18="","",IF($C18="","",YEAR($C18)))</f>
      </c>
      <c r="H18" s="49">
        <v>2012</v>
      </c>
      <c r="I18" s="46" t="inlineStr">
        <is>
          <t xml:space="preserve">Mercedes-Benz</t>
        </is>
      </c>
      <c r="J18" s="46" t="inlineStr">
        <is>
          <t xml:space="preserve">AMG GT</t>
        </is>
      </c>
      <c r="K18" s="46" t="inlineStr">
        <is>
          <t xml:space="preserve">5UM7JW2XVRLN477SP</t>
        </is>
      </c>
      <c r="L18" s="48" t="inlineStr">
        <is>
          <t xml:space="preserve">02 - Sports / GT</t>
        </is>
      </c>
      <c r="M18" s="50">
        <v>470000</v>
      </c>
      <c r="N18" s="48" t="inlineStr">
        <is>
          <t xml:space="preserve">Personal</t>
        </is>
      </c>
      <c r="O18" s="46" t="inlineStr">
        <is>
          <t xml:space="preserve">Personal - regular use</t>
        </is>
      </c>
      <c r="P18" s="46" t="inlineStr">
        <is>
          <t xml:space="preserve">1,000 - 2,500</t>
        </is>
      </c>
      <c r="Q18" s="46" t="inlineStr">
        <is>
          <t xml:space="preserve">Washington</t>
        </is>
      </c>
      <c r="R18" s="46" t="inlineStr">
        <is>
          <t xml:space="preserve">98101</t>
        </is>
      </c>
      <c r="S18" s="48" t="inlineStr">
        <is>
          <t xml:space="preserve">Earthquake - high (CA, Cascadia, New Madrid)</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4858.92</v>
      </c>
      <c r="AC18" s="51">
        <v>0</v>
      </c>
      <c r="AD18" s="38">
        <f>IF(ISNUMBER($AB18),$AB18*(1+N($AC18)),"")</f>
      </c>
      <c r="AE18" s="50">
        <v>350</v>
      </c>
      <c r="AF18" s="50">
        <v>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CANON-202607-009550</t>
        </is>
      </c>
      <c r="B19" s="30" t="inlineStr">
        <is>
          <t xml:space="preserve">Marisol Okonkwo</t>
        </is>
      </c>
      <c r="C19" s="31">
        <v>46222</v>
      </c>
      <c r="D19" s="32" t="inlineStr">
        <is>
          <t xml:space="preserve">Bound - within authority</t>
        </is>
      </c>
      <c r="E19" s="32" t="inlineStr">
        <is>
          <t xml:space="preserve">New business</t>
        </is>
      </c>
      <c r="F19" s="30" t="inlineStr">
        <is>
          <t xml:space="preserve">B1234EXOTIC26</t>
        </is>
      </c>
      <c r="G19" s="33">
        <f>IF($A19="","",IF($C19="","",YEAR($C19)))</f>
      </c>
      <c r="H19" s="34">
        <v>1997</v>
      </c>
      <c r="I19" s="30" t="inlineStr">
        <is>
          <t xml:space="preserve">BMW</t>
        </is>
      </c>
      <c r="J19" s="30" t="inlineStr">
        <is>
          <t xml:space="preserve">M8 Competition</t>
        </is>
      </c>
      <c r="K19" s="30" t="inlineStr">
        <is>
          <t xml:space="preserve">C6DPD9M14ZHR4LW7K</t>
        </is>
      </c>
      <c r="L19" s="32" t="inlineStr">
        <is>
          <t xml:space="preserve">02 - Sports / GT</t>
        </is>
      </c>
      <c r="M19" s="35">
        <v>460000</v>
      </c>
      <c r="N19" s="32" t="inlineStr">
        <is>
          <t xml:space="preserve">Personal</t>
        </is>
      </c>
      <c r="O19" s="30" t="inlineStr">
        <is>
          <t xml:space="preserve">Personal - regular use</t>
        </is>
      </c>
      <c r="P19" s="30" t="inlineStr">
        <is>
          <t xml:space="preserve">2,500 - 5,000</t>
        </is>
      </c>
      <c r="Q19" s="30" t="inlineStr">
        <is>
          <t xml:space="preserve">Virginia</t>
        </is>
      </c>
      <c r="R19" s="30" t="inlineStr">
        <is>
          <t xml:space="preserve">23219</t>
        </is>
      </c>
      <c r="S19" s="32" t="inlineStr">
        <is>
          <t xml:space="preserve">Tier 3 - Coastal wind (25-100 miles)</t>
        </is>
      </c>
      <c r="T19" s="36">
        <f>IF($A19="","",IF($S19="","",IFERROR(INDEX('[1]natural catastrophe'!$D$6:$D$17,MATCH($S19,'[1]natural catastrophe'!$B$6:$B$17,0)),"?")))</f>
      </c>
      <c r="U19" s="30" t="inlineStr">
        <is>
          <t xml:space="preserve">2% of agreed value, minimum $10,000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5399.51</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CANON-202607-009551</t>
        </is>
      </c>
      <c r="B20" s="46" t="inlineStr">
        <is>
          <t xml:space="preserve">Mireille Chattopadhyay</t>
        </is>
      </c>
      <c r="C20" s="47">
        <v>46224</v>
      </c>
      <c r="D20" s="48" t="inlineStr">
        <is>
          <t xml:space="preserve">Bound - within authority</t>
        </is>
      </c>
      <c r="E20" s="48" t="inlineStr">
        <is>
          <t xml:space="preserve">New business</t>
        </is>
      </c>
      <c r="F20" s="46" t="inlineStr">
        <is>
          <t xml:space="preserve">B1234EXOTIC26</t>
        </is>
      </c>
      <c r="G20" s="33">
        <f>IF($A20="","",IF($C20="","",YEAR($C20)))</f>
      </c>
      <c r="H20" s="49">
        <v>2004</v>
      </c>
      <c r="I20" s="46" t="inlineStr">
        <is>
          <t xml:space="preserve">Ferrari</t>
        </is>
      </c>
      <c r="J20" s="46" t="inlineStr">
        <is>
          <t xml:space="preserve">296 GTB</t>
        </is>
      </c>
      <c r="K20" s="46" t="inlineStr">
        <is>
          <t xml:space="preserve">CCFVJLATGXRJ0YL22</t>
        </is>
      </c>
      <c r="L20" s="48" t="inlineStr">
        <is>
          <t xml:space="preserve">03 - Supercar</t>
        </is>
      </c>
      <c r="M20" s="50">
        <v>1170000</v>
      </c>
      <c r="N20" s="48" t="inlineStr">
        <is>
          <t xml:space="preserve">Personal</t>
        </is>
      </c>
      <c r="O20" s="46" t="inlineStr">
        <is>
          <t xml:space="preserve">Personal - regular use</t>
        </is>
      </c>
      <c r="P20" s="46" t="inlineStr">
        <is>
          <t xml:space="preserve">1,000 - 2,500</t>
        </is>
      </c>
      <c r="Q20" s="46" t="inlineStr">
        <is>
          <t xml:space="preserve">Florida</t>
        </is>
      </c>
      <c r="R20" s="46" t="inlineStr">
        <is>
          <t xml:space="preserve">33139</t>
        </is>
      </c>
      <c r="S20" s="48" t="inlineStr">
        <is>
          <t xml:space="preserve">Tier 2 - Coastal wind (1-25 miles)</t>
        </is>
      </c>
      <c r="T20" s="36">
        <f>IF($A20="","",IF($S20="","",IFERROR(INDEX('[1]natural catastrophe'!$D$6:$D$17,MATCH($S20,'[1]natural catastrophe'!$B$6:$B$17,0)),"?")))</f>
      </c>
      <c r="U20" s="46" t="inlineStr">
        <is>
          <t xml:space="preserve">2% of agreed value, minimum $10,000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19084.16</v>
      </c>
      <c r="AC20" s="51">
        <v>0</v>
      </c>
      <c r="AD20" s="38">
        <f>IF(ISNUMBER($AB20),$AB20*(1+N($AC20)),"")</f>
      </c>
      <c r="AE20" s="50">
        <v>350</v>
      </c>
      <c r="AF20" s="50">
        <v>250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CANON-202607-009552</t>
        </is>
      </c>
      <c r="B21" s="30" t="inlineStr">
        <is>
          <t xml:space="preserve">Desmond Pennington</t>
        </is>
      </c>
      <c r="C21" s="31">
        <v>46221</v>
      </c>
      <c r="D21" s="32" t="inlineStr">
        <is>
          <t xml:space="preserve">Bound - within authority</t>
        </is>
      </c>
      <c r="E21" s="32" t="inlineStr">
        <is>
          <t xml:space="preserve">New business</t>
        </is>
      </c>
      <c r="F21" s="30" t="inlineStr">
        <is>
          <t xml:space="preserve">B1234EXOTIC26</t>
        </is>
      </c>
      <c r="G21" s="33">
        <f>IF($A21="","",IF($C21="","",YEAR($C21)))</f>
      </c>
      <c r="H21" s="34">
        <v>1974</v>
      </c>
      <c r="I21" s="30" t="inlineStr">
        <is>
          <t xml:space="preserve">McLaren</t>
        </is>
      </c>
      <c r="J21" s="30" t="inlineStr">
        <is>
          <t xml:space="preserve">750S</t>
        </is>
      </c>
      <c r="K21" s="30" t="inlineStr">
        <is>
          <t xml:space="preserve">P0WU9E03R25LMTM0M</t>
        </is>
      </c>
      <c r="L21" s="32" t="inlineStr">
        <is>
          <t xml:space="preserve">03 - Supercar</t>
        </is>
      </c>
      <c r="M21" s="35">
        <v>1950000</v>
      </c>
      <c r="N21" s="32" t="inlineStr">
        <is>
          <t xml:space="preserve">Personal</t>
        </is>
      </c>
      <c r="O21" s="30" t="inlineStr">
        <is>
          <t xml:space="preserve">Personal - regular use</t>
        </is>
      </c>
      <c r="P21" s="30" t="inlineStr">
        <is>
          <t xml:space="preserve">2,500 - 5,000</t>
        </is>
      </c>
      <c r="Q21" s="30" t="inlineStr">
        <is>
          <t xml:space="preserve">Alaska</t>
        </is>
      </c>
      <c r="R21" s="30" t="inlineStr">
        <is>
          <t xml:space="preserve">99501</t>
        </is>
      </c>
      <c r="S21" s="32" t="inlineStr">
        <is>
          <t xml:space="preserve">Earthquake - high (CA, Cascadia, New Madrid)</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25535.14</v>
      </c>
      <c r="AC21" s="37">
        <v>0</v>
      </c>
      <c r="AD21" s="38">
        <f>IF(ISNUMBER($AB21),$AB21*(1+N($AC21)),"")</f>
      </c>
      <c r="AE21" s="35">
        <v>350</v>
      </c>
      <c r="AF21" s="35">
        <v>250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CANON-202607-009553</t>
        </is>
      </c>
      <c r="B22" s="46" t="inlineStr">
        <is>
          <t xml:space="preserve">Noor Fairweather</t>
        </is>
      </c>
      <c r="C22" s="47">
        <v>46231</v>
      </c>
      <c r="D22" s="48" t="inlineStr">
        <is>
          <t xml:space="preserve">Bound - within authority</t>
        </is>
      </c>
      <c r="E22" s="48" t="inlineStr">
        <is>
          <t xml:space="preserve">New business</t>
        </is>
      </c>
      <c r="F22" s="46" t="inlineStr">
        <is>
          <t xml:space="preserve">B1234EXOTIC26</t>
        </is>
      </c>
      <c r="G22" s="33">
        <f>IF($A22="","",IF($C22="","",YEAR($C22)))</f>
      </c>
      <c r="H22" s="49">
        <v>1967</v>
      </c>
      <c r="I22" s="46" t="inlineStr">
        <is>
          <t xml:space="preserve">BMW</t>
        </is>
      </c>
      <c r="J22" s="46" t="inlineStr">
        <is>
          <t xml:space="preserve">M8 Competition</t>
        </is>
      </c>
      <c r="K22" s="46" t="inlineStr">
        <is>
          <t xml:space="preserve">CGVF4EXHDCUDF5Y1A</t>
        </is>
      </c>
      <c r="L22" s="48" t="inlineStr">
        <is>
          <t xml:space="preserve">02 - Sports / GT</t>
        </is>
      </c>
      <c r="M22" s="50">
        <v>420000</v>
      </c>
      <c r="N22" s="48" t="inlineStr">
        <is>
          <t xml:space="preserve">Personal</t>
        </is>
      </c>
      <c r="O22" s="46" t="inlineStr">
        <is>
          <t xml:space="preserve">Personal - regular use</t>
        </is>
      </c>
      <c r="P22" s="46" t="inlineStr">
        <is>
          <t xml:space="preserve">1,000 - 2,500</t>
        </is>
      </c>
      <c r="Q22" s="46" t="inlineStr">
        <is>
          <t xml:space="preserve">Tennessee</t>
        </is>
      </c>
      <c r="R22" s="46" t="inlineStr">
        <is>
          <t xml:space="preserve">37203</t>
        </is>
      </c>
      <c r="S22" s="48" t="inlineStr">
        <is>
          <t xml:space="preserve">Severe convective - hail / tornado (moderate)</t>
        </is>
      </c>
      <c r="T22" s="36">
        <f>IF($A22="","",IF($S22="","",IFERROR(INDEX('[1]natural catastrophe'!$D$6:$D$17,MATCH($S22,'[1]natural catastrophe'!$B$6:$B$17,0)),"?")))</f>
      </c>
      <c r="U22" s="46" t="inlineStr">
        <is>
          <t xml:space="preserve">$5,000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4432.47</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CANON-202607-009554</t>
        </is>
      </c>
      <c r="B23" s="30" t="inlineStr">
        <is>
          <t xml:space="preserve">Priya Merriweather</t>
        </is>
      </c>
      <c r="C23" s="31">
        <v>46227</v>
      </c>
      <c r="D23" s="32" t="inlineStr">
        <is>
          <t xml:space="preserve">Bound - within authority</t>
        </is>
      </c>
      <c r="E23" s="32" t="inlineStr">
        <is>
          <t xml:space="preserve">New business</t>
        </is>
      </c>
      <c r="F23" s="30" t="inlineStr">
        <is>
          <t xml:space="preserve">B1234EXOTIC26</t>
        </is>
      </c>
      <c r="G23" s="33">
        <f>IF($A23="","",IF($C23="","",YEAR($C23)))</f>
      </c>
      <c r="H23" s="34">
        <v>2021</v>
      </c>
      <c r="I23" s="30" t="inlineStr">
        <is>
          <t xml:space="preserve">Lamborghini</t>
        </is>
      </c>
      <c r="J23" s="30" t="inlineStr">
        <is>
          <t xml:space="preserve">Huracan EVO</t>
        </is>
      </c>
      <c r="K23" s="30" t="inlineStr">
        <is>
          <t xml:space="preserve">EL3X6VZZ02WH77AD6</t>
        </is>
      </c>
      <c r="L23" s="32" t="inlineStr">
        <is>
          <t xml:space="preserve">03 - Supercar</t>
        </is>
      </c>
      <c r="M23" s="35">
        <v>365000</v>
      </c>
      <c r="N23" s="32" t="inlineStr">
        <is>
          <t xml:space="preserve">Personal</t>
        </is>
      </c>
      <c r="O23" s="30" t="inlineStr">
        <is>
          <t xml:space="preserve">Personal - regular use</t>
        </is>
      </c>
      <c r="P23" s="30" t="inlineStr">
        <is>
          <t xml:space="preserve">1,000 - 2,500</t>
        </is>
      </c>
      <c r="Q23" s="30" t="inlineStr">
        <is>
          <t xml:space="preserve">Florida</t>
        </is>
      </c>
      <c r="R23" s="30" t="inlineStr">
        <is>
          <t xml:space="preserve">33139</t>
        </is>
      </c>
      <c r="S23" s="32" t="inlineStr">
        <is>
          <t xml:space="preserve">Tier 2 - Coastal wind (1-25 miles)</t>
        </is>
      </c>
      <c r="T23" s="36">
        <f>IF($A23="","",IF($S23="","",IFERROR(INDEX('[1]natural catastrophe'!$D$6:$D$17,MATCH($S23,'[1]natural catastrophe'!$B$6:$B$17,0)),"?")))</f>
      </c>
      <c r="U23" s="30" t="inlineStr">
        <is>
          <t xml:space="preserve">2% of agreed value, minimum $10,000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8558.3</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CANON-202607-009555</t>
        </is>
      </c>
      <c r="B24" s="46" t="inlineStr">
        <is>
          <t xml:space="preserve">Fitzgerald Nakashima</t>
        </is>
      </c>
      <c r="C24" s="47">
        <v>46219</v>
      </c>
      <c r="D24" s="48" t="inlineStr">
        <is>
          <t xml:space="preserve">Bound - within authority</t>
        </is>
      </c>
      <c r="E24" s="48" t="inlineStr">
        <is>
          <t xml:space="preserve">New business</t>
        </is>
      </c>
      <c r="F24" s="46" t="inlineStr">
        <is>
          <t xml:space="preserve">B1234EXOTIC26</t>
        </is>
      </c>
      <c r="G24" s="33">
        <f>IF($A24="","",IF($C24="","",YEAR($C24)))</f>
      </c>
      <c r="H24" s="49">
        <v>1990</v>
      </c>
      <c r="I24" s="46" t="inlineStr">
        <is>
          <t xml:space="preserve">Ferrari</t>
        </is>
      </c>
      <c r="J24" s="46" t="inlineStr">
        <is>
          <t xml:space="preserve">SF90 Stradale</t>
        </is>
      </c>
      <c r="K24" s="46" t="inlineStr">
        <is>
          <t xml:space="preserve">M7DP47M60KKENX6Z1</t>
        </is>
      </c>
      <c r="L24" s="48" t="inlineStr">
        <is>
          <t xml:space="preserve">03 - Supercar</t>
        </is>
      </c>
      <c r="M24" s="50">
        <v>535000</v>
      </c>
      <c r="N24" s="48" t="inlineStr">
        <is>
          <t xml:space="preserve">Personal</t>
        </is>
      </c>
      <c r="O24" s="46" t="inlineStr">
        <is>
          <t xml:space="preserve">Personal - regular use</t>
        </is>
      </c>
      <c r="P24" s="46" t="inlineStr">
        <is>
          <t xml:space="preserve">Under 1,000</t>
        </is>
      </c>
      <c r="Q24" s="46" t="inlineStr">
        <is>
          <t xml:space="preserve">Minnesota</t>
        </is>
      </c>
      <c r="R24" s="46" t="inlineStr">
        <is>
          <t xml:space="preserve">55401</t>
        </is>
      </c>
      <c r="S24" s="48" t="inlineStr">
        <is>
          <t xml:space="preserve">Severe convective - hail / tornado (moderate)</t>
        </is>
      </c>
      <c r="T24" s="36">
        <f>IF($A24="","",IF($S24="","",IFERROR(INDEX('[1]natural catastrophe'!$D$6:$D$17,MATCH($S24,'[1]natural catastrophe'!$B$6:$B$17,0)),"?")))</f>
      </c>
      <c r="U24" s="46" t="inlineStr">
        <is>
          <t xml:space="preserve">$5,000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9632.97</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CANON-202607-009556</t>
        </is>
      </c>
      <c r="B25" s="30" t="inlineStr">
        <is>
          <t xml:space="preserve">Fitzgerald Kingsford</t>
        </is>
      </c>
      <c r="C25" s="31">
        <v>46204</v>
      </c>
      <c r="D25" s="32" t="inlineStr">
        <is>
          <t xml:space="preserve">Bound - within authority</t>
        </is>
      </c>
      <c r="E25" s="32" t="inlineStr">
        <is>
          <t xml:space="preserve">New business</t>
        </is>
      </c>
      <c r="F25" s="30" t="inlineStr">
        <is>
          <t xml:space="preserve">B1234EXOTIC26</t>
        </is>
      </c>
      <c r="G25" s="33">
        <f>IF($A25="","",IF($C25="","",YEAR($C25)))</f>
      </c>
      <c r="H25" s="34">
        <v>1989</v>
      </c>
      <c r="I25" s="30" t="inlineStr">
        <is>
          <t xml:space="preserve">Bentley</t>
        </is>
      </c>
      <c r="J25" s="30" t="inlineStr">
        <is>
          <t xml:space="preserve">Continental GT</t>
        </is>
      </c>
      <c r="K25" s="30" t="inlineStr">
        <is>
          <t xml:space="preserve">GUD0RX0PZY1FK4JLR</t>
        </is>
      </c>
      <c r="L25" s="32" t="inlineStr">
        <is>
          <t xml:space="preserve">02 - Sports / GT</t>
        </is>
      </c>
      <c r="M25" s="35">
        <v>660000</v>
      </c>
      <c r="N25" s="32" t="inlineStr">
        <is>
          <t xml:space="preserve">Personal</t>
        </is>
      </c>
      <c r="O25" s="30" t="inlineStr">
        <is>
          <t xml:space="preserve">Personal - regular use</t>
        </is>
      </c>
      <c r="P25" s="30" t="inlineStr">
        <is>
          <t xml:space="preserve">2,500 - 5,000</t>
        </is>
      </c>
      <c r="Q25" s="30" t="inlineStr">
        <is>
          <t xml:space="preserve">North Carolina</t>
        </is>
      </c>
      <c r="R25" s="30" t="inlineStr">
        <is>
          <t xml:space="preserve">28202</t>
        </is>
      </c>
      <c r="S25" s="32" t="inlineStr">
        <is>
          <t xml:space="preserve">Tier 2 - Coastal wind (1-25 miles)</t>
        </is>
      </c>
      <c r="T25" s="36">
        <f>IF($A25="","",IF($S25="","",IFERROR(INDEX('[1]natural catastrophe'!$D$6:$D$17,MATCH($S25,'[1]natural catastrophe'!$B$6:$B$17,0)),"?")))</f>
      </c>
      <c r="U25" s="30" t="inlineStr">
        <is>
          <t xml:space="preserve">2% of agreed value, minimum $10,000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7083.76</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CANON-202607-009557</t>
        </is>
      </c>
      <c r="B26" s="46" t="inlineStr">
        <is>
          <t xml:space="preserve">Fitzgerald Fairweather</t>
        </is>
      </c>
      <c r="C26" s="47">
        <v>46210</v>
      </c>
      <c r="D26" s="48" t="inlineStr">
        <is>
          <t xml:space="preserve">Bound - within authority</t>
        </is>
      </c>
      <c r="E26" s="48" t="inlineStr">
        <is>
          <t xml:space="preserve">New business</t>
        </is>
      </c>
      <c r="F26" s="46" t="inlineStr">
        <is>
          <t xml:space="preserve">B1234EXOTIC26</t>
        </is>
      </c>
      <c r="G26" s="33">
        <f>IF($A26="","",IF($C26="","",YEAR($C26)))</f>
      </c>
      <c r="H26" s="49">
        <v>1989</v>
      </c>
      <c r="I26" s="46" t="inlineStr">
        <is>
          <t xml:space="preserve">BMW</t>
        </is>
      </c>
      <c r="J26" s="46" t="inlineStr">
        <is>
          <t xml:space="preserve">M8 Competition</t>
        </is>
      </c>
      <c r="K26" s="46" t="inlineStr">
        <is>
          <t xml:space="preserve">AU78T0PUL2HWD7V44</t>
        </is>
      </c>
      <c r="L26" s="48" t="inlineStr">
        <is>
          <t xml:space="preserve">02 - Sports / GT</t>
        </is>
      </c>
      <c r="M26" s="50">
        <v>900000</v>
      </c>
      <c r="N26" s="48" t="inlineStr">
        <is>
          <t xml:space="preserve">Personal</t>
        </is>
      </c>
      <c r="O26" s="46" t="inlineStr">
        <is>
          <t xml:space="preserve">Personal - regular use</t>
        </is>
      </c>
      <c r="P26" s="46" t="inlineStr">
        <is>
          <t xml:space="preserve">1,000 - 2,500</t>
        </is>
      </c>
      <c r="Q26" s="46" t="inlineStr">
        <is>
          <t xml:space="preserve">Maine</t>
        </is>
      </c>
      <c r="R26" s="46" t="inlineStr">
        <is>
          <t xml:space="preserve">04101</t>
        </is>
      </c>
      <c r="S26" s="48" t="inlineStr">
        <is>
          <t xml:space="preserve">Tier 3 - Coastal wind (25-100 miles)</t>
        </is>
      </c>
      <c r="T26" s="36">
        <f>IF($A26="","",IF($S26="","",IFERROR(INDEX('[1]natural catastrophe'!$D$6:$D$17,MATCH($S26,'[1]natural catastrophe'!$B$6:$B$17,0)),"?")))</f>
      </c>
      <c r="U26" s="46" t="inlineStr">
        <is>
          <t xml:space="preserve">2% of agreed value, minimum $10,000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9071.69</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CANON-202607-009558</t>
        </is>
      </c>
      <c r="B27" s="30" t="inlineStr">
        <is>
          <t xml:space="preserve">Ottilie Vandermeer</t>
        </is>
      </c>
      <c r="C27" s="31">
        <v>46210</v>
      </c>
      <c r="D27" s="32" t="inlineStr">
        <is>
          <t xml:space="preserve">Bound - within authority</t>
        </is>
      </c>
      <c r="E27" s="32" t="inlineStr">
        <is>
          <t xml:space="preserve">New business</t>
        </is>
      </c>
      <c r="F27" s="30" t="inlineStr">
        <is>
          <t xml:space="preserve">B1234EXOTIC26</t>
        </is>
      </c>
      <c r="G27" s="33">
        <f>IF($A27="","",IF($C27="","",YEAR($C27)))</f>
      </c>
      <c r="H27" s="34">
        <v>1965</v>
      </c>
      <c r="I27" s="30" t="inlineStr">
        <is>
          <t xml:space="preserve">Ferrari</t>
        </is>
      </c>
      <c r="J27" s="30" t="inlineStr">
        <is>
          <t xml:space="preserve">SF90 Stradale</t>
        </is>
      </c>
      <c r="K27" s="30" t="inlineStr">
        <is>
          <t xml:space="preserve">RY426V220V9F7PPVC</t>
        </is>
      </c>
      <c r="L27" s="32" t="inlineStr">
        <is>
          <t xml:space="preserve">03 - Supercar</t>
        </is>
      </c>
      <c r="M27" s="35">
        <v>320000</v>
      </c>
      <c r="N27" s="32" t="inlineStr">
        <is>
          <t xml:space="preserve">Personal</t>
        </is>
      </c>
      <c r="O27" s="30" t="inlineStr">
        <is>
          <t xml:space="preserve">Personal - regular use</t>
        </is>
      </c>
      <c r="P27" s="30" t="inlineStr">
        <is>
          <t xml:space="preserve">Under 1,000</t>
        </is>
      </c>
      <c r="Q27" s="30" t="inlineStr">
        <is>
          <t xml:space="preserve">Massachusetts</t>
        </is>
      </c>
      <c r="R27" s="30" t="inlineStr">
        <is>
          <t xml:space="preserve">02108</t>
        </is>
      </c>
      <c r="S27" s="32" t="inlineStr">
        <is>
          <t xml:space="preserve">Tier 3 - Coastal wind (25-100 miles)</t>
        </is>
      </c>
      <c r="T27" s="36">
        <f>IF($A27="","",IF($S27="","",IFERROR(INDEX('[1]natural catastrophe'!$D$6:$D$17,MATCH($S27,'[1]natural catastrophe'!$B$6:$B$17,0)),"?")))</f>
      </c>
      <c r="U27" s="30" t="inlineStr">
        <is>
          <t xml:space="preserve">2% of agreed value, minimum $10,000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6604.91</v>
      </c>
      <c r="AC27" s="37">
        <v>0</v>
      </c>
      <c r="AD27" s="38">
        <f>IF(ISNUMBER($AB27),$AB27*(1+N($AC27)),"")</f>
      </c>
      <c r="AE27" s="35">
        <v>350</v>
      </c>
      <c r="AF27" s="35">
        <v>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CANON-202607-009559</t>
        </is>
      </c>
      <c r="B28" s="46" t="inlineStr">
        <is>
          <t xml:space="preserve">Aurelio Farkas</t>
        </is>
      </c>
      <c r="C28" s="47">
        <v>46225</v>
      </c>
      <c r="D28" s="48" t="inlineStr">
        <is>
          <t xml:space="preserve">Bound - within authority</t>
        </is>
      </c>
      <c r="E28" s="48" t="inlineStr">
        <is>
          <t xml:space="preserve">New business</t>
        </is>
      </c>
      <c r="F28" s="46" t="inlineStr">
        <is>
          <t xml:space="preserve">B1234EXOTIC26</t>
        </is>
      </c>
      <c r="G28" s="33">
        <f>IF($A28="","",IF($C28="","",YEAR($C28)))</f>
      </c>
      <c r="H28" s="49">
        <v>1955</v>
      </c>
      <c r="I28" s="46" t="inlineStr">
        <is>
          <t xml:space="preserve">BMW</t>
        </is>
      </c>
      <c r="J28" s="46" t="inlineStr">
        <is>
          <t xml:space="preserve">M8 Competition</t>
        </is>
      </c>
      <c r="K28" s="46" t="inlineStr">
        <is>
          <t xml:space="preserve">8V30TCXCTBAUS1LMY</t>
        </is>
      </c>
      <c r="L28" s="48" t="inlineStr">
        <is>
          <t xml:space="preserve">02 - Sports / GT</t>
        </is>
      </c>
      <c r="M28" s="50">
        <v>245000</v>
      </c>
      <c r="N28" s="48" t="inlineStr">
        <is>
          <t xml:space="preserve">Personal</t>
        </is>
      </c>
      <c r="O28" s="46" t="inlineStr">
        <is>
          <t xml:space="preserve">Personal - regular use</t>
        </is>
      </c>
      <c r="P28" s="46" t="inlineStr">
        <is>
          <t xml:space="preserve">2,500 - 5,000</t>
        </is>
      </c>
      <c r="Q28" s="46" t="inlineStr">
        <is>
          <t xml:space="preserve">New Mexico</t>
        </is>
      </c>
      <c r="R28" s="46" t="inlineStr">
        <is>
          <t xml:space="preserve">87501</t>
        </is>
      </c>
      <c r="S28" s="48" t="inlineStr">
        <is>
          <t xml:space="preserve">Wildfire - WUI high hazard</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4142.59</v>
      </c>
      <c r="AC28" s="51">
        <v>0</v>
      </c>
      <c r="AD28" s="38">
        <f>IF(ISNUMBER($AB28),$AB28*(1+N($AC28)),"")</f>
      </c>
      <c r="AE28" s="50">
        <v>350</v>
      </c>
      <c r="AF28" s="50">
        <v>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CANON-202607-009561</t>
        </is>
      </c>
      <c r="B29" s="30" t="inlineStr">
        <is>
          <t xml:space="preserve">Sunniva Okonkwo</t>
        </is>
      </c>
      <c r="C29" s="31">
        <v>46233</v>
      </c>
      <c r="D29" s="32" t="inlineStr">
        <is>
          <t xml:space="preserve">Bound - within authority</t>
        </is>
      </c>
      <c r="E29" s="32" t="inlineStr">
        <is>
          <t xml:space="preserve">New business</t>
        </is>
      </c>
      <c r="F29" s="30" t="inlineStr">
        <is>
          <t xml:space="preserve">B1234EXOTIC26</t>
        </is>
      </c>
      <c r="G29" s="33">
        <f>IF($A29="","",IF($C29="","",YEAR($C29)))</f>
      </c>
      <c r="H29" s="34">
        <v>2013</v>
      </c>
      <c r="I29" s="30" t="inlineStr">
        <is>
          <t xml:space="preserve">Ferrari</t>
        </is>
      </c>
      <c r="J29" s="30" t="inlineStr">
        <is>
          <t xml:space="preserve">275 GTB/4</t>
        </is>
      </c>
      <c r="K29" s="30" t="inlineStr">
        <is>
          <t xml:space="preserve">N84HR03U42D03KVWJ</t>
        </is>
      </c>
      <c r="L29" s="32" t="inlineStr">
        <is>
          <t xml:space="preserve">02 - Sports / GT</t>
        </is>
      </c>
      <c r="M29" s="35">
        <v>1950000</v>
      </c>
      <c r="N29" s="32" t="inlineStr">
        <is>
          <t xml:space="preserve">Personal</t>
        </is>
      </c>
      <c r="O29" s="30" t="inlineStr">
        <is>
          <t xml:space="preserve">Personal - regular use</t>
        </is>
      </c>
      <c r="P29" s="30" t="inlineStr">
        <is>
          <t xml:space="preserve">1,000 - 2,500</t>
        </is>
      </c>
      <c r="Q29" s="30" t="inlineStr">
        <is>
          <t xml:space="preserve">Texas</t>
        </is>
      </c>
      <c r="R29" s="30" t="inlineStr">
        <is>
          <t xml:space="preserve">75201</t>
        </is>
      </c>
      <c r="S29" s="32" t="inlineStr">
        <is>
          <t xml:space="preserve">Tier 2 - Coastal wind (1-25 miles)</t>
        </is>
      </c>
      <c r="T29" s="36">
        <f>IF($A29="","",IF($S29="","",IFERROR(INDEX('[1]natural catastrophe'!$D$6:$D$17,MATCH($S29,'[1]natural catastrophe'!$B$6:$B$17,0)),"?")))</f>
      </c>
      <c r="U29" s="30" t="inlineStr">
        <is>
          <t xml:space="preserve">2% of agreed value, minimum $10,000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12235.59</v>
      </c>
      <c r="AC29" s="37">
        <v>0</v>
      </c>
      <c r="AD29" s="38">
        <f>IF(ISNUMBER($AB29),$AB29*(1+N($AC29)),"")</f>
      </c>
      <c r="AE29" s="35">
        <v>350</v>
      </c>
      <c r="AF29" s="35">
        <v>250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CANON-202607-009562</t>
        </is>
      </c>
      <c r="B30" s="46" t="inlineStr">
        <is>
          <t xml:space="preserve">Horace Montoya</t>
        </is>
      </c>
      <c r="C30" s="47">
        <v>46212</v>
      </c>
      <c r="D30" s="48" t="inlineStr">
        <is>
          <t xml:space="preserve">Bound - within authority</t>
        </is>
      </c>
      <c r="E30" s="48" t="inlineStr">
        <is>
          <t xml:space="preserve">New business</t>
        </is>
      </c>
      <c r="F30" s="46" t="inlineStr">
        <is>
          <t xml:space="preserve">B1234EXOTIC26</t>
        </is>
      </c>
      <c r="G30" s="33">
        <f>IF($A30="","",IF($C30="","",YEAR($C30)))</f>
      </c>
      <c r="H30" s="49">
        <v>1974</v>
      </c>
      <c r="I30" s="46" t="inlineStr">
        <is>
          <t xml:space="preserve">Aston Martin</t>
        </is>
      </c>
      <c r="J30" s="46" t="inlineStr">
        <is>
          <t xml:space="preserve">DB12</t>
        </is>
      </c>
      <c r="K30" s="46" t="inlineStr">
        <is>
          <t xml:space="preserve">KXJ7NHPCEUXGE8KS0</t>
        </is>
      </c>
      <c r="L30" s="48" t="inlineStr">
        <is>
          <t xml:space="preserve">02 - Sports / GT</t>
        </is>
      </c>
      <c r="M30" s="50">
        <v>440000</v>
      </c>
      <c r="N30" s="48" t="inlineStr">
        <is>
          <t xml:space="preserve">Personal</t>
        </is>
      </c>
      <c r="O30" s="46" t="inlineStr">
        <is>
          <t xml:space="preserve">Personal - regular use</t>
        </is>
      </c>
      <c r="P30" s="46" t="inlineStr">
        <is>
          <t xml:space="preserve">Under 1,000</t>
        </is>
      </c>
      <c r="Q30" s="46" t="inlineStr">
        <is>
          <t xml:space="preserve">South Dakota</t>
        </is>
      </c>
      <c r="R30" s="46" t="inlineStr">
        <is>
          <t xml:space="preserve">57501</t>
        </is>
      </c>
      <c r="S30" s="48" t="inlineStr">
        <is>
          <t xml:space="preserve">Severe convective - hail alley (high)</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5259.51</v>
      </c>
      <c r="AC30" s="51">
        <v>0</v>
      </c>
      <c r="AD30" s="38">
        <f>IF(ISNUMBER($AB30),$AB30*(1+N($AC30)),"")</f>
      </c>
      <c r="AE30" s="50">
        <v>350</v>
      </c>
      <c r="AF30" s="50">
        <v>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CANON-202607-009564</t>
        </is>
      </c>
      <c r="B31" s="30" t="inlineStr">
        <is>
          <t xml:space="preserve">Desmond Underwood</t>
        </is>
      </c>
      <c r="C31" s="31">
        <v>46212</v>
      </c>
      <c r="D31" s="32" t="inlineStr">
        <is>
          <t xml:space="preserve">Bound - within authority</t>
        </is>
      </c>
      <c r="E31" s="32" t="inlineStr">
        <is>
          <t xml:space="preserve">New business</t>
        </is>
      </c>
      <c r="F31" s="30" t="inlineStr">
        <is>
          <t xml:space="preserve">B1234EXOTIC26</t>
        </is>
      </c>
      <c r="G31" s="33">
        <f>IF($A31="","",IF($C31="","",YEAR($C31)))</f>
      </c>
      <c r="H31" s="34">
        <v>1984</v>
      </c>
      <c r="I31" s="30" t="inlineStr">
        <is>
          <t xml:space="preserve">Porsche</t>
        </is>
      </c>
      <c r="J31" s="30" t="inlineStr">
        <is>
          <t xml:space="preserve">911 Turbo S</t>
        </is>
      </c>
      <c r="K31" s="30" t="inlineStr">
        <is>
          <t xml:space="preserve">Z3GYMA8VTF7Z6BWLW</t>
        </is>
      </c>
      <c r="L31" s="32" t="inlineStr">
        <is>
          <t xml:space="preserve">02 - Sports / GT</t>
        </is>
      </c>
      <c r="M31" s="35">
        <v>965000</v>
      </c>
      <c r="N31" s="32" t="inlineStr">
        <is>
          <t xml:space="preserve">Personal</t>
        </is>
      </c>
      <c r="O31" s="30" t="inlineStr">
        <is>
          <t xml:space="preserve">Personal - regular use</t>
        </is>
      </c>
      <c r="P31" s="30" t="inlineStr">
        <is>
          <t xml:space="preserve">Under 1,000</t>
        </is>
      </c>
      <c r="Q31" s="30" t="inlineStr">
        <is>
          <t xml:space="preserve">New Jersey</t>
        </is>
      </c>
      <c r="R31" s="30" t="inlineStr">
        <is>
          <t xml:space="preserve">07102</t>
        </is>
      </c>
      <c r="S31" s="32" t="inlineStr">
        <is>
          <t xml:space="preserve">Tier 3 - Coastal wind (25-100 miles)</t>
        </is>
      </c>
      <c r="T31" s="36">
        <f>IF($A31="","",IF($S31="","",IFERROR(INDEX('[1]natural catastrophe'!$D$6:$D$17,MATCH($S31,'[1]natural catastrophe'!$B$6:$B$17,0)),"?")))</f>
      </c>
      <c r="U31" s="30" t="inlineStr">
        <is>
          <t xml:space="preserve">2% of agreed value, minimum $10,000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8195.79</v>
      </c>
      <c r="AC31" s="37">
        <v>0</v>
      </c>
      <c r="AD31" s="38">
        <f>IF(ISNUMBER($AB31),$AB31*(1+N($AC31)),"")</f>
      </c>
      <c r="AE31" s="35">
        <v>350</v>
      </c>
      <c r="AF31" s="35">
        <v>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CANON-202607-009565</t>
        </is>
      </c>
      <c r="B32" s="46" t="inlineStr">
        <is>
          <t xml:space="preserve">Thaddeus Blackwood</t>
        </is>
      </c>
      <c r="C32" s="47">
        <v>46205</v>
      </c>
      <c r="D32" s="48" t="inlineStr">
        <is>
          <t xml:space="preserve">Bound - within authority</t>
        </is>
      </c>
      <c r="E32" s="48" t="inlineStr">
        <is>
          <t xml:space="preserve">New business</t>
        </is>
      </c>
      <c r="F32" s="46" t="inlineStr">
        <is>
          <t xml:space="preserve">B1234EXOTIC26</t>
        </is>
      </c>
      <c r="G32" s="33">
        <f>IF($A32="","",IF($C32="","",YEAR($C32)))</f>
      </c>
      <c r="H32" s="49">
        <v>1987</v>
      </c>
      <c r="I32" s="46" t="inlineStr">
        <is>
          <t xml:space="preserve">Bentley</t>
        </is>
      </c>
      <c r="J32" s="46" t="inlineStr">
        <is>
          <t xml:space="preserve">Continental GT</t>
        </is>
      </c>
      <c r="K32" s="46" t="inlineStr">
        <is>
          <t xml:space="preserve">6TMR597MD5GK1TJHV</t>
        </is>
      </c>
      <c r="L32" s="48" t="inlineStr">
        <is>
          <t xml:space="preserve">02 - Sports / GT</t>
        </is>
      </c>
      <c r="M32" s="50">
        <v>380000</v>
      </c>
      <c r="N32" s="48" t="inlineStr">
        <is>
          <t xml:space="preserve">Personal</t>
        </is>
      </c>
      <c r="O32" s="46" t="inlineStr">
        <is>
          <t xml:space="preserve">Personal - regular use</t>
        </is>
      </c>
      <c r="P32" s="46" t="inlineStr">
        <is>
          <t xml:space="preserve">2,500 - 5,000</t>
        </is>
      </c>
      <c r="Q32" s="46" t="inlineStr">
        <is>
          <t xml:space="preserve">Iowa</t>
        </is>
      </c>
      <c r="R32" s="46" t="inlineStr">
        <is>
          <t xml:space="preserve">50309</t>
        </is>
      </c>
      <c r="S32" s="48" t="inlineStr">
        <is>
          <t xml:space="preserve">Severe convective - hail alley (high)</t>
        </is>
      </c>
      <c r="T32" s="36">
        <f>IF($A32="","",IF($S32="","",IFERROR(INDEX('[1]natural catastrophe'!$D$6:$D$17,MATCH($S32,'[1]natural catastrophe'!$B$6:$B$17,0)),"?")))</f>
      </c>
      <c r="U32" s="46" t="inlineStr">
        <is>
          <t xml:space="preserve">$5,000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4501.38</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CANON-202607-009566</t>
        </is>
      </c>
      <c r="B33" s="30" t="inlineStr">
        <is>
          <t xml:space="preserve">Everett Nakashima</t>
        </is>
      </c>
      <c r="C33" s="31">
        <v>46216</v>
      </c>
      <c r="D33" s="32" t="inlineStr">
        <is>
          <t xml:space="preserve">Bound - within authority</t>
        </is>
      </c>
      <c r="E33" s="32" t="inlineStr">
        <is>
          <t xml:space="preserve">New business</t>
        </is>
      </c>
      <c r="F33" s="30" t="inlineStr">
        <is>
          <t xml:space="preserve">B1234EXOTIC26</t>
        </is>
      </c>
      <c r="G33" s="33">
        <f>IF($A33="","",IF($C33="","",YEAR($C33)))</f>
      </c>
      <c r="H33" s="34">
        <v>1959</v>
      </c>
      <c r="I33" s="30" t="inlineStr">
        <is>
          <t xml:space="preserve">Ringbrothers</t>
        </is>
      </c>
      <c r="J33" s="30" t="inlineStr">
        <is>
          <t xml:space="preserve">Mustang</t>
        </is>
      </c>
      <c r="K33" s="30" t="inlineStr">
        <is>
          <t xml:space="preserve">9DLLK5UZKR8FZR9YS</t>
        </is>
      </c>
      <c r="L33" s="32" t="inlineStr">
        <is>
          <t xml:space="preserve">11 - Restomod / Coachbuilt / Bespoke</t>
        </is>
      </c>
      <c r="M33" s="35">
        <v>1115000</v>
      </c>
      <c r="N33" s="32" t="inlineStr">
        <is>
          <t xml:space="preserve">Personal</t>
        </is>
      </c>
      <c r="O33" s="30" t="inlineStr">
        <is>
          <t xml:space="preserve">Personal - regular use</t>
        </is>
      </c>
      <c r="P33" s="30" t="inlineStr">
        <is>
          <t xml:space="preserve">1,000 - 2,500</t>
        </is>
      </c>
      <c r="Q33" s="30" t="inlineStr">
        <is>
          <t xml:space="preserve">Maryland</t>
        </is>
      </c>
      <c r="R33" s="30" t="inlineStr">
        <is>
          <t xml:space="preserve">21201</t>
        </is>
      </c>
      <c r="S33" s="32" t="inlineStr">
        <is>
          <t xml:space="preserve">Tier 3 - Coastal wind (25-100 miles)</t>
        </is>
      </c>
      <c r="T33" s="36">
        <f>IF($A33="","",IF($S33="","",IFERROR(INDEX('[1]natural catastrophe'!$D$6:$D$17,MATCH($S33,'[1]natural catastrophe'!$B$6:$B$17,0)),"?")))</f>
      </c>
      <c r="U33" s="30" t="inlineStr">
        <is>
          <t xml:space="preserve">2% of agreed value, minimum $10,000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10342.28</v>
      </c>
      <c r="AC33" s="37">
        <v>0</v>
      </c>
      <c r="AD33" s="38">
        <f>IF(ISNUMBER($AB33),$AB33*(1+N($AC33)),"")</f>
      </c>
      <c r="AE33" s="35">
        <v>350</v>
      </c>
      <c r="AF33" s="35">
        <v>250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CANON-202607-009568</t>
        </is>
      </c>
      <c r="B34" s="46" t="inlineStr">
        <is>
          <t xml:space="preserve">Horace Underwood</t>
        </is>
      </c>
      <c r="C34" s="47">
        <v>46209</v>
      </c>
      <c r="D34" s="48" t="inlineStr">
        <is>
          <t xml:space="preserve">Bound - within authority</t>
        </is>
      </c>
      <c r="E34" s="48" t="inlineStr">
        <is>
          <t xml:space="preserve">New business</t>
        </is>
      </c>
      <c r="F34" s="46" t="inlineStr">
        <is>
          <t xml:space="preserve">B1234EXOTIC26</t>
        </is>
      </c>
      <c r="G34" s="33">
        <f>IF($A34="","",IF($C34="","",YEAR($C34)))</f>
      </c>
      <c r="H34" s="49">
        <v>1965</v>
      </c>
      <c r="I34" s="46" t="inlineStr">
        <is>
          <t xml:space="preserve">Bentley</t>
        </is>
      </c>
      <c r="J34" s="46" t="inlineStr">
        <is>
          <t xml:space="preserve">Continental GT</t>
        </is>
      </c>
      <c r="K34" s="46" t="inlineStr">
        <is>
          <t xml:space="preserve">J3UNAR73B9G0B8RMV</t>
        </is>
      </c>
      <c r="L34" s="48" t="inlineStr">
        <is>
          <t xml:space="preserve">02 - Sports / GT</t>
        </is>
      </c>
      <c r="M34" s="50">
        <v>230000</v>
      </c>
      <c r="N34" s="48" t="inlineStr">
        <is>
          <t xml:space="preserve">Personal</t>
        </is>
      </c>
      <c r="O34" s="46" t="inlineStr">
        <is>
          <t xml:space="preserve">Personal - regular use</t>
        </is>
      </c>
      <c r="P34" s="46" t="inlineStr">
        <is>
          <t xml:space="preserve">2,500 - 5,000</t>
        </is>
      </c>
      <c r="Q34" s="46" t="inlineStr">
        <is>
          <t xml:space="preserve">North Carolina</t>
        </is>
      </c>
      <c r="R34" s="46" t="inlineStr">
        <is>
          <t xml:space="preserve">28202</t>
        </is>
      </c>
      <c r="S34" s="48" t="inlineStr">
        <is>
          <t xml:space="preserve">Tier 2 - Coastal wind (1-25 miles)</t>
        </is>
      </c>
      <c r="T34" s="36">
        <f>IF($A34="","",IF($S34="","",IFERROR(INDEX('[1]natural catastrophe'!$D$6:$D$17,MATCH($S34,'[1]natural catastrophe'!$B$6:$B$17,0)),"?")))</f>
      </c>
      <c r="U34" s="46" t="inlineStr">
        <is>
          <t xml:space="preserve">2% of agreed value, minimum $10,000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3493.99</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CANON-202607-009570</t>
        </is>
      </c>
      <c r="B35" s="30" t="inlineStr">
        <is>
          <t xml:space="preserve">Thaddeus Whitlock</t>
        </is>
      </c>
      <c r="C35" s="31">
        <v>46233</v>
      </c>
      <c r="D35" s="32" t="inlineStr">
        <is>
          <t xml:space="preserve">Bound - within authority</t>
        </is>
      </c>
      <c r="E35" s="32" t="inlineStr">
        <is>
          <t xml:space="preserve">New business</t>
        </is>
      </c>
      <c r="F35" s="30" t="inlineStr">
        <is>
          <t xml:space="preserve">B1234EXOTIC26</t>
        </is>
      </c>
      <c r="G35" s="33">
        <f>IF($A35="","",IF($C35="","",YEAR($C35)))</f>
      </c>
      <c r="H35" s="34">
        <v>2001</v>
      </c>
      <c r="I35" s="30" t="inlineStr">
        <is>
          <t xml:space="preserve">Maserati</t>
        </is>
      </c>
      <c r="J35" s="30" t="inlineStr">
        <is>
          <t xml:space="preserve">GranTurismo</t>
        </is>
      </c>
      <c r="K35" s="30" t="inlineStr">
        <is>
          <t xml:space="preserve">NABLT2F7K89KE1E56</t>
        </is>
      </c>
      <c r="L35" s="32" t="inlineStr">
        <is>
          <t xml:space="preserve">02 - Sports / GT</t>
        </is>
      </c>
      <c r="M35" s="35">
        <v>895000</v>
      </c>
      <c r="N35" s="32" t="inlineStr">
        <is>
          <t xml:space="preserve">Personal</t>
        </is>
      </c>
      <c r="O35" s="30" t="inlineStr">
        <is>
          <t xml:space="preserve">Personal - regular use</t>
        </is>
      </c>
      <c r="P35" s="30" t="inlineStr">
        <is>
          <t xml:space="preserve">2,500 - 5,000</t>
        </is>
      </c>
      <c r="Q35" s="30" t="inlineStr">
        <is>
          <t xml:space="preserve">Connecticut</t>
        </is>
      </c>
      <c r="R35" s="30" t="inlineStr">
        <is>
          <t xml:space="preserve">06103</t>
        </is>
      </c>
      <c r="S35" s="32" t="inlineStr">
        <is>
          <t xml:space="preserve">Tier 3 - Coastal wind (25-100 miles)</t>
        </is>
      </c>
      <c r="T35" s="36">
        <f>IF($A35="","",IF($S35="","",IFERROR(INDEX('[1]natural catastrophe'!$D$6:$D$17,MATCH($S35,'[1]natural catastrophe'!$B$6:$B$17,0)),"?")))</f>
      </c>
      <c r="U35" s="30" t="inlineStr">
        <is>
          <t xml:space="preserve">2% of agreed value, minimum $10,000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9355.41</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CANON-202607-009571</t>
        </is>
      </c>
      <c r="B36" s="46" t="inlineStr">
        <is>
          <t xml:space="preserve">Thaddeus Okonkwo</t>
        </is>
      </c>
      <c r="C36" s="47">
        <v>46229</v>
      </c>
      <c r="D36" s="48" t="inlineStr">
        <is>
          <t xml:space="preserve">Bound - within authority</t>
        </is>
      </c>
      <c r="E36" s="48" t="inlineStr">
        <is>
          <t xml:space="preserve">New business</t>
        </is>
      </c>
      <c r="F36" s="46" t="inlineStr">
        <is>
          <t xml:space="preserve">B1234EXOTIC26</t>
        </is>
      </c>
      <c r="G36" s="33">
        <f>IF($A36="","",IF($C36="","",YEAR($C36)))</f>
      </c>
      <c r="H36" s="49">
        <v>2022</v>
      </c>
      <c r="I36" s="46" t="inlineStr">
        <is>
          <t xml:space="preserve">Bentley</t>
        </is>
      </c>
      <c r="J36" s="46" t="inlineStr">
        <is>
          <t xml:space="preserve">Continental GT</t>
        </is>
      </c>
      <c r="K36" s="46" t="inlineStr">
        <is>
          <t xml:space="preserve">9327KJFCHPMNDZX8B</t>
        </is>
      </c>
      <c r="L36" s="48" t="inlineStr">
        <is>
          <t xml:space="preserve">02 - Sports / GT</t>
        </is>
      </c>
      <c r="M36" s="50">
        <v>665000</v>
      </c>
      <c r="N36" s="48" t="inlineStr">
        <is>
          <t xml:space="preserve">Personal</t>
        </is>
      </c>
      <c r="O36" s="46" t="inlineStr">
        <is>
          <t xml:space="preserve">Personal - regular use</t>
        </is>
      </c>
      <c r="P36" s="46" t="inlineStr">
        <is>
          <t xml:space="preserve">1,000 - 2,500</t>
        </is>
      </c>
      <c r="Q36" s="46" t="inlineStr">
        <is>
          <t xml:space="preserve">Iowa</t>
        </is>
      </c>
      <c r="R36" s="46" t="inlineStr">
        <is>
          <t xml:space="preserve">50309</t>
        </is>
      </c>
      <c r="S36" s="48" t="inlineStr">
        <is>
          <t xml:space="preserve">Severe convective - hail alley (high)</t>
        </is>
      </c>
      <c r="T36" s="36">
        <f>IF($A36="","",IF($S36="","",IFERROR(INDEX('[1]natural catastrophe'!$D$6:$D$17,MATCH($S36,'[1]natural catastrophe'!$B$6:$B$17,0)),"?")))</f>
      </c>
      <c r="U36" s="46" t="inlineStr">
        <is>
          <t xml:space="preserve">$5,000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6827.11</v>
      </c>
      <c r="AC36" s="51">
        <v>0</v>
      </c>
      <c r="AD36" s="38">
        <f>IF(ISNUMBER($AB36),$AB36*(1+N($AC36)),"")</f>
      </c>
      <c r="AE36" s="50">
        <v>350</v>
      </c>
      <c r="AF36" s="50">
        <v>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CANON-202607-009573</t>
        </is>
      </c>
      <c r="B37" s="30" t="inlineStr">
        <is>
          <t xml:space="preserve">Delphine Vandermeer</t>
        </is>
      </c>
      <c r="C37" s="31">
        <v>46207</v>
      </c>
      <c r="D37" s="32" t="inlineStr">
        <is>
          <t xml:space="preserve">Bound - within authority</t>
        </is>
      </c>
      <c r="E37" s="32" t="inlineStr">
        <is>
          <t xml:space="preserve">New business</t>
        </is>
      </c>
      <c r="F37" s="30" t="inlineStr">
        <is>
          <t xml:space="preserve">B1234EXOTIC26</t>
        </is>
      </c>
      <c r="G37" s="33">
        <f>IF($A37="","",IF($C37="","",YEAR($C37)))</f>
      </c>
      <c r="H37" s="34">
        <v>2011</v>
      </c>
      <c r="I37" s="30" t="inlineStr">
        <is>
          <t xml:space="preserve">Ferrari</t>
        </is>
      </c>
      <c r="J37" s="30" t="inlineStr">
        <is>
          <t xml:space="preserve">296 GTB</t>
        </is>
      </c>
      <c r="K37" s="30" t="inlineStr">
        <is>
          <t xml:space="preserve">FNFGJSZ7GXH8FJCMN</t>
        </is>
      </c>
      <c r="L37" s="32" t="inlineStr">
        <is>
          <t xml:space="preserve">03 - Supercar</t>
        </is>
      </c>
      <c r="M37" s="35">
        <v>1240000</v>
      </c>
      <c r="N37" s="32" t="inlineStr">
        <is>
          <t xml:space="preserve">Personal</t>
        </is>
      </c>
      <c r="O37" s="30" t="inlineStr">
        <is>
          <t xml:space="preserve">Personal - regular use</t>
        </is>
      </c>
      <c r="P37" s="30" t="inlineStr">
        <is>
          <t xml:space="preserve">1,000 - 2,500</t>
        </is>
      </c>
      <c r="Q37" s="30" t="inlineStr">
        <is>
          <t xml:space="preserve">South Dakota</t>
        </is>
      </c>
      <c r="R37" s="30" t="inlineStr">
        <is>
          <t xml:space="preserve">57501</t>
        </is>
      </c>
      <c r="S37" s="32" t="inlineStr">
        <is>
          <t xml:space="preserve">Severe convective - hail alley (high)</t>
        </is>
      </c>
      <c r="T37" s="36">
        <f>IF($A37="","",IF($S37="","",IFERROR(INDEX('[1]natural catastrophe'!$D$6:$D$17,MATCH($S37,'[1]natural catastrophe'!$B$6:$B$17,0)),"?")))</f>
      </c>
      <c r="U37" s="30" t="inlineStr">
        <is>
          <t xml:space="preserve">$5,000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15810.42</v>
      </c>
      <c r="AC37" s="37">
        <v>0</v>
      </c>
      <c r="AD37" s="38">
        <f>IF(ISNUMBER($AB37),$AB37*(1+N($AC37)),"")</f>
      </c>
      <c r="AE37" s="35">
        <v>350</v>
      </c>
      <c r="AF37" s="35">
        <v>250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CANON-202607-009576</t>
        </is>
      </c>
      <c r="B38" s="46" t="inlineStr">
        <is>
          <t xml:space="preserve">Lorenzo Underwood</t>
        </is>
      </c>
      <c r="C38" s="47">
        <v>46221</v>
      </c>
      <c r="D38" s="48" t="inlineStr">
        <is>
          <t xml:space="preserve">Bound - within authority</t>
        </is>
      </c>
      <c r="E38" s="48" t="inlineStr">
        <is>
          <t xml:space="preserve">New business</t>
        </is>
      </c>
      <c r="F38" s="46" t="inlineStr">
        <is>
          <t xml:space="preserve">B1234EXOTIC26</t>
        </is>
      </c>
      <c r="G38" s="33">
        <f>IF($A38="","",IF($C38="","",YEAR($C38)))</f>
      </c>
      <c r="H38" s="49">
        <v>2021</v>
      </c>
      <c r="I38" s="46" t="inlineStr">
        <is>
          <t xml:space="preserve">Porsche</t>
        </is>
      </c>
      <c r="J38" s="46" t="inlineStr">
        <is>
          <t xml:space="preserve">911 Turbo S</t>
        </is>
      </c>
      <c r="K38" s="46" t="inlineStr">
        <is>
          <t xml:space="preserve">33SL2RAREZMSBJE20</t>
        </is>
      </c>
      <c r="L38" s="48" t="inlineStr">
        <is>
          <t xml:space="preserve">02 - Sports / GT</t>
        </is>
      </c>
      <c r="M38" s="50">
        <v>410000</v>
      </c>
      <c r="N38" s="48" t="inlineStr">
        <is>
          <t xml:space="preserve">Personal</t>
        </is>
      </c>
      <c r="O38" s="46" t="inlineStr">
        <is>
          <t xml:space="preserve">Personal - regular use</t>
        </is>
      </c>
      <c r="P38" s="46" t="inlineStr">
        <is>
          <t xml:space="preserve">1,000 - 2,500</t>
        </is>
      </c>
      <c r="Q38" s="46" t="inlineStr">
        <is>
          <t xml:space="preserve">Arkansas</t>
        </is>
      </c>
      <c r="R38" s="46" t="inlineStr">
        <is>
          <t xml:space="preserve">72201</t>
        </is>
      </c>
      <c r="S38" s="48" t="inlineStr">
        <is>
          <t xml:space="preserve">Severe convective - hail / tornado (moderate)</t>
        </is>
      </c>
      <c r="T38" s="36">
        <f>IF($A38="","",IF($S38="","",IFERROR(INDEX('[1]natural catastrophe'!$D$6:$D$17,MATCH($S38,'[1]natural catastrophe'!$B$6:$B$17,0)),"?")))</f>
      </c>
      <c r="U38" s="46" t="inlineStr">
        <is>
          <t xml:space="preserve">$5,000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6093.02</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CANON-202607-009578</t>
        </is>
      </c>
      <c r="B39" s="30" t="inlineStr">
        <is>
          <t xml:space="preserve">Ottilie Rourke</t>
        </is>
      </c>
      <c r="C39" s="31">
        <v>46228</v>
      </c>
      <c r="D39" s="32" t="inlineStr">
        <is>
          <t xml:space="preserve">Bound - within authority</t>
        </is>
      </c>
      <c r="E39" s="32" t="inlineStr">
        <is>
          <t xml:space="preserve">New business</t>
        </is>
      </c>
      <c r="F39" s="30" t="inlineStr">
        <is>
          <t xml:space="preserve">B1234EXOTIC26</t>
        </is>
      </c>
      <c r="G39" s="33">
        <f>IF($A39="","",IF($C39="","",YEAR($C39)))</f>
      </c>
      <c r="H39" s="34">
        <v>2020</v>
      </c>
      <c r="I39" s="30" t="inlineStr">
        <is>
          <t xml:space="preserve">Bentley</t>
        </is>
      </c>
      <c r="J39" s="30" t="inlineStr">
        <is>
          <t xml:space="preserve">Continental GT</t>
        </is>
      </c>
      <c r="K39" s="30" t="inlineStr">
        <is>
          <t xml:space="preserve">NX104UGN1G46C2KHH</t>
        </is>
      </c>
      <c r="L39" s="32" t="inlineStr">
        <is>
          <t xml:space="preserve">02 - Sports / GT</t>
        </is>
      </c>
      <c r="M39" s="35">
        <v>775000</v>
      </c>
      <c r="N39" s="32" t="inlineStr">
        <is>
          <t xml:space="preserve">Personal</t>
        </is>
      </c>
      <c r="O39" s="30" t="inlineStr">
        <is>
          <t xml:space="preserve">Personal - regular use</t>
        </is>
      </c>
      <c r="P39" s="30" t="inlineStr">
        <is>
          <t xml:space="preserve">1,000 - 2,500</t>
        </is>
      </c>
      <c r="Q39" s="30" t="inlineStr">
        <is>
          <t xml:space="preserve">Georgia</t>
        </is>
      </c>
      <c r="R39" s="30" t="inlineStr">
        <is>
          <t xml:space="preserve">30303</t>
        </is>
      </c>
      <c r="S39" s="32" t="inlineStr">
        <is>
          <t xml:space="preserve">Tier 2 - Coastal wind (1-25 miles)</t>
        </is>
      </c>
      <c r="T39" s="36">
        <f>IF($A39="","",IF($S39="","",IFERROR(INDEX('[1]natural catastrophe'!$D$6:$D$17,MATCH($S39,'[1]natural catastrophe'!$B$6:$B$17,0)),"?")))</f>
      </c>
      <c r="U39" s="30" t="inlineStr">
        <is>
          <t xml:space="preserve">2% of agreed value, minimum $10,000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8101.06</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CANON-202607-009579</t>
        </is>
      </c>
      <c r="B40" s="46" t="inlineStr">
        <is>
          <t xml:space="preserve">Sunniva Underwood</t>
        </is>
      </c>
      <c r="C40" s="47">
        <v>46223</v>
      </c>
      <c r="D40" s="48" t="inlineStr">
        <is>
          <t xml:space="preserve">Bound - within authority</t>
        </is>
      </c>
      <c r="E40" s="48" t="inlineStr">
        <is>
          <t xml:space="preserve">New business</t>
        </is>
      </c>
      <c r="F40" s="46" t="inlineStr">
        <is>
          <t xml:space="preserve">B1234EXOTIC26</t>
        </is>
      </c>
      <c r="G40" s="33">
        <f>IF($A40="","",IF($C40="","",YEAR($C40)))</f>
      </c>
      <c r="H40" s="49">
        <v>1995</v>
      </c>
      <c r="I40" s="46" t="inlineStr">
        <is>
          <t xml:space="preserve">Ferrari</t>
        </is>
      </c>
      <c r="J40" s="46" t="inlineStr">
        <is>
          <t xml:space="preserve">SF90 Stradale</t>
        </is>
      </c>
      <c r="K40" s="46" t="inlineStr">
        <is>
          <t xml:space="preserve">S3SKGJC7286U32HXH</t>
        </is>
      </c>
      <c r="L40" s="48" t="inlineStr">
        <is>
          <t xml:space="preserve">03 - Supercar</t>
        </is>
      </c>
      <c r="M40" s="50">
        <v>440000</v>
      </c>
      <c r="N40" s="48" t="inlineStr">
        <is>
          <t xml:space="preserve">Personal</t>
        </is>
      </c>
      <c r="O40" s="46" t="inlineStr">
        <is>
          <t xml:space="preserve">Personal - regular use</t>
        </is>
      </c>
      <c r="P40" s="46" t="inlineStr">
        <is>
          <t xml:space="preserve">1,000 - 2,500</t>
        </is>
      </c>
      <c r="Q40" s="46" t="inlineStr">
        <is>
          <t xml:space="preserve">New York</t>
        </is>
      </c>
      <c r="R40" s="46" t="inlineStr">
        <is>
          <t xml:space="preserve">10022</t>
        </is>
      </c>
      <c r="S40" s="48" t="inlineStr">
        <is>
          <t xml:space="preserve">Tier 3 - Coastal wind (25-100 miles)</t>
        </is>
      </c>
      <c r="T40" s="36">
        <f>IF($A40="","",IF($S40="","",IFERROR(INDEX('[1]natural catastrophe'!$D$6:$D$17,MATCH($S40,'[1]natural catastrophe'!$B$6:$B$17,0)),"?")))</f>
      </c>
      <c r="U40" s="46" t="inlineStr">
        <is>
          <t xml:space="preserve">2% of agreed value, minimum $10,000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9299.71</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CANON-202607-009580</t>
        </is>
      </c>
      <c r="B41" s="30" t="inlineStr">
        <is>
          <t xml:space="preserve">Priya Chattopadhyay</t>
        </is>
      </c>
      <c r="C41" s="31">
        <v>46223</v>
      </c>
      <c r="D41" s="32" t="inlineStr">
        <is>
          <t xml:space="preserve">Bound - within authority</t>
        </is>
      </c>
      <c r="E41" s="32" t="inlineStr">
        <is>
          <t xml:space="preserve">New business</t>
        </is>
      </c>
      <c r="F41" s="30" t="inlineStr">
        <is>
          <t xml:space="preserve">B1234EXOTIC26</t>
        </is>
      </c>
      <c r="G41" s="33">
        <f>IF($A41="","",IF($C41="","",YEAR($C41)))</f>
      </c>
      <c r="H41" s="34">
        <v>1965</v>
      </c>
      <c r="I41" s="30" t="inlineStr">
        <is>
          <t xml:space="preserve">Mercedes-Benz</t>
        </is>
      </c>
      <c r="J41" s="30" t="inlineStr">
        <is>
          <t xml:space="preserve">AMG GT</t>
        </is>
      </c>
      <c r="K41" s="30" t="inlineStr">
        <is>
          <t xml:space="preserve">UW9NBRZ0981L16PYF</t>
        </is>
      </c>
      <c r="L41" s="32" t="inlineStr">
        <is>
          <t xml:space="preserve">02 - Sports / GT</t>
        </is>
      </c>
      <c r="M41" s="35">
        <v>780000</v>
      </c>
      <c r="N41" s="32" t="inlineStr">
        <is>
          <t xml:space="preserve">Personal</t>
        </is>
      </c>
      <c r="O41" s="30" t="inlineStr">
        <is>
          <t xml:space="preserve">Personal - regular use</t>
        </is>
      </c>
      <c r="P41" s="30" t="inlineStr">
        <is>
          <t xml:space="preserve">2,500 - 5,000</t>
        </is>
      </c>
      <c r="Q41" s="30" t="inlineStr">
        <is>
          <t xml:space="preserve">Alaska</t>
        </is>
      </c>
      <c r="R41" s="30" t="inlineStr">
        <is>
          <t xml:space="preserve">99501</t>
        </is>
      </c>
      <c r="S41" s="32" t="inlineStr">
        <is>
          <t xml:space="preserve">Earthquake - high (CA, Cascadia, New Madrid)</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8298.92</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CANON-202607-009581</t>
        </is>
      </c>
      <c r="B42" s="46" t="inlineStr">
        <is>
          <t xml:space="preserve">Priya Montoya</t>
        </is>
      </c>
      <c r="C42" s="47">
        <v>46230</v>
      </c>
      <c r="D42" s="48" t="inlineStr">
        <is>
          <t xml:space="preserve">Bound - within authority</t>
        </is>
      </c>
      <c r="E42" s="48" t="inlineStr">
        <is>
          <t xml:space="preserve">New business</t>
        </is>
      </c>
      <c r="F42" s="46" t="inlineStr">
        <is>
          <t xml:space="preserve">B1234EXOTIC26</t>
        </is>
      </c>
      <c r="G42" s="33">
        <f>IF($A42="","",IF($C42="","",YEAR($C42)))</f>
      </c>
      <c r="H42" s="49">
        <v>1964</v>
      </c>
      <c r="I42" s="46" t="inlineStr">
        <is>
          <t xml:space="preserve">Lamborghini</t>
        </is>
      </c>
      <c r="J42" s="46" t="inlineStr">
        <is>
          <t xml:space="preserve">Huracan EVO</t>
        </is>
      </c>
      <c r="K42" s="46" t="inlineStr">
        <is>
          <t xml:space="preserve">NT9EWVJAWDZ28CWKJ</t>
        </is>
      </c>
      <c r="L42" s="48" t="inlineStr">
        <is>
          <t xml:space="preserve">03 - Supercar</t>
        </is>
      </c>
      <c r="M42" s="50">
        <v>1015000</v>
      </c>
      <c r="N42" s="48" t="inlineStr">
        <is>
          <t xml:space="preserve">Personal</t>
        </is>
      </c>
      <c r="O42" s="46" t="inlineStr">
        <is>
          <t xml:space="preserve">Personal - regular use</t>
        </is>
      </c>
      <c r="P42" s="46" t="inlineStr">
        <is>
          <t xml:space="preserve">2,500 - 5,000</t>
        </is>
      </c>
      <c r="Q42" s="46" t="inlineStr">
        <is>
          <t xml:space="preserve">Nebraska</t>
        </is>
      </c>
      <c r="R42" s="46" t="inlineStr">
        <is>
          <t xml:space="preserve">68102</t>
        </is>
      </c>
      <c r="S42" s="48" t="inlineStr">
        <is>
          <t xml:space="preserve">Severe convective - hail alley (high)</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15156.82</v>
      </c>
      <c r="AC42" s="51">
        <v>0</v>
      </c>
      <c r="AD42" s="38">
        <f>IF(ISNUMBER($AB42),$AB42*(1+N($AC42)),"")</f>
      </c>
      <c r="AE42" s="50">
        <v>350</v>
      </c>
      <c r="AF42" s="50">
        <v>250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CANON-202607-009582</t>
        </is>
      </c>
      <c r="B43" s="30" t="inlineStr">
        <is>
          <t xml:space="preserve">Beatrix Farkas</t>
        </is>
      </c>
      <c r="C43" s="31">
        <v>46209</v>
      </c>
      <c r="D43" s="32" t="inlineStr">
        <is>
          <t xml:space="preserve">Bound - within authority</t>
        </is>
      </c>
      <c r="E43" s="32" t="inlineStr">
        <is>
          <t xml:space="preserve">New business</t>
        </is>
      </c>
      <c r="F43" s="30" t="inlineStr">
        <is>
          <t xml:space="preserve">B1234EXOTIC26</t>
        </is>
      </c>
      <c r="G43" s="33">
        <f>IF($A43="","",IF($C43="","",YEAR($C43)))</f>
      </c>
      <c r="H43" s="34">
        <v>1988</v>
      </c>
      <c r="I43" s="30" t="inlineStr">
        <is>
          <t xml:space="preserve">McLaren</t>
        </is>
      </c>
      <c r="J43" s="30" t="inlineStr">
        <is>
          <t xml:space="preserve">750S</t>
        </is>
      </c>
      <c r="K43" s="30" t="inlineStr">
        <is>
          <t xml:space="preserve">9YE9GL52ZXELJRJ74</t>
        </is>
      </c>
      <c r="L43" s="32" t="inlineStr">
        <is>
          <t xml:space="preserve">03 - Supercar</t>
        </is>
      </c>
      <c r="M43" s="35">
        <v>1185000</v>
      </c>
      <c r="N43" s="32" t="inlineStr">
        <is>
          <t xml:space="preserve">Personal</t>
        </is>
      </c>
      <c r="O43" s="30" t="inlineStr">
        <is>
          <t xml:space="preserve">Personal - regular use</t>
        </is>
      </c>
      <c r="P43" s="30" t="inlineStr">
        <is>
          <t xml:space="preserve">1,000 - 2,500</t>
        </is>
      </c>
      <c r="Q43" s="30" t="inlineStr">
        <is>
          <t xml:space="preserve">Georgia</t>
        </is>
      </c>
      <c r="R43" s="30" t="inlineStr">
        <is>
          <t xml:space="preserve">30303</t>
        </is>
      </c>
      <c r="S43" s="32" t="inlineStr">
        <is>
          <t xml:space="preserve">Tier 2 - Coastal wind (1-25 miles)</t>
        </is>
      </c>
      <c r="T43" s="36">
        <f>IF($A43="","",IF($S43="","",IFERROR(INDEX('[1]natural catastrophe'!$D$6:$D$17,MATCH($S43,'[1]natural catastrophe'!$B$6:$B$17,0)),"?")))</f>
      </c>
      <c r="U43" s="30" t="inlineStr">
        <is>
          <t xml:space="preserve">2% of agreed value, minimum $10,000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15245.27</v>
      </c>
      <c r="AC43" s="37">
        <v>0</v>
      </c>
      <c r="AD43" s="38">
        <f>IF(ISNUMBER($AB43),$AB43*(1+N($AC43)),"")</f>
      </c>
      <c r="AE43" s="35">
        <v>350</v>
      </c>
      <c r="AF43" s="35">
        <v>250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CANON-202607-009583</t>
        </is>
      </c>
      <c r="B44" s="46" t="inlineStr">
        <is>
          <t xml:space="preserve">Ramona Thistlewood</t>
        </is>
      </c>
      <c r="C44" s="47">
        <v>46228</v>
      </c>
      <c r="D44" s="48" t="inlineStr">
        <is>
          <t xml:space="preserve">Bound - within authority</t>
        </is>
      </c>
      <c r="E44" s="48" t="inlineStr">
        <is>
          <t xml:space="preserve">New business</t>
        </is>
      </c>
      <c r="F44" s="46" t="inlineStr">
        <is>
          <t xml:space="preserve">B1234EXOTIC26</t>
        </is>
      </c>
      <c r="G44" s="33">
        <f>IF($A44="","",IF($C44="","",YEAR($C44)))</f>
      </c>
      <c r="H44" s="49">
        <v>1965</v>
      </c>
      <c r="I44" s="46" t="inlineStr">
        <is>
          <t xml:space="preserve">Ferrari</t>
        </is>
      </c>
      <c r="J44" s="46" t="inlineStr">
        <is>
          <t xml:space="preserve">296 GTB</t>
        </is>
      </c>
      <c r="K44" s="46" t="inlineStr">
        <is>
          <t xml:space="preserve">X9SLVM5XLMCVL11PC</t>
        </is>
      </c>
      <c r="L44" s="48" t="inlineStr">
        <is>
          <t xml:space="preserve">03 - Supercar</t>
        </is>
      </c>
      <c r="M44" s="50">
        <v>1775000</v>
      </c>
      <c r="N44" s="48" t="inlineStr">
        <is>
          <t xml:space="preserve">Personal</t>
        </is>
      </c>
      <c r="O44" s="46" t="inlineStr">
        <is>
          <t xml:space="preserve">Personal - regular use</t>
        </is>
      </c>
      <c r="P44" s="46" t="inlineStr">
        <is>
          <t xml:space="preserve">1,000 - 2,500</t>
        </is>
      </c>
      <c r="Q44" s="46" t="inlineStr">
        <is>
          <t xml:space="preserve">Arkansas</t>
        </is>
      </c>
      <c r="R44" s="46" t="inlineStr">
        <is>
          <t xml:space="preserve">72201</t>
        </is>
      </c>
      <c r="S44" s="48" t="inlineStr">
        <is>
          <t xml:space="preserve">Severe convective - hail / tornado (moderate)</t>
        </is>
      </c>
      <c r="T44" s="36">
        <f>IF($A44="","",IF($S44="","",IFERROR(INDEX('[1]natural catastrophe'!$D$6:$D$17,MATCH($S44,'[1]natural catastrophe'!$B$6:$B$17,0)),"?")))</f>
      </c>
      <c r="U44" s="46" t="inlineStr">
        <is>
          <t xml:space="preserve">$5,000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28136.89</v>
      </c>
      <c r="AC44" s="51">
        <v>0</v>
      </c>
      <c r="AD44" s="38">
        <f>IF(ISNUMBER($AB44),$AB44*(1+N($AC44)),"")</f>
      </c>
      <c r="AE44" s="50">
        <v>350</v>
      </c>
      <c r="AF44" s="50">
        <v>250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CANON-202607-009585</t>
        </is>
      </c>
      <c r="B45" s="30" t="inlineStr">
        <is>
          <t xml:space="preserve">Leopold Larsson</t>
        </is>
      </c>
      <c r="C45" s="31">
        <v>46227</v>
      </c>
      <c r="D45" s="32" t="inlineStr">
        <is>
          <t xml:space="preserve">Bound - within authority</t>
        </is>
      </c>
      <c r="E45" s="32" t="inlineStr">
        <is>
          <t xml:space="preserve">New business</t>
        </is>
      </c>
      <c r="F45" s="30" t="inlineStr">
        <is>
          <t xml:space="preserve">B1234EXOTIC26</t>
        </is>
      </c>
      <c r="G45" s="33">
        <f>IF($A45="","",IF($C45="","",YEAR($C45)))</f>
      </c>
      <c r="H45" s="34">
        <v>1973</v>
      </c>
      <c r="I45" s="30" t="inlineStr">
        <is>
          <t xml:space="preserve">Aston Martin</t>
        </is>
      </c>
      <c r="J45" s="30" t="inlineStr">
        <is>
          <t xml:space="preserve">DB12</t>
        </is>
      </c>
      <c r="K45" s="30" t="inlineStr">
        <is>
          <t xml:space="preserve">WV1A9W3JUL72J2KLV</t>
        </is>
      </c>
      <c r="L45" s="32" t="inlineStr">
        <is>
          <t xml:space="preserve">02 - Sports / GT</t>
        </is>
      </c>
      <c r="M45" s="35">
        <v>285000</v>
      </c>
      <c r="N45" s="32" t="inlineStr">
        <is>
          <t xml:space="preserve">Personal</t>
        </is>
      </c>
      <c r="O45" s="30" t="inlineStr">
        <is>
          <t xml:space="preserve">Personal - regular use</t>
        </is>
      </c>
      <c r="P45" s="30" t="inlineStr">
        <is>
          <t xml:space="preserve">2,500 - 5,000</t>
        </is>
      </c>
      <c r="Q45" s="30" t="inlineStr">
        <is>
          <t xml:space="preserve">California</t>
        </is>
      </c>
      <c r="R45" s="30" t="inlineStr">
        <is>
          <t xml:space="preserve">90012</t>
        </is>
      </c>
      <c r="S45" s="32" t="inlineStr">
        <is>
          <t xml:space="preserve">Earthquake - high (CA, Cascadia, New Madrid)</t>
        </is>
      </c>
      <c r="T45" s="36">
        <f>IF($A45="","",IF($S45="","",IFERROR(INDEX('[1]natural catastrophe'!$D$6:$D$17,MATCH($S45,'[1]natural catastrophe'!$B$6:$B$17,0)),"?")))</f>
      </c>
      <c r="U45" s="30" t="inlineStr">
        <is>
          <t xml:space="preserve">$5,000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4143.33</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CANON-202607-009586</t>
        </is>
      </c>
      <c r="B46" s="46" t="inlineStr">
        <is>
          <t xml:space="preserve">Desmond Rourke</t>
        </is>
      </c>
      <c r="C46" s="47">
        <v>46222</v>
      </c>
      <c r="D46" s="48" t="inlineStr">
        <is>
          <t xml:space="preserve">Bound - within authority</t>
        </is>
      </c>
      <c r="E46" s="48" t="inlineStr">
        <is>
          <t xml:space="preserve">New business</t>
        </is>
      </c>
      <c r="F46" s="46" t="inlineStr">
        <is>
          <t xml:space="preserve">B1234EXOTIC26</t>
        </is>
      </c>
      <c r="G46" s="33">
        <f>IF($A46="","",IF($C46="","",YEAR($C46)))</f>
      </c>
      <c r="H46" s="49">
        <v>2002</v>
      </c>
      <c r="I46" s="46" t="inlineStr">
        <is>
          <t xml:space="preserve">Mercedes-Benz</t>
        </is>
      </c>
      <c r="J46" s="46" t="inlineStr">
        <is>
          <t xml:space="preserve">AMG GT</t>
        </is>
      </c>
      <c r="K46" s="46" t="inlineStr">
        <is>
          <t xml:space="preserve">D94VUX4VHX7YGNMA5</t>
        </is>
      </c>
      <c r="L46" s="48" t="inlineStr">
        <is>
          <t xml:space="preserve">02 - Sports / GT</t>
        </is>
      </c>
      <c r="M46" s="50">
        <v>750000</v>
      </c>
      <c r="N46" s="48" t="inlineStr">
        <is>
          <t xml:space="preserve">Personal</t>
        </is>
      </c>
      <c r="O46" s="46" t="inlineStr">
        <is>
          <t xml:space="preserve">Personal - regular use</t>
        </is>
      </c>
      <c r="P46" s="46" t="inlineStr">
        <is>
          <t xml:space="preserve">2,500 - 5,000</t>
        </is>
      </c>
      <c r="Q46" s="46" t="inlineStr">
        <is>
          <t xml:space="preserve">Missouri</t>
        </is>
      </c>
      <c r="R46" s="46" t="inlineStr">
        <is>
          <t xml:space="preserve">63101</t>
        </is>
      </c>
      <c r="S46" s="48" t="inlineStr">
        <is>
          <t xml:space="preserve">Severe convective - hail / tornado (moderate)</t>
        </is>
      </c>
      <c r="T46" s="36">
        <f>IF($A46="","",IF($S46="","",IFERROR(INDEX('[1]natural catastrophe'!$D$6:$D$17,MATCH($S46,'[1]natural catastrophe'!$B$6:$B$17,0)),"?")))</f>
      </c>
      <c r="U46" s="46" t="inlineStr">
        <is>
          <t xml:space="preserve">$5,000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7419.75</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CANON-202607-009587</t>
        </is>
      </c>
      <c r="B47" s="30" t="inlineStr">
        <is>
          <t xml:space="preserve">Delphine Rourke</t>
        </is>
      </c>
      <c r="C47" s="31">
        <v>46225</v>
      </c>
      <c r="D47" s="32" t="inlineStr">
        <is>
          <t xml:space="preserve">Bound - within authority</t>
        </is>
      </c>
      <c r="E47" s="32" t="inlineStr">
        <is>
          <t xml:space="preserve">New business</t>
        </is>
      </c>
      <c r="F47" s="30" t="inlineStr">
        <is>
          <t xml:space="preserve">B1234EXOTIC26</t>
        </is>
      </c>
      <c r="G47" s="33">
        <f>IF($A47="","",IF($C47="","",YEAR($C47)))</f>
      </c>
      <c r="H47" s="34">
        <v>1961</v>
      </c>
      <c r="I47" s="30" t="inlineStr">
        <is>
          <t xml:space="preserve">Bentley</t>
        </is>
      </c>
      <c r="J47" s="30" t="inlineStr">
        <is>
          <t xml:space="preserve">Continental GT</t>
        </is>
      </c>
      <c r="K47" s="30" t="inlineStr">
        <is>
          <t xml:space="preserve">XJGSB8V9HWJKJBDZ7</t>
        </is>
      </c>
      <c r="L47" s="32" t="inlineStr">
        <is>
          <t xml:space="preserve">02 - Sports / GT</t>
        </is>
      </c>
      <c r="M47" s="35">
        <v>160000</v>
      </c>
      <c r="N47" s="32" t="inlineStr">
        <is>
          <t xml:space="preserve">Personal</t>
        </is>
      </c>
      <c r="O47" s="30" t="inlineStr">
        <is>
          <t xml:space="preserve">Personal - regular use</t>
        </is>
      </c>
      <c r="P47" s="30" t="inlineStr">
        <is>
          <t xml:space="preserve">2,500 - 5,000</t>
        </is>
      </c>
      <c r="Q47" s="30" t="inlineStr">
        <is>
          <t xml:space="preserve">Illinois</t>
        </is>
      </c>
      <c r="R47" s="30" t="inlineStr">
        <is>
          <t xml:space="preserve">60601</t>
        </is>
      </c>
      <c r="S47" s="32" t="inlineStr">
        <is>
          <t xml:space="preserve">Severe convective - hail / tornado (moderate)</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2874.46</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CANON-202607-009588</t>
        </is>
      </c>
      <c r="B48" s="46" t="inlineStr">
        <is>
          <t xml:space="preserve">Thaddeus Montoya</t>
        </is>
      </c>
      <c r="C48" s="47">
        <v>46214</v>
      </c>
      <c r="D48" s="48" t="inlineStr">
        <is>
          <t xml:space="preserve">Bound - within authority</t>
        </is>
      </c>
      <c r="E48" s="48" t="inlineStr">
        <is>
          <t xml:space="preserve">New business</t>
        </is>
      </c>
      <c r="F48" s="46" t="inlineStr">
        <is>
          <t xml:space="preserve">B1234EXOTIC26</t>
        </is>
      </c>
      <c r="G48" s="33">
        <f>IF($A48="","",IF($C48="","",YEAR($C48)))</f>
      </c>
      <c r="H48" s="49">
        <v>1978</v>
      </c>
      <c r="I48" s="46" t="inlineStr">
        <is>
          <t xml:space="preserve">Porsche</t>
        </is>
      </c>
      <c r="J48" s="46" t="inlineStr">
        <is>
          <t xml:space="preserve">911 Turbo S</t>
        </is>
      </c>
      <c r="K48" s="46" t="inlineStr">
        <is>
          <t xml:space="preserve">S387W4823GE9160J5</t>
        </is>
      </c>
      <c r="L48" s="48" t="inlineStr">
        <is>
          <t xml:space="preserve">02 - Sports / GT</t>
        </is>
      </c>
      <c r="M48" s="50">
        <v>635000</v>
      </c>
      <c r="N48" s="48" t="inlineStr">
        <is>
          <t xml:space="preserve">Personal</t>
        </is>
      </c>
      <c r="O48" s="46" t="inlineStr">
        <is>
          <t xml:space="preserve">Personal - regular use</t>
        </is>
      </c>
      <c r="P48" s="46" t="inlineStr">
        <is>
          <t xml:space="preserve">2,500 - 5,000</t>
        </is>
      </c>
      <c r="Q48" s="46" t="inlineStr">
        <is>
          <t xml:space="preserve">Michigan</t>
        </is>
      </c>
      <c r="R48" s="46" t="inlineStr">
        <is>
          <t xml:space="preserve">48226</t>
        </is>
      </c>
      <c r="S48" s="48" t="inlineStr">
        <is>
          <t xml:space="preserve">Severe convective - hail / tornado (moderate)</t>
        </is>
      </c>
      <c r="T48" s="36">
        <f>IF($A48="","",IF($S48="","",IFERROR(INDEX('[1]natural catastrophe'!$D$6:$D$17,MATCH($S48,'[1]natural catastrophe'!$B$6:$B$17,0)),"?")))</f>
      </c>
      <c r="U48" s="46" t="inlineStr">
        <is>
          <t xml:space="preserve">$5,000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9186.02</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CANON-202607-009589</t>
        </is>
      </c>
      <c r="B49" s="30" t="inlineStr">
        <is>
          <t xml:space="preserve">Anouk Okonkwo</t>
        </is>
      </c>
      <c r="C49" s="31">
        <v>46221</v>
      </c>
      <c r="D49" s="32" t="inlineStr">
        <is>
          <t xml:space="preserve">Bound - within authority</t>
        </is>
      </c>
      <c r="E49" s="32" t="inlineStr">
        <is>
          <t xml:space="preserve">New business</t>
        </is>
      </c>
      <c r="F49" s="30" t="inlineStr">
        <is>
          <t xml:space="preserve">B1234EXOTIC26</t>
        </is>
      </c>
      <c r="G49" s="33">
        <f>IF($A49="","",IF($C49="","",YEAR($C49)))</f>
      </c>
      <c r="H49" s="34">
        <v>1994</v>
      </c>
      <c r="I49" s="30" t="inlineStr">
        <is>
          <t xml:space="preserve">BMW</t>
        </is>
      </c>
      <c r="J49" s="30" t="inlineStr">
        <is>
          <t xml:space="preserve">M8 Competition</t>
        </is>
      </c>
      <c r="K49" s="30" t="inlineStr">
        <is>
          <t xml:space="preserve">PT5DW1TC10NGJDCJ2</t>
        </is>
      </c>
      <c r="L49" s="32" t="inlineStr">
        <is>
          <t xml:space="preserve">02 - Sports / GT</t>
        </is>
      </c>
      <c r="M49" s="35">
        <v>860000</v>
      </c>
      <c r="N49" s="32" t="inlineStr">
        <is>
          <t xml:space="preserve">Personal</t>
        </is>
      </c>
      <c r="O49" s="30" t="inlineStr">
        <is>
          <t xml:space="preserve">Personal - regular use</t>
        </is>
      </c>
      <c r="P49" s="30" t="inlineStr">
        <is>
          <t xml:space="preserve">Under 1,000</t>
        </is>
      </c>
      <c r="Q49" s="30" t="inlineStr">
        <is>
          <t xml:space="preserve">Virginia</t>
        </is>
      </c>
      <c r="R49" s="30" t="inlineStr">
        <is>
          <t xml:space="preserve">23219</t>
        </is>
      </c>
      <c r="S49" s="32" t="inlineStr">
        <is>
          <t xml:space="preserve">Tier 3 - Coastal wind (25-100 miles)</t>
        </is>
      </c>
      <c r="T49" s="36">
        <f>IF($A49="","",IF($S49="","",IFERROR(INDEX('[1]natural catastrophe'!$D$6:$D$17,MATCH($S49,'[1]natural catastrophe'!$B$6:$B$17,0)),"?")))</f>
      </c>
      <c r="U49" s="30" t="inlineStr">
        <is>
          <t xml:space="preserve">2% of agreed value, minimum $10,000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8748.78</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CANON-202607-009590</t>
        </is>
      </c>
      <c r="B50" s="46" t="inlineStr">
        <is>
          <t xml:space="preserve">Priya Vasquez</t>
        </is>
      </c>
      <c r="C50" s="47">
        <v>46222</v>
      </c>
      <c r="D50" s="48" t="inlineStr">
        <is>
          <t xml:space="preserve">Bound - within authority</t>
        </is>
      </c>
      <c r="E50" s="48" t="inlineStr">
        <is>
          <t xml:space="preserve">New business</t>
        </is>
      </c>
      <c r="F50" s="46" t="inlineStr">
        <is>
          <t xml:space="preserve">B1234EXOTIC26</t>
        </is>
      </c>
      <c r="G50" s="33">
        <f>IF($A50="","",IF($C50="","",YEAR($C50)))</f>
      </c>
      <c r="H50" s="49">
        <v>2018</v>
      </c>
      <c r="I50" s="46" t="inlineStr">
        <is>
          <t xml:space="preserve">Porsche</t>
        </is>
      </c>
      <c r="J50" s="46" t="inlineStr">
        <is>
          <t xml:space="preserve">911 Turbo S</t>
        </is>
      </c>
      <c r="K50" s="46" t="inlineStr">
        <is>
          <t xml:space="preserve">ARNNK0AZD1W025G8J</t>
        </is>
      </c>
      <c r="L50" s="48" t="inlineStr">
        <is>
          <t xml:space="preserve">02 - Sports / GT</t>
        </is>
      </c>
      <c r="M50" s="50">
        <v>180000</v>
      </c>
      <c r="N50" s="48" t="inlineStr">
        <is>
          <t xml:space="preserve">Personal</t>
        </is>
      </c>
      <c r="O50" s="46" t="inlineStr">
        <is>
          <t xml:space="preserve">Personal - regular use</t>
        </is>
      </c>
      <c r="P50" s="46" t="inlineStr">
        <is>
          <t xml:space="preserve">2,500 - 5,000</t>
        </is>
      </c>
      <c r="Q50" s="46" t="inlineStr">
        <is>
          <t xml:space="preserve">Maine</t>
        </is>
      </c>
      <c r="R50" s="46" t="inlineStr">
        <is>
          <t xml:space="preserve">04101</t>
        </is>
      </c>
      <c r="S50" s="48" t="inlineStr">
        <is>
          <t xml:space="preserve">Tier 3 - Coastal wind (25-100 miles)</t>
        </is>
      </c>
      <c r="T50" s="36">
        <f>IF($A50="","",IF($S50="","",IFERROR(INDEX('[1]natural catastrophe'!$D$6:$D$17,MATCH($S50,'[1]natural catastrophe'!$B$6:$B$17,0)),"?")))</f>
      </c>
      <c r="U50" s="46" t="inlineStr">
        <is>
          <t xml:space="preserve">2% of agreed value, minimum $10,000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2567.99</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CANON-202607-009593</t>
        </is>
      </c>
      <c r="B51" s="30" t="inlineStr">
        <is>
          <t xml:space="preserve">Delphine Delacroix</t>
        </is>
      </c>
      <c r="C51" s="31">
        <v>46205</v>
      </c>
      <c r="D51" s="32" t="inlineStr">
        <is>
          <t xml:space="preserve">Bound - within authority</t>
        </is>
      </c>
      <c r="E51" s="32" t="inlineStr">
        <is>
          <t xml:space="preserve">New business</t>
        </is>
      </c>
      <c r="F51" s="30" t="inlineStr">
        <is>
          <t xml:space="preserve">B1234EXOTIC26</t>
        </is>
      </c>
      <c r="G51" s="33">
        <f>IF($A51="","",IF($C51="","",YEAR($C51)))</f>
      </c>
      <c r="H51" s="34">
        <v>2020</v>
      </c>
      <c r="I51" s="30" t="inlineStr">
        <is>
          <t xml:space="preserve">Mercedes-Benz</t>
        </is>
      </c>
      <c r="J51" s="30" t="inlineStr">
        <is>
          <t xml:space="preserve">280SL Pagoda</t>
        </is>
      </c>
      <c r="K51" s="30" t="inlineStr">
        <is>
          <t xml:space="preserve">RCGR7Z5YS73VKZJP4</t>
        </is>
      </c>
      <c r="L51" s="32" t="inlineStr">
        <is>
          <t xml:space="preserve">02 - Sports / GT</t>
        </is>
      </c>
      <c r="M51" s="35">
        <v>1055000</v>
      </c>
      <c r="N51" s="32" t="inlineStr">
        <is>
          <t xml:space="preserve">Personal</t>
        </is>
      </c>
      <c r="O51" s="30" t="inlineStr">
        <is>
          <t xml:space="preserve">Personal - regular use</t>
        </is>
      </c>
      <c r="P51" s="30" t="inlineStr">
        <is>
          <t xml:space="preserve">2,500 - 5,000</t>
        </is>
      </c>
      <c r="Q51" s="30" t="inlineStr">
        <is>
          <t xml:space="preserve">Oregon</t>
        </is>
      </c>
      <c r="R51" s="30" t="inlineStr">
        <is>
          <t xml:space="preserve">97204</t>
        </is>
      </c>
      <c r="S51" s="32" t="inlineStr">
        <is>
          <t xml:space="preserve">Earthquake - high (CA, Cascadia, New Madrid)</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6504.64</v>
      </c>
      <c r="AC51" s="37">
        <v>0</v>
      </c>
      <c r="AD51" s="38">
        <f>IF(ISNUMBER($AB51),$AB51*(1+N($AC51)),"")</f>
      </c>
      <c r="AE51" s="35">
        <v>350</v>
      </c>
      <c r="AF51" s="35">
        <v>250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CANON-202607-009594</t>
        </is>
      </c>
      <c r="B52" s="46" t="inlineStr">
        <is>
          <t xml:space="preserve">Delphine Vasquez</t>
        </is>
      </c>
      <c r="C52" s="47">
        <v>46209</v>
      </c>
      <c r="D52" s="48" t="inlineStr">
        <is>
          <t xml:space="preserve">Bound - within authority</t>
        </is>
      </c>
      <c r="E52" s="48" t="inlineStr">
        <is>
          <t xml:space="preserve">New business</t>
        </is>
      </c>
      <c r="F52" s="46" t="inlineStr">
        <is>
          <t xml:space="preserve">B1234EXOTIC26</t>
        </is>
      </c>
      <c r="G52" s="33">
        <f>IF($A52="","",IF($C52="","",YEAR($C52)))</f>
      </c>
      <c r="H52" s="49">
        <v>2016</v>
      </c>
      <c r="I52" s="46" t="inlineStr">
        <is>
          <t xml:space="preserve">BMW</t>
        </is>
      </c>
      <c r="J52" s="46" t="inlineStr">
        <is>
          <t xml:space="preserve">M8 Competition</t>
        </is>
      </c>
      <c r="K52" s="46" t="inlineStr">
        <is>
          <t xml:space="preserve">4UZ2CCLPXLBW5KNWX</t>
        </is>
      </c>
      <c r="L52" s="48" t="inlineStr">
        <is>
          <t xml:space="preserve">02 - Sports / GT</t>
        </is>
      </c>
      <c r="M52" s="50">
        <v>275000</v>
      </c>
      <c r="N52" s="48" t="inlineStr">
        <is>
          <t xml:space="preserve">Personal</t>
        </is>
      </c>
      <c r="O52" s="46" t="inlineStr">
        <is>
          <t xml:space="preserve">Personal - regular use</t>
        </is>
      </c>
      <c r="P52" s="46" t="inlineStr">
        <is>
          <t xml:space="preserve">2,500 - 5,000</t>
        </is>
      </c>
      <c r="Q52" s="46" t="inlineStr">
        <is>
          <t xml:space="preserve">Texas</t>
        </is>
      </c>
      <c r="R52" s="46" t="inlineStr">
        <is>
          <t xml:space="preserve">75201</t>
        </is>
      </c>
      <c r="S52" s="48" t="inlineStr">
        <is>
          <t xml:space="preserve">Tier 2 - Coastal wind (1-25 miles)</t>
        </is>
      </c>
      <c r="T52" s="36">
        <f>IF($A52="","",IF($S52="","",IFERROR(INDEX('[1]natural catastrophe'!$D$6:$D$17,MATCH($S52,'[1]natural catastrophe'!$B$6:$B$17,0)),"?")))</f>
      </c>
      <c r="U52" s="46" t="inlineStr">
        <is>
          <t xml:space="preserve">2% of agreed value, minimum $10,000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3405.66</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CANON-202607-009595</t>
        </is>
      </c>
      <c r="B53" s="30" t="inlineStr">
        <is>
          <t xml:space="preserve">Fenwick Okonkwo</t>
        </is>
      </c>
      <c r="C53" s="31">
        <v>46225</v>
      </c>
      <c r="D53" s="32" t="inlineStr">
        <is>
          <t xml:space="preserve">Bound - within authority</t>
        </is>
      </c>
      <c r="E53" s="32" t="inlineStr">
        <is>
          <t xml:space="preserve">New business</t>
        </is>
      </c>
      <c r="F53" s="30" t="inlineStr">
        <is>
          <t xml:space="preserve">B1234EXOTIC26</t>
        </is>
      </c>
      <c r="G53" s="33">
        <f>IF($A53="","",IF($C53="","",YEAR($C53)))</f>
      </c>
      <c r="H53" s="34">
        <v>2003</v>
      </c>
      <c r="I53" s="30" t="inlineStr">
        <is>
          <t xml:space="preserve">Ferrari</t>
        </is>
      </c>
      <c r="J53" s="30" t="inlineStr">
        <is>
          <t xml:space="preserve">296 GTB</t>
        </is>
      </c>
      <c r="K53" s="30" t="inlineStr">
        <is>
          <t xml:space="preserve">BP1CKH1FSGR4XEHHS</t>
        </is>
      </c>
      <c r="L53" s="32" t="inlineStr">
        <is>
          <t xml:space="preserve">03 - Supercar</t>
        </is>
      </c>
      <c r="M53" s="35">
        <v>390000</v>
      </c>
      <c r="N53" s="32" t="inlineStr">
        <is>
          <t xml:space="preserve">Personal</t>
        </is>
      </c>
      <c r="O53" s="30" t="inlineStr">
        <is>
          <t xml:space="preserve">Personal - regular use</t>
        </is>
      </c>
      <c r="P53" s="30" t="inlineStr">
        <is>
          <t xml:space="preserve">Under 1,000</t>
        </is>
      </c>
      <c r="Q53" s="30" t="inlineStr">
        <is>
          <t xml:space="preserve">Louisiana</t>
        </is>
      </c>
      <c r="R53" s="30" t="inlineStr">
        <is>
          <t xml:space="preserve">70112</t>
        </is>
      </c>
      <c r="S53" s="32" t="inlineStr">
        <is>
          <t xml:space="preserve">Tier 2 - Coastal wind (1-25 miles)</t>
        </is>
      </c>
      <c r="T53" s="36">
        <f>IF($A53="","",IF($S53="","",IFERROR(INDEX('[1]natural catastrophe'!$D$6:$D$17,MATCH($S53,'[1]natural catastrophe'!$B$6:$B$17,0)),"?")))</f>
      </c>
      <c r="U53" s="30" t="inlineStr">
        <is>
          <t xml:space="preserve">2% of agreed value, minimum $10,000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7792.14</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CANON-202607-009596</t>
        </is>
      </c>
      <c r="B54" s="46" t="inlineStr">
        <is>
          <t xml:space="preserve">Lorenzo Farkas</t>
        </is>
      </c>
      <c r="C54" s="47">
        <v>46205</v>
      </c>
      <c r="D54" s="48" t="inlineStr">
        <is>
          <t xml:space="preserve">Bound - within authority</t>
        </is>
      </c>
      <c r="E54" s="48" t="inlineStr">
        <is>
          <t xml:space="preserve">New business</t>
        </is>
      </c>
      <c r="F54" s="46" t="inlineStr">
        <is>
          <t xml:space="preserve">B1234EXOTIC26</t>
        </is>
      </c>
      <c r="G54" s="33">
        <f>IF($A54="","",IF($C54="","",YEAR($C54)))</f>
      </c>
      <c r="H54" s="49">
        <v>1972</v>
      </c>
      <c r="I54" s="46" t="inlineStr">
        <is>
          <t xml:space="preserve">BMW</t>
        </is>
      </c>
      <c r="J54" s="46" t="inlineStr">
        <is>
          <t xml:space="preserve">M8 Competition</t>
        </is>
      </c>
      <c r="K54" s="46" t="inlineStr">
        <is>
          <t xml:space="preserve">S0AZ5YY41K5J7FKXW</t>
        </is>
      </c>
      <c r="L54" s="48" t="inlineStr">
        <is>
          <t xml:space="preserve">02 - Sports / GT</t>
        </is>
      </c>
      <c r="M54" s="50">
        <v>505000</v>
      </c>
      <c r="N54" s="48" t="inlineStr">
        <is>
          <t xml:space="preserve">Personal</t>
        </is>
      </c>
      <c r="O54" s="46" t="inlineStr">
        <is>
          <t xml:space="preserve">Personal - regular use</t>
        </is>
      </c>
      <c r="P54" s="46" t="inlineStr">
        <is>
          <t xml:space="preserve">1,000 - 2,500</t>
        </is>
      </c>
      <c r="Q54" s="46" t="inlineStr">
        <is>
          <t xml:space="preserve">Idaho</t>
        </is>
      </c>
      <c r="R54" s="46" t="inlineStr">
        <is>
          <t xml:space="preserve">83702</t>
        </is>
      </c>
      <c r="S54" s="48" t="inlineStr">
        <is>
          <t xml:space="preserve">Wildfire - WUI high hazard</t>
        </is>
      </c>
      <c r="T54" s="36">
        <f>IF($A54="","",IF($S54="","",IFERROR(INDEX('[1]natural catastrophe'!$D$6:$D$17,MATCH($S54,'[1]natural catastrophe'!$B$6:$B$17,0)),"?")))</f>
      </c>
      <c r="U54" s="46" t="inlineStr">
        <is>
          <t xml:space="preserve">$5,000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4666.04</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CANON-202607-009597</t>
        </is>
      </c>
      <c r="B55" s="30" t="inlineStr">
        <is>
          <t xml:space="preserve">Emiliano Castellanos</t>
        </is>
      </c>
      <c r="C55" s="31">
        <v>46221</v>
      </c>
      <c r="D55" s="32" t="inlineStr">
        <is>
          <t xml:space="preserve">Bound - within authority</t>
        </is>
      </c>
      <c r="E55" s="32" t="inlineStr">
        <is>
          <t xml:space="preserve">New business</t>
        </is>
      </c>
      <c r="F55" s="30" t="inlineStr">
        <is>
          <t xml:space="preserve">B1234EXOTIC26</t>
        </is>
      </c>
      <c r="G55" s="33">
        <f>IF($A55="","",IF($C55="","",YEAR($C55)))</f>
      </c>
      <c r="H55" s="34">
        <v>1968</v>
      </c>
      <c r="I55" s="30" t="inlineStr">
        <is>
          <t xml:space="preserve">Bentley</t>
        </is>
      </c>
      <c r="J55" s="30" t="inlineStr">
        <is>
          <t xml:space="preserve">Continental GT</t>
        </is>
      </c>
      <c r="K55" s="30" t="inlineStr">
        <is>
          <t xml:space="preserve">GVMPN97LTJ8J6MCBM</t>
        </is>
      </c>
      <c r="L55" s="32" t="inlineStr">
        <is>
          <t xml:space="preserve">02 - Sports / GT</t>
        </is>
      </c>
      <c r="M55" s="35">
        <v>855000</v>
      </c>
      <c r="N55" s="32" t="inlineStr">
        <is>
          <t xml:space="preserve">Personal</t>
        </is>
      </c>
      <c r="O55" s="30" t="inlineStr">
        <is>
          <t xml:space="preserve">Personal - regular use</t>
        </is>
      </c>
      <c r="P55" s="30" t="inlineStr">
        <is>
          <t xml:space="preserve">Under 1,000</t>
        </is>
      </c>
      <c r="Q55" s="30" t="inlineStr">
        <is>
          <t xml:space="preserve">Louisiana</t>
        </is>
      </c>
      <c r="R55" s="30" t="inlineStr">
        <is>
          <t xml:space="preserve">70112</t>
        </is>
      </c>
      <c r="S55" s="32" t="inlineStr">
        <is>
          <t xml:space="preserve">Tier 2 - Coastal wind (1-25 miles)</t>
        </is>
      </c>
      <c r="T55" s="36">
        <f>IF($A55="","",IF($S55="","",IFERROR(INDEX('[1]natural catastrophe'!$D$6:$D$17,MATCH($S55,'[1]natural catastrophe'!$B$6:$B$17,0)),"?")))</f>
      </c>
      <c r="U55" s="30" t="inlineStr">
        <is>
          <t xml:space="preserve">2% of agreed value, minimum $10,000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9655.48</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CANON-202607-009599</t>
        </is>
      </c>
      <c r="B56" s="46" t="inlineStr">
        <is>
          <t xml:space="preserve">Everett Pennington</t>
        </is>
      </c>
      <c r="C56" s="47">
        <v>46227</v>
      </c>
      <c r="D56" s="48" t="inlineStr">
        <is>
          <t xml:space="preserve">Bound - within authority</t>
        </is>
      </c>
      <c r="E56" s="48" t="inlineStr">
        <is>
          <t xml:space="preserve">New business</t>
        </is>
      </c>
      <c r="F56" s="46" t="inlineStr">
        <is>
          <t xml:space="preserve">B1234EXOTIC26</t>
        </is>
      </c>
      <c r="G56" s="33">
        <f>IF($A56="","",IF($C56="","",YEAR($C56)))</f>
      </c>
      <c r="H56" s="49">
        <v>1993</v>
      </c>
      <c r="I56" s="46" t="inlineStr">
        <is>
          <t xml:space="preserve">BMW</t>
        </is>
      </c>
      <c r="J56" s="46" t="inlineStr">
        <is>
          <t xml:space="preserve">M8 Competition</t>
        </is>
      </c>
      <c r="K56" s="46" t="inlineStr">
        <is>
          <t xml:space="preserve">XPJN0HVDJ1E4NLFTC</t>
        </is>
      </c>
      <c r="L56" s="48" t="inlineStr">
        <is>
          <t xml:space="preserve">02 - Sports / GT</t>
        </is>
      </c>
      <c r="M56" s="50">
        <v>595000</v>
      </c>
      <c r="N56" s="48" t="inlineStr">
        <is>
          <t xml:space="preserve">Personal</t>
        </is>
      </c>
      <c r="O56" s="46" t="inlineStr">
        <is>
          <t xml:space="preserve">Personal - regular use</t>
        </is>
      </c>
      <c r="P56" s="46" t="inlineStr">
        <is>
          <t xml:space="preserve">Under 1,000</t>
        </is>
      </c>
      <c r="Q56" s="46" t="inlineStr">
        <is>
          <t xml:space="preserve">New Jersey</t>
        </is>
      </c>
      <c r="R56" s="46" t="inlineStr">
        <is>
          <t xml:space="preserve">07102</t>
        </is>
      </c>
      <c r="S56" s="48" t="inlineStr">
        <is>
          <t xml:space="preserve">Tier 3 - Coastal wind (25-100 miles)</t>
        </is>
      </c>
      <c r="T56" s="36">
        <f>IF($A56="","",IF($S56="","",IFERROR(INDEX('[1]natural catastrophe'!$D$6:$D$17,MATCH($S56,'[1]natural catastrophe'!$B$6:$B$17,0)),"?")))</f>
      </c>
      <c r="U56" s="46" t="inlineStr">
        <is>
          <t xml:space="preserve">2% of agreed value, minimum $10,000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5053.36</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CANON-202607-009600</t>
        </is>
      </c>
      <c r="B57" s="30" t="inlineStr">
        <is>
          <t xml:space="preserve">Beatrix Okonkwo</t>
        </is>
      </c>
      <c r="C57" s="31">
        <v>46212</v>
      </c>
      <c r="D57" s="32" t="inlineStr">
        <is>
          <t xml:space="preserve">Bound - within authority</t>
        </is>
      </c>
      <c r="E57" s="32" t="inlineStr">
        <is>
          <t xml:space="preserve">New business</t>
        </is>
      </c>
      <c r="F57" s="30" t="inlineStr">
        <is>
          <t xml:space="preserve">B1234EXOTIC26</t>
        </is>
      </c>
      <c r="G57" s="33">
        <f>IF($A57="","",IF($C57="","",YEAR($C57)))</f>
      </c>
      <c r="H57" s="34">
        <v>2015</v>
      </c>
      <c r="I57" s="30" t="inlineStr">
        <is>
          <t xml:space="preserve">Lamborghini</t>
        </is>
      </c>
      <c r="J57" s="30" t="inlineStr">
        <is>
          <t xml:space="preserve">Huracan EVO</t>
        </is>
      </c>
      <c r="K57" s="30" t="inlineStr">
        <is>
          <t xml:space="preserve">THPT60W3KYWX7R87J</t>
        </is>
      </c>
      <c r="L57" s="32" t="inlineStr">
        <is>
          <t xml:space="preserve">03 - Supercar</t>
        </is>
      </c>
      <c r="M57" s="35">
        <v>530000</v>
      </c>
      <c r="N57" s="32" t="inlineStr">
        <is>
          <t xml:space="preserve">Personal</t>
        </is>
      </c>
      <c r="O57" s="30" t="inlineStr">
        <is>
          <t xml:space="preserve">Personal - regular use</t>
        </is>
      </c>
      <c r="P57" s="30" t="inlineStr">
        <is>
          <t xml:space="preserve">2,500 - 5,000</t>
        </is>
      </c>
      <c r="Q57" s="30" t="inlineStr">
        <is>
          <t xml:space="preserve">Florida</t>
        </is>
      </c>
      <c r="R57" s="30" t="inlineStr">
        <is>
          <t xml:space="preserve">33139</t>
        </is>
      </c>
      <c r="S57" s="32" t="inlineStr">
        <is>
          <t xml:space="preserve">Tier 2 - Coastal wind (1-25 miles)</t>
        </is>
      </c>
      <c r="T57" s="36">
        <f>IF($A57="","",IF($S57="","",IFERROR(INDEX('[1]natural catastrophe'!$D$6:$D$17,MATCH($S57,'[1]natural catastrophe'!$B$6:$B$17,0)),"?")))</f>
      </c>
      <c r="U57" s="30" t="inlineStr">
        <is>
          <t xml:space="preserve">2% of agreed value, minimum $10,000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10265.89</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CANON-202607-009601</t>
        </is>
      </c>
      <c r="B58" s="46" t="inlineStr">
        <is>
          <t xml:space="preserve">Ingrid Vandermeer</t>
        </is>
      </c>
      <c r="C58" s="47">
        <v>46212</v>
      </c>
      <c r="D58" s="48" t="inlineStr">
        <is>
          <t xml:space="preserve">Bound - within authority</t>
        </is>
      </c>
      <c r="E58" s="48" t="inlineStr">
        <is>
          <t xml:space="preserve">New business</t>
        </is>
      </c>
      <c r="F58" s="46" t="inlineStr">
        <is>
          <t xml:space="preserve">B1234EXOTIC26</t>
        </is>
      </c>
      <c r="G58" s="33">
        <f>IF($A58="","",IF($C58="","",YEAR($C58)))</f>
      </c>
      <c r="H58" s="49">
        <v>1986</v>
      </c>
      <c r="I58" s="46" t="inlineStr">
        <is>
          <t xml:space="preserve">Alfa Romeo</t>
        </is>
      </c>
      <c r="J58" s="46" t="inlineStr">
        <is>
          <t xml:space="preserve">8C 2900</t>
        </is>
      </c>
      <c r="K58" s="46" t="inlineStr">
        <is>
          <t xml:space="preserve">PLWJP9B64KRPDVKE4</t>
        </is>
      </c>
      <c r="L58" s="48" t="inlineStr">
        <is>
          <t xml:space="preserve">08 - Modern Classic (1973-1999)</t>
        </is>
      </c>
      <c r="M58" s="50">
        <v>410000</v>
      </c>
      <c r="N58" s="48" t="inlineStr">
        <is>
          <t xml:space="preserve">Personal</t>
        </is>
      </c>
      <c r="O58" s="46" t="inlineStr">
        <is>
          <t xml:space="preserve">Personal - regular use</t>
        </is>
      </c>
      <c r="P58" s="46" t="inlineStr">
        <is>
          <t xml:space="preserve">Under 1,000</t>
        </is>
      </c>
      <c r="Q58" s="46" t="inlineStr">
        <is>
          <t xml:space="preserve">California</t>
        </is>
      </c>
      <c r="R58" s="46" t="inlineStr">
        <is>
          <t xml:space="preserve">90012</t>
        </is>
      </c>
      <c r="S58" s="48" t="inlineStr">
        <is>
          <t xml:space="preserve">Earthquake - high (CA, Cascadia, New Madrid)</t>
        </is>
      </c>
      <c r="T58" s="36">
        <f>IF($A58="","",IF($S58="","",IFERROR(INDEX('[1]natural catastrophe'!$D$6:$D$17,MATCH($S58,'[1]natural catastrophe'!$B$6:$B$17,0)),"?")))</f>
      </c>
      <c r="U58" s="46" t="inlineStr">
        <is>
          <t xml:space="preserve">$5,000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3337.92</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CANON-202607-009602</t>
        </is>
      </c>
      <c r="B59" s="30" t="inlineStr">
        <is>
          <t xml:space="preserve">Ingrid Chattopadhyay</t>
        </is>
      </c>
      <c r="C59" s="31">
        <v>46216</v>
      </c>
      <c r="D59" s="32" t="inlineStr">
        <is>
          <t xml:space="preserve">Bound - within authority</t>
        </is>
      </c>
      <c r="E59" s="32" t="inlineStr">
        <is>
          <t xml:space="preserve">New business</t>
        </is>
      </c>
      <c r="F59" s="30" t="inlineStr">
        <is>
          <t xml:space="preserve">B1234EXOTIC26</t>
        </is>
      </c>
      <c r="G59" s="33">
        <f>IF($A59="","",IF($C59="","",YEAR($C59)))</f>
      </c>
      <c r="H59" s="34">
        <v>2012</v>
      </c>
      <c r="I59" s="30" t="inlineStr">
        <is>
          <t xml:space="preserve">Lamborghini</t>
        </is>
      </c>
      <c r="J59" s="30" t="inlineStr">
        <is>
          <t xml:space="preserve">Huracan EVO</t>
        </is>
      </c>
      <c r="K59" s="30" t="inlineStr">
        <is>
          <t xml:space="preserve">TUU84LL7JAM4WCR2U</t>
        </is>
      </c>
      <c r="L59" s="32" t="inlineStr">
        <is>
          <t xml:space="preserve">03 - Supercar</t>
        </is>
      </c>
      <c r="M59" s="35">
        <v>1275000</v>
      </c>
      <c r="N59" s="32" t="inlineStr">
        <is>
          <t xml:space="preserve">Personal</t>
        </is>
      </c>
      <c r="O59" s="30" t="inlineStr">
        <is>
          <t xml:space="preserve">Personal - regular use</t>
        </is>
      </c>
      <c r="P59" s="30" t="inlineStr">
        <is>
          <t xml:space="preserve">Under 1,000</t>
        </is>
      </c>
      <c r="Q59" s="30" t="inlineStr">
        <is>
          <t xml:space="preserve">Illinois</t>
        </is>
      </c>
      <c r="R59" s="30" t="inlineStr">
        <is>
          <t xml:space="preserve">60601</t>
        </is>
      </c>
      <c r="S59" s="32" t="inlineStr">
        <is>
          <t xml:space="preserve">Severe convective - hail / tornado (moderate)</t>
        </is>
      </c>
      <c r="T59" s="36">
        <f>IF($A59="","",IF($S59="","",IFERROR(INDEX('[1]natural catastrophe'!$D$6:$D$17,MATCH($S59,'[1]natural catastrophe'!$B$6:$B$17,0)),"?")))</f>
      </c>
      <c r="U59" s="30" t="inlineStr">
        <is>
          <t xml:space="preserve">$5,000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19918.09</v>
      </c>
      <c r="AC59" s="37">
        <v>0</v>
      </c>
      <c r="AD59" s="38">
        <f>IF(ISNUMBER($AB59),$AB59*(1+N($AC59)),"")</f>
      </c>
      <c r="AE59" s="35">
        <v>350</v>
      </c>
      <c r="AF59" s="35">
        <v>250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CANON-202607-009603</t>
        </is>
      </c>
      <c r="B60" s="46" t="inlineStr">
        <is>
          <t xml:space="preserve">Leopold Delacroix</t>
        </is>
      </c>
      <c r="C60" s="47">
        <v>46206</v>
      </c>
      <c r="D60" s="48" t="inlineStr">
        <is>
          <t xml:space="preserve">Bound - within authority</t>
        </is>
      </c>
      <c r="E60" s="48" t="inlineStr">
        <is>
          <t xml:space="preserve">New business</t>
        </is>
      </c>
      <c r="F60" s="46" t="inlineStr">
        <is>
          <t xml:space="preserve">B1234EXOTIC26</t>
        </is>
      </c>
      <c r="G60" s="33">
        <f>IF($A60="","",IF($C60="","",YEAR($C60)))</f>
      </c>
      <c r="H60" s="49">
        <v>1970</v>
      </c>
      <c r="I60" s="46" t="inlineStr">
        <is>
          <t xml:space="preserve">Aston Martin</t>
        </is>
      </c>
      <c r="J60" s="46" t="inlineStr">
        <is>
          <t xml:space="preserve">DB12</t>
        </is>
      </c>
      <c r="K60" s="46" t="inlineStr">
        <is>
          <t xml:space="preserve">EZSNJEDPKM662599Z</t>
        </is>
      </c>
      <c r="L60" s="48" t="inlineStr">
        <is>
          <t xml:space="preserve">02 - Sports / GT</t>
        </is>
      </c>
      <c r="M60" s="50">
        <v>760000</v>
      </c>
      <c r="N60" s="48" t="inlineStr">
        <is>
          <t xml:space="preserve">Personal</t>
        </is>
      </c>
      <c r="O60" s="46" t="inlineStr">
        <is>
          <t xml:space="preserve">Personal - regular use</t>
        </is>
      </c>
      <c r="P60" s="46" t="inlineStr">
        <is>
          <t xml:space="preserve">Under 1,000</t>
        </is>
      </c>
      <c r="Q60" s="46" t="inlineStr">
        <is>
          <t xml:space="preserve">North Dakota</t>
        </is>
      </c>
      <c r="R60" s="46" t="inlineStr">
        <is>
          <t xml:space="preserve">58501</t>
        </is>
      </c>
      <c r="S60" s="48" t="inlineStr">
        <is>
          <t xml:space="preserve">Severe convective - hail alley (high)</t>
        </is>
      </c>
      <c r="T60" s="36">
        <f>IF($A60="","",IF($S60="","",IFERROR(INDEX('[1]natural catastrophe'!$D$6:$D$17,MATCH($S60,'[1]natural catastrophe'!$B$6:$B$17,0)),"?")))</f>
      </c>
      <c r="U60" s="46" t="inlineStr">
        <is>
          <t xml:space="preserve">$5,000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7234.96</v>
      </c>
      <c r="AC60" s="51">
        <v>0</v>
      </c>
      <c r="AD60" s="38">
        <f>IF(ISNUMBER($AB60),$AB60*(1+N($AC60)),"")</f>
      </c>
      <c r="AE60" s="50">
        <v>350</v>
      </c>
      <c r="AF60" s="50">
        <v>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CANON-202607-009604</t>
        </is>
      </c>
      <c r="B61" s="30" t="inlineStr">
        <is>
          <t xml:space="preserve">Noor Larsson</t>
        </is>
      </c>
      <c r="C61" s="31">
        <v>46211</v>
      </c>
      <c r="D61" s="32" t="inlineStr">
        <is>
          <t xml:space="preserve">Bound - within authority</t>
        </is>
      </c>
      <c r="E61" s="32" t="inlineStr">
        <is>
          <t xml:space="preserve">New business</t>
        </is>
      </c>
      <c r="F61" s="30" t="inlineStr">
        <is>
          <t xml:space="preserve">B1234EXOTIC26</t>
        </is>
      </c>
      <c r="G61" s="33">
        <f>IF($A61="","",IF($C61="","",YEAR($C61)))</f>
      </c>
      <c r="H61" s="34">
        <v>2013</v>
      </c>
      <c r="I61" s="30" t="inlineStr">
        <is>
          <t xml:space="preserve">Aston Martin</t>
        </is>
      </c>
      <c r="J61" s="30" t="inlineStr">
        <is>
          <t xml:space="preserve">DB12</t>
        </is>
      </c>
      <c r="K61" s="30" t="inlineStr">
        <is>
          <t xml:space="preserve">2WDE2F0809E7ETZZD</t>
        </is>
      </c>
      <c r="L61" s="32" t="inlineStr">
        <is>
          <t xml:space="preserve">02 - Sports / GT</t>
        </is>
      </c>
      <c r="M61" s="35">
        <v>560000</v>
      </c>
      <c r="N61" s="32" t="inlineStr">
        <is>
          <t xml:space="preserve">Personal</t>
        </is>
      </c>
      <c r="O61" s="30" t="inlineStr">
        <is>
          <t xml:space="preserve">Personal - regular use</t>
        </is>
      </c>
      <c r="P61" s="30" t="inlineStr">
        <is>
          <t xml:space="preserve">1,000 - 2,500</t>
        </is>
      </c>
      <c r="Q61" s="30" t="inlineStr">
        <is>
          <t xml:space="preserve">Georgia</t>
        </is>
      </c>
      <c r="R61" s="30" t="inlineStr">
        <is>
          <t xml:space="preserve">30303</t>
        </is>
      </c>
      <c r="S61" s="32" t="inlineStr">
        <is>
          <t xml:space="preserve">Tier 2 - Coastal wind (1-25 miles)</t>
        </is>
      </c>
      <c r="T61" s="36">
        <f>IF($A61="","",IF($S61="","",IFERROR(INDEX('[1]natural catastrophe'!$D$6:$D$17,MATCH($S61,'[1]natural catastrophe'!$B$6:$B$17,0)),"?")))</f>
      </c>
      <c r="U61" s="30" t="inlineStr">
        <is>
          <t xml:space="preserve">2% of agreed value, minimum $10,000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5853.67</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CANON-202607-009605</t>
        </is>
      </c>
      <c r="B62" s="46" t="inlineStr">
        <is>
          <t xml:space="preserve">Callum Thistlewood</t>
        </is>
      </c>
      <c r="C62" s="47">
        <v>46218</v>
      </c>
      <c r="D62" s="48" t="inlineStr">
        <is>
          <t xml:space="preserve">Bound - within authority</t>
        </is>
      </c>
      <c r="E62" s="48" t="inlineStr">
        <is>
          <t xml:space="preserve">New business</t>
        </is>
      </c>
      <c r="F62" s="46" t="inlineStr">
        <is>
          <t xml:space="preserve">B1234EXOTIC26</t>
        </is>
      </c>
      <c r="G62" s="33">
        <f>IF($A62="","",IF($C62="","",YEAR($C62)))</f>
      </c>
      <c r="H62" s="49">
        <v>1996</v>
      </c>
      <c r="I62" s="46" t="inlineStr">
        <is>
          <t xml:space="preserve">Ferrari</t>
        </is>
      </c>
      <c r="J62" s="46" t="inlineStr">
        <is>
          <t xml:space="preserve">275 GTB/4</t>
        </is>
      </c>
      <c r="K62" s="46" t="inlineStr">
        <is>
          <t xml:space="preserve">ZEZUSXC410BBZY04J</t>
        </is>
      </c>
      <c r="L62" s="48" t="inlineStr">
        <is>
          <t xml:space="preserve">08 - Modern Classic (1973-1999)</t>
        </is>
      </c>
      <c r="M62" s="50">
        <v>435000</v>
      </c>
      <c r="N62" s="48" t="inlineStr">
        <is>
          <t xml:space="preserve">Personal</t>
        </is>
      </c>
      <c r="O62" s="46" t="inlineStr">
        <is>
          <t xml:space="preserve">Personal - regular use</t>
        </is>
      </c>
      <c r="P62" s="46" t="inlineStr">
        <is>
          <t xml:space="preserve">Under 1,000</t>
        </is>
      </c>
      <c r="Q62" s="46" t="inlineStr">
        <is>
          <t xml:space="preserve">Colorado</t>
        </is>
      </c>
      <c r="R62" s="46" t="inlineStr">
        <is>
          <t xml:space="preserve">80202</t>
        </is>
      </c>
      <c r="S62" s="48" t="inlineStr">
        <is>
          <t xml:space="preserve">Severe convective - hail alley (high)</t>
        </is>
      </c>
      <c r="T62" s="36">
        <f>IF($A62="","",IF($S62="","",IFERROR(INDEX('[1]natural catastrophe'!$D$6:$D$17,MATCH($S62,'[1]natural catastrophe'!$B$6:$B$17,0)),"?")))</f>
      </c>
      <c r="U62" s="46" t="inlineStr">
        <is>
          <t xml:space="preserve">$5,000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3297.85</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CANON-202607-009606</t>
        </is>
      </c>
      <c r="B63" s="30" t="inlineStr">
        <is>
          <t xml:space="preserve">Saoirse Underwood</t>
        </is>
      </c>
      <c r="C63" s="31">
        <v>46212</v>
      </c>
      <c r="D63" s="32" t="inlineStr">
        <is>
          <t xml:space="preserve">Bound - within authority</t>
        </is>
      </c>
      <c r="E63" s="32" t="inlineStr">
        <is>
          <t xml:space="preserve">New business</t>
        </is>
      </c>
      <c r="F63" s="30" t="inlineStr">
        <is>
          <t xml:space="preserve">B1234EXOTIC26</t>
        </is>
      </c>
      <c r="G63" s="33">
        <f>IF($A63="","",IF($C63="","",YEAR($C63)))</f>
      </c>
      <c r="H63" s="34">
        <v>2014</v>
      </c>
      <c r="I63" s="30" t="inlineStr">
        <is>
          <t xml:space="preserve">Ferrari</t>
        </is>
      </c>
      <c r="J63" s="30" t="inlineStr">
        <is>
          <t xml:space="preserve">275 GTB/4</t>
        </is>
      </c>
      <c r="K63" s="30" t="inlineStr">
        <is>
          <t xml:space="preserve">2CV10HK39YN7FS29C</t>
        </is>
      </c>
      <c r="L63" s="32" t="inlineStr">
        <is>
          <t xml:space="preserve">02 - Sports / GT</t>
        </is>
      </c>
      <c r="M63" s="35">
        <v>1630000</v>
      </c>
      <c r="N63" s="32" t="inlineStr">
        <is>
          <t xml:space="preserve">Personal</t>
        </is>
      </c>
      <c r="O63" s="30" t="inlineStr">
        <is>
          <t xml:space="preserve">Personal - regular use</t>
        </is>
      </c>
      <c r="P63" s="30" t="inlineStr">
        <is>
          <t xml:space="preserve">1,000 - 2,500</t>
        </is>
      </c>
      <c r="Q63" s="30" t="inlineStr">
        <is>
          <t xml:space="preserve">Pennsylvania</t>
        </is>
      </c>
      <c r="R63" s="30" t="inlineStr">
        <is>
          <t xml:space="preserve">19103</t>
        </is>
      </c>
      <c r="S63" s="32" t="inlineStr">
        <is>
          <t xml:space="preserve">Low hazard - inland benign</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8893.65</v>
      </c>
      <c r="AC63" s="37">
        <v>0</v>
      </c>
      <c r="AD63" s="38">
        <f>IF(ISNUMBER($AB63),$AB63*(1+N($AC63)),"")</f>
      </c>
      <c r="AE63" s="35">
        <v>350</v>
      </c>
      <c r="AF63" s="35">
        <v>250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CANON-202607-009607</t>
        </is>
      </c>
      <c r="B64" s="46" t="inlineStr">
        <is>
          <t xml:space="preserve">Cassius Fairweather</t>
        </is>
      </c>
      <c r="C64" s="47">
        <v>46220</v>
      </c>
      <c r="D64" s="48" t="inlineStr">
        <is>
          <t xml:space="preserve">Bound - within authority</t>
        </is>
      </c>
      <c r="E64" s="48" t="inlineStr">
        <is>
          <t xml:space="preserve">New business</t>
        </is>
      </c>
      <c r="F64" s="46" t="inlineStr">
        <is>
          <t xml:space="preserve">B1234EXOTIC26</t>
        </is>
      </c>
      <c r="G64" s="33">
        <f>IF($A64="","",IF($C64="","",YEAR($C64)))</f>
      </c>
      <c r="H64" s="49">
        <v>1994</v>
      </c>
      <c r="I64" s="46" t="inlineStr">
        <is>
          <t xml:space="preserve">Mercedes-Benz</t>
        </is>
      </c>
      <c r="J64" s="46" t="inlineStr">
        <is>
          <t xml:space="preserve">AMG GT</t>
        </is>
      </c>
      <c r="K64" s="46" t="inlineStr">
        <is>
          <t xml:space="preserve">Y33R47UVN560MBJ35</t>
        </is>
      </c>
      <c r="L64" s="48" t="inlineStr">
        <is>
          <t xml:space="preserve">02 - Sports / GT</t>
        </is>
      </c>
      <c r="M64" s="50">
        <v>445000</v>
      </c>
      <c r="N64" s="48" t="inlineStr">
        <is>
          <t xml:space="preserve">Personal</t>
        </is>
      </c>
      <c r="O64" s="46" t="inlineStr">
        <is>
          <t xml:space="preserve">Personal - regular use</t>
        </is>
      </c>
      <c r="P64" s="46" t="inlineStr">
        <is>
          <t xml:space="preserve">1,000 - 2,500</t>
        </is>
      </c>
      <c r="Q64" s="46" t="inlineStr">
        <is>
          <t xml:space="preserve">South Dakota</t>
        </is>
      </c>
      <c r="R64" s="46" t="inlineStr">
        <is>
          <t xml:space="preserve">57501</t>
        </is>
      </c>
      <c r="S64" s="48" t="inlineStr">
        <is>
          <t xml:space="preserve">Severe convective - hail alley (high)</t>
        </is>
      </c>
      <c r="T64" s="36">
        <f>IF($A64="","",IF($S64="","",IFERROR(INDEX('[1]natural catastrophe'!$D$6:$D$17,MATCH($S64,'[1]natural catastrophe'!$B$6:$B$17,0)),"?")))</f>
      </c>
      <c r="U64" s="46" t="inlineStr">
        <is>
          <t xml:space="preserve">$5,000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5319.28</v>
      </c>
      <c r="AC64" s="51">
        <v>0</v>
      </c>
      <c r="AD64" s="38">
        <f>IF(ISNUMBER($AB64),$AB64*(1+N($AC64)),"")</f>
      </c>
      <c r="AE64" s="50">
        <v>350</v>
      </c>
      <c r="AF64" s="50">
        <v>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CANON-202607-009608</t>
        </is>
      </c>
      <c r="B65" s="30" t="inlineStr">
        <is>
          <t xml:space="preserve">Saoirse Bellandi</t>
        </is>
      </c>
      <c r="C65" s="31">
        <v>46230</v>
      </c>
      <c r="D65" s="32" t="inlineStr">
        <is>
          <t xml:space="preserve">Bound - within authority</t>
        </is>
      </c>
      <c r="E65" s="32" t="inlineStr">
        <is>
          <t xml:space="preserve">New business</t>
        </is>
      </c>
      <c r="F65" s="30" t="inlineStr">
        <is>
          <t xml:space="preserve">B1234EXOTIC26</t>
        </is>
      </c>
      <c r="G65" s="33">
        <f>IF($A65="","",IF($C65="","",YEAR($C65)))</f>
      </c>
      <c r="H65" s="34">
        <v>2006</v>
      </c>
      <c r="I65" s="30" t="inlineStr">
        <is>
          <t xml:space="preserve">Maserati</t>
        </is>
      </c>
      <c r="J65" s="30" t="inlineStr">
        <is>
          <t xml:space="preserve">GranTurismo</t>
        </is>
      </c>
      <c r="K65" s="30" t="inlineStr">
        <is>
          <t xml:space="preserve">ZYL7ZNCHYZUYBW19E</t>
        </is>
      </c>
      <c r="L65" s="32" t="inlineStr">
        <is>
          <t xml:space="preserve">02 - Sports / GT</t>
        </is>
      </c>
      <c r="M65" s="35">
        <v>615000</v>
      </c>
      <c r="N65" s="32" t="inlineStr">
        <is>
          <t xml:space="preserve">Personal</t>
        </is>
      </c>
      <c r="O65" s="30" t="inlineStr">
        <is>
          <t xml:space="preserve">Personal - regular use</t>
        </is>
      </c>
      <c r="P65" s="30" t="inlineStr">
        <is>
          <t xml:space="preserve">2,500 - 5,000</t>
        </is>
      </c>
      <c r="Q65" s="30" t="inlineStr">
        <is>
          <t xml:space="preserve">Texas</t>
        </is>
      </c>
      <c r="R65" s="30" t="inlineStr">
        <is>
          <t xml:space="preserve">75201</t>
        </is>
      </c>
      <c r="S65" s="32" t="inlineStr">
        <is>
          <t xml:space="preserve">Tier 2 - Coastal wind (1-25 miles)</t>
        </is>
      </c>
      <c r="T65" s="36">
        <f>IF($A65="","",IF($S65="","",IFERROR(INDEX('[1]natural catastrophe'!$D$6:$D$17,MATCH($S65,'[1]natural catastrophe'!$B$6:$B$17,0)),"?")))</f>
      </c>
      <c r="U65" s="30" t="inlineStr">
        <is>
          <t xml:space="preserve">2% of agreed value, minimum $10,000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6600.78</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CANON-202607-009609</t>
        </is>
      </c>
      <c r="B66" s="46" t="inlineStr">
        <is>
          <t xml:space="preserve">Ottilie Merriweather</t>
        </is>
      </c>
      <c r="C66" s="47">
        <v>46214</v>
      </c>
      <c r="D66" s="48" t="inlineStr">
        <is>
          <t xml:space="preserve">Bound - within authority</t>
        </is>
      </c>
      <c r="E66" s="48" t="inlineStr">
        <is>
          <t xml:space="preserve">New business</t>
        </is>
      </c>
      <c r="F66" s="46" t="inlineStr">
        <is>
          <t xml:space="preserve">B1234EXOTIC26</t>
        </is>
      </c>
      <c r="G66" s="33">
        <f>IF($A66="","",IF($C66="","",YEAR($C66)))</f>
      </c>
      <c r="H66" s="49">
        <v>1960</v>
      </c>
      <c r="I66" s="46" t="inlineStr">
        <is>
          <t xml:space="preserve">Ferrari</t>
        </is>
      </c>
      <c r="J66" s="46" t="inlineStr">
        <is>
          <t xml:space="preserve">275 GTB/4</t>
        </is>
      </c>
      <c r="K66" s="46" t="inlineStr">
        <is>
          <t xml:space="preserve">3XGC9FGUF0K1VW2A4</t>
        </is>
      </c>
      <c r="L66" s="48" t="inlineStr">
        <is>
          <t xml:space="preserve">07 - Post-War Classic (1946-1972)</t>
        </is>
      </c>
      <c r="M66" s="50">
        <v>835000</v>
      </c>
      <c r="N66" s="48" t="inlineStr">
        <is>
          <t xml:space="preserve">Personal</t>
        </is>
      </c>
      <c r="O66" s="46" t="inlineStr">
        <is>
          <t xml:space="preserve">Personal - regular use</t>
        </is>
      </c>
      <c r="P66" s="46" t="inlineStr">
        <is>
          <t xml:space="preserve">1,000 - 2,500</t>
        </is>
      </c>
      <c r="Q66" s="46" t="inlineStr">
        <is>
          <t xml:space="preserve">Florida</t>
        </is>
      </c>
      <c r="R66" s="46" t="inlineStr">
        <is>
          <t xml:space="preserve">33139</t>
        </is>
      </c>
      <c r="S66" s="48" t="inlineStr">
        <is>
          <t xml:space="preserve">Tier 2 - Coastal wind (1-25 miles)</t>
        </is>
      </c>
      <c r="T66" s="36">
        <f>IF($A66="","",IF($S66="","",IFERROR(INDEX('[1]natural catastrophe'!$D$6:$D$17,MATCH($S66,'[1]natural catastrophe'!$B$6:$B$17,0)),"?")))</f>
      </c>
      <c r="U66" s="46" t="inlineStr">
        <is>
          <t xml:space="preserve">2% of agreed value, minimum $10,000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7320.69</v>
      </c>
      <c r="AC66" s="51">
        <v>0</v>
      </c>
      <c r="AD66" s="38">
        <f>IF(ISNUMBER($AB66),$AB66*(1+N($AC66)),"")</f>
      </c>
      <c r="AE66" s="50">
        <v>350</v>
      </c>
      <c r="AF66" s="50">
        <v>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CANON-202607-009610</t>
        </is>
      </c>
      <c r="B67" s="30" t="inlineStr">
        <is>
          <t xml:space="preserve">Priya Nakashima</t>
        </is>
      </c>
      <c r="C67" s="31">
        <v>46218</v>
      </c>
      <c r="D67" s="32" t="inlineStr">
        <is>
          <t xml:space="preserve">Bound - within authority</t>
        </is>
      </c>
      <c r="E67" s="32" t="inlineStr">
        <is>
          <t xml:space="preserve">New business</t>
        </is>
      </c>
      <c r="F67" s="30" t="inlineStr">
        <is>
          <t xml:space="preserve">B1234EXOTIC26</t>
        </is>
      </c>
      <c r="G67" s="33">
        <f>IF($A67="","",IF($C67="","",YEAR($C67)))</f>
      </c>
      <c r="H67" s="34">
        <v>1957</v>
      </c>
      <c r="I67" s="30" t="inlineStr">
        <is>
          <t xml:space="preserve">Aston Martin</t>
        </is>
      </c>
      <c r="J67" s="30" t="inlineStr">
        <is>
          <t xml:space="preserve">DB12</t>
        </is>
      </c>
      <c r="K67" s="30" t="inlineStr">
        <is>
          <t xml:space="preserve">K1A0HYGJT1NGPDCVY</t>
        </is>
      </c>
      <c r="L67" s="32" t="inlineStr">
        <is>
          <t xml:space="preserve">02 - Sports / GT</t>
        </is>
      </c>
      <c r="M67" s="35">
        <v>625000</v>
      </c>
      <c r="N67" s="32" t="inlineStr">
        <is>
          <t xml:space="preserve">Personal</t>
        </is>
      </c>
      <c r="O67" s="30" t="inlineStr">
        <is>
          <t xml:space="preserve">Personal - regular use</t>
        </is>
      </c>
      <c r="P67" s="30" t="inlineStr">
        <is>
          <t xml:space="preserve">Under 1,000</t>
        </is>
      </c>
      <c r="Q67" s="30" t="inlineStr">
        <is>
          <t xml:space="preserve">South Dakota</t>
        </is>
      </c>
      <c r="R67" s="30" t="inlineStr">
        <is>
          <t xml:space="preserve">57501</t>
        </is>
      </c>
      <c r="S67" s="32" t="inlineStr">
        <is>
          <t xml:space="preserve">Severe convective - hail alley (high)</t>
        </is>
      </c>
      <c r="T67" s="36">
        <f>IF($A67="","",IF($S67="","",IFERROR(INDEX('[1]natural catastrophe'!$D$6:$D$17,MATCH($S67,'[1]natural catastrophe'!$B$6:$B$17,0)),"?")))</f>
      </c>
      <c r="U67" s="30" t="inlineStr">
        <is>
          <t xml:space="preserve">$5,000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6474.78</v>
      </c>
      <c r="AC67" s="37">
        <v>0</v>
      </c>
      <c r="AD67" s="38">
        <f>IF(ISNUMBER($AB67),$AB67*(1+N($AC67)),"")</f>
      </c>
      <c r="AE67" s="35">
        <v>350</v>
      </c>
      <c r="AF67" s="35">
        <v>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CANON-202607-009614</t>
        </is>
      </c>
      <c r="B68" s="46" t="inlineStr">
        <is>
          <t xml:space="preserve">Noor Kingsford</t>
        </is>
      </c>
      <c r="C68" s="47">
        <v>46204</v>
      </c>
      <c r="D68" s="48" t="inlineStr">
        <is>
          <t xml:space="preserve">Bound - within authority</t>
        </is>
      </c>
      <c r="E68" s="48" t="inlineStr">
        <is>
          <t xml:space="preserve">New business</t>
        </is>
      </c>
      <c r="F68" s="46" t="inlineStr">
        <is>
          <t xml:space="preserve">B1234EXOTIC26</t>
        </is>
      </c>
      <c r="G68" s="33">
        <f>IF($A68="","",IF($C68="","",YEAR($C68)))</f>
      </c>
      <c r="H68" s="49">
        <v>1955</v>
      </c>
      <c r="I68" s="46" t="inlineStr">
        <is>
          <t xml:space="preserve">Aston Martin</t>
        </is>
      </c>
      <c r="J68" s="46" t="inlineStr">
        <is>
          <t xml:space="preserve">DB12</t>
        </is>
      </c>
      <c r="K68" s="46" t="inlineStr">
        <is>
          <t xml:space="preserve">DMFAYLYHRPAZT0JJW</t>
        </is>
      </c>
      <c r="L68" s="48" t="inlineStr">
        <is>
          <t xml:space="preserve">02 - Sports / GT</t>
        </is>
      </c>
      <c r="M68" s="50">
        <v>630000</v>
      </c>
      <c r="N68" s="48" t="inlineStr">
        <is>
          <t xml:space="preserve">Personal</t>
        </is>
      </c>
      <c r="O68" s="46" t="inlineStr">
        <is>
          <t xml:space="preserve">Personal - regular use</t>
        </is>
      </c>
      <c r="P68" s="46" t="inlineStr">
        <is>
          <t xml:space="preserve">1,000 - 2,500</t>
        </is>
      </c>
      <c r="Q68" s="46" t="inlineStr">
        <is>
          <t xml:space="preserve">New York</t>
        </is>
      </c>
      <c r="R68" s="46" t="inlineStr">
        <is>
          <t xml:space="preserve">10022</t>
        </is>
      </c>
      <c r="S68" s="48" t="inlineStr">
        <is>
          <t xml:space="preserve">Tier 3 - Coastal wind (25-100 miles)</t>
        </is>
      </c>
      <c r="T68" s="36">
        <f>IF($A68="","",IF($S68="","",IFERROR(INDEX('[1]natural catastrophe'!$D$6:$D$17,MATCH($S68,'[1]natural catastrophe'!$B$6:$B$17,0)),"?")))</f>
      </c>
      <c r="U68" s="46" t="inlineStr">
        <is>
          <t xml:space="preserve">2% of agreed value, minimum $10,000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7526.15</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CANON-202607-009615</t>
        </is>
      </c>
      <c r="B69" s="30" t="inlineStr">
        <is>
          <t xml:space="preserve">Ingrid Fairweather</t>
        </is>
      </c>
      <c r="C69" s="31">
        <v>46232</v>
      </c>
      <c r="D69" s="32" t="inlineStr">
        <is>
          <t xml:space="preserve">Bound - within authority</t>
        </is>
      </c>
      <c r="E69" s="32" t="inlineStr">
        <is>
          <t xml:space="preserve">New business</t>
        </is>
      </c>
      <c r="F69" s="30" t="inlineStr">
        <is>
          <t xml:space="preserve">B1234EXOTIC26</t>
        </is>
      </c>
      <c r="G69" s="33">
        <f>IF($A69="","",IF($C69="","",YEAR($C69)))</f>
      </c>
      <c r="H69" s="34">
        <v>1976</v>
      </c>
      <c r="I69" s="30" t="inlineStr">
        <is>
          <t xml:space="preserve">Mercedes-Benz</t>
        </is>
      </c>
      <c r="J69" s="30" t="inlineStr">
        <is>
          <t xml:space="preserve">AMG GT</t>
        </is>
      </c>
      <c r="K69" s="30" t="inlineStr">
        <is>
          <t xml:space="preserve">JMGF65GA9UKZ944N7</t>
        </is>
      </c>
      <c r="L69" s="32" t="inlineStr">
        <is>
          <t xml:space="preserve">02 - Sports / GT</t>
        </is>
      </c>
      <c r="M69" s="35">
        <v>280000</v>
      </c>
      <c r="N69" s="32" t="inlineStr">
        <is>
          <t xml:space="preserve">Personal</t>
        </is>
      </c>
      <c r="O69" s="30" t="inlineStr">
        <is>
          <t xml:space="preserve">Personal - regular use</t>
        </is>
      </c>
      <c r="P69" s="30" t="inlineStr">
        <is>
          <t xml:space="preserve">2,500 - 5,000</t>
        </is>
      </c>
      <c r="Q69" s="30" t="inlineStr">
        <is>
          <t xml:space="preserve">Florida</t>
        </is>
      </c>
      <c r="R69" s="30" t="inlineStr">
        <is>
          <t xml:space="preserve">33139</t>
        </is>
      </c>
      <c r="S69" s="32" t="inlineStr">
        <is>
          <t xml:space="preserve">Tier 2 - Coastal wind (1-25 miles)</t>
        </is>
      </c>
      <c r="T69" s="36">
        <f>IF($A69="","",IF($S69="","",IFERROR(INDEX('[1]natural catastrophe'!$D$6:$D$17,MATCH($S69,'[1]natural catastrophe'!$B$6:$B$17,0)),"?")))</f>
      </c>
      <c r="U69" s="30" t="inlineStr">
        <is>
          <t xml:space="preserve">2% of agreed value, minimum $10,000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4281.71</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CANON-202607-009616</t>
        </is>
      </c>
      <c r="B70" s="46" t="inlineStr">
        <is>
          <t xml:space="preserve">Everett Harrington</t>
        </is>
      </c>
      <c r="C70" s="47">
        <v>46209</v>
      </c>
      <c r="D70" s="48" t="inlineStr">
        <is>
          <t xml:space="preserve">Bound - within authority</t>
        </is>
      </c>
      <c r="E70" s="48" t="inlineStr">
        <is>
          <t xml:space="preserve">New business</t>
        </is>
      </c>
      <c r="F70" s="46" t="inlineStr">
        <is>
          <t xml:space="preserve">B1234EXOTIC26</t>
        </is>
      </c>
      <c r="G70" s="33">
        <f>IF($A70="","",IF($C70="","",YEAR($C70)))</f>
      </c>
      <c r="H70" s="49">
        <v>1990</v>
      </c>
      <c r="I70" s="46" t="inlineStr">
        <is>
          <t xml:space="preserve">Lamborghini</t>
        </is>
      </c>
      <c r="J70" s="46" t="inlineStr">
        <is>
          <t xml:space="preserve">Huracan EVO</t>
        </is>
      </c>
      <c r="K70" s="46" t="inlineStr">
        <is>
          <t xml:space="preserve">7UY0GLE1936CN12P3</t>
        </is>
      </c>
      <c r="L70" s="48" t="inlineStr">
        <is>
          <t xml:space="preserve">03 - Supercar</t>
        </is>
      </c>
      <c r="M70" s="50">
        <v>740000</v>
      </c>
      <c r="N70" s="48" t="inlineStr">
        <is>
          <t xml:space="preserve">Personal</t>
        </is>
      </c>
      <c r="O70" s="46" t="inlineStr">
        <is>
          <t xml:space="preserve">Personal - regular use</t>
        </is>
      </c>
      <c r="P70" s="46" t="inlineStr">
        <is>
          <t xml:space="preserve">Under 1,000</t>
        </is>
      </c>
      <c r="Q70" s="46" t="inlineStr">
        <is>
          <t xml:space="preserve">Delaware</t>
        </is>
      </c>
      <c r="R70" s="46" t="inlineStr">
        <is>
          <t xml:space="preserve">19801</t>
        </is>
      </c>
      <c r="S70" s="48" t="inlineStr">
        <is>
          <t xml:space="preserve">Tier 3 - Coastal wind (25-100 miles)</t>
        </is>
      </c>
      <c r="T70" s="36">
        <f>IF($A70="","",IF($S70="","",IFERROR(INDEX('[1]natural catastrophe'!$D$6:$D$17,MATCH($S70,'[1]natural catastrophe'!$B$6:$B$17,0)),"?")))</f>
      </c>
      <c r="U70" s="46" t="inlineStr">
        <is>
          <t xml:space="preserve">2% of agreed value, minimum $10,000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12617.52</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CANON-202607-009617</t>
        </is>
      </c>
      <c r="B71" s="30" t="inlineStr">
        <is>
          <t xml:space="preserve">Priya Pennington</t>
        </is>
      </c>
      <c r="C71" s="31">
        <v>46228</v>
      </c>
      <c r="D71" s="32" t="inlineStr">
        <is>
          <t xml:space="preserve">Bound - within authority</t>
        </is>
      </c>
      <c r="E71" s="32" t="inlineStr">
        <is>
          <t xml:space="preserve">New business</t>
        </is>
      </c>
      <c r="F71" s="30" t="inlineStr">
        <is>
          <t xml:space="preserve">B1234EXOTIC26</t>
        </is>
      </c>
      <c r="G71" s="33">
        <f>IF($A71="","",IF($C71="","",YEAR($C71)))</f>
      </c>
      <c r="H71" s="34">
        <v>1977</v>
      </c>
      <c r="I71" s="30" t="inlineStr">
        <is>
          <t xml:space="preserve">Ferrari</t>
        </is>
      </c>
      <c r="J71" s="30" t="inlineStr">
        <is>
          <t xml:space="preserve">275 GTB/4</t>
        </is>
      </c>
      <c r="K71" s="30" t="inlineStr">
        <is>
          <t xml:space="preserve">90BK07FX1HW4D5SN5</t>
        </is>
      </c>
      <c r="L71" s="32" t="inlineStr">
        <is>
          <t xml:space="preserve">08 - Modern Classic (1973-1999)</t>
        </is>
      </c>
      <c r="M71" s="35">
        <v>830000</v>
      </c>
      <c r="N71" s="32" t="inlineStr">
        <is>
          <t xml:space="preserve">Personal</t>
        </is>
      </c>
      <c r="O71" s="30" t="inlineStr">
        <is>
          <t xml:space="preserve">Personal - regular use</t>
        </is>
      </c>
      <c r="P71" s="30" t="inlineStr">
        <is>
          <t xml:space="preserve">1,000 - 2,500</t>
        </is>
      </c>
      <c r="Q71" s="30" t="inlineStr">
        <is>
          <t xml:space="preserve">Nevada</t>
        </is>
      </c>
      <c r="R71" s="30" t="inlineStr">
        <is>
          <t xml:space="preserve">89101</t>
        </is>
      </c>
      <c r="S71" s="32" t="inlineStr">
        <is>
          <t xml:space="preserve">Wildfire - WUI high hazard</t>
        </is>
      </c>
      <c r="T71" s="36">
        <f>IF($A71="","",IF($S71="","",IFERROR(INDEX('[1]natural catastrophe'!$D$6:$D$17,MATCH($S71,'[1]natural catastrophe'!$B$6:$B$17,0)),"?")))</f>
      </c>
      <c r="U71" s="30" t="inlineStr">
        <is>
          <t xml:space="preserve">$5,000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5995.72</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CANON-202607-009619</t>
        </is>
      </c>
      <c r="B72" s="46" t="inlineStr">
        <is>
          <t xml:space="preserve">Thaddeus Ashcombe</t>
        </is>
      </c>
      <c r="C72" s="47">
        <v>46218</v>
      </c>
      <c r="D72" s="48" t="inlineStr">
        <is>
          <t xml:space="preserve">Bound - within authority</t>
        </is>
      </c>
      <c r="E72" s="48" t="inlineStr">
        <is>
          <t xml:space="preserve">New business</t>
        </is>
      </c>
      <c r="F72" s="46" t="inlineStr">
        <is>
          <t xml:space="preserve">B1234EXOTIC26</t>
        </is>
      </c>
      <c r="G72" s="33">
        <f>IF($A72="","",IF($C72="","",YEAR($C72)))</f>
      </c>
      <c r="H72" s="49">
        <v>1982</v>
      </c>
      <c r="I72" s="46" t="inlineStr">
        <is>
          <t xml:space="preserve">Alfa Romeo</t>
        </is>
      </c>
      <c r="J72" s="46" t="inlineStr">
        <is>
          <t xml:space="preserve">8C 2900</t>
        </is>
      </c>
      <c r="K72" s="46" t="inlineStr">
        <is>
          <t xml:space="preserve">TSXX06830E99W2F2N</t>
        </is>
      </c>
      <c r="L72" s="48" t="inlineStr">
        <is>
          <t xml:space="preserve">08 - Modern Classic (1973-1999)</t>
        </is>
      </c>
      <c r="M72" s="50">
        <v>705000</v>
      </c>
      <c r="N72" s="48" t="inlineStr">
        <is>
          <t xml:space="preserve">Personal</t>
        </is>
      </c>
      <c r="O72" s="46" t="inlineStr">
        <is>
          <t xml:space="preserve">Personal - regular use</t>
        </is>
      </c>
      <c r="P72" s="46" t="inlineStr">
        <is>
          <t xml:space="preserve">1,000 - 2,500</t>
        </is>
      </c>
      <c r="Q72" s="46" t="inlineStr">
        <is>
          <t xml:space="preserve">California</t>
        </is>
      </c>
      <c r="R72" s="46" t="inlineStr">
        <is>
          <t xml:space="preserve">90012</t>
        </is>
      </c>
      <c r="S72" s="48" t="inlineStr">
        <is>
          <t xml:space="preserve">Earthquake - high (CA, Cascadia, New Madrid)</t>
        </is>
      </c>
      <c r="T72" s="36">
        <f>IF($A72="","",IF($S72="","",IFERROR(INDEX('[1]natural catastrophe'!$D$6:$D$17,MATCH($S72,'[1]natural catastrophe'!$B$6:$B$17,0)),"?")))</f>
      </c>
      <c r="U72" s="46" t="inlineStr">
        <is>
          <t xml:space="preserve">$5,000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5192.97</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CANON-202607-009620</t>
        </is>
      </c>
      <c r="B73" s="30" t="inlineStr">
        <is>
          <t xml:space="preserve">Sunniva Underwood</t>
        </is>
      </c>
      <c r="C73" s="31">
        <v>46227</v>
      </c>
      <c r="D73" s="32" t="inlineStr">
        <is>
          <t xml:space="preserve">Bound - within authority</t>
        </is>
      </c>
      <c r="E73" s="32" t="inlineStr">
        <is>
          <t xml:space="preserve">New business</t>
        </is>
      </c>
      <c r="F73" s="30" t="inlineStr">
        <is>
          <t xml:space="preserve">B1234EXOTIC26</t>
        </is>
      </c>
      <c r="G73" s="33">
        <f>IF($A73="","",IF($C73="","",YEAR($C73)))</f>
      </c>
      <c r="H73" s="34">
        <v>2018</v>
      </c>
      <c r="I73" s="30" t="inlineStr">
        <is>
          <t xml:space="preserve">BMW</t>
        </is>
      </c>
      <c r="J73" s="30" t="inlineStr">
        <is>
          <t xml:space="preserve">M8 Competition</t>
        </is>
      </c>
      <c r="K73" s="30" t="inlineStr">
        <is>
          <t xml:space="preserve">HVZ260F1VERNDD0EM</t>
        </is>
      </c>
      <c r="L73" s="32" t="inlineStr">
        <is>
          <t xml:space="preserve">02 - Sports / GT</t>
        </is>
      </c>
      <c r="M73" s="35">
        <v>600000</v>
      </c>
      <c r="N73" s="32" t="inlineStr">
        <is>
          <t xml:space="preserve">Personal</t>
        </is>
      </c>
      <c r="O73" s="30" t="inlineStr">
        <is>
          <t xml:space="preserve">Personal - regular use</t>
        </is>
      </c>
      <c r="P73" s="30" t="inlineStr">
        <is>
          <t xml:space="preserve">1,000 - 2,500</t>
        </is>
      </c>
      <c r="Q73" s="30" t="inlineStr">
        <is>
          <t xml:space="preserve">New York</t>
        </is>
      </c>
      <c r="R73" s="30" t="inlineStr">
        <is>
          <t xml:space="preserve">10022</t>
        </is>
      </c>
      <c r="S73" s="32" t="inlineStr">
        <is>
          <t xml:space="preserve">Tier 3 - Coastal wind (25-100 miles)</t>
        </is>
      </c>
      <c r="T73" s="36">
        <f>IF($A73="","",IF($S73="","",IFERROR(INDEX('[1]natural catastrophe'!$D$6:$D$17,MATCH($S73,'[1]natural catastrophe'!$B$6:$B$17,0)),"?")))</f>
      </c>
      <c r="U73" s="30" t="inlineStr">
        <is>
          <t xml:space="preserve">2% of agreed value, minimum $10,000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7167.76</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CANON-202607-009621</t>
        </is>
      </c>
      <c r="B74" s="46" t="inlineStr">
        <is>
          <t xml:space="preserve">Aurelio Kingsford</t>
        </is>
      </c>
      <c r="C74" s="47">
        <v>46205</v>
      </c>
      <c r="D74" s="48" t="inlineStr">
        <is>
          <t xml:space="preserve">Bound - within authority</t>
        </is>
      </c>
      <c r="E74" s="48" t="inlineStr">
        <is>
          <t xml:space="preserve">New business</t>
        </is>
      </c>
      <c r="F74" s="46" t="inlineStr">
        <is>
          <t xml:space="preserve">B1234EXOTIC26</t>
        </is>
      </c>
      <c r="G74" s="33">
        <f>IF($A74="","",IF($C74="","",YEAR($C74)))</f>
      </c>
      <c r="H74" s="49">
        <v>1975</v>
      </c>
      <c r="I74" s="46" t="inlineStr">
        <is>
          <t xml:space="preserve">Bentley</t>
        </is>
      </c>
      <c r="J74" s="46" t="inlineStr">
        <is>
          <t xml:space="preserve">Continental GT</t>
        </is>
      </c>
      <c r="K74" s="46" t="inlineStr">
        <is>
          <t xml:space="preserve">BW5HF08MV3PT1FMJ6</t>
        </is>
      </c>
      <c r="L74" s="48" t="inlineStr">
        <is>
          <t xml:space="preserve">02 - Sports / GT</t>
        </is>
      </c>
      <c r="M74" s="50">
        <v>660000</v>
      </c>
      <c r="N74" s="48" t="inlineStr">
        <is>
          <t xml:space="preserve">Personal</t>
        </is>
      </c>
      <c r="O74" s="46" t="inlineStr">
        <is>
          <t xml:space="preserve">Personal - regular use</t>
        </is>
      </c>
      <c r="P74" s="46" t="inlineStr">
        <is>
          <t xml:space="preserve">2,500 - 5,000</t>
        </is>
      </c>
      <c r="Q74" s="46" t="inlineStr">
        <is>
          <t xml:space="preserve">Utah</t>
        </is>
      </c>
      <c r="R74" s="46" t="inlineStr">
        <is>
          <t xml:space="preserve">84101</t>
        </is>
      </c>
      <c r="S74" s="48" t="inlineStr">
        <is>
          <t xml:space="preserve">Wildfire - WUI high hazard</t>
        </is>
      </c>
      <c r="T74" s="36">
        <f>IF($A74="","",IF($S74="","",IFERROR(INDEX('[1]natural catastrophe'!$D$6:$D$17,MATCH($S74,'[1]natural catastrophe'!$B$6:$B$17,0)),"?")))</f>
      </c>
      <c r="U74" s="46" t="inlineStr">
        <is>
          <t xml:space="preserve">$5,000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8315.72</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CANON-202607-009622</t>
        </is>
      </c>
      <c r="B75" s="30" t="inlineStr">
        <is>
          <t xml:space="preserve">Sunniva Harrington</t>
        </is>
      </c>
      <c r="C75" s="31">
        <v>46207</v>
      </c>
      <c r="D75" s="32" t="inlineStr">
        <is>
          <t xml:space="preserve">Bound - within authority</t>
        </is>
      </c>
      <c r="E75" s="32" t="inlineStr">
        <is>
          <t xml:space="preserve">New business</t>
        </is>
      </c>
      <c r="F75" s="30" t="inlineStr">
        <is>
          <t xml:space="preserve">B1234EXOTIC26</t>
        </is>
      </c>
      <c r="G75" s="33">
        <f>IF($A75="","",IF($C75="","",YEAR($C75)))</f>
      </c>
      <c r="H75" s="34">
        <v>2020</v>
      </c>
      <c r="I75" s="30" t="inlineStr">
        <is>
          <t xml:space="preserve">McLaren</t>
        </is>
      </c>
      <c r="J75" s="30" t="inlineStr">
        <is>
          <t xml:space="preserve">750S</t>
        </is>
      </c>
      <c r="K75" s="30" t="inlineStr">
        <is>
          <t xml:space="preserve">AZ5G6TVJ28Z0L2CZA</t>
        </is>
      </c>
      <c r="L75" s="32" t="inlineStr">
        <is>
          <t xml:space="preserve">03 - Supercar</t>
        </is>
      </c>
      <c r="M75" s="35">
        <v>790000</v>
      </c>
      <c r="N75" s="32" t="inlineStr">
        <is>
          <t xml:space="preserve">Personal</t>
        </is>
      </c>
      <c r="O75" s="30" t="inlineStr">
        <is>
          <t xml:space="preserve">Personal - regular use</t>
        </is>
      </c>
      <c r="P75" s="30" t="inlineStr">
        <is>
          <t xml:space="preserve">Under 1,000</t>
        </is>
      </c>
      <c r="Q75" s="30" t="inlineStr">
        <is>
          <t xml:space="preserve">New Jersey</t>
        </is>
      </c>
      <c r="R75" s="30" t="inlineStr">
        <is>
          <t xml:space="preserve">07102</t>
        </is>
      </c>
      <c r="S75" s="32" t="inlineStr">
        <is>
          <t xml:space="preserve">Tier 3 - Coastal wind (25-100 miles)</t>
        </is>
      </c>
      <c r="T75" s="36">
        <f>IF($A75="","",IF($S75="","",IFERROR(INDEX('[1]natural catastrophe'!$D$6:$D$17,MATCH($S75,'[1]natural catastrophe'!$B$6:$B$17,0)),"?")))</f>
      </c>
      <c r="U75" s="30" t="inlineStr">
        <is>
          <t xml:space="preserve">2% of agreed value, minimum $10,000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9806.2</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CANON-202607-009623</t>
        </is>
      </c>
      <c r="B76" s="46" t="inlineStr">
        <is>
          <t xml:space="preserve">Everett Chattopadhyay</t>
        </is>
      </c>
      <c r="C76" s="47">
        <v>46226</v>
      </c>
      <c r="D76" s="48" t="inlineStr">
        <is>
          <t xml:space="preserve">Bound - within authority</t>
        </is>
      </c>
      <c r="E76" s="48" t="inlineStr">
        <is>
          <t xml:space="preserve">New business</t>
        </is>
      </c>
      <c r="F76" s="46" t="inlineStr">
        <is>
          <t xml:space="preserve">B1234EXOTIC26</t>
        </is>
      </c>
      <c r="G76" s="33">
        <f>IF($A76="","",IF($C76="","",YEAR($C76)))</f>
      </c>
      <c r="H76" s="49">
        <v>2019</v>
      </c>
      <c r="I76" s="46" t="inlineStr">
        <is>
          <t xml:space="preserve">McLaren</t>
        </is>
      </c>
      <c r="J76" s="46" t="inlineStr">
        <is>
          <t xml:space="preserve">750S</t>
        </is>
      </c>
      <c r="K76" s="46" t="inlineStr">
        <is>
          <t xml:space="preserve">LT7HAFCGC34LWPDE7</t>
        </is>
      </c>
      <c r="L76" s="48" t="inlineStr">
        <is>
          <t xml:space="preserve">03 - Supercar</t>
        </is>
      </c>
      <c r="M76" s="50">
        <v>1375000</v>
      </c>
      <c r="N76" s="48" t="inlineStr">
        <is>
          <t xml:space="preserve">Personal</t>
        </is>
      </c>
      <c r="O76" s="46" t="inlineStr">
        <is>
          <t xml:space="preserve">Personal - regular use</t>
        </is>
      </c>
      <c r="P76" s="46" t="inlineStr">
        <is>
          <t xml:space="preserve">Under 1,000</t>
        </is>
      </c>
      <c r="Q76" s="46" t="inlineStr">
        <is>
          <t xml:space="preserve">Indiana</t>
        </is>
      </c>
      <c r="R76" s="46" t="inlineStr">
        <is>
          <t xml:space="preserve">46204</t>
        </is>
      </c>
      <c r="S76" s="48" t="inlineStr">
        <is>
          <t xml:space="preserve">Severe convective - hail / tornado (moderate)</t>
        </is>
      </c>
      <c r="T76" s="36">
        <f>IF($A76="","",IF($S76="","",IFERROR(INDEX('[1]natural catastrophe'!$D$6:$D$17,MATCH($S76,'[1]natural catastrophe'!$B$6:$B$17,0)),"?")))</f>
      </c>
      <c r="U76" s="46" t="inlineStr">
        <is>
          <t xml:space="preserve">$5,000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19427.04</v>
      </c>
      <c r="AC76" s="51">
        <v>0</v>
      </c>
      <c r="AD76" s="38">
        <f>IF(ISNUMBER($AB76),$AB76*(1+N($AC76)),"")</f>
      </c>
      <c r="AE76" s="50">
        <v>350</v>
      </c>
      <c r="AF76" s="50">
        <v>250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CANON-202607-009624</t>
        </is>
      </c>
      <c r="B77" s="30" t="inlineStr">
        <is>
          <t xml:space="preserve">Delphine Montoya</t>
        </is>
      </c>
      <c r="C77" s="31">
        <v>46214</v>
      </c>
      <c r="D77" s="32" t="inlineStr">
        <is>
          <t xml:space="preserve">Bound - within authority</t>
        </is>
      </c>
      <c r="E77" s="32" t="inlineStr">
        <is>
          <t xml:space="preserve">New business</t>
        </is>
      </c>
      <c r="F77" s="30" t="inlineStr">
        <is>
          <t xml:space="preserve">B1234EXOTIC26</t>
        </is>
      </c>
      <c r="G77" s="33">
        <f>IF($A77="","",IF($C77="","",YEAR($C77)))</f>
      </c>
      <c r="H77" s="34">
        <v>2023</v>
      </c>
      <c r="I77" s="30" t="inlineStr">
        <is>
          <t xml:space="preserve">Aston Martin</t>
        </is>
      </c>
      <c r="J77" s="30" t="inlineStr">
        <is>
          <t xml:space="preserve">DB12</t>
        </is>
      </c>
      <c r="K77" s="30" t="inlineStr">
        <is>
          <t xml:space="preserve">8D4AT6MLFAAB44238</t>
        </is>
      </c>
      <c r="L77" s="32" t="inlineStr">
        <is>
          <t xml:space="preserve">02 - Sports / GT</t>
        </is>
      </c>
      <c r="M77" s="35">
        <v>615000</v>
      </c>
      <c r="N77" s="32" t="inlineStr">
        <is>
          <t xml:space="preserve">Personal</t>
        </is>
      </c>
      <c r="O77" s="30" t="inlineStr">
        <is>
          <t xml:space="preserve">Personal - regular use</t>
        </is>
      </c>
      <c r="P77" s="30" t="inlineStr">
        <is>
          <t xml:space="preserve">1,000 - 2,500</t>
        </is>
      </c>
      <c r="Q77" s="30" t="inlineStr">
        <is>
          <t xml:space="preserve">Nebraska</t>
        </is>
      </c>
      <c r="R77" s="30" t="inlineStr">
        <is>
          <t xml:space="preserve">68102</t>
        </is>
      </c>
      <c r="S77" s="32" t="inlineStr">
        <is>
          <t xml:space="preserve">Severe convective - hail alley (high)</t>
        </is>
      </c>
      <c r="T77" s="36">
        <f>IF($A77="","",IF($S77="","",IFERROR(INDEX('[1]natural catastrophe'!$D$6:$D$17,MATCH($S77,'[1]natural catastrophe'!$B$6:$B$17,0)),"?")))</f>
      </c>
      <c r="U77" s="30" t="inlineStr">
        <is>
          <t xml:space="preserve">$5,000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7461.75</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CANON-202607-009625</t>
        </is>
      </c>
      <c r="B78" s="46" t="inlineStr">
        <is>
          <t xml:space="preserve">Thaddeus Blackwood</t>
        </is>
      </c>
      <c r="C78" s="47">
        <v>46212</v>
      </c>
      <c r="D78" s="48" t="inlineStr">
        <is>
          <t xml:space="preserve">Bound - within authority</t>
        </is>
      </c>
      <c r="E78" s="48" t="inlineStr">
        <is>
          <t xml:space="preserve">New business</t>
        </is>
      </c>
      <c r="F78" s="46" t="inlineStr">
        <is>
          <t xml:space="preserve">B1234EXOTIC26</t>
        </is>
      </c>
      <c r="G78" s="33">
        <f>IF($A78="","",IF($C78="","",YEAR($C78)))</f>
      </c>
      <c r="H78" s="49">
        <v>1955</v>
      </c>
      <c r="I78" s="46" t="inlineStr">
        <is>
          <t xml:space="preserve">Maserati</t>
        </is>
      </c>
      <c r="J78" s="46" t="inlineStr">
        <is>
          <t xml:space="preserve">GranTurismo</t>
        </is>
      </c>
      <c r="K78" s="46" t="inlineStr">
        <is>
          <t xml:space="preserve">FK1KLE6K3E18A89N2</t>
        </is>
      </c>
      <c r="L78" s="48" t="inlineStr">
        <is>
          <t xml:space="preserve">02 - Sports / GT</t>
        </is>
      </c>
      <c r="M78" s="50">
        <v>900000</v>
      </c>
      <c r="N78" s="48" t="inlineStr">
        <is>
          <t xml:space="preserve">Personal</t>
        </is>
      </c>
      <c r="O78" s="46" t="inlineStr">
        <is>
          <t xml:space="preserve">Personal - regular use</t>
        </is>
      </c>
      <c r="P78" s="46" t="inlineStr">
        <is>
          <t xml:space="preserve">1,000 - 2,500</t>
        </is>
      </c>
      <c r="Q78" s="46" t="inlineStr">
        <is>
          <t xml:space="preserve">Colorado</t>
        </is>
      </c>
      <c r="R78" s="46" t="inlineStr">
        <is>
          <t xml:space="preserve">80202</t>
        </is>
      </c>
      <c r="S78" s="48" t="inlineStr">
        <is>
          <t xml:space="preserve">Severe convective - hail alley (high)</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9239.69</v>
      </c>
      <c r="AC78" s="51">
        <v>0</v>
      </c>
      <c r="AD78" s="38">
        <f>IF(ISNUMBER($AB78),$AB78*(1+N($AC78)),"")</f>
      </c>
      <c r="AE78" s="50">
        <v>350</v>
      </c>
      <c r="AF78" s="50">
        <v>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CANON-202607-009626</t>
        </is>
      </c>
      <c r="B79" s="30" t="inlineStr">
        <is>
          <t xml:space="preserve">Leopold Vandermeer</t>
        </is>
      </c>
      <c r="C79" s="31">
        <v>46207</v>
      </c>
      <c r="D79" s="32" t="inlineStr">
        <is>
          <t xml:space="preserve">Bound - within authority</t>
        </is>
      </c>
      <c r="E79" s="32" t="inlineStr">
        <is>
          <t xml:space="preserve">New business</t>
        </is>
      </c>
      <c r="F79" s="30" t="inlineStr">
        <is>
          <t xml:space="preserve">B1234EXOTIC26</t>
        </is>
      </c>
      <c r="G79" s="33">
        <f>IF($A79="","",IF($C79="","",YEAR($C79)))</f>
      </c>
      <c r="H79" s="34">
        <v>1980</v>
      </c>
      <c r="I79" s="30" t="inlineStr">
        <is>
          <t xml:space="preserve">Aston Martin</t>
        </is>
      </c>
      <c r="J79" s="30" t="inlineStr">
        <is>
          <t xml:space="preserve">DB12</t>
        </is>
      </c>
      <c r="K79" s="30" t="inlineStr">
        <is>
          <t xml:space="preserve">DXDEC821PYA4J1MNY</t>
        </is>
      </c>
      <c r="L79" s="32" t="inlineStr">
        <is>
          <t xml:space="preserve">02 - Sports / GT</t>
        </is>
      </c>
      <c r="M79" s="35">
        <v>800000</v>
      </c>
      <c r="N79" s="32" t="inlineStr">
        <is>
          <t xml:space="preserve">Personal</t>
        </is>
      </c>
      <c r="O79" s="30" t="inlineStr">
        <is>
          <t xml:space="preserve">Personal - regular use</t>
        </is>
      </c>
      <c r="P79" s="30" t="inlineStr">
        <is>
          <t xml:space="preserve">Under 1,000</t>
        </is>
      </c>
      <c r="Q79" s="30" t="inlineStr">
        <is>
          <t xml:space="preserve">Michigan</t>
        </is>
      </c>
      <c r="R79" s="30" t="inlineStr">
        <is>
          <t xml:space="preserve">48226</t>
        </is>
      </c>
      <c r="S79" s="32" t="inlineStr">
        <is>
          <t xml:space="preserve">Severe convective - hail / tornado (moderate)</t>
        </is>
      </c>
      <c r="T79" s="36">
        <f>IF($A79="","",IF($S79="","",IFERROR(INDEX('[1]natural catastrophe'!$D$6:$D$17,MATCH($S79,'[1]natural catastrophe'!$B$6:$B$17,0)),"?")))</f>
      </c>
      <c r="U79" s="30" t="inlineStr">
        <is>
          <t xml:space="preserve">$5,000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11572.95</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CANON-202607-009628</t>
        </is>
      </c>
      <c r="B80" s="46" t="inlineStr">
        <is>
          <t xml:space="preserve">Emiliano Castellanos</t>
        </is>
      </c>
      <c r="C80" s="47">
        <v>46225</v>
      </c>
      <c r="D80" s="48" t="inlineStr">
        <is>
          <t xml:space="preserve">Bound - within authority</t>
        </is>
      </c>
      <c r="E80" s="48" t="inlineStr">
        <is>
          <t xml:space="preserve">New business</t>
        </is>
      </c>
      <c r="F80" s="46" t="inlineStr">
        <is>
          <t xml:space="preserve">B1234EXOTIC26</t>
        </is>
      </c>
      <c r="G80" s="33">
        <f>IF($A80="","",IF($C80="","",YEAR($C80)))</f>
      </c>
      <c r="H80" s="49">
        <v>1978</v>
      </c>
      <c r="I80" s="46" t="inlineStr">
        <is>
          <t xml:space="preserve">Mercedes-Benz</t>
        </is>
      </c>
      <c r="J80" s="46" t="inlineStr">
        <is>
          <t xml:space="preserve">AMG GT</t>
        </is>
      </c>
      <c r="K80" s="46" t="inlineStr">
        <is>
          <t xml:space="preserve">P297ADDB1UL8NHZKD</t>
        </is>
      </c>
      <c r="L80" s="48" t="inlineStr">
        <is>
          <t xml:space="preserve">02 - Sports / GT</t>
        </is>
      </c>
      <c r="M80" s="50">
        <v>725000</v>
      </c>
      <c r="N80" s="48" t="inlineStr">
        <is>
          <t xml:space="preserve">Personal</t>
        </is>
      </c>
      <c r="O80" s="46" t="inlineStr">
        <is>
          <t xml:space="preserve">Personal - regular use</t>
        </is>
      </c>
      <c r="P80" s="46" t="inlineStr">
        <is>
          <t xml:space="preserve">2,500 - 5,000</t>
        </is>
      </c>
      <c r="Q80" s="46" t="inlineStr">
        <is>
          <t xml:space="preserve">Nebraska</t>
        </is>
      </c>
      <c r="R80" s="46" t="inlineStr">
        <is>
          <t xml:space="preserve">68102</t>
        </is>
      </c>
      <c r="S80" s="48" t="inlineStr">
        <is>
          <t xml:space="preserve">Severe convective - hail alley (high)</t>
        </is>
      </c>
      <c r="T80" s="36">
        <f>IF($A80="","",IF($S80="","",IFERROR(INDEX('[1]natural catastrophe'!$D$6:$D$17,MATCH($S80,'[1]natural catastrophe'!$B$6:$B$17,0)),"?")))</f>
      </c>
      <c r="U80" s="46" t="inlineStr">
        <is>
          <t xml:space="preserve">$5,000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8796.37</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CANON-202607-009630</t>
        </is>
      </c>
      <c r="B81" s="30" t="inlineStr">
        <is>
          <t xml:space="preserve">Callum Fairweather</t>
        </is>
      </c>
      <c r="C81" s="31">
        <v>46219</v>
      </c>
      <c r="D81" s="32" t="inlineStr">
        <is>
          <t xml:space="preserve">Bound - within authority</t>
        </is>
      </c>
      <c r="E81" s="32" t="inlineStr">
        <is>
          <t xml:space="preserve">New business</t>
        </is>
      </c>
      <c r="F81" s="30" t="inlineStr">
        <is>
          <t xml:space="preserve">B1234EXOTIC26</t>
        </is>
      </c>
      <c r="G81" s="33">
        <f>IF($A81="","",IF($C81="","",YEAR($C81)))</f>
      </c>
      <c r="H81" s="34">
        <v>2010</v>
      </c>
      <c r="I81" s="30" t="inlineStr">
        <is>
          <t xml:space="preserve">Bentley</t>
        </is>
      </c>
      <c r="J81" s="30" t="inlineStr">
        <is>
          <t xml:space="preserve">4.5 Litre</t>
        </is>
      </c>
      <c r="K81" s="30" t="inlineStr">
        <is>
          <t xml:space="preserve">R5T3HTP70U0GNESPT</t>
        </is>
      </c>
      <c r="L81" s="32" t="inlineStr">
        <is>
          <t xml:space="preserve">09 - Youngtimer / Collectible (2000-2010)</t>
        </is>
      </c>
      <c r="M81" s="35">
        <v>1950000</v>
      </c>
      <c r="N81" s="32" t="inlineStr">
        <is>
          <t xml:space="preserve">Personal</t>
        </is>
      </c>
      <c r="O81" s="30" t="inlineStr">
        <is>
          <t xml:space="preserve">Personal - regular use</t>
        </is>
      </c>
      <c r="P81" s="30" t="inlineStr">
        <is>
          <t xml:space="preserve">1,000 - 2,500</t>
        </is>
      </c>
      <c r="Q81" s="30" t="inlineStr">
        <is>
          <t xml:space="preserve">Florida</t>
        </is>
      </c>
      <c r="R81" s="30" t="inlineStr">
        <is>
          <t xml:space="preserve">33139</t>
        </is>
      </c>
      <c r="S81" s="32" t="inlineStr">
        <is>
          <t xml:space="preserve">Tier 2 - Coastal wind (1-25 miles)</t>
        </is>
      </c>
      <c r="T81" s="36">
        <f>IF($A81="","",IF($S81="","",IFERROR(INDEX('[1]natural catastrophe'!$D$6:$D$17,MATCH($S81,'[1]natural catastrophe'!$B$6:$B$17,0)),"?")))</f>
      </c>
      <c r="U81" s="30" t="inlineStr">
        <is>
          <t xml:space="preserve">2% of agreed value, minimum $10,000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13517.95</v>
      </c>
      <c r="AC81" s="37">
        <v>0</v>
      </c>
      <c r="AD81" s="38">
        <f>IF(ISNUMBER($AB81),$AB81*(1+N($AC81)),"")</f>
      </c>
      <c r="AE81" s="35">
        <v>350</v>
      </c>
      <c r="AF81" s="35">
        <v>250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CANON-202607-009631</t>
        </is>
      </c>
      <c r="B82" s="46" t="inlineStr">
        <is>
          <t xml:space="preserve">Ottilie Ashcombe</t>
        </is>
      </c>
      <c r="C82" s="47">
        <v>46228</v>
      </c>
      <c r="D82" s="48" t="inlineStr">
        <is>
          <t xml:space="preserve">Bound - within authority</t>
        </is>
      </c>
      <c r="E82" s="48" t="inlineStr">
        <is>
          <t xml:space="preserve">New business</t>
        </is>
      </c>
      <c r="F82" s="46" t="inlineStr">
        <is>
          <t xml:space="preserve">B1234EXOTIC26</t>
        </is>
      </c>
      <c r="G82" s="33">
        <f>IF($A82="","",IF($C82="","",YEAR($C82)))</f>
      </c>
      <c r="H82" s="49">
        <v>2023</v>
      </c>
      <c r="I82" s="46" t="inlineStr">
        <is>
          <t xml:space="preserve">Mercedes-Benz</t>
        </is>
      </c>
      <c r="J82" s="46" t="inlineStr">
        <is>
          <t xml:space="preserve">AMG GT</t>
        </is>
      </c>
      <c r="K82" s="46" t="inlineStr">
        <is>
          <t xml:space="preserve">6UWA5E4627JFGN9VW</t>
        </is>
      </c>
      <c r="L82" s="48" t="inlineStr">
        <is>
          <t xml:space="preserve">02 - Sports / GT</t>
        </is>
      </c>
      <c r="M82" s="50">
        <v>1020000</v>
      </c>
      <c r="N82" s="48" t="inlineStr">
        <is>
          <t xml:space="preserve">Personal</t>
        </is>
      </c>
      <c r="O82" s="46" t="inlineStr">
        <is>
          <t xml:space="preserve">Personal - regular use</t>
        </is>
      </c>
      <c r="P82" s="46" t="inlineStr">
        <is>
          <t xml:space="preserve">1,000 - 2,500</t>
        </is>
      </c>
      <c r="Q82" s="46" t="inlineStr">
        <is>
          <t xml:space="preserve">Louisiana</t>
        </is>
      </c>
      <c r="R82" s="46" t="inlineStr">
        <is>
          <t xml:space="preserve">70112</t>
        </is>
      </c>
      <c r="S82" s="48" t="inlineStr">
        <is>
          <t xml:space="preserve">Tier 2 - Coastal wind (1-25 miles)</t>
        </is>
      </c>
      <c r="T82" s="36">
        <f>IF($A82="","",IF($S82="","",IFERROR(INDEX('[1]natural catastrophe'!$D$6:$D$17,MATCH($S82,'[1]natural catastrophe'!$B$6:$B$17,0)),"?")))</f>
      </c>
      <c r="U82" s="46" t="inlineStr">
        <is>
          <t xml:space="preserve">2% of agreed value, minimum $10,000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9746.69</v>
      </c>
      <c r="AC82" s="51">
        <v>0</v>
      </c>
      <c r="AD82" s="38">
        <f>IF(ISNUMBER($AB82),$AB82*(1+N($AC82)),"")</f>
      </c>
      <c r="AE82" s="50">
        <v>350</v>
      </c>
      <c r="AF82" s="50">
        <v>250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CANON-202607-009632</t>
        </is>
      </c>
      <c r="B83" s="30" t="inlineStr">
        <is>
          <t xml:space="preserve">Ottilie Delacroix</t>
        </is>
      </c>
      <c r="C83" s="31">
        <v>46231</v>
      </c>
      <c r="D83" s="32" t="inlineStr">
        <is>
          <t xml:space="preserve">Bound - within authority</t>
        </is>
      </c>
      <c r="E83" s="32" t="inlineStr">
        <is>
          <t xml:space="preserve">New business</t>
        </is>
      </c>
      <c r="F83" s="30" t="inlineStr">
        <is>
          <t xml:space="preserve">B1234EXOTIC26</t>
        </is>
      </c>
      <c r="G83" s="33">
        <f>IF($A83="","",IF($C83="","",YEAR($C83)))</f>
      </c>
      <c r="H83" s="34">
        <v>1965</v>
      </c>
      <c r="I83" s="30" t="inlineStr">
        <is>
          <t xml:space="preserve">Mercedes-Benz</t>
        </is>
      </c>
      <c r="J83" s="30" t="inlineStr">
        <is>
          <t xml:space="preserve">280SL Pagoda</t>
        </is>
      </c>
      <c r="K83" s="30" t="inlineStr">
        <is>
          <t xml:space="preserve">VRHMUGD55ECYVFUMR</t>
        </is>
      </c>
      <c r="L83" s="32" t="inlineStr">
        <is>
          <t xml:space="preserve">07 - Post-War Classic (1946-1972)</t>
        </is>
      </c>
      <c r="M83" s="35">
        <v>455000</v>
      </c>
      <c r="N83" s="32" t="inlineStr">
        <is>
          <t xml:space="preserve">Personal</t>
        </is>
      </c>
      <c r="O83" s="30" t="inlineStr">
        <is>
          <t xml:space="preserve">Personal - regular use</t>
        </is>
      </c>
      <c r="P83" s="30" t="inlineStr">
        <is>
          <t xml:space="preserve">2,500 - 5,000</t>
        </is>
      </c>
      <c r="Q83" s="30" t="inlineStr">
        <is>
          <t xml:space="preserve">Arkansas</t>
        </is>
      </c>
      <c r="R83" s="30" t="inlineStr">
        <is>
          <t xml:space="preserve">72201</t>
        </is>
      </c>
      <c r="S83" s="32" t="inlineStr">
        <is>
          <t xml:space="preserve">Severe convective - hail / tornado (moderate)</t>
        </is>
      </c>
      <c r="T83" s="36">
        <f>IF($A83="","",IF($S83="","",IFERROR(INDEX('[1]natural catastrophe'!$D$6:$D$17,MATCH($S83,'[1]natural catastrophe'!$B$6:$B$17,0)),"?")))</f>
      </c>
      <c r="U83" s="30" t="inlineStr">
        <is>
          <t xml:space="preserve">$5,000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4327.53</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CANON-202607-009633</t>
        </is>
      </c>
      <c r="B84" s="46" t="inlineStr">
        <is>
          <t xml:space="preserve">Emiliano Whitlock</t>
        </is>
      </c>
      <c r="C84" s="47">
        <v>46234</v>
      </c>
      <c r="D84" s="48" t="inlineStr">
        <is>
          <t xml:space="preserve">Bound - within authority</t>
        </is>
      </c>
      <c r="E84" s="48" t="inlineStr">
        <is>
          <t xml:space="preserve">New business</t>
        </is>
      </c>
      <c r="F84" s="46" t="inlineStr">
        <is>
          <t xml:space="preserve">B1234EXOTIC26</t>
        </is>
      </c>
      <c r="G84" s="33">
        <f>IF($A84="","",IF($C84="","",YEAR($C84)))</f>
      </c>
      <c r="H84" s="49">
        <v>2024</v>
      </c>
      <c r="I84" s="46" t="inlineStr">
        <is>
          <t xml:space="preserve">Mercedes-Benz</t>
        </is>
      </c>
      <c r="J84" s="46" t="inlineStr">
        <is>
          <t xml:space="preserve">AMG GT</t>
        </is>
      </c>
      <c r="K84" s="46" t="inlineStr">
        <is>
          <t xml:space="preserve">P0D4RU8FJCJBWN6ZJ</t>
        </is>
      </c>
      <c r="L84" s="48" t="inlineStr">
        <is>
          <t xml:space="preserve">02 - Sports / GT</t>
        </is>
      </c>
      <c r="M84" s="50">
        <v>300000</v>
      </c>
      <c r="N84" s="48" t="inlineStr">
        <is>
          <t xml:space="preserve">Personal</t>
        </is>
      </c>
      <c r="O84" s="46" t="inlineStr">
        <is>
          <t xml:space="preserve">Personal - regular use</t>
        </is>
      </c>
      <c r="P84" s="46" t="inlineStr">
        <is>
          <t xml:space="preserve">1,000 - 2,500</t>
        </is>
      </c>
      <c r="Q84" s="46" t="inlineStr">
        <is>
          <t xml:space="preserve">Utah</t>
        </is>
      </c>
      <c r="R84" s="46" t="inlineStr">
        <is>
          <t xml:space="preserve">84101</t>
        </is>
      </c>
      <c r="S84" s="48" t="inlineStr">
        <is>
          <t xml:space="preserve">Wildfire - WUI high hazard</t>
        </is>
      </c>
      <c r="T84" s="36">
        <f>IF($A84="","",IF($S84="","",IFERROR(INDEX('[1]natural catastrophe'!$D$6:$D$17,MATCH($S84,'[1]natural catastrophe'!$B$6:$B$17,0)),"?")))</f>
      </c>
      <c r="U84" s="46" t="inlineStr">
        <is>
          <t xml:space="preserve">$5,000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4361.39</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CANON-202607-009634</t>
        </is>
      </c>
      <c r="B85" s="30" t="inlineStr">
        <is>
          <t xml:space="preserve">Callum Whitlock</t>
        </is>
      </c>
      <c r="C85" s="31">
        <v>46217</v>
      </c>
      <c r="D85" s="32" t="inlineStr">
        <is>
          <t xml:space="preserve">Bound - within authority</t>
        </is>
      </c>
      <c r="E85" s="32" t="inlineStr">
        <is>
          <t xml:space="preserve">New business</t>
        </is>
      </c>
      <c r="F85" s="30" t="inlineStr">
        <is>
          <t xml:space="preserve">B1234EXOTIC26</t>
        </is>
      </c>
      <c r="G85" s="33">
        <f>IF($A85="","",IF($C85="","",YEAR($C85)))</f>
      </c>
      <c r="H85" s="34">
        <v>1988</v>
      </c>
      <c r="I85" s="30" t="inlineStr">
        <is>
          <t xml:space="preserve">BMW</t>
        </is>
      </c>
      <c r="J85" s="30" t="inlineStr">
        <is>
          <t xml:space="preserve">M8 Competition</t>
        </is>
      </c>
      <c r="K85" s="30" t="inlineStr">
        <is>
          <t xml:space="preserve">PJF80J8GTFCRDBTA8</t>
        </is>
      </c>
      <c r="L85" s="32" t="inlineStr">
        <is>
          <t xml:space="preserve">02 - Sports / GT</t>
        </is>
      </c>
      <c r="M85" s="35">
        <v>465000</v>
      </c>
      <c r="N85" s="32" t="inlineStr">
        <is>
          <t xml:space="preserve">Personal</t>
        </is>
      </c>
      <c r="O85" s="30" t="inlineStr">
        <is>
          <t xml:space="preserve">Personal - regular use</t>
        </is>
      </c>
      <c r="P85" s="30" t="inlineStr">
        <is>
          <t xml:space="preserve">2,500 - 5,000</t>
        </is>
      </c>
      <c r="Q85" s="30" t="inlineStr">
        <is>
          <t xml:space="preserve">Nevada</t>
        </is>
      </c>
      <c r="R85" s="30" t="inlineStr">
        <is>
          <t xml:space="preserve">89101</t>
        </is>
      </c>
      <c r="S85" s="32" t="inlineStr">
        <is>
          <t xml:space="preserve">Wildfire - WUI high hazard</t>
        </is>
      </c>
      <c r="T85" s="36">
        <f>IF($A85="","",IF($S85="","",IFERROR(INDEX('[1]natural catastrophe'!$D$6:$D$17,MATCH($S85,'[1]natural catastrophe'!$B$6:$B$17,0)),"?")))</f>
      </c>
      <c r="U85" s="30" t="inlineStr">
        <is>
          <t xml:space="preserve">$5,000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5858.8</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CANON-202607-009635</t>
        </is>
      </c>
      <c r="B86" s="46" t="inlineStr">
        <is>
          <t xml:space="preserve">Fenwick Harrington</t>
        </is>
      </c>
      <c r="C86" s="47">
        <v>46208</v>
      </c>
      <c r="D86" s="48" t="inlineStr">
        <is>
          <t xml:space="preserve">Bound - within authority</t>
        </is>
      </c>
      <c r="E86" s="48" t="inlineStr">
        <is>
          <t xml:space="preserve">New business</t>
        </is>
      </c>
      <c r="F86" s="46" t="inlineStr">
        <is>
          <t xml:space="preserve">B1234EXOTIC26</t>
        </is>
      </c>
      <c r="G86" s="33">
        <f>IF($A86="","",IF($C86="","",YEAR($C86)))</f>
      </c>
      <c r="H86" s="49">
        <v>1978</v>
      </c>
      <c r="I86" s="46" t="inlineStr">
        <is>
          <t xml:space="preserve">Porsche</t>
        </is>
      </c>
      <c r="J86" s="46" t="inlineStr">
        <is>
          <t xml:space="preserve">911 Turbo S</t>
        </is>
      </c>
      <c r="K86" s="46" t="inlineStr">
        <is>
          <t xml:space="preserve">5L6U1CB8HRPAV2A8X</t>
        </is>
      </c>
      <c r="L86" s="48" t="inlineStr">
        <is>
          <t xml:space="preserve">02 - Sports / GT</t>
        </is>
      </c>
      <c r="M86" s="50">
        <v>500000</v>
      </c>
      <c r="N86" s="48" t="inlineStr">
        <is>
          <t xml:space="preserve">Personal</t>
        </is>
      </c>
      <c r="O86" s="46" t="inlineStr">
        <is>
          <t xml:space="preserve">Personal - regular use</t>
        </is>
      </c>
      <c r="P86" s="46" t="inlineStr">
        <is>
          <t xml:space="preserve">1,000 - 2,500</t>
        </is>
      </c>
      <c r="Q86" s="46" t="inlineStr">
        <is>
          <t xml:space="preserve">Maryland</t>
        </is>
      </c>
      <c r="R86" s="46" t="inlineStr">
        <is>
          <t xml:space="preserve">21201</t>
        </is>
      </c>
      <c r="S86" s="48" t="inlineStr">
        <is>
          <t xml:space="preserve">Tier 3 - Coastal wind (25-100 miles)</t>
        </is>
      </c>
      <c r="T86" s="36">
        <f>IF($A86="","",IF($S86="","",IFERROR(INDEX('[1]natural catastrophe'!$D$6:$D$17,MATCH($S86,'[1]natural catastrophe'!$B$6:$B$17,0)),"?")))</f>
      </c>
      <c r="U86" s="46" t="inlineStr">
        <is>
          <t xml:space="preserve">2% of agreed value, minimum $10,000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4433.18</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CANON-202607-009636</t>
        </is>
      </c>
      <c r="B87" s="30" t="inlineStr">
        <is>
          <t xml:space="preserve">Fenwick Chattopadhyay</t>
        </is>
      </c>
      <c r="C87" s="31">
        <v>46221</v>
      </c>
      <c r="D87" s="32" t="inlineStr">
        <is>
          <t xml:space="preserve">Bound - within authority</t>
        </is>
      </c>
      <c r="E87" s="32" t="inlineStr">
        <is>
          <t xml:space="preserve">New business</t>
        </is>
      </c>
      <c r="F87" s="30" t="inlineStr">
        <is>
          <t xml:space="preserve">B1234EXOTIC26</t>
        </is>
      </c>
      <c r="G87" s="33">
        <f>IF($A87="","",IF($C87="","",YEAR($C87)))</f>
      </c>
      <c r="H87" s="34">
        <v>1956</v>
      </c>
      <c r="I87" s="30" t="inlineStr">
        <is>
          <t xml:space="preserve">Mercedes-Benz</t>
        </is>
      </c>
      <c r="J87" s="30" t="inlineStr">
        <is>
          <t xml:space="preserve">AMG GT</t>
        </is>
      </c>
      <c r="K87" s="30" t="inlineStr">
        <is>
          <t xml:space="preserve">ZXN6M4CE5UKEV8JR5</t>
        </is>
      </c>
      <c r="L87" s="32" t="inlineStr">
        <is>
          <t xml:space="preserve">02 - Sports / GT</t>
        </is>
      </c>
      <c r="M87" s="35">
        <v>345000</v>
      </c>
      <c r="N87" s="32" t="inlineStr">
        <is>
          <t xml:space="preserve">Personal</t>
        </is>
      </c>
      <c r="O87" s="30" t="inlineStr">
        <is>
          <t xml:space="preserve">Personal - regular use</t>
        </is>
      </c>
      <c r="P87" s="30" t="inlineStr">
        <is>
          <t xml:space="preserve">2,500 - 5,000</t>
        </is>
      </c>
      <c r="Q87" s="30" t="inlineStr">
        <is>
          <t xml:space="preserve">South Dakota</t>
        </is>
      </c>
      <c r="R87" s="30" t="inlineStr">
        <is>
          <t xml:space="preserve">57501</t>
        </is>
      </c>
      <c r="S87" s="32" t="inlineStr">
        <is>
          <t xml:space="preserve">Severe convective - hail alley (high)</t>
        </is>
      </c>
      <c r="T87" s="36">
        <f>IF($A87="","",IF($S87="","",IFERROR(INDEX('[1]natural catastrophe'!$D$6:$D$17,MATCH($S87,'[1]natural catastrophe'!$B$6:$B$17,0)),"?")))</f>
      </c>
      <c r="U87" s="30" t="inlineStr">
        <is>
          <t xml:space="preserve">$5,000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4123.94</v>
      </c>
      <c r="AC87" s="37">
        <v>0</v>
      </c>
      <c r="AD87" s="38">
        <f>IF(ISNUMBER($AB87),$AB87*(1+N($AC87)),"")</f>
      </c>
      <c r="AE87" s="35">
        <v>350</v>
      </c>
      <c r="AF87" s="35">
        <v>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CANON-202607-009637</t>
        </is>
      </c>
      <c r="B88" s="46" t="inlineStr">
        <is>
          <t xml:space="preserve">Beatrix Kingsford</t>
        </is>
      </c>
      <c r="C88" s="47">
        <v>46217</v>
      </c>
      <c r="D88" s="48" t="inlineStr">
        <is>
          <t xml:space="preserve">Bound - within authority</t>
        </is>
      </c>
      <c r="E88" s="48" t="inlineStr">
        <is>
          <t xml:space="preserve">New business</t>
        </is>
      </c>
      <c r="F88" s="46" t="inlineStr">
        <is>
          <t xml:space="preserve">B1234EXOTIC26</t>
        </is>
      </c>
      <c r="G88" s="33">
        <f>IF($A88="","",IF($C88="","",YEAR($C88)))</f>
      </c>
      <c r="H88" s="49">
        <v>1989</v>
      </c>
      <c r="I88" s="46" t="inlineStr">
        <is>
          <t xml:space="preserve">BMW</t>
        </is>
      </c>
      <c r="J88" s="46" t="inlineStr">
        <is>
          <t xml:space="preserve">M8 Competition</t>
        </is>
      </c>
      <c r="K88" s="46" t="inlineStr">
        <is>
          <t xml:space="preserve">YUBRR6UBXZTJY70BN</t>
        </is>
      </c>
      <c r="L88" s="48" t="inlineStr">
        <is>
          <t xml:space="preserve">02 - Sports / GT</t>
        </is>
      </c>
      <c r="M88" s="50">
        <v>495000</v>
      </c>
      <c r="N88" s="48" t="inlineStr">
        <is>
          <t xml:space="preserve">Personal</t>
        </is>
      </c>
      <c r="O88" s="46" t="inlineStr">
        <is>
          <t xml:space="preserve">Personal - regular use</t>
        </is>
      </c>
      <c r="P88" s="46" t="inlineStr">
        <is>
          <t xml:space="preserve">Under 1,000</t>
        </is>
      </c>
      <c r="Q88" s="46" t="inlineStr">
        <is>
          <t xml:space="preserve">California</t>
        </is>
      </c>
      <c r="R88" s="46" t="inlineStr">
        <is>
          <t xml:space="preserve">90012</t>
        </is>
      </c>
      <c r="S88" s="48" t="inlineStr">
        <is>
          <t xml:space="preserve">Earthquake - high (CA, Cascadia, New Madrid)</t>
        </is>
      </c>
      <c r="T88" s="36">
        <f>IF($A88="","",IF($S88="","",IFERROR(INDEX('[1]natural catastrophe'!$D$6:$D$17,MATCH($S88,'[1]natural catastrophe'!$B$6:$B$17,0)),"?")))</f>
      </c>
      <c r="U88" s="46" t="inlineStr">
        <is>
          <t xml:space="preserve">$5,000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7196.3</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CANON-202607-009641</t>
        </is>
      </c>
      <c r="B89" s="30" t="inlineStr">
        <is>
          <t xml:space="preserve">Anouk Bellandi</t>
        </is>
      </c>
      <c r="C89" s="31">
        <v>46232</v>
      </c>
      <c r="D89" s="32" t="inlineStr">
        <is>
          <t xml:space="preserve">Bound - within authority</t>
        </is>
      </c>
      <c r="E89" s="32" t="inlineStr">
        <is>
          <t xml:space="preserve">New business</t>
        </is>
      </c>
      <c r="F89" s="30" t="inlineStr">
        <is>
          <t xml:space="preserve">B1234EXOTIC26</t>
        </is>
      </c>
      <c r="G89" s="33">
        <f>IF($A89="","",IF($C89="","",YEAR($C89)))</f>
      </c>
      <c r="H89" s="34">
        <v>1990</v>
      </c>
      <c r="I89" s="30" t="inlineStr">
        <is>
          <t xml:space="preserve">Ferrari</t>
        </is>
      </c>
      <c r="J89" s="30" t="inlineStr">
        <is>
          <t xml:space="preserve">296 GTB</t>
        </is>
      </c>
      <c r="K89" s="30" t="inlineStr">
        <is>
          <t xml:space="preserve">2AKL7HHWN59TNYAL0</t>
        </is>
      </c>
      <c r="L89" s="32" t="inlineStr">
        <is>
          <t xml:space="preserve">03 - Supercar</t>
        </is>
      </c>
      <c r="M89" s="35">
        <v>460000</v>
      </c>
      <c r="N89" s="32" t="inlineStr">
        <is>
          <t xml:space="preserve">Personal</t>
        </is>
      </c>
      <c r="O89" s="30" t="inlineStr">
        <is>
          <t xml:space="preserve">Personal - regular use</t>
        </is>
      </c>
      <c r="P89" s="30" t="inlineStr">
        <is>
          <t xml:space="preserve">Under 1,000</t>
        </is>
      </c>
      <c r="Q89" s="30" t="inlineStr">
        <is>
          <t xml:space="preserve">Colorado</t>
        </is>
      </c>
      <c r="R89" s="30" t="inlineStr">
        <is>
          <t xml:space="preserve">80202</t>
        </is>
      </c>
      <c r="S89" s="32" t="inlineStr">
        <is>
          <t xml:space="preserve">Severe convective - hail alley (high)</t>
        </is>
      </c>
      <c r="T89" s="36">
        <f>IF($A89="","",IF($S89="","",IFERROR(INDEX('[1]natural catastrophe'!$D$6:$D$17,MATCH($S89,'[1]natural catastrophe'!$B$6:$B$17,0)),"?")))</f>
      </c>
      <c r="U89" s="30" t="inlineStr">
        <is>
          <t xml:space="preserve">$5,000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8355.21</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CANON-202607-009643</t>
        </is>
      </c>
      <c r="B90" s="46" t="inlineStr">
        <is>
          <t xml:space="preserve">Thaddeus Larsson</t>
        </is>
      </c>
      <c r="C90" s="47">
        <v>46210</v>
      </c>
      <c r="D90" s="48" t="inlineStr">
        <is>
          <t xml:space="preserve">Bound - within authority</t>
        </is>
      </c>
      <c r="E90" s="48" t="inlineStr">
        <is>
          <t xml:space="preserve">New business</t>
        </is>
      </c>
      <c r="F90" s="46" t="inlineStr">
        <is>
          <t xml:space="preserve">B1234EXOTIC26</t>
        </is>
      </c>
      <c r="G90" s="33">
        <f>IF($A90="","",IF($C90="","",YEAR($C90)))</f>
      </c>
      <c r="H90" s="49">
        <v>2016</v>
      </c>
      <c r="I90" s="46" t="inlineStr">
        <is>
          <t xml:space="preserve">Bentley</t>
        </is>
      </c>
      <c r="J90" s="46" t="inlineStr">
        <is>
          <t xml:space="preserve">Continental GT</t>
        </is>
      </c>
      <c r="K90" s="46" t="inlineStr">
        <is>
          <t xml:space="preserve">P62KB9FM1ULJG5Z6Z</t>
        </is>
      </c>
      <c r="L90" s="48" t="inlineStr">
        <is>
          <t xml:space="preserve">02 - Sports / GT</t>
        </is>
      </c>
      <c r="M90" s="50">
        <v>375000</v>
      </c>
      <c r="N90" s="48" t="inlineStr">
        <is>
          <t xml:space="preserve">Personal</t>
        </is>
      </c>
      <c r="O90" s="46" t="inlineStr">
        <is>
          <t xml:space="preserve">Personal - regular use</t>
        </is>
      </c>
      <c r="P90" s="46" t="inlineStr">
        <is>
          <t xml:space="preserve">2,500 - 5,000</t>
        </is>
      </c>
      <c r="Q90" s="46" t="inlineStr">
        <is>
          <t xml:space="preserve">California</t>
        </is>
      </c>
      <c r="R90" s="46" t="inlineStr">
        <is>
          <t xml:space="preserve">90012</t>
        </is>
      </c>
      <c r="S90" s="48" t="inlineStr">
        <is>
          <t xml:space="preserve">Earthquake - high (CA, Cascadia, New Madrid)</t>
        </is>
      </c>
      <c r="T90" s="36">
        <f>IF($A90="","",IF($S90="","",IFERROR(INDEX('[1]natural catastrophe'!$D$6:$D$17,MATCH($S90,'[1]natural catastrophe'!$B$6:$B$17,0)),"?")))</f>
      </c>
      <c r="U90" s="46" t="inlineStr">
        <is>
          <t xml:space="preserve">$5,000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5451.74</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CANON-202607-009645</t>
        </is>
      </c>
      <c r="B91" s="30" t="inlineStr">
        <is>
          <t xml:space="preserve">Saoirse Whitlock</t>
        </is>
      </c>
      <c r="C91" s="31">
        <v>46223</v>
      </c>
      <c r="D91" s="32" t="inlineStr">
        <is>
          <t xml:space="preserve">Bound - within authority</t>
        </is>
      </c>
      <c r="E91" s="32" t="inlineStr">
        <is>
          <t xml:space="preserve">New business</t>
        </is>
      </c>
      <c r="F91" s="30" t="inlineStr">
        <is>
          <t xml:space="preserve">B1234EXOTIC26</t>
        </is>
      </c>
      <c r="G91" s="33">
        <f>IF($A91="","",IF($C91="","",YEAR($C91)))</f>
      </c>
      <c r="H91" s="34">
        <v>2012</v>
      </c>
      <c r="I91" s="30" t="inlineStr">
        <is>
          <t xml:space="preserve">Icon</t>
        </is>
      </c>
      <c r="J91" s="30" t="inlineStr">
        <is>
          <t xml:space="preserve">Derelict</t>
        </is>
      </c>
      <c r="K91" s="30" t="inlineStr">
        <is>
          <t xml:space="preserve">X4NH1LMLSSVDFHD13</t>
        </is>
      </c>
      <c r="L91" s="32" t="inlineStr">
        <is>
          <t xml:space="preserve">11 - Restomod / Coachbuilt / Bespoke</t>
        </is>
      </c>
      <c r="M91" s="35">
        <v>705000</v>
      </c>
      <c r="N91" s="32" t="inlineStr">
        <is>
          <t xml:space="preserve">Personal</t>
        </is>
      </c>
      <c r="O91" s="30" t="inlineStr">
        <is>
          <t xml:space="preserve">Personal - regular use</t>
        </is>
      </c>
      <c r="P91" s="30" t="inlineStr">
        <is>
          <t xml:space="preserve">Under 1,000</t>
        </is>
      </c>
      <c r="Q91" s="30" t="inlineStr">
        <is>
          <t xml:space="preserve">Indiana</t>
        </is>
      </c>
      <c r="R91" s="30" t="inlineStr">
        <is>
          <t xml:space="preserve">46204</t>
        </is>
      </c>
      <c r="S91" s="32" t="inlineStr">
        <is>
          <t xml:space="preserve">Severe convective - hail / tornado (moderate)</t>
        </is>
      </c>
      <c r="T91" s="36">
        <f>IF($A91="","",IF($S91="","",IFERROR(INDEX('[1]natural catastrophe'!$D$6:$D$17,MATCH($S91,'[1]natural catastrophe'!$B$6:$B$17,0)),"?")))</f>
      </c>
      <c r="U91" s="30" t="inlineStr">
        <is>
          <t xml:space="preserve">$5,000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9711.75</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CANON-202607-009646</t>
        </is>
      </c>
      <c r="B92" s="46" t="inlineStr">
        <is>
          <t xml:space="preserve">Priya Fairweather</t>
        </is>
      </c>
      <c r="C92" s="47">
        <v>46204</v>
      </c>
      <c r="D92" s="48" t="inlineStr">
        <is>
          <t xml:space="preserve">Bound - within authority</t>
        </is>
      </c>
      <c r="E92" s="48" t="inlineStr">
        <is>
          <t xml:space="preserve">New business</t>
        </is>
      </c>
      <c r="F92" s="46" t="inlineStr">
        <is>
          <t xml:space="preserve">B1234EXOTIC26</t>
        </is>
      </c>
      <c r="G92" s="33">
        <f>IF($A92="","",IF($C92="","",YEAR($C92)))</f>
      </c>
      <c r="H92" s="49">
        <v>2022</v>
      </c>
      <c r="I92" s="46" t="inlineStr">
        <is>
          <t xml:space="preserve">Alfa Romeo</t>
        </is>
      </c>
      <c r="J92" s="46" t="inlineStr">
        <is>
          <t xml:space="preserve">8C 2900</t>
        </is>
      </c>
      <c r="K92" s="46" t="inlineStr">
        <is>
          <t xml:space="preserve">MZVDABH70HNL1J616</t>
        </is>
      </c>
      <c r="L92" s="48" t="inlineStr">
        <is>
          <t xml:space="preserve">02 - Sports / GT</t>
        </is>
      </c>
      <c r="M92" s="50">
        <v>1180000</v>
      </c>
      <c r="N92" s="48" t="inlineStr">
        <is>
          <t xml:space="preserve">Personal</t>
        </is>
      </c>
      <c r="O92" s="46" t="inlineStr">
        <is>
          <t xml:space="preserve">Personal - regular use</t>
        </is>
      </c>
      <c r="P92" s="46" t="inlineStr">
        <is>
          <t xml:space="preserve">2,500 - 5,000</t>
        </is>
      </c>
      <c r="Q92" s="46" t="inlineStr">
        <is>
          <t xml:space="preserve">New York</t>
        </is>
      </c>
      <c r="R92" s="46" t="inlineStr">
        <is>
          <t xml:space="preserve">10022</t>
        </is>
      </c>
      <c r="S92" s="48" t="inlineStr">
        <is>
          <t xml:space="preserve">Tier 3 - Coastal wind (25-100 miles)</t>
        </is>
      </c>
      <c r="T92" s="36">
        <f>IF($A92="","",IF($S92="","",IFERROR(INDEX('[1]natural catastrophe'!$D$6:$D$17,MATCH($S92,'[1]natural catastrophe'!$B$6:$B$17,0)),"?")))</f>
      </c>
      <c r="U92" s="46" t="inlineStr">
        <is>
          <t xml:space="preserve">2% of agreed value, minimum $10,000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7373.6</v>
      </c>
      <c r="AC92" s="51">
        <v>0</v>
      </c>
      <c r="AD92" s="38">
        <f>IF(ISNUMBER($AB92),$AB92*(1+N($AC92)),"")</f>
      </c>
      <c r="AE92" s="50">
        <v>350</v>
      </c>
      <c r="AF92" s="50">
        <v>250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CANON-202607-009647</t>
        </is>
      </c>
      <c r="B93" s="30" t="inlineStr">
        <is>
          <t xml:space="preserve">Wilhelmina Chattopadhyay</t>
        </is>
      </c>
      <c r="C93" s="31">
        <v>46217</v>
      </c>
      <c r="D93" s="32" t="inlineStr">
        <is>
          <t xml:space="preserve">Bound - within authority</t>
        </is>
      </c>
      <c r="E93" s="32" t="inlineStr">
        <is>
          <t xml:space="preserve">New business</t>
        </is>
      </c>
      <c r="F93" s="30" t="inlineStr">
        <is>
          <t xml:space="preserve">B1234EXOTIC26</t>
        </is>
      </c>
      <c r="G93" s="33">
        <f>IF($A93="","",IF($C93="","",YEAR($C93)))</f>
      </c>
      <c r="H93" s="34">
        <v>1989</v>
      </c>
      <c r="I93" s="30" t="inlineStr">
        <is>
          <t xml:space="preserve">Aston Martin</t>
        </is>
      </c>
      <c r="J93" s="30" t="inlineStr">
        <is>
          <t xml:space="preserve">DB12</t>
        </is>
      </c>
      <c r="K93" s="30" t="inlineStr">
        <is>
          <t xml:space="preserve">U4B62FW89PHDN0888</t>
        </is>
      </c>
      <c r="L93" s="32" t="inlineStr">
        <is>
          <t xml:space="preserve">02 - Sports / GT</t>
        </is>
      </c>
      <c r="M93" s="35">
        <v>435000</v>
      </c>
      <c r="N93" s="32" t="inlineStr">
        <is>
          <t xml:space="preserve">Personal</t>
        </is>
      </c>
      <c r="O93" s="30" t="inlineStr">
        <is>
          <t xml:space="preserve">Personal - regular use</t>
        </is>
      </c>
      <c r="P93" s="30" t="inlineStr">
        <is>
          <t xml:space="preserve">Under 1,000</t>
        </is>
      </c>
      <c r="Q93" s="30" t="inlineStr">
        <is>
          <t xml:space="preserve">Missouri</t>
        </is>
      </c>
      <c r="R93" s="30" t="inlineStr">
        <is>
          <t xml:space="preserve">63101</t>
        </is>
      </c>
      <c r="S93" s="32" t="inlineStr">
        <is>
          <t xml:space="preserve">Severe convective - hail / tornado (moderate)</t>
        </is>
      </c>
      <c r="T93" s="36">
        <f>IF($A93="","",IF($S93="","",IFERROR(INDEX('[1]natural catastrophe'!$D$6:$D$17,MATCH($S93,'[1]natural catastrophe'!$B$6:$B$17,0)),"?")))</f>
      </c>
      <c r="U93" s="30" t="inlineStr">
        <is>
          <t xml:space="preserve">$5,000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4965.52</v>
      </c>
      <c r="AC93" s="37">
        <v>0</v>
      </c>
      <c r="AD93" s="38">
        <f>IF(ISNUMBER($AB93),$AB93*(1+N($AC93)),"")</f>
      </c>
      <c r="AE93" s="35">
        <v>350</v>
      </c>
      <c r="AF93" s="35">
        <v>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CANON-202607-009648</t>
        </is>
      </c>
      <c r="B94" s="46" t="inlineStr">
        <is>
          <t xml:space="preserve">Marisol Ashcombe</t>
        </is>
      </c>
      <c r="C94" s="47">
        <v>46220</v>
      </c>
      <c r="D94" s="48" t="inlineStr">
        <is>
          <t xml:space="preserve">Bound - within authority</t>
        </is>
      </c>
      <c r="E94" s="48" t="inlineStr">
        <is>
          <t xml:space="preserve">New business</t>
        </is>
      </c>
      <c r="F94" s="46" t="inlineStr">
        <is>
          <t xml:space="preserve">B1234EXOTIC26</t>
        </is>
      </c>
      <c r="G94" s="33">
        <f>IF($A94="","",IF($C94="","",YEAR($C94)))</f>
      </c>
      <c r="H94" s="49">
        <v>2023</v>
      </c>
      <c r="I94" s="46" t="inlineStr">
        <is>
          <t xml:space="preserve">Mercedes-Benz</t>
        </is>
      </c>
      <c r="J94" s="46" t="inlineStr">
        <is>
          <t xml:space="preserve">AMG GT</t>
        </is>
      </c>
      <c r="K94" s="46" t="inlineStr">
        <is>
          <t xml:space="preserve">A0SFE5SN78CHHK05T</t>
        </is>
      </c>
      <c r="L94" s="48" t="inlineStr">
        <is>
          <t xml:space="preserve">02 - Sports / GT</t>
        </is>
      </c>
      <c r="M94" s="50">
        <v>960000</v>
      </c>
      <c r="N94" s="48" t="inlineStr">
        <is>
          <t xml:space="preserve">Personal</t>
        </is>
      </c>
      <c r="O94" s="46" t="inlineStr">
        <is>
          <t xml:space="preserve">Personal - regular use</t>
        </is>
      </c>
      <c r="P94" s="46" t="inlineStr">
        <is>
          <t xml:space="preserve">1,000 - 2,500</t>
        </is>
      </c>
      <c r="Q94" s="46" t="inlineStr">
        <is>
          <t xml:space="preserve">Oklahoma</t>
        </is>
      </c>
      <c r="R94" s="46" t="inlineStr">
        <is>
          <t xml:space="preserve">73102</t>
        </is>
      </c>
      <c r="S94" s="48" t="inlineStr">
        <is>
          <t xml:space="preserve">Severe convective - hail alley (high)</t>
        </is>
      </c>
      <c r="T94" s="36">
        <f>IF($A94="","",IF($S94="","",IFERROR(INDEX('[1]natural catastrophe'!$D$6:$D$17,MATCH($S94,'[1]natural catastrophe'!$B$6:$B$17,0)),"?")))</f>
      </c>
      <c r="U94" s="46" t="inlineStr">
        <is>
          <t xml:space="preserve">$5,000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11289.22</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CANON-202607-009649</t>
        </is>
      </c>
      <c r="B95" s="30" t="inlineStr">
        <is>
          <t xml:space="preserve">Everett Thistlewood</t>
        </is>
      </c>
      <c r="C95" s="31">
        <v>46223</v>
      </c>
      <c r="D95" s="32" t="inlineStr">
        <is>
          <t xml:space="preserve">Bound - within authority</t>
        </is>
      </c>
      <c r="E95" s="32" t="inlineStr">
        <is>
          <t xml:space="preserve">New business</t>
        </is>
      </c>
      <c r="F95" s="30" t="inlineStr">
        <is>
          <t xml:space="preserve">B1234EXOTIC26</t>
        </is>
      </c>
      <c r="G95" s="33">
        <f>IF($A95="","",IF($C95="","",YEAR($C95)))</f>
      </c>
      <c r="H95" s="34">
        <v>1991</v>
      </c>
      <c r="I95" s="30" t="inlineStr">
        <is>
          <t xml:space="preserve">Jaguar</t>
        </is>
      </c>
      <c r="J95" s="30" t="inlineStr">
        <is>
          <t xml:space="preserve">E-Type Series 1</t>
        </is>
      </c>
      <c r="K95" s="30" t="inlineStr">
        <is>
          <t xml:space="preserve">A9LR8P3WE955G1K5H</t>
        </is>
      </c>
      <c r="L95" s="32" t="inlineStr">
        <is>
          <t xml:space="preserve">08 - Modern Classic (1973-1999)</t>
        </is>
      </c>
      <c r="M95" s="35">
        <v>240000</v>
      </c>
      <c r="N95" s="32" t="inlineStr">
        <is>
          <t xml:space="preserve">Personal</t>
        </is>
      </c>
      <c r="O95" s="30" t="inlineStr">
        <is>
          <t xml:space="preserve">Personal - regular use</t>
        </is>
      </c>
      <c r="P95" s="30" t="inlineStr">
        <is>
          <t xml:space="preserve">2,500 - 5,000</t>
        </is>
      </c>
      <c r="Q95" s="30" t="inlineStr">
        <is>
          <t xml:space="preserve">Michigan</t>
        </is>
      </c>
      <c r="R95" s="30" t="inlineStr">
        <is>
          <t xml:space="preserve">48226</t>
        </is>
      </c>
      <c r="S95" s="32" t="inlineStr">
        <is>
          <t xml:space="preserve">Severe convective - hail / tornado (moderate)</t>
        </is>
      </c>
      <c r="T95" s="36">
        <f>IF($A95="","",IF($S95="","",IFERROR(INDEX('[1]natural catastrophe'!$D$6:$D$17,MATCH($S95,'[1]natural catastrophe'!$B$6:$B$17,0)),"?")))</f>
      </c>
      <c r="U95" s="30" t="inlineStr">
        <is>
          <t xml:space="preserve">$5,000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3044.57</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CANON-202607-009650</t>
        </is>
      </c>
      <c r="B96" s="46" t="inlineStr">
        <is>
          <t xml:space="preserve">Ingrid Vandermeer</t>
        </is>
      </c>
      <c r="C96" s="47">
        <v>46222</v>
      </c>
      <c r="D96" s="48" t="inlineStr">
        <is>
          <t xml:space="preserve">Bound - within authority</t>
        </is>
      </c>
      <c r="E96" s="48" t="inlineStr">
        <is>
          <t xml:space="preserve">New business</t>
        </is>
      </c>
      <c r="F96" s="46" t="inlineStr">
        <is>
          <t xml:space="preserve">B1234EXOTIC26</t>
        </is>
      </c>
      <c r="G96" s="33">
        <f>IF($A96="","",IF($C96="","",YEAR($C96)))</f>
      </c>
      <c r="H96" s="49">
        <v>2002</v>
      </c>
      <c r="I96" s="46" t="inlineStr">
        <is>
          <t xml:space="preserve">BMW</t>
        </is>
      </c>
      <c r="J96" s="46" t="inlineStr">
        <is>
          <t xml:space="preserve">M8 Competition</t>
        </is>
      </c>
      <c r="K96" s="46" t="inlineStr">
        <is>
          <t xml:space="preserve">GTAKB4FB6JYWU1HNV</t>
        </is>
      </c>
      <c r="L96" s="48" t="inlineStr">
        <is>
          <t xml:space="preserve">02 - Sports / GT</t>
        </is>
      </c>
      <c r="M96" s="50">
        <v>1100000</v>
      </c>
      <c r="N96" s="48" t="inlineStr">
        <is>
          <t xml:space="preserve">Personal</t>
        </is>
      </c>
      <c r="O96" s="46" t="inlineStr">
        <is>
          <t xml:space="preserve">Personal - regular use</t>
        </is>
      </c>
      <c r="P96" s="46" t="inlineStr">
        <is>
          <t xml:space="preserve">1,000 - 2,500</t>
        </is>
      </c>
      <c r="Q96" s="46" t="inlineStr">
        <is>
          <t xml:space="preserve">Washington</t>
        </is>
      </c>
      <c r="R96" s="46" t="inlineStr">
        <is>
          <t xml:space="preserve">98101</t>
        </is>
      </c>
      <c r="S96" s="48" t="inlineStr">
        <is>
          <t xml:space="preserve">Earthquake - high (CA, Cascadia, New Madrid)</t>
        </is>
      </c>
      <c r="T96" s="36">
        <f>IF($A96="","",IF($S96="","",IFERROR(INDEX('[1]natural catastrophe'!$D$6:$D$17,MATCH($S96,'[1]natural catastrophe'!$B$6:$B$17,0)),"?")))</f>
      </c>
      <c r="U96" s="46" t="inlineStr">
        <is>
          <t xml:space="preserve">$5,000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8339.41</v>
      </c>
      <c r="AC96" s="51">
        <v>0</v>
      </c>
      <c r="AD96" s="38">
        <f>IF(ISNUMBER($AB96),$AB96*(1+N($AC96)),"")</f>
      </c>
      <c r="AE96" s="50">
        <v>350</v>
      </c>
      <c r="AF96" s="50">
        <v>250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CANON-202607-009651</t>
        </is>
      </c>
      <c r="B97" s="30" t="inlineStr">
        <is>
          <t xml:space="preserve">Delphine Delacroix</t>
        </is>
      </c>
      <c r="C97" s="31">
        <v>46224</v>
      </c>
      <c r="D97" s="32" t="inlineStr">
        <is>
          <t xml:space="preserve">Bound - within authority</t>
        </is>
      </c>
      <c r="E97" s="32" t="inlineStr">
        <is>
          <t xml:space="preserve">New business</t>
        </is>
      </c>
      <c r="F97" s="30" t="inlineStr">
        <is>
          <t xml:space="preserve">B1234EXOTIC26</t>
        </is>
      </c>
      <c r="G97" s="33">
        <f>IF($A97="","",IF($C97="","",YEAR($C97)))</f>
      </c>
      <c r="H97" s="34">
        <v>2020</v>
      </c>
      <c r="I97" s="30" t="inlineStr">
        <is>
          <t xml:space="preserve">Aston Martin</t>
        </is>
      </c>
      <c r="J97" s="30" t="inlineStr">
        <is>
          <t xml:space="preserve">DB12</t>
        </is>
      </c>
      <c r="K97" s="30" t="inlineStr">
        <is>
          <t xml:space="preserve">UACWNA3P756M2D1H9</t>
        </is>
      </c>
      <c r="L97" s="32" t="inlineStr">
        <is>
          <t xml:space="preserve">02 - Sports / GT</t>
        </is>
      </c>
      <c r="M97" s="35">
        <v>1950000</v>
      </c>
      <c r="N97" s="32" t="inlineStr">
        <is>
          <t xml:space="preserve">Personal</t>
        </is>
      </c>
      <c r="O97" s="30" t="inlineStr">
        <is>
          <t xml:space="preserve">Personal - regular use</t>
        </is>
      </c>
      <c r="P97" s="30" t="inlineStr">
        <is>
          <t xml:space="preserve">Under 1,000</t>
        </is>
      </c>
      <c r="Q97" s="30" t="inlineStr">
        <is>
          <t xml:space="preserve">Nevada</t>
        </is>
      </c>
      <c r="R97" s="30" t="inlineStr">
        <is>
          <t xml:space="preserve">89101</t>
        </is>
      </c>
      <c r="S97" s="32" t="inlineStr">
        <is>
          <t xml:space="preserve">Wildfire - WUI high hazard</t>
        </is>
      </c>
      <c r="T97" s="36">
        <f>IF($A97="","",IF($S97="","",IFERROR(INDEX('[1]natural catastrophe'!$D$6:$D$17,MATCH($S97,'[1]natural catastrophe'!$B$6:$B$17,0)),"?")))</f>
      </c>
      <c r="U97" s="30" t="inlineStr">
        <is>
          <t xml:space="preserve">$5,000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18017.39</v>
      </c>
      <c r="AC97" s="37">
        <v>0</v>
      </c>
      <c r="AD97" s="38">
        <f>IF(ISNUMBER($AB97),$AB97*(1+N($AC97)),"")</f>
      </c>
      <c r="AE97" s="35">
        <v>350</v>
      </c>
      <c r="AF97" s="35">
        <v>250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CANON-202607-009652</t>
        </is>
      </c>
      <c r="B98" s="46" t="inlineStr">
        <is>
          <t xml:space="preserve">Leopold Bellandi</t>
        </is>
      </c>
      <c r="C98" s="47">
        <v>46217</v>
      </c>
      <c r="D98" s="48" t="inlineStr">
        <is>
          <t xml:space="preserve">Bound - within authority</t>
        </is>
      </c>
      <c r="E98" s="48" t="inlineStr">
        <is>
          <t xml:space="preserve">New business</t>
        </is>
      </c>
      <c r="F98" s="46" t="inlineStr">
        <is>
          <t xml:space="preserve">B1234EXOTIC26</t>
        </is>
      </c>
      <c r="G98" s="33">
        <f>IF($A98="","",IF($C98="","",YEAR($C98)))</f>
      </c>
      <c r="H98" s="49">
        <v>1997</v>
      </c>
      <c r="I98" s="46" t="inlineStr">
        <is>
          <t xml:space="preserve">Ferrari</t>
        </is>
      </c>
      <c r="J98" s="46" t="inlineStr">
        <is>
          <t xml:space="preserve">275 GTB/4</t>
        </is>
      </c>
      <c r="K98" s="46" t="inlineStr">
        <is>
          <t xml:space="preserve">M9PBBBFX58V7D1EV8</t>
        </is>
      </c>
      <c r="L98" s="48" t="inlineStr">
        <is>
          <t xml:space="preserve">08 - Modern Classic (1973-1999)</t>
        </is>
      </c>
      <c r="M98" s="50">
        <v>915000</v>
      </c>
      <c r="N98" s="48" t="inlineStr">
        <is>
          <t xml:space="preserve">Personal</t>
        </is>
      </c>
      <c r="O98" s="46" t="inlineStr">
        <is>
          <t xml:space="preserve">Personal - regular use</t>
        </is>
      </c>
      <c r="P98" s="46" t="inlineStr">
        <is>
          <t xml:space="preserve">Under 1,000</t>
        </is>
      </c>
      <c r="Q98" s="46" t="inlineStr">
        <is>
          <t xml:space="preserve">Michigan</t>
        </is>
      </c>
      <c r="R98" s="46" t="inlineStr">
        <is>
          <t xml:space="preserve">48226</t>
        </is>
      </c>
      <c r="S98" s="48" t="inlineStr">
        <is>
          <t xml:space="preserve">Severe convective - hail / tornado (moderate)</t>
        </is>
      </c>
      <c r="T98" s="36">
        <f>IF($A98="","",IF($S98="","",IFERROR(INDEX('[1]natural catastrophe'!$D$6:$D$17,MATCH($S98,'[1]natural catastrophe'!$B$6:$B$17,0)),"?")))</f>
      </c>
      <c r="U98" s="46" t="inlineStr">
        <is>
          <t xml:space="preserve">$5,000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8756.49</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CANON-202607-009654</t>
        </is>
      </c>
      <c r="B99" s="30" t="inlineStr">
        <is>
          <t xml:space="preserve">Delphine Nakashima</t>
        </is>
      </c>
      <c r="C99" s="31">
        <v>46214</v>
      </c>
      <c r="D99" s="32" t="inlineStr">
        <is>
          <t xml:space="preserve">Bound - within authority</t>
        </is>
      </c>
      <c r="E99" s="32" t="inlineStr">
        <is>
          <t xml:space="preserve">New business</t>
        </is>
      </c>
      <c r="F99" s="30" t="inlineStr">
        <is>
          <t xml:space="preserve">B1234EXOTIC26</t>
        </is>
      </c>
      <c r="G99" s="33">
        <f>IF($A99="","",IF($C99="","",YEAR($C99)))</f>
      </c>
      <c r="H99" s="34">
        <v>2012</v>
      </c>
      <c r="I99" s="30" t="inlineStr">
        <is>
          <t xml:space="preserve">Maserati</t>
        </is>
      </c>
      <c r="J99" s="30" t="inlineStr">
        <is>
          <t xml:space="preserve">GranTurismo</t>
        </is>
      </c>
      <c r="K99" s="30" t="inlineStr">
        <is>
          <t xml:space="preserve">MHHPJPZPZWJ744FJ6</t>
        </is>
      </c>
      <c r="L99" s="32" t="inlineStr">
        <is>
          <t xml:space="preserve">02 - Sports / GT</t>
        </is>
      </c>
      <c r="M99" s="35">
        <v>625000</v>
      </c>
      <c r="N99" s="32" t="inlineStr">
        <is>
          <t xml:space="preserve">Personal</t>
        </is>
      </c>
      <c r="O99" s="30" t="inlineStr">
        <is>
          <t xml:space="preserve">Personal - regular use</t>
        </is>
      </c>
      <c r="P99" s="30" t="inlineStr">
        <is>
          <t xml:space="preserve">1,000 - 2,500</t>
        </is>
      </c>
      <c r="Q99" s="30" t="inlineStr">
        <is>
          <t xml:space="preserve">Texas</t>
        </is>
      </c>
      <c r="R99" s="30" t="inlineStr">
        <is>
          <t xml:space="preserve">75201</t>
        </is>
      </c>
      <c r="S99" s="32" t="inlineStr">
        <is>
          <t xml:space="preserve">Tier 2 - Coastal wind (1-25 miles)</t>
        </is>
      </c>
      <c r="T99" s="36">
        <f>IF($A99="","",IF($S99="","",IFERROR(INDEX('[1]natural catastrophe'!$D$6:$D$17,MATCH($S99,'[1]natural catastrophe'!$B$6:$B$17,0)),"?")))</f>
      </c>
      <c r="U99" s="30" t="inlineStr">
        <is>
          <t xml:space="preserve">2% of agreed value, minimum $10,000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6708.11</v>
      </c>
      <c r="AC99" s="37">
        <v>0</v>
      </c>
      <c r="AD99" s="38">
        <f>IF(ISNUMBER($AB99),$AB99*(1+N($AC99)),"")</f>
      </c>
      <c r="AE99" s="35">
        <v>350</v>
      </c>
      <c r="AF99" s="35">
        <v>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CANON-202607-009655</t>
        </is>
      </c>
      <c r="B100" s="46" t="inlineStr">
        <is>
          <t xml:space="preserve">Ottilie Kingsford</t>
        </is>
      </c>
      <c r="C100" s="47">
        <v>46207</v>
      </c>
      <c r="D100" s="48" t="inlineStr">
        <is>
          <t xml:space="preserve">Bound - within authority</t>
        </is>
      </c>
      <c r="E100" s="48" t="inlineStr">
        <is>
          <t xml:space="preserve">New business</t>
        </is>
      </c>
      <c r="F100" s="46" t="inlineStr">
        <is>
          <t xml:space="preserve">B1234EXOTIC26</t>
        </is>
      </c>
      <c r="G100" s="33">
        <f>IF($A100="","",IF($C100="","",YEAR($C100)))</f>
      </c>
      <c r="H100" s="49">
        <v>1979</v>
      </c>
      <c r="I100" s="46" t="inlineStr">
        <is>
          <t xml:space="preserve">Bentley</t>
        </is>
      </c>
      <c r="J100" s="46" t="inlineStr">
        <is>
          <t xml:space="preserve">Continental GT</t>
        </is>
      </c>
      <c r="K100" s="46" t="inlineStr">
        <is>
          <t xml:space="preserve">WG8W7D1U7H9UM0BWF</t>
        </is>
      </c>
      <c r="L100" s="48" t="inlineStr">
        <is>
          <t xml:space="preserve">02 - Sports / GT</t>
        </is>
      </c>
      <c r="M100" s="50">
        <v>780000</v>
      </c>
      <c r="N100" s="48" t="inlineStr">
        <is>
          <t xml:space="preserve">Personal</t>
        </is>
      </c>
      <c r="O100" s="46" t="inlineStr">
        <is>
          <t xml:space="preserve">Personal - regular use</t>
        </is>
      </c>
      <c r="P100" s="46" t="inlineStr">
        <is>
          <t xml:space="preserve">1,000 - 2,500</t>
        </is>
      </c>
      <c r="Q100" s="46" t="inlineStr">
        <is>
          <t xml:space="preserve">Alabama</t>
        </is>
      </c>
      <c r="R100" s="46" t="inlineStr">
        <is>
          <t xml:space="preserve">35203</t>
        </is>
      </c>
      <c r="S100" s="48" t="inlineStr">
        <is>
          <t xml:space="preserve">Tier 2 - Coastal wind (1-25 miles)</t>
        </is>
      </c>
      <c r="T100" s="36">
        <f>IF($A100="","",IF($S100="","",IFERROR(INDEX('[1]natural catastrophe'!$D$6:$D$17,MATCH($S100,'[1]natural catastrophe'!$B$6:$B$17,0)),"?")))</f>
      </c>
      <c r="U100" s="46" t="inlineStr">
        <is>
          <t xml:space="preserve">2% of agreed value, minimum $10,000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9245.29</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CANON-202607-009657</t>
        </is>
      </c>
      <c r="B101" s="30" t="inlineStr">
        <is>
          <t xml:space="preserve">Priya Underwood</t>
        </is>
      </c>
      <c r="C101" s="31">
        <v>46213</v>
      </c>
      <c r="D101" s="32" t="inlineStr">
        <is>
          <t xml:space="preserve">Bound - within authority</t>
        </is>
      </c>
      <c r="E101" s="32" t="inlineStr">
        <is>
          <t xml:space="preserve">New business</t>
        </is>
      </c>
      <c r="F101" s="30" t="inlineStr">
        <is>
          <t xml:space="preserve">B1234EXOTIC26</t>
        </is>
      </c>
      <c r="G101" s="33">
        <f>IF($A101="","",IF($C101="","",YEAR($C101)))</f>
      </c>
      <c r="H101" s="34">
        <v>2019</v>
      </c>
      <c r="I101" s="30" t="inlineStr">
        <is>
          <t xml:space="preserve">BMW</t>
        </is>
      </c>
      <c r="J101" s="30" t="inlineStr">
        <is>
          <t xml:space="preserve">M8 Competition</t>
        </is>
      </c>
      <c r="K101" s="30" t="inlineStr">
        <is>
          <t xml:space="preserve">1UWZBANWMUPH8JCFK</t>
        </is>
      </c>
      <c r="L101" s="32" t="inlineStr">
        <is>
          <t xml:space="preserve">02 - Sports / GT</t>
        </is>
      </c>
      <c r="M101" s="35">
        <v>380000</v>
      </c>
      <c r="N101" s="32" t="inlineStr">
        <is>
          <t xml:space="preserve">Personal</t>
        </is>
      </c>
      <c r="O101" s="30" t="inlineStr">
        <is>
          <t xml:space="preserve">Personal - regular use</t>
        </is>
      </c>
      <c r="P101" s="30" t="inlineStr">
        <is>
          <t xml:space="preserve">1,000 - 2,500</t>
        </is>
      </c>
      <c r="Q101" s="30" t="inlineStr">
        <is>
          <t xml:space="preserve">Rhode Island</t>
        </is>
      </c>
      <c r="R101" s="30" t="inlineStr">
        <is>
          <t xml:space="preserve">02903</t>
        </is>
      </c>
      <c r="S101" s="32" t="inlineStr">
        <is>
          <t xml:space="preserve">Tier 3 - Coastal wind (25-100 miles)</t>
        </is>
      </c>
      <c r="T101" s="36">
        <f>IF($A101="","",IF($S101="","",IFERROR(INDEX('[1]natural catastrophe'!$D$6:$D$17,MATCH($S101,'[1]natural catastrophe'!$B$6:$B$17,0)),"?")))</f>
      </c>
      <c r="U101" s="30" t="inlineStr">
        <is>
          <t xml:space="preserve">2% of agreed value, minimum $10,000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5606.27</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CANON-202607-009658</t>
        </is>
      </c>
      <c r="B102" s="46" t="inlineStr">
        <is>
          <t xml:space="preserve">Anouk Okonkwo</t>
        </is>
      </c>
      <c r="C102" s="47">
        <v>46232</v>
      </c>
      <c r="D102" s="48" t="inlineStr">
        <is>
          <t xml:space="preserve">Bound - within authority</t>
        </is>
      </c>
      <c r="E102" s="48" t="inlineStr">
        <is>
          <t xml:space="preserve">New business</t>
        </is>
      </c>
      <c r="F102" s="46" t="inlineStr">
        <is>
          <t xml:space="preserve">B1234EXOTIC26</t>
        </is>
      </c>
      <c r="G102" s="33">
        <f>IF($A102="","",IF($C102="","",YEAR($C102)))</f>
      </c>
      <c r="H102" s="49">
        <v>1995</v>
      </c>
      <c r="I102" s="46" t="inlineStr">
        <is>
          <t xml:space="preserve">Bentley</t>
        </is>
      </c>
      <c r="J102" s="46" t="inlineStr">
        <is>
          <t xml:space="preserve">Continental GT</t>
        </is>
      </c>
      <c r="K102" s="46" t="inlineStr">
        <is>
          <t xml:space="preserve">X4VEDVYJA0LMVNU2M</t>
        </is>
      </c>
      <c r="L102" s="48" t="inlineStr">
        <is>
          <t xml:space="preserve">02 - Sports / GT</t>
        </is>
      </c>
      <c r="M102" s="50">
        <v>565000</v>
      </c>
      <c r="N102" s="48" t="inlineStr">
        <is>
          <t xml:space="preserve">Personal</t>
        </is>
      </c>
      <c r="O102" s="46" t="inlineStr">
        <is>
          <t xml:space="preserve">Personal - regular use</t>
        </is>
      </c>
      <c r="P102" s="46" t="inlineStr">
        <is>
          <t xml:space="preserve">1,000 - 2,500</t>
        </is>
      </c>
      <c r="Q102" s="46" t="inlineStr">
        <is>
          <t xml:space="preserve">New York</t>
        </is>
      </c>
      <c r="R102" s="46" t="inlineStr">
        <is>
          <t xml:space="preserve">10022</t>
        </is>
      </c>
      <c r="S102" s="48" t="inlineStr">
        <is>
          <t xml:space="preserve">Tier 3 - Coastal wind (25-100 miles)</t>
        </is>
      </c>
      <c r="T102" s="36">
        <f>IF($A102="","",IF($S102="","",IFERROR(INDEX('[1]natural catastrophe'!$D$6:$D$17,MATCH($S102,'[1]natural catastrophe'!$B$6:$B$17,0)),"?")))</f>
      </c>
      <c r="U102" s="46" t="inlineStr">
        <is>
          <t xml:space="preserve">2% of agreed value, minimum $10,000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6749.64</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CANON-202607-009659</t>
        </is>
      </c>
      <c r="B103" s="30" t="inlineStr">
        <is>
          <t xml:space="preserve">Sunniva Nakashima</t>
        </is>
      </c>
      <c r="C103" s="31">
        <v>46219</v>
      </c>
      <c r="D103" s="32" t="inlineStr">
        <is>
          <t xml:space="preserve">Bound - within authority</t>
        </is>
      </c>
      <c r="E103" s="32" t="inlineStr">
        <is>
          <t xml:space="preserve">New business</t>
        </is>
      </c>
      <c r="F103" s="30" t="inlineStr">
        <is>
          <t xml:space="preserve">B1234EXOTIC26</t>
        </is>
      </c>
      <c r="G103" s="33">
        <f>IF($A103="","",IF($C103="","",YEAR($C103)))</f>
      </c>
      <c r="H103" s="34">
        <v>1985</v>
      </c>
      <c r="I103" s="30" t="inlineStr">
        <is>
          <t xml:space="preserve">Jaguar</t>
        </is>
      </c>
      <c r="J103" s="30" t="inlineStr">
        <is>
          <t xml:space="preserve">E-Type Series 1</t>
        </is>
      </c>
      <c r="K103" s="30" t="inlineStr">
        <is>
          <t xml:space="preserve">EYSSUM00URH2FKEWV</t>
        </is>
      </c>
      <c r="L103" s="32" t="inlineStr">
        <is>
          <t xml:space="preserve">08 - Modern Classic (1973-1999)</t>
        </is>
      </c>
      <c r="M103" s="35">
        <v>1715000</v>
      </c>
      <c r="N103" s="32" t="inlineStr">
        <is>
          <t xml:space="preserve">Personal</t>
        </is>
      </c>
      <c r="O103" s="30" t="inlineStr">
        <is>
          <t xml:space="preserve">Personal - regular use</t>
        </is>
      </c>
      <c r="P103" s="30" t="inlineStr">
        <is>
          <t xml:space="preserve">1,000 - 2,500</t>
        </is>
      </c>
      <c r="Q103" s="30" t="inlineStr">
        <is>
          <t xml:space="preserve">Oregon</t>
        </is>
      </c>
      <c r="R103" s="30" t="inlineStr">
        <is>
          <t xml:space="preserve">97204</t>
        </is>
      </c>
      <c r="S103" s="32" t="inlineStr">
        <is>
          <t xml:space="preserve">Earthquake - high (CA, Cascadia, New Madrid)</t>
        </is>
      </c>
      <c r="T103" s="36">
        <f>IF($A103="","",IF($S103="","",IFERROR(INDEX('[1]natural catastrophe'!$D$6:$D$17,MATCH($S103,'[1]natural catastrophe'!$B$6:$B$17,0)),"?")))</f>
      </c>
      <c r="U103" s="30" t="inlineStr">
        <is>
          <t xml:space="preserve">$5,000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10573.9</v>
      </c>
      <c r="AC103" s="37">
        <v>0</v>
      </c>
      <c r="AD103" s="38">
        <f>IF(ISNUMBER($AB103),$AB103*(1+N($AC103)),"")</f>
      </c>
      <c r="AE103" s="35">
        <v>350</v>
      </c>
      <c r="AF103" s="35">
        <v>250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CANON-202607-009663</t>
        </is>
      </c>
      <c r="B104" s="46" t="inlineStr">
        <is>
          <t xml:space="preserve">Mireille Okonkwo</t>
        </is>
      </c>
      <c r="C104" s="47">
        <v>46215</v>
      </c>
      <c r="D104" s="48" t="inlineStr">
        <is>
          <t xml:space="preserve">Bound - within authority</t>
        </is>
      </c>
      <c r="E104" s="48" t="inlineStr">
        <is>
          <t xml:space="preserve">New business</t>
        </is>
      </c>
      <c r="F104" s="46" t="inlineStr">
        <is>
          <t xml:space="preserve">B1234EXOTIC26</t>
        </is>
      </c>
      <c r="G104" s="33">
        <f>IF($A104="","",IF($C104="","",YEAR($C104)))</f>
      </c>
      <c r="H104" s="49">
        <v>2005</v>
      </c>
      <c r="I104" s="46" t="inlineStr">
        <is>
          <t xml:space="preserve">Lamborghini</t>
        </is>
      </c>
      <c r="J104" s="46" t="inlineStr">
        <is>
          <t xml:space="preserve">Huracan EVO</t>
        </is>
      </c>
      <c r="K104" s="46" t="inlineStr">
        <is>
          <t xml:space="preserve">FDPE4H2B3U9E1X3FK</t>
        </is>
      </c>
      <c r="L104" s="48" t="inlineStr">
        <is>
          <t xml:space="preserve">03 - Supercar</t>
        </is>
      </c>
      <c r="M104" s="50">
        <v>550000</v>
      </c>
      <c r="N104" s="48" t="inlineStr">
        <is>
          <t xml:space="preserve">Personal</t>
        </is>
      </c>
      <c r="O104" s="46" t="inlineStr">
        <is>
          <t xml:space="preserve">Personal - regular use</t>
        </is>
      </c>
      <c r="P104" s="46" t="inlineStr">
        <is>
          <t xml:space="preserve">2,500 - 5,000</t>
        </is>
      </c>
      <c r="Q104" s="46" t="inlineStr">
        <is>
          <t xml:space="preserve">Michigan</t>
        </is>
      </c>
      <c r="R104" s="46" t="inlineStr">
        <is>
          <t xml:space="preserve">48226</t>
        </is>
      </c>
      <c r="S104" s="48" t="inlineStr">
        <is>
          <t xml:space="preserve">Severe convective - hail / tornado (moderate)</t>
        </is>
      </c>
      <c r="T104" s="36">
        <f>IF($A104="","",IF($S104="","",IFERROR(INDEX('[1]natural catastrophe'!$D$6:$D$17,MATCH($S104,'[1]natural catastrophe'!$B$6:$B$17,0)),"?")))</f>
      </c>
      <c r="U104" s="46" t="inlineStr">
        <is>
          <t xml:space="preserve">$5,000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11628.58</v>
      </c>
      <c r="AC104" s="51">
        <v>0</v>
      </c>
      <c r="AD104" s="38">
        <f>IF(ISNUMBER($AB104),$AB104*(1+N($AC104)),"")</f>
      </c>
      <c r="AE104" s="50">
        <v>350</v>
      </c>
      <c r="AF104" s="50">
        <v>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CANON-202607-009664</t>
        </is>
      </c>
      <c r="B105" s="30" t="inlineStr">
        <is>
          <t xml:space="preserve">Mireille Delacroix</t>
        </is>
      </c>
      <c r="C105" s="31">
        <v>46227</v>
      </c>
      <c r="D105" s="32" t="inlineStr">
        <is>
          <t xml:space="preserve">Bound - within authority</t>
        </is>
      </c>
      <c r="E105" s="32" t="inlineStr">
        <is>
          <t xml:space="preserve">New business</t>
        </is>
      </c>
      <c r="F105" s="30" t="inlineStr">
        <is>
          <t xml:space="preserve">B1234EXOTIC26</t>
        </is>
      </c>
      <c r="G105" s="33">
        <f>IF($A105="","",IF($C105="","",YEAR($C105)))</f>
      </c>
      <c r="H105" s="34">
        <v>2012</v>
      </c>
      <c r="I105" s="30" t="inlineStr">
        <is>
          <t xml:space="preserve">Ferrari</t>
        </is>
      </c>
      <c r="J105" s="30" t="inlineStr">
        <is>
          <t xml:space="preserve">SF90 Stradale</t>
        </is>
      </c>
      <c r="K105" s="30" t="inlineStr">
        <is>
          <t xml:space="preserve">R7ZM6LMEL98UTN0E2</t>
        </is>
      </c>
      <c r="L105" s="32" t="inlineStr">
        <is>
          <t xml:space="preserve">03 - Supercar</t>
        </is>
      </c>
      <c r="M105" s="35">
        <v>1200000</v>
      </c>
      <c r="N105" s="32" t="inlineStr">
        <is>
          <t xml:space="preserve">Personal</t>
        </is>
      </c>
      <c r="O105" s="30" t="inlineStr">
        <is>
          <t xml:space="preserve">Personal - regular use</t>
        </is>
      </c>
      <c r="P105" s="30" t="inlineStr">
        <is>
          <t xml:space="preserve">1,000 - 2,500</t>
        </is>
      </c>
      <c r="Q105" s="30" t="inlineStr">
        <is>
          <t xml:space="preserve">Massachusetts</t>
        </is>
      </c>
      <c r="R105" s="30" t="inlineStr">
        <is>
          <t xml:space="preserve">02108</t>
        </is>
      </c>
      <c r="S105" s="32" t="inlineStr">
        <is>
          <t xml:space="preserve">Tier 3 - Coastal wind (25-100 miles)</t>
        </is>
      </c>
      <c r="T105" s="36">
        <f>IF($A105="","",IF($S105="","",IFERROR(INDEX('[1]natural catastrophe'!$D$6:$D$17,MATCH($S105,'[1]natural catastrophe'!$B$6:$B$17,0)),"?")))</f>
      </c>
      <c r="U105" s="30" t="inlineStr">
        <is>
          <t xml:space="preserve">2% of agreed value, minimum $10,000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17230.19</v>
      </c>
      <c r="AC105" s="37">
        <v>0</v>
      </c>
      <c r="AD105" s="38">
        <f>IF(ISNUMBER($AB105),$AB105*(1+N($AC105)),"")</f>
      </c>
      <c r="AE105" s="35">
        <v>350</v>
      </c>
      <c r="AF105" s="35">
        <v>250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CANON-202607-009665</t>
        </is>
      </c>
      <c r="B106" s="46" t="inlineStr">
        <is>
          <t xml:space="preserve">Leopold Thistlewood</t>
        </is>
      </c>
      <c r="C106" s="47">
        <v>46213</v>
      </c>
      <c r="D106" s="48" t="inlineStr">
        <is>
          <t xml:space="preserve">Bound - within authority</t>
        </is>
      </c>
      <c r="E106" s="48" t="inlineStr">
        <is>
          <t xml:space="preserve">New business</t>
        </is>
      </c>
      <c r="F106" s="46" t="inlineStr">
        <is>
          <t xml:space="preserve">B1234EXOTIC26</t>
        </is>
      </c>
      <c r="G106" s="33">
        <f>IF($A106="","",IF($C106="","",YEAR($C106)))</f>
      </c>
      <c r="H106" s="49">
        <v>2007</v>
      </c>
      <c r="I106" s="46" t="inlineStr">
        <is>
          <t xml:space="preserve">Mercedes-Benz</t>
        </is>
      </c>
      <c r="J106" s="46" t="inlineStr">
        <is>
          <t xml:space="preserve">280SL Pagoda</t>
        </is>
      </c>
      <c r="K106" s="46" t="inlineStr">
        <is>
          <t xml:space="preserve">9W2B1923X3A62UK6P</t>
        </is>
      </c>
      <c r="L106" s="48" t="inlineStr">
        <is>
          <t xml:space="preserve">09 - Youngtimer / Collectible (2000-2010)</t>
        </is>
      </c>
      <c r="M106" s="50">
        <v>1265000</v>
      </c>
      <c r="N106" s="48" t="inlineStr">
        <is>
          <t xml:space="preserve">Personal</t>
        </is>
      </c>
      <c r="O106" s="46" t="inlineStr">
        <is>
          <t xml:space="preserve">Personal - regular use</t>
        </is>
      </c>
      <c r="P106" s="46" t="inlineStr">
        <is>
          <t xml:space="preserve">2,500 - 5,000</t>
        </is>
      </c>
      <c r="Q106" s="46" t="inlineStr">
        <is>
          <t xml:space="preserve">Utah</t>
        </is>
      </c>
      <c r="R106" s="46" t="inlineStr">
        <is>
          <t xml:space="preserve">84101</t>
        </is>
      </c>
      <c r="S106" s="48" t="inlineStr">
        <is>
          <t xml:space="preserve">Wildfire - WUI high hazard</t>
        </is>
      </c>
      <c r="T106" s="36">
        <f>IF($A106="","",IF($S106="","",IFERROR(INDEX('[1]natural catastrophe'!$D$6:$D$17,MATCH($S106,'[1]natural catastrophe'!$B$6:$B$17,0)),"?")))</f>
      </c>
      <c r="U106" s="46" t="inlineStr">
        <is>
          <t xml:space="preserve">$5,000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9317.87</v>
      </c>
      <c r="AC106" s="51">
        <v>0</v>
      </c>
      <c r="AD106" s="38">
        <f>IF(ISNUMBER($AB106),$AB106*(1+N($AC106)),"")</f>
      </c>
      <c r="AE106" s="50">
        <v>350</v>
      </c>
      <c r="AF106" s="50">
        <v>250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CANON-202607-009666</t>
        </is>
      </c>
      <c r="B107" s="30" t="inlineStr">
        <is>
          <t xml:space="preserve">Beatrix Chattopadhyay</t>
        </is>
      </c>
      <c r="C107" s="31">
        <v>46229</v>
      </c>
      <c r="D107" s="32" t="inlineStr">
        <is>
          <t xml:space="preserve">Bound - within authority</t>
        </is>
      </c>
      <c r="E107" s="32" t="inlineStr">
        <is>
          <t xml:space="preserve">New business</t>
        </is>
      </c>
      <c r="F107" s="30" t="inlineStr">
        <is>
          <t xml:space="preserve">B1234EXOTIC26</t>
        </is>
      </c>
      <c r="G107" s="33">
        <f>IF($A107="","",IF($C107="","",YEAR($C107)))</f>
      </c>
      <c r="H107" s="34">
        <v>1967</v>
      </c>
      <c r="I107" s="30" t="inlineStr">
        <is>
          <t xml:space="preserve">Alfa Romeo</t>
        </is>
      </c>
      <c r="J107" s="30" t="inlineStr">
        <is>
          <t xml:space="preserve">8C 2900</t>
        </is>
      </c>
      <c r="K107" s="30" t="inlineStr">
        <is>
          <t xml:space="preserve">AS5JTLAARB2NG845D</t>
        </is>
      </c>
      <c r="L107" s="32" t="inlineStr">
        <is>
          <t xml:space="preserve">07 - Post-War Classic (1946-1972)</t>
        </is>
      </c>
      <c r="M107" s="35">
        <v>1190000</v>
      </c>
      <c r="N107" s="32" t="inlineStr">
        <is>
          <t xml:space="preserve">Personal</t>
        </is>
      </c>
      <c r="O107" s="30" t="inlineStr">
        <is>
          <t xml:space="preserve">Personal - regular use</t>
        </is>
      </c>
      <c r="P107" s="30" t="inlineStr">
        <is>
          <t xml:space="preserve">2,500 - 5,000</t>
        </is>
      </c>
      <c r="Q107" s="30" t="inlineStr">
        <is>
          <t xml:space="preserve">Massachusetts</t>
        </is>
      </c>
      <c r="R107" s="30" t="inlineStr">
        <is>
          <t xml:space="preserve">02108</t>
        </is>
      </c>
      <c r="S107" s="32" t="inlineStr">
        <is>
          <t xml:space="preserve">Tier 3 - Coastal wind (25-100 miles)</t>
        </is>
      </c>
      <c r="T107" s="36">
        <f>IF($A107="","",IF($S107="","",IFERROR(INDEX('[1]natural catastrophe'!$D$6:$D$17,MATCH($S107,'[1]natural catastrophe'!$B$6:$B$17,0)),"?")))</f>
      </c>
      <c r="U107" s="30" t="inlineStr">
        <is>
          <t xml:space="preserve">2% of agreed value, minimum $10,000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7261.8</v>
      </c>
      <c r="AC107" s="37">
        <v>0</v>
      </c>
      <c r="AD107" s="38">
        <f>IF(ISNUMBER($AB107),$AB107*(1+N($AC107)),"")</f>
      </c>
      <c r="AE107" s="35">
        <v>350</v>
      </c>
      <c r="AF107" s="35">
        <v>250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CANON-202607-009667</t>
        </is>
      </c>
      <c r="B108" s="46" t="inlineStr">
        <is>
          <t xml:space="preserve">Aurelio Thistlewood</t>
        </is>
      </c>
      <c r="C108" s="47">
        <v>46231</v>
      </c>
      <c r="D108" s="48" t="inlineStr">
        <is>
          <t xml:space="preserve">Bound - within authority</t>
        </is>
      </c>
      <c r="E108" s="48" t="inlineStr">
        <is>
          <t xml:space="preserve">New business</t>
        </is>
      </c>
      <c r="F108" s="46" t="inlineStr">
        <is>
          <t xml:space="preserve">B1234EXOTIC26</t>
        </is>
      </c>
      <c r="G108" s="33">
        <f>IF($A108="","",IF($C108="","",YEAR($C108)))</f>
      </c>
      <c r="H108" s="49">
        <v>2004</v>
      </c>
      <c r="I108" s="46" t="inlineStr">
        <is>
          <t xml:space="preserve">Mercedes-Benz</t>
        </is>
      </c>
      <c r="J108" s="46" t="inlineStr">
        <is>
          <t xml:space="preserve">AMG GT</t>
        </is>
      </c>
      <c r="K108" s="46" t="inlineStr">
        <is>
          <t xml:space="preserve">BUD92XFB98XS2ERZ5</t>
        </is>
      </c>
      <c r="L108" s="48" t="inlineStr">
        <is>
          <t xml:space="preserve">02 - Sports / GT</t>
        </is>
      </c>
      <c r="M108" s="50">
        <v>430000</v>
      </c>
      <c r="N108" s="48" t="inlineStr">
        <is>
          <t xml:space="preserve">Personal</t>
        </is>
      </c>
      <c r="O108" s="46" t="inlineStr">
        <is>
          <t xml:space="preserve">Personal - regular use</t>
        </is>
      </c>
      <c r="P108" s="46" t="inlineStr">
        <is>
          <t xml:space="preserve">2,500 - 5,000</t>
        </is>
      </c>
      <c r="Q108" s="46" t="inlineStr">
        <is>
          <t xml:space="preserve">New Mexico</t>
        </is>
      </c>
      <c r="R108" s="46" t="inlineStr">
        <is>
          <t xml:space="preserve">87501</t>
        </is>
      </c>
      <c r="S108" s="48" t="inlineStr">
        <is>
          <t xml:space="preserve">Wildfire - WUI high hazard</t>
        </is>
      </c>
      <c r="T108" s="36">
        <f>IF($A108="","",IF($S108="","",IFERROR(INDEX('[1]natural catastrophe'!$D$6:$D$17,MATCH($S108,'[1]natural catastrophe'!$B$6:$B$17,0)),"?")))</f>
      </c>
      <c r="U108" s="46" t="inlineStr">
        <is>
          <t xml:space="preserve">$5,000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5927.19</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CANON-202607-009668</t>
        </is>
      </c>
      <c r="B109" s="30" t="inlineStr">
        <is>
          <t xml:space="preserve">Ingrid Okonkwo</t>
        </is>
      </c>
      <c r="C109" s="31">
        <v>46212</v>
      </c>
      <c r="D109" s="32" t="inlineStr">
        <is>
          <t xml:space="preserve">Bound - within authority</t>
        </is>
      </c>
      <c r="E109" s="32" t="inlineStr">
        <is>
          <t xml:space="preserve">New business</t>
        </is>
      </c>
      <c r="F109" s="30" t="inlineStr">
        <is>
          <t xml:space="preserve">B1234EXOTIC26</t>
        </is>
      </c>
      <c r="G109" s="33">
        <f>IF($A109="","",IF($C109="","",YEAR($C109)))</f>
      </c>
      <c r="H109" s="34">
        <v>1998</v>
      </c>
      <c r="I109" s="30" t="inlineStr">
        <is>
          <t xml:space="preserve">BMW</t>
        </is>
      </c>
      <c r="J109" s="30" t="inlineStr">
        <is>
          <t xml:space="preserve">M8 Competition</t>
        </is>
      </c>
      <c r="K109" s="30" t="inlineStr">
        <is>
          <t xml:space="preserve">DPG6VEGW33FUBM8HG</t>
        </is>
      </c>
      <c r="L109" s="32" t="inlineStr">
        <is>
          <t xml:space="preserve">02 - Sports / GT</t>
        </is>
      </c>
      <c r="M109" s="35">
        <v>365000</v>
      </c>
      <c r="N109" s="32" t="inlineStr">
        <is>
          <t xml:space="preserve">Personal</t>
        </is>
      </c>
      <c r="O109" s="30" t="inlineStr">
        <is>
          <t xml:space="preserve">Personal - regular use</t>
        </is>
      </c>
      <c r="P109" s="30" t="inlineStr">
        <is>
          <t xml:space="preserve">Under 1,000</t>
        </is>
      </c>
      <c r="Q109" s="30" t="inlineStr">
        <is>
          <t xml:space="preserve">New York</t>
        </is>
      </c>
      <c r="R109" s="30" t="inlineStr">
        <is>
          <t xml:space="preserve">10022</t>
        </is>
      </c>
      <c r="S109" s="32" t="inlineStr">
        <is>
          <t xml:space="preserve">Tier 3 - Coastal wind (25-100 miles)</t>
        </is>
      </c>
      <c r="T109" s="36">
        <f>IF($A109="","",IF($S109="","",IFERROR(INDEX('[1]natural catastrophe'!$D$6:$D$17,MATCH($S109,'[1]natural catastrophe'!$B$6:$B$17,0)),"?")))</f>
      </c>
      <c r="U109" s="30" t="inlineStr">
        <is>
          <t xml:space="preserve">2% of agreed value, minimum $10,000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5031.21</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CANON-202607-009669</t>
        </is>
      </c>
      <c r="B110" s="46" t="inlineStr">
        <is>
          <t xml:space="preserve">Anouk Rourke</t>
        </is>
      </c>
      <c r="C110" s="47">
        <v>46207</v>
      </c>
      <c r="D110" s="48" t="inlineStr">
        <is>
          <t xml:space="preserve">Bound - within authority</t>
        </is>
      </c>
      <c r="E110" s="48" t="inlineStr">
        <is>
          <t xml:space="preserve">New business</t>
        </is>
      </c>
      <c r="F110" s="46" t="inlineStr">
        <is>
          <t xml:space="preserve">B1234EXOTIC26</t>
        </is>
      </c>
      <c r="G110" s="33">
        <f>IF($A110="","",IF($C110="","",YEAR($C110)))</f>
      </c>
      <c r="H110" s="49">
        <v>2018</v>
      </c>
      <c r="I110" s="46" t="inlineStr">
        <is>
          <t xml:space="preserve">Lamborghini</t>
        </is>
      </c>
      <c r="J110" s="46" t="inlineStr">
        <is>
          <t xml:space="preserve">Huracan EVO</t>
        </is>
      </c>
      <c r="K110" s="46" t="inlineStr">
        <is>
          <t xml:space="preserve">HPU089U9Z9EDSBC33</t>
        </is>
      </c>
      <c r="L110" s="48" t="inlineStr">
        <is>
          <t xml:space="preserve">03 - Supercar</t>
        </is>
      </c>
      <c r="M110" s="50">
        <v>450000</v>
      </c>
      <c r="N110" s="48" t="inlineStr">
        <is>
          <t xml:space="preserve">Personal</t>
        </is>
      </c>
      <c r="O110" s="46" t="inlineStr">
        <is>
          <t xml:space="preserve">Personal - regular use</t>
        </is>
      </c>
      <c r="P110" s="46" t="inlineStr">
        <is>
          <t xml:space="preserve">1,000 - 2,500</t>
        </is>
      </c>
      <c r="Q110" s="46" t="inlineStr">
        <is>
          <t xml:space="preserve">Minnesota</t>
        </is>
      </c>
      <c r="R110" s="46" t="inlineStr">
        <is>
          <t xml:space="preserve">55401</t>
        </is>
      </c>
      <c r="S110" s="48" t="inlineStr">
        <is>
          <t xml:space="preserve">Severe convective - hail / tornado (moderate)</t>
        </is>
      </c>
      <c r="T110" s="36">
        <f>IF($A110="","",IF($S110="","",IFERROR(INDEX('[1]natural catastrophe'!$D$6:$D$17,MATCH($S110,'[1]natural catastrophe'!$B$6:$B$17,0)),"?")))</f>
      </c>
      <c r="U110" s="46" t="inlineStr">
        <is>
          <t xml:space="preserve">$5,000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9808.29</v>
      </c>
      <c r="AC110" s="51">
        <v>0</v>
      </c>
      <c r="AD110" s="38">
        <f>IF(ISNUMBER($AB110),$AB110*(1+N($AC110)),"")</f>
      </c>
      <c r="AE110" s="50">
        <v>350</v>
      </c>
      <c r="AF110" s="50">
        <v>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CANON-202607-009670</t>
        </is>
      </c>
      <c r="B111" s="30" t="inlineStr">
        <is>
          <t xml:space="preserve">Anouk Vasquez</t>
        </is>
      </c>
      <c r="C111" s="31">
        <v>46209</v>
      </c>
      <c r="D111" s="32" t="inlineStr">
        <is>
          <t xml:space="preserve">Bound - within authority</t>
        </is>
      </c>
      <c r="E111" s="32" t="inlineStr">
        <is>
          <t xml:space="preserve">New business</t>
        </is>
      </c>
      <c r="F111" s="30" t="inlineStr">
        <is>
          <t xml:space="preserve">B1234EXOTIC26</t>
        </is>
      </c>
      <c r="G111" s="33">
        <f>IF($A111="","",IF($C111="","",YEAR($C111)))</f>
      </c>
      <c r="H111" s="34">
        <v>1959</v>
      </c>
      <c r="I111" s="30" t="inlineStr">
        <is>
          <t xml:space="preserve">Maserati</t>
        </is>
      </c>
      <c r="J111" s="30" t="inlineStr">
        <is>
          <t xml:space="preserve">GranTurismo</t>
        </is>
      </c>
      <c r="K111" s="30" t="inlineStr">
        <is>
          <t xml:space="preserve">14NFTTUDBL7CY9MMP</t>
        </is>
      </c>
      <c r="L111" s="32" t="inlineStr">
        <is>
          <t xml:space="preserve">02 - Sports / GT</t>
        </is>
      </c>
      <c r="M111" s="35">
        <v>775000</v>
      </c>
      <c r="N111" s="32" t="inlineStr">
        <is>
          <t xml:space="preserve">Personal</t>
        </is>
      </c>
      <c r="O111" s="30" t="inlineStr">
        <is>
          <t xml:space="preserve">Personal - regular use</t>
        </is>
      </c>
      <c r="P111" s="30" t="inlineStr">
        <is>
          <t xml:space="preserve">2,500 - 5,000</t>
        </is>
      </c>
      <c r="Q111" s="30" t="inlineStr">
        <is>
          <t xml:space="preserve">Washington</t>
        </is>
      </c>
      <c r="R111" s="30" t="inlineStr">
        <is>
          <t xml:space="preserve">98101</t>
        </is>
      </c>
      <c r="S111" s="32" t="inlineStr">
        <is>
          <t xml:space="preserve">Earthquake - high (CA, Cascadia, New Madrid)</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6943.77</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CANON-202607-009671</t>
        </is>
      </c>
      <c r="B112" s="46" t="inlineStr">
        <is>
          <t xml:space="preserve">Desmond Pennington</t>
        </is>
      </c>
      <c r="C112" s="47">
        <v>46210</v>
      </c>
      <c r="D112" s="48" t="inlineStr">
        <is>
          <t xml:space="preserve">Bound - within authority</t>
        </is>
      </c>
      <c r="E112" s="48" t="inlineStr">
        <is>
          <t xml:space="preserve">New business</t>
        </is>
      </c>
      <c r="F112" s="46" t="inlineStr">
        <is>
          <t xml:space="preserve">B1234EXOTIC26</t>
        </is>
      </c>
      <c r="G112" s="33">
        <f>IF($A112="","",IF($C112="","",YEAR($C112)))</f>
      </c>
      <c r="H112" s="49">
        <v>2002</v>
      </c>
      <c r="I112" s="46" t="inlineStr">
        <is>
          <t xml:space="preserve">Porsche</t>
        </is>
      </c>
      <c r="J112" s="46" t="inlineStr">
        <is>
          <t xml:space="preserve">911 Turbo S</t>
        </is>
      </c>
      <c r="K112" s="46" t="inlineStr">
        <is>
          <t xml:space="preserve">B1SSESMZWGDNEL2YW</t>
        </is>
      </c>
      <c r="L112" s="48" t="inlineStr">
        <is>
          <t xml:space="preserve">02 - Sports / GT</t>
        </is>
      </c>
      <c r="M112" s="50">
        <v>365000</v>
      </c>
      <c r="N112" s="48" t="inlineStr">
        <is>
          <t xml:space="preserve">Personal</t>
        </is>
      </c>
      <c r="O112" s="46" t="inlineStr">
        <is>
          <t xml:space="preserve">Personal - regular use</t>
        </is>
      </c>
      <c r="P112" s="46" t="inlineStr">
        <is>
          <t xml:space="preserve">1,000 - 2,500</t>
        </is>
      </c>
      <c r="Q112" s="46" t="inlineStr">
        <is>
          <t xml:space="preserve">Rhode Island</t>
        </is>
      </c>
      <c r="R112" s="46" t="inlineStr">
        <is>
          <t xml:space="preserve">02903</t>
        </is>
      </c>
      <c r="S112" s="48" t="inlineStr">
        <is>
          <t xml:space="preserve">Tier 3 - Coastal wind (25-100 miles)</t>
        </is>
      </c>
      <c r="T112" s="36">
        <f>IF($A112="","",IF($S112="","",IFERROR(INDEX('[1]natural catastrophe'!$D$6:$D$17,MATCH($S112,'[1]natural catastrophe'!$B$6:$B$17,0)),"?")))</f>
      </c>
      <c r="U112" s="46" t="inlineStr">
        <is>
          <t xml:space="preserve">2% of agreed value, minimum $10,000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5384.97</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CANON-202607-009673</t>
        </is>
      </c>
      <c r="B113" s="30" t="inlineStr">
        <is>
          <t xml:space="preserve">Aurelio Montoya</t>
        </is>
      </c>
      <c r="C113" s="31">
        <v>46206</v>
      </c>
      <c r="D113" s="32" t="inlineStr">
        <is>
          <t xml:space="preserve">Bound - within authority</t>
        </is>
      </c>
      <c r="E113" s="32" t="inlineStr">
        <is>
          <t xml:space="preserve">New business</t>
        </is>
      </c>
      <c r="F113" s="30" t="inlineStr">
        <is>
          <t xml:space="preserve">B1234EXOTIC26</t>
        </is>
      </c>
      <c r="G113" s="33">
        <f>IF($A113="","",IF($C113="","",YEAR($C113)))</f>
      </c>
      <c r="H113" s="34">
        <v>1961</v>
      </c>
      <c r="I113" s="30" t="inlineStr">
        <is>
          <t xml:space="preserve">Mercedes-Benz</t>
        </is>
      </c>
      <c r="J113" s="30" t="inlineStr">
        <is>
          <t xml:space="preserve">280SL Pagoda</t>
        </is>
      </c>
      <c r="K113" s="30" t="inlineStr">
        <is>
          <t xml:space="preserve">5NL2KZE6TTST4AYLC</t>
        </is>
      </c>
      <c r="L113" s="32" t="inlineStr">
        <is>
          <t xml:space="preserve">07 - Post-War Classic (1946-1972)</t>
        </is>
      </c>
      <c r="M113" s="35">
        <v>190000</v>
      </c>
      <c r="N113" s="32" t="inlineStr">
        <is>
          <t xml:space="preserve">Personal</t>
        </is>
      </c>
      <c r="O113" s="30" t="inlineStr">
        <is>
          <t xml:space="preserve">Personal - regular use</t>
        </is>
      </c>
      <c r="P113" s="30" t="inlineStr">
        <is>
          <t xml:space="preserve">1,000 - 2,500</t>
        </is>
      </c>
      <c r="Q113" s="30" t="inlineStr">
        <is>
          <t xml:space="preserve">California</t>
        </is>
      </c>
      <c r="R113" s="30" t="inlineStr">
        <is>
          <t xml:space="preserve">90012</t>
        </is>
      </c>
      <c r="S113" s="32" t="inlineStr">
        <is>
          <t xml:space="preserve">Earthquake - high (CA, Cascadia, New Madrid)</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2099.28</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CANON-202607-009674</t>
        </is>
      </c>
      <c r="B114" s="46" t="inlineStr">
        <is>
          <t xml:space="preserve">Sunniva Underwood</t>
        </is>
      </c>
      <c r="C114" s="47">
        <v>46225</v>
      </c>
      <c r="D114" s="48" t="inlineStr">
        <is>
          <t xml:space="preserve">Bound - within authority</t>
        </is>
      </c>
      <c r="E114" s="48" t="inlineStr">
        <is>
          <t xml:space="preserve">New business</t>
        </is>
      </c>
      <c r="F114" s="46" t="inlineStr">
        <is>
          <t xml:space="preserve">B1234EXOTIC26</t>
        </is>
      </c>
      <c r="G114" s="33">
        <f>IF($A114="","",IF($C114="","",YEAR($C114)))</f>
      </c>
      <c r="H114" s="49">
        <v>2024</v>
      </c>
      <c r="I114" s="46" t="inlineStr">
        <is>
          <t xml:space="preserve">Ferrari</t>
        </is>
      </c>
      <c r="J114" s="46" t="inlineStr">
        <is>
          <t xml:space="preserve">296 GTB</t>
        </is>
      </c>
      <c r="K114" s="46" t="inlineStr">
        <is>
          <t xml:space="preserve">T4L1MXXPD6A71D70C</t>
        </is>
      </c>
      <c r="L114" s="48" t="inlineStr">
        <is>
          <t xml:space="preserve">03 - Supercar</t>
        </is>
      </c>
      <c r="M114" s="50">
        <v>760000</v>
      </c>
      <c r="N114" s="48" t="inlineStr">
        <is>
          <t xml:space="preserve">Personal</t>
        </is>
      </c>
      <c r="O114" s="46" t="inlineStr">
        <is>
          <t xml:space="preserve">Personal - regular use</t>
        </is>
      </c>
      <c r="P114" s="46" t="inlineStr">
        <is>
          <t xml:space="preserve">2,500 - 5,000</t>
        </is>
      </c>
      <c r="Q114" s="46" t="inlineStr">
        <is>
          <t xml:space="preserve">California</t>
        </is>
      </c>
      <c r="R114" s="46" t="inlineStr">
        <is>
          <t xml:space="preserve">90012</t>
        </is>
      </c>
      <c r="S114" s="48" t="inlineStr">
        <is>
          <t xml:space="preserve">Earthquake - high (CA, Cascadia, New Madrid)</t>
        </is>
      </c>
      <c r="T114" s="36">
        <f>IF($A114="","",IF($S114="","",IFERROR(INDEX('[1]natural catastrophe'!$D$6:$D$17,MATCH($S114,'[1]natural catastrophe'!$B$6:$B$17,0)),"?")))</f>
      </c>
      <c r="U114" s="46" t="inlineStr">
        <is>
          <t xml:space="preserve">$5,000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13995.22</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CANON-202607-009676</t>
        </is>
      </c>
      <c r="B115" s="30" t="inlineStr">
        <is>
          <t xml:space="preserve">Cassius Larsson</t>
        </is>
      </c>
      <c r="C115" s="31">
        <v>46217</v>
      </c>
      <c r="D115" s="32" t="inlineStr">
        <is>
          <t xml:space="preserve">Bound - within authority</t>
        </is>
      </c>
      <c r="E115" s="32" t="inlineStr">
        <is>
          <t xml:space="preserve">New business</t>
        </is>
      </c>
      <c r="F115" s="30" t="inlineStr">
        <is>
          <t xml:space="preserve">B1234EXOTIC26</t>
        </is>
      </c>
      <c r="G115" s="33">
        <f>IF($A115="","",IF($C115="","",YEAR($C115)))</f>
      </c>
      <c r="H115" s="34">
        <v>2020</v>
      </c>
      <c r="I115" s="30" t="inlineStr">
        <is>
          <t xml:space="preserve">Aston Martin</t>
        </is>
      </c>
      <c r="J115" s="30" t="inlineStr">
        <is>
          <t xml:space="preserve">DB12</t>
        </is>
      </c>
      <c r="K115" s="30" t="inlineStr">
        <is>
          <t xml:space="preserve">0SE5M6RRUG74BUKT5</t>
        </is>
      </c>
      <c r="L115" s="32" t="inlineStr">
        <is>
          <t xml:space="preserve">02 - Sports / GT</t>
        </is>
      </c>
      <c r="M115" s="35">
        <v>635000</v>
      </c>
      <c r="N115" s="32" t="inlineStr">
        <is>
          <t xml:space="preserve">Personal</t>
        </is>
      </c>
      <c r="O115" s="30" t="inlineStr">
        <is>
          <t xml:space="preserve">Personal - regular use</t>
        </is>
      </c>
      <c r="P115" s="30" t="inlineStr">
        <is>
          <t xml:space="preserve">Under 1,000</t>
        </is>
      </c>
      <c r="Q115" s="30" t="inlineStr">
        <is>
          <t xml:space="preserve">Florida</t>
        </is>
      </c>
      <c r="R115" s="30" t="inlineStr">
        <is>
          <t xml:space="preserve">33139</t>
        </is>
      </c>
      <c r="S115" s="32" t="inlineStr">
        <is>
          <t xml:space="preserve">Tier 2 - Coastal wind (1-25 miles)</t>
        </is>
      </c>
      <c r="T115" s="36">
        <f>IF($A115="","",IF($S115="","",IFERROR(INDEX('[1]natural catastrophe'!$D$6:$D$17,MATCH($S115,'[1]natural catastrophe'!$B$6:$B$17,0)),"?")))</f>
      </c>
      <c r="U115" s="30" t="inlineStr">
        <is>
          <t xml:space="preserve">2% of agreed value, minimum $10,000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8415.58</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CANON-202607-009677</t>
        </is>
      </c>
      <c r="B116" s="46" t="inlineStr">
        <is>
          <t xml:space="preserve">Leopold Farkas</t>
        </is>
      </c>
      <c r="C116" s="47">
        <v>46220</v>
      </c>
      <c r="D116" s="48" t="inlineStr">
        <is>
          <t xml:space="preserve">Bound - within authority</t>
        </is>
      </c>
      <c r="E116" s="48" t="inlineStr">
        <is>
          <t xml:space="preserve">New business</t>
        </is>
      </c>
      <c r="F116" s="46" t="inlineStr">
        <is>
          <t xml:space="preserve">B1234EXOTIC26</t>
        </is>
      </c>
      <c r="G116" s="33">
        <f>IF($A116="","",IF($C116="","",YEAR($C116)))</f>
      </c>
      <c r="H116" s="49">
        <v>1970</v>
      </c>
      <c r="I116" s="46" t="inlineStr">
        <is>
          <t xml:space="preserve">Mercedes-Benz</t>
        </is>
      </c>
      <c r="J116" s="46" t="inlineStr">
        <is>
          <t xml:space="preserve">AMG GT</t>
        </is>
      </c>
      <c r="K116" s="46" t="inlineStr">
        <is>
          <t xml:space="preserve">94SZBYMD340PK1UAC</t>
        </is>
      </c>
      <c r="L116" s="48" t="inlineStr">
        <is>
          <t xml:space="preserve">02 - Sports / GT</t>
        </is>
      </c>
      <c r="M116" s="50">
        <v>925000</v>
      </c>
      <c r="N116" s="48" t="inlineStr">
        <is>
          <t xml:space="preserve">Personal</t>
        </is>
      </c>
      <c r="O116" s="46" t="inlineStr">
        <is>
          <t xml:space="preserve">Personal - regular use</t>
        </is>
      </c>
      <c r="P116" s="46" t="inlineStr">
        <is>
          <t xml:space="preserve">1,000 - 2,500</t>
        </is>
      </c>
      <c r="Q116" s="46" t="inlineStr">
        <is>
          <t xml:space="preserve">Colorado</t>
        </is>
      </c>
      <c r="R116" s="46" t="inlineStr">
        <is>
          <t xml:space="preserve">80202</t>
        </is>
      </c>
      <c r="S116" s="48" t="inlineStr">
        <is>
          <t xml:space="preserve">Severe convective - hail alley (high)</t>
        </is>
      </c>
      <c r="T116" s="36">
        <f>IF($A116="","",IF($S116="","",IFERROR(INDEX('[1]natural catastrophe'!$D$6:$D$17,MATCH($S116,'[1]natural catastrophe'!$B$6:$B$17,0)),"?")))</f>
      </c>
      <c r="U116" s="46" t="inlineStr">
        <is>
          <t xml:space="preserve">$5,000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9496.34</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CANON-202607-009679</t>
        </is>
      </c>
      <c r="B117" s="30" t="inlineStr">
        <is>
          <t xml:space="preserve">Ingrid Underwood</t>
        </is>
      </c>
      <c r="C117" s="31">
        <v>46215</v>
      </c>
      <c r="D117" s="32" t="inlineStr">
        <is>
          <t xml:space="preserve">Bound - within authority</t>
        </is>
      </c>
      <c r="E117" s="32" t="inlineStr">
        <is>
          <t xml:space="preserve">New business</t>
        </is>
      </c>
      <c r="F117" s="30" t="inlineStr">
        <is>
          <t xml:space="preserve">B1234EXOTIC26</t>
        </is>
      </c>
      <c r="G117" s="33">
        <f>IF($A117="","",IF($C117="","",YEAR($C117)))</f>
      </c>
      <c r="H117" s="34">
        <v>2021</v>
      </c>
      <c r="I117" s="30" t="inlineStr">
        <is>
          <t xml:space="preserve">Porsche</t>
        </is>
      </c>
      <c r="J117" s="30" t="inlineStr">
        <is>
          <t xml:space="preserve">911 Turbo S</t>
        </is>
      </c>
      <c r="K117" s="30" t="inlineStr">
        <is>
          <t xml:space="preserve">65CT0M8ZADYAJ4XBV</t>
        </is>
      </c>
      <c r="L117" s="32" t="inlineStr">
        <is>
          <t xml:space="preserve">02 - Sports / GT</t>
        </is>
      </c>
      <c r="M117" s="35">
        <v>915000</v>
      </c>
      <c r="N117" s="32" t="inlineStr">
        <is>
          <t xml:space="preserve">Personal</t>
        </is>
      </c>
      <c r="O117" s="30" t="inlineStr">
        <is>
          <t xml:space="preserve">Personal - regular use</t>
        </is>
      </c>
      <c r="P117" s="30" t="inlineStr">
        <is>
          <t xml:space="preserve">2,500 - 5,000</t>
        </is>
      </c>
      <c r="Q117" s="30" t="inlineStr">
        <is>
          <t xml:space="preserve">North Carolina</t>
        </is>
      </c>
      <c r="R117" s="30" t="inlineStr">
        <is>
          <t xml:space="preserve">28202</t>
        </is>
      </c>
      <c r="S117" s="32" t="inlineStr">
        <is>
          <t xml:space="preserve">Tier 2 - Coastal wind (1-25 miles)</t>
        </is>
      </c>
      <c r="T117" s="36">
        <f>IF($A117="","",IF($S117="","",IFERROR(INDEX('[1]natural catastrophe'!$D$6:$D$17,MATCH($S117,'[1]natural catastrophe'!$B$6:$B$17,0)),"?")))</f>
      </c>
      <c r="U117" s="30" t="inlineStr">
        <is>
          <t xml:space="preserve">2% of agreed value, minimum $10,000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9820.67</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CANON-202607-009681</t>
        </is>
      </c>
      <c r="B118" s="46" t="inlineStr">
        <is>
          <t xml:space="preserve">Lorenzo Thistlewood</t>
        </is>
      </c>
      <c r="C118" s="47">
        <v>46228</v>
      </c>
      <c r="D118" s="48" t="inlineStr">
        <is>
          <t xml:space="preserve">Bound - within authority</t>
        </is>
      </c>
      <c r="E118" s="48" t="inlineStr">
        <is>
          <t xml:space="preserve">New business</t>
        </is>
      </c>
      <c r="F118" s="46" t="inlineStr">
        <is>
          <t xml:space="preserve">B1234EXOTIC26</t>
        </is>
      </c>
      <c r="G118" s="33">
        <f>IF($A118="","",IF($C118="","",YEAR($C118)))</f>
      </c>
      <c r="H118" s="49">
        <v>1983</v>
      </c>
      <c r="I118" s="46" t="inlineStr">
        <is>
          <t xml:space="preserve">Jaguar</t>
        </is>
      </c>
      <c r="J118" s="46" t="inlineStr">
        <is>
          <t xml:space="preserve">E-Type Series 1</t>
        </is>
      </c>
      <c r="K118" s="46" t="inlineStr">
        <is>
          <t xml:space="preserve">ZDMYC7DJTVN4RY7RT</t>
        </is>
      </c>
      <c r="L118" s="48" t="inlineStr">
        <is>
          <t xml:space="preserve">08 - Modern Classic (1973-1999)</t>
        </is>
      </c>
      <c r="M118" s="50">
        <v>1300000</v>
      </c>
      <c r="N118" s="48" t="inlineStr">
        <is>
          <t xml:space="preserve">Personal</t>
        </is>
      </c>
      <c r="O118" s="46" t="inlineStr">
        <is>
          <t xml:space="preserve">Personal - regular use</t>
        </is>
      </c>
      <c r="P118" s="46" t="inlineStr">
        <is>
          <t xml:space="preserve">1,000 - 2,500</t>
        </is>
      </c>
      <c r="Q118" s="46" t="inlineStr">
        <is>
          <t xml:space="preserve">Hawaii</t>
        </is>
      </c>
      <c r="R118" s="46" t="inlineStr">
        <is>
          <t xml:space="preserve">96813</t>
        </is>
      </c>
      <c r="S118" s="48" t="inlineStr">
        <is>
          <t xml:space="preserve">Earthquake - high (CA, Cascadia, New Madrid)</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9221.02</v>
      </c>
      <c r="AC118" s="51">
        <v>0</v>
      </c>
      <c r="AD118" s="38">
        <f>IF(ISNUMBER($AB118),$AB118*(1+N($AC118)),"")</f>
      </c>
      <c r="AE118" s="50">
        <v>350</v>
      </c>
      <c r="AF118" s="50">
        <v>250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CANON-202607-009682</t>
        </is>
      </c>
      <c r="B119" s="30" t="inlineStr">
        <is>
          <t xml:space="preserve">Beatrix Delacroix</t>
        </is>
      </c>
      <c r="C119" s="31">
        <v>46220</v>
      </c>
      <c r="D119" s="32" t="inlineStr">
        <is>
          <t xml:space="preserve">Bound - within authority</t>
        </is>
      </c>
      <c r="E119" s="32" t="inlineStr">
        <is>
          <t xml:space="preserve">New business</t>
        </is>
      </c>
      <c r="F119" s="30" t="inlineStr">
        <is>
          <t xml:space="preserve">B1234EXOTIC26</t>
        </is>
      </c>
      <c r="G119" s="33">
        <f>IF($A119="","",IF($C119="","",YEAR($C119)))</f>
      </c>
      <c r="H119" s="34">
        <v>2007</v>
      </c>
      <c r="I119" s="30" t="inlineStr">
        <is>
          <t xml:space="preserve">Porsche</t>
        </is>
      </c>
      <c r="J119" s="30" t="inlineStr">
        <is>
          <t xml:space="preserve">911 Turbo S</t>
        </is>
      </c>
      <c r="K119" s="30" t="inlineStr">
        <is>
          <t xml:space="preserve">7RYPTYH4YPNGLSGXF</t>
        </is>
      </c>
      <c r="L119" s="32" t="inlineStr">
        <is>
          <t xml:space="preserve">02 - Sports / GT</t>
        </is>
      </c>
      <c r="M119" s="35">
        <v>255000</v>
      </c>
      <c r="N119" s="32" t="inlineStr">
        <is>
          <t xml:space="preserve">Personal</t>
        </is>
      </c>
      <c r="O119" s="30" t="inlineStr">
        <is>
          <t xml:space="preserve">Personal - regular use</t>
        </is>
      </c>
      <c r="P119" s="30" t="inlineStr">
        <is>
          <t xml:space="preserve">2,500 - 5,000</t>
        </is>
      </c>
      <c r="Q119" s="30" t="inlineStr">
        <is>
          <t xml:space="preserve">Connecticut</t>
        </is>
      </c>
      <c r="R119" s="30" t="inlineStr">
        <is>
          <t xml:space="preserve">06103</t>
        </is>
      </c>
      <c r="S119" s="32" t="inlineStr">
        <is>
          <t xml:space="preserve">Tier 3 - Coastal wind (25-100 miles)</t>
        </is>
      </c>
      <c r="T119" s="36">
        <f>IF($A119="","",IF($S119="","",IFERROR(INDEX('[1]natural catastrophe'!$D$6:$D$17,MATCH($S119,'[1]natural catastrophe'!$B$6:$B$17,0)),"?")))</f>
      </c>
      <c r="U119" s="30" t="inlineStr">
        <is>
          <t xml:space="preserve">2% of agreed value, minimum $10,000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3075.59</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CANON-202607-009683</t>
        </is>
      </c>
      <c r="B120" s="46" t="inlineStr">
        <is>
          <t xml:space="preserve">Cassius Whitlock</t>
        </is>
      </c>
      <c r="C120" s="47">
        <v>46212</v>
      </c>
      <c r="D120" s="48" t="inlineStr">
        <is>
          <t xml:space="preserve">Bound - within authority</t>
        </is>
      </c>
      <c r="E120" s="48" t="inlineStr">
        <is>
          <t xml:space="preserve">New business</t>
        </is>
      </c>
      <c r="F120" s="46" t="inlineStr">
        <is>
          <t xml:space="preserve">B1234EXOTIC26</t>
        </is>
      </c>
      <c r="G120" s="33">
        <f>IF($A120="","",IF($C120="","",YEAR($C120)))</f>
      </c>
      <c r="H120" s="49">
        <v>1997</v>
      </c>
      <c r="I120" s="46" t="inlineStr">
        <is>
          <t xml:space="preserve">Lamborghini</t>
        </is>
      </c>
      <c r="J120" s="46" t="inlineStr">
        <is>
          <t xml:space="preserve">Huracan EVO</t>
        </is>
      </c>
      <c r="K120" s="46" t="inlineStr">
        <is>
          <t xml:space="preserve">9Y17Y9H01J8MPNZ7B</t>
        </is>
      </c>
      <c r="L120" s="48" t="inlineStr">
        <is>
          <t xml:space="preserve">03 - Supercar</t>
        </is>
      </c>
      <c r="M120" s="50">
        <v>320000</v>
      </c>
      <c r="N120" s="48" t="inlineStr">
        <is>
          <t xml:space="preserve">Personal</t>
        </is>
      </c>
      <c r="O120" s="46" t="inlineStr">
        <is>
          <t xml:space="preserve">Personal - regular use</t>
        </is>
      </c>
      <c r="P120" s="46" t="inlineStr">
        <is>
          <t xml:space="preserve">1,000 - 2,500</t>
        </is>
      </c>
      <c r="Q120" s="46" t="inlineStr">
        <is>
          <t xml:space="preserve">Illinois</t>
        </is>
      </c>
      <c r="R120" s="46" t="inlineStr">
        <is>
          <t xml:space="preserve">60601</t>
        </is>
      </c>
      <c r="S120" s="48" t="inlineStr">
        <is>
          <t xml:space="preserve">Severe convective - hail / tornado (moderate)</t>
        </is>
      </c>
      <c r="T120" s="36">
        <f>IF($A120="","",IF($S120="","",IFERROR(INDEX('[1]natural catastrophe'!$D$6:$D$17,MATCH($S120,'[1]natural catastrophe'!$B$6:$B$17,0)),"?")))</f>
      </c>
      <c r="U120" s="46" t="inlineStr">
        <is>
          <t xml:space="preserve">$5,000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7186.14</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CANON-202607-009684</t>
        </is>
      </c>
      <c r="B121" s="30" t="inlineStr">
        <is>
          <t xml:space="preserve">Delphine Pennington</t>
        </is>
      </c>
      <c r="C121" s="31">
        <v>46220</v>
      </c>
      <c r="D121" s="32" t="inlineStr">
        <is>
          <t xml:space="preserve">Bound - within authority</t>
        </is>
      </c>
      <c r="E121" s="32" t="inlineStr">
        <is>
          <t xml:space="preserve">New business</t>
        </is>
      </c>
      <c r="F121" s="30" t="inlineStr">
        <is>
          <t xml:space="preserve">B1234EXOTIC26</t>
        </is>
      </c>
      <c r="G121" s="33">
        <f>IF($A121="","",IF($C121="","",YEAR($C121)))</f>
      </c>
      <c r="H121" s="34">
        <v>1980</v>
      </c>
      <c r="I121" s="30" t="inlineStr">
        <is>
          <t xml:space="preserve">Mercedes-Benz</t>
        </is>
      </c>
      <c r="J121" s="30" t="inlineStr">
        <is>
          <t xml:space="preserve">AMG GT</t>
        </is>
      </c>
      <c r="K121" s="30" t="inlineStr">
        <is>
          <t xml:space="preserve">V23WAE66M7E1EMK21</t>
        </is>
      </c>
      <c r="L121" s="32" t="inlineStr">
        <is>
          <t xml:space="preserve">02 - Sports / GT</t>
        </is>
      </c>
      <c r="M121" s="35">
        <v>765000</v>
      </c>
      <c r="N121" s="32" t="inlineStr">
        <is>
          <t xml:space="preserve">Personal</t>
        </is>
      </c>
      <c r="O121" s="30" t="inlineStr">
        <is>
          <t xml:space="preserve">Personal - regular use</t>
        </is>
      </c>
      <c r="P121" s="30" t="inlineStr">
        <is>
          <t xml:space="preserve">1,000 - 2,500</t>
        </is>
      </c>
      <c r="Q121" s="30" t="inlineStr">
        <is>
          <t xml:space="preserve">Montana</t>
        </is>
      </c>
      <c r="R121" s="30" t="inlineStr">
        <is>
          <t xml:space="preserve">59601</t>
        </is>
      </c>
      <c r="S121" s="32" t="inlineStr">
        <is>
          <t xml:space="preserve">Wildfire - WUI high hazard</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6639.98</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CANON-202607-009685</t>
        </is>
      </c>
      <c r="B122" s="46" t="inlineStr">
        <is>
          <t xml:space="preserve">Delphine Vandermeer</t>
        </is>
      </c>
      <c r="C122" s="47">
        <v>46218</v>
      </c>
      <c r="D122" s="48" t="inlineStr">
        <is>
          <t xml:space="preserve">Bound - within authority</t>
        </is>
      </c>
      <c r="E122" s="48" t="inlineStr">
        <is>
          <t xml:space="preserve">New business</t>
        </is>
      </c>
      <c r="F122" s="46" t="inlineStr">
        <is>
          <t xml:space="preserve">B1234EXOTIC26</t>
        </is>
      </c>
      <c r="G122" s="33">
        <f>IF($A122="","",IF($C122="","",YEAR($C122)))</f>
      </c>
      <c r="H122" s="49">
        <v>1989</v>
      </c>
      <c r="I122" s="46" t="inlineStr">
        <is>
          <t xml:space="preserve">Aston Martin</t>
        </is>
      </c>
      <c r="J122" s="46" t="inlineStr">
        <is>
          <t xml:space="preserve">DB12</t>
        </is>
      </c>
      <c r="K122" s="46" t="inlineStr">
        <is>
          <t xml:space="preserve">DPPHCF604RZULK4DV</t>
        </is>
      </c>
      <c r="L122" s="48" t="inlineStr">
        <is>
          <t xml:space="preserve">02 - Sports / GT</t>
        </is>
      </c>
      <c r="M122" s="50">
        <v>495000</v>
      </c>
      <c r="N122" s="48" t="inlineStr">
        <is>
          <t xml:space="preserve">Personal</t>
        </is>
      </c>
      <c r="O122" s="46" t="inlineStr">
        <is>
          <t xml:space="preserve">Personal - regular use</t>
        </is>
      </c>
      <c r="P122" s="46" t="inlineStr">
        <is>
          <t xml:space="preserve">Under 1,000</t>
        </is>
      </c>
      <c r="Q122" s="46" t="inlineStr">
        <is>
          <t xml:space="preserve">Tennessee</t>
        </is>
      </c>
      <c r="R122" s="46" t="inlineStr">
        <is>
          <t xml:space="preserve">37203</t>
        </is>
      </c>
      <c r="S122" s="48" t="inlineStr">
        <is>
          <t xml:space="preserve">Severe convective - hail / tornado (moderate)</t>
        </is>
      </c>
      <c r="T122" s="36">
        <f>IF($A122="","",IF($S122="","",IFERROR(INDEX('[1]natural catastrophe'!$D$6:$D$17,MATCH($S122,'[1]natural catastrophe'!$B$6:$B$17,0)),"?")))</f>
      </c>
      <c r="U122" s="46" t="inlineStr">
        <is>
          <t xml:space="preserve">$5,000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5223.98</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CANON-202607-009686</t>
        </is>
      </c>
      <c r="B123" s="30" t="inlineStr">
        <is>
          <t xml:space="preserve">Everett Okonkwo</t>
        </is>
      </c>
      <c r="C123" s="31">
        <v>46230</v>
      </c>
      <c r="D123" s="32" t="inlineStr">
        <is>
          <t xml:space="preserve">Bound - within authority</t>
        </is>
      </c>
      <c r="E123" s="32" t="inlineStr">
        <is>
          <t xml:space="preserve">New business</t>
        </is>
      </c>
      <c r="F123" s="30" t="inlineStr">
        <is>
          <t xml:space="preserve">B1234EXOTIC26</t>
        </is>
      </c>
      <c r="G123" s="33">
        <f>IF($A123="","",IF($C123="","",YEAR($C123)))</f>
      </c>
      <c r="H123" s="34">
        <v>2000</v>
      </c>
      <c r="I123" s="30" t="inlineStr">
        <is>
          <t xml:space="preserve">Aston Martin</t>
        </is>
      </c>
      <c r="J123" s="30" t="inlineStr">
        <is>
          <t xml:space="preserve">DB12</t>
        </is>
      </c>
      <c r="K123" s="30" t="inlineStr">
        <is>
          <t xml:space="preserve">T38FD0SLHNT46L6LE</t>
        </is>
      </c>
      <c r="L123" s="32" t="inlineStr">
        <is>
          <t xml:space="preserve">02 - Sports / GT</t>
        </is>
      </c>
      <c r="M123" s="35">
        <v>230000</v>
      </c>
      <c r="N123" s="32" t="inlineStr">
        <is>
          <t xml:space="preserve">Personal</t>
        </is>
      </c>
      <c r="O123" s="30" t="inlineStr">
        <is>
          <t xml:space="preserve">Personal - regular use</t>
        </is>
      </c>
      <c r="P123" s="30" t="inlineStr">
        <is>
          <t xml:space="preserve">Under 1,000</t>
        </is>
      </c>
      <c r="Q123" s="30" t="inlineStr">
        <is>
          <t xml:space="preserve">New York</t>
        </is>
      </c>
      <c r="R123" s="30" t="inlineStr">
        <is>
          <t xml:space="preserve">10022</t>
        </is>
      </c>
      <c r="S123" s="32" t="inlineStr">
        <is>
          <t xml:space="preserve">Tier 3 - Coastal wind (25-100 miles)</t>
        </is>
      </c>
      <c r="T123" s="36">
        <f>IF($A123="","",IF($S123="","",IFERROR(INDEX('[1]natural catastrophe'!$D$6:$D$17,MATCH($S123,'[1]natural catastrophe'!$B$6:$B$17,0)),"?")))</f>
      </c>
      <c r="U123" s="30" t="inlineStr">
        <is>
          <t xml:space="preserve">2% of agreed value, minimum $10,000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3888.97</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CANON-202607-009688</t>
        </is>
      </c>
      <c r="B124" s="46" t="inlineStr">
        <is>
          <t xml:space="preserve">Emiliano Ashcombe</t>
        </is>
      </c>
      <c r="C124" s="47">
        <v>46231</v>
      </c>
      <c r="D124" s="48" t="inlineStr">
        <is>
          <t xml:space="preserve">Bound - within authority</t>
        </is>
      </c>
      <c r="E124" s="48" t="inlineStr">
        <is>
          <t xml:space="preserve">New business</t>
        </is>
      </c>
      <c r="F124" s="46" t="inlineStr">
        <is>
          <t xml:space="preserve">B1234EXOTIC26</t>
        </is>
      </c>
      <c r="G124" s="33">
        <f>IF($A124="","",IF($C124="","",YEAR($C124)))</f>
      </c>
      <c r="H124" s="49">
        <v>1972</v>
      </c>
      <c r="I124" s="46" t="inlineStr">
        <is>
          <t xml:space="preserve">Aston Martin</t>
        </is>
      </c>
      <c r="J124" s="46" t="inlineStr">
        <is>
          <t xml:space="preserve">DB12</t>
        </is>
      </c>
      <c r="K124" s="46" t="inlineStr">
        <is>
          <t xml:space="preserve">7CRMU7C2K9B7N4RPF</t>
        </is>
      </c>
      <c r="L124" s="48" t="inlineStr">
        <is>
          <t xml:space="preserve">02 - Sports / GT</t>
        </is>
      </c>
      <c r="M124" s="50">
        <v>830000</v>
      </c>
      <c r="N124" s="48" t="inlineStr">
        <is>
          <t xml:space="preserve">Personal</t>
        </is>
      </c>
      <c r="O124" s="46" t="inlineStr">
        <is>
          <t xml:space="preserve">Personal - regular use</t>
        </is>
      </c>
      <c r="P124" s="46" t="inlineStr">
        <is>
          <t xml:space="preserve">2,500 - 5,000</t>
        </is>
      </c>
      <c r="Q124" s="46" t="inlineStr">
        <is>
          <t xml:space="preserve">Alaska</t>
        </is>
      </c>
      <c r="R124" s="46" t="inlineStr">
        <is>
          <t xml:space="preserve">99501</t>
        </is>
      </c>
      <c r="S124" s="48" t="inlineStr">
        <is>
          <t xml:space="preserve">Earthquake - high (CA, Cascadia, New Madrid)</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8830.9</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CANON-202607-009689</t>
        </is>
      </c>
      <c r="B125" s="30" t="inlineStr">
        <is>
          <t xml:space="preserve">Callum Harrington</t>
        </is>
      </c>
      <c r="C125" s="31">
        <v>46223</v>
      </c>
      <c r="D125" s="32" t="inlineStr">
        <is>
          <t xml:space="preserve">Bound - within authority</t>
        </is>
      </c>
      <c r="E125" s="32" t="inlineStr">
        <is>
          <t xml:space="preserve">New business</t>
        </is>
      </c>
      <c r="F125" s="30" t="inlineStr">
        <is>
          <t xml:space="preserve">B1234EXOTIC26</t>
        </is>
      </c>
      <c r="G125" s="33">
        <f>IF($A125="","",IF($C125="","",YEAR($C125)))</f>
      </c>
      <c r="H125" s="34">
        <v>1988</v>
      </c>
      <c r="I125" s="30" t="inlineStr">
        <is>
          <t xml:space="preserve">Bentley</t>
        </is>
      </c>
      <c r="J125" s="30" t="inlineStr">
        <is>
          <t xml:space="preserve">Continental GT</t>
        </is>
      </c>
      <c r="K125" s="30" t="inlineStr">
        <is>
          <t xml:space="preserve">9HKU3SMDUV3A3K7SG</t>
        </is>
      </c>
      <c r="L125" s="32" t="inlineStr">
        <is>
          <t xml:space="preserve">02 - Sports / GT</t>
        </is>
      </c>
      <c r="M125" s="35">
        <v>425000</v>
      </c>
      <c r="N125" s="32" t="inlineStr">
        <is>
          <t xml:space="preserve">Personal</t>
        </is>
      </c>
      <c r="O125" s="30" t="inlineStr">
        <is>
          <t xml:space="preserve">Personal - regular use</t>
        </is>
      </c>
      <c r="P125" s="30" t="inlineStr">
        <is>
          <t xml:space="preserve">Under 1,000</t>
        </is>
      </c>
      <c r="Q125" s="30" t="inlineStr">
        <is>
          <t xml:space="preserve">Wyoming</t>
        </is>
      </c>
      <c r="R125" s="30" t="inlineStr">
        <is>
          <t xml:space="preserve">82001</t>
        </is>
      </c>
      <c r="S125" s="32" t="inlineStr">
        <is>
          <t xml:space="preserve">Severe convective - hail alley (high)</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4897.14</v>
      </c>
      <c r="AC125" s="37">
        <v>0</v>
      </c>
      <c r="AD125" s="38">
        <f>IF(ISNUMBER($AB125),$AB125*(1+N($AC125)),"")</f>
      </c>
      <c r="AE125" s="35">
        <v>350</v>
      </c>
      <c r="AF125" s="35">
        <v>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CANON-202607-009690</t>
        </is>
      </c>
      <c r="B126" s="46" t="inlineStr">
        <is>
          <t xml:space="preserve">Marisol Rourke</t>
        </is>
      </c>
      <c r="C126" s="47">
        <v>46214</v>
      </c>
      <c r="D126" s="48" t="inlineStr">
        <is>
          <t xml:space="preserve">Bound - within authority</t>
        </is>
      </c>
      <c r="E126" s="48" t="inlineStr">
        <is>
          <t xml:space="preserve">New business</t>
        </is>
      </c>
      <c r="F126" s="46" t="inlineStr">
        <is>
          <t xml:space="preserve">B1234EXOTIC26</t>
        </is>
      </c>
      <c r="G126" s="33">
        <f>IF($A126="","",IF($C126="","",YEAR($C126)))</f>
      </c>
      <c r="H126" s="49">
        <v>1998</v>
      </c>
      <c r="I126" s="46" t="inlineStr">
        <is>
          <t xml:space="preserve">Aston Martin</t>
        </is>
      </c>
      <c r="J126" s="46" t="inlineStr">
        <is>
          <t xml:space="preserve">DB12</t>
        </is>
      </c>
      <c r="K126" s="46" t="inlineStr">
        <is>
          <t xml:space="preserve">CWGPWJG99DEZ1LXE6</t>
        </is>
      </c>
      <c r="L126" s="48" t="inlineStr">
        <is>
          <t xml:space="preserve">02 - Sports / GT</t>
        </is>
      </c>
      <c r="M126" s="50">
        <v>655000</v>
      </c>
      <c r="N126" s="48" t="inlineStr">
        <is>
          <t xml:space="preserve">Personal</t>
        </is>
      </c>
      <c r="O126" s="46" t="inlineStr">
        <is>
          <t xml:space="preserve">Personal - regular use</t>
        </is>
      </c>
      <c r="P126" s="46" t="inlineStr">
        <is>
          <t xml:space="preserve">Under 1,000</t>
        </is>
      </c>
      <c r="Q126" s="46" t="inlineStr">
        <is>
          <t xml:space="preserve">Mississippi</t>
        </is>
      </c>
      <c r="R126" s="46" t="inlineStr">
        <is>
          <t xml:space="preserve">39201</t>
        </is>
      </c>
      <c r="S126" s="48" t="inlineStr">
        <is>
          <t xml:space="preserve">Tier 2 - Coastal wind (1-25 miles)</t>
        </is>
      </c>
      <c r="T126" s="36">
        <f>IF($A126="","",IF($S126="","",IFERROR(INDEX('[1]natural catastrophe'!$D$6:$D$17,MATCH($S126,'[1]natural catastrophe'!$B$6:$B$17,0)),"?")))</f>
      </c>
      <c r="U126" s="46" t="inlineStr">
        <is>
          <t xml:space="preserve">2% of agreed value, minimum $10,000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7274.62</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CANON-202607-009691</t>
        </is>
      </c>
      <c r="B127" s="30" t="inlineStr">
        <is>
          <t xml:space="preserve">Emiliano Pennington</t>
        </is>
      </c>
      <c r="C127" s="31">
        <v>46206</v>
      </c>
      <c r="D127" s="32" t="inlineStr">
        <is>
          <t xml:space="preserve">Bound - within authority</t>
        </is>
      </c>
      <c r="E127" s="32" t="inlineStr">
        <is>
          <t xml:space="preserve">New business</t>
        </is>
      </c>
      <c r="F127" s="30" t="inlineStr">
        <is>
          <t xml:space="preserve">B1234EXOTIC26</t>
        </is>
      </c>
      <c r="G127" s="33">
        <f>IF($A127="","",IF($C127="","",YEAR($C127)))</f>
      </c>
      <c r="H127" s="34">
        <v>1979</v>
      </c>
      <c r="I127" s="30" t="inlineStr">
        <is>
          <t xml:space="preserve">Alfa Romeo</t>
        </is>
      </c>
      <c r="J127" s="30" t="inlineStr">
        <is>
          <t xml:space="preserve">8C 2900</t>
        </is>
      </c>
      <c r="K127" s="30" t="inlineStr">
        <is>
          <t xml:space="preserve">LB4ZXL5MKSPS5T922</t>
        </is>
      </c>
      <c r="L127" s="32" t="inlineStr">
        <is>
          <t xml:space="preserve">08 - Modern Classic (1973-1999)</t>
        </is>
      </c>
      <c r="M127" s="35">
        <v>755000</v>
      </c>
      <c r="N127" s="32" t="inlineStr">
        <is>
          <t xml:space="preserve">Personal</t>
        </is>
      </c>
      <c r="O127" s="30" t="inlineStr">
        <is>
          <t xml:space="preserve">Personal - regular use</t>
        </is>
      </c>
      <c r="P127" s="30" t="inlineStr">
        <is>
          <t xml:space="preserve">Under 1,000</t>
        </is>
      </c>
      <c r="Q127" s="30" t="inlineStr">
        <is>
          <t xml:space="preserve">Ohio</t>
        </is>
      </c>
      <c r="R127" s="30" t="inlineStr">
        <is>
          <t xml:space="preserve">43215</t>
        </is>
      </c>
      <c r="S127" s="32" t="inlineStr">
        <is>
          <t xml:space="preserve">Severe convective - hail / tornado (moderate)</t>
        </is>
      </c>
      <c r="T127" s="36">
        <f>IF($A127="","",IF($S127="","",IFERROR(INDEX('[1]natural catastrophe'!$D$6:$D$17,MATCH($S127,'[1]natural catastrophe'!$B$6:$B$17,0)),"?")))</f>
      </c>
      <c r="U127" s="30" t="inlineStr">
        <is>
          <t xml:space="preserve">$5,000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5726.04</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CANON-202607-009692</t>
        </is>
      </c>
      <c r="B128" s="46" t="inlineStr">
        <is>
          <t xml:space="preserve">Wilhelmina Bellandi</t>
        </is>
      </c>
      <c r="C128" s="47">
        <v>46234</v>
      </c>
      <c r="D128" s="48" t="inlineStr">
        <is>
          <t xml:space="preserve">Bound - within authority</t>
        </is>
      </c>
      <c r="E128" s="48" t="inlineStr">
        <is>
          <t xml:space="preserve">New business</t>
        </is>
      </c>
      <c r="F128" s="46" t="inlineStr">
        <is>
          <t xml:space="preserve">B1234EXOTIC26</t>
        </is>
      </c>
      <c r="G128" s="33">
        <f>IF($A128="","",IF($C128="","",YEAR($C128)))</f>
      </c>
      <c r="H128" s="49">
        <v>1979</v>
      </c>
      <c r="I128" s="46" t="inlineStr">
        <is>
          <t xml:space="preserve">BMW</t>
        </is>
      </c>
      <c r="J128" s="46" t="inlineStr">
        <is>
          <t xml:space="preserve">M8 Competition</t>
        </is>
      </c>
      <c r="K128" s="46" t="inlineStr">
        <is>
          <t xml:space="preserve">97JD7AR0JD7TZR34U</t>
        </is>
      </c>
      <c r="L128" s="48" t="inlineStr">
        <is>
          <t xml:space="preserve">02 - Sports / GT</t>
        </is>
      </c>
      <c r="M128" s="50">
        <v>300000</v>
      </c>
      <c r="N128" s="48" t="inlineStr">
        <is>
          <t xml:space="preserve">Personal</t>
        </is>
      </c>
      <c r="O128" s="46" t="inlineStr">
        <is>
          <t xml:space="preserve">Personal - regular use</t>
        </is>
      </c>
      <c r="P128" s="46" t="inlineStr">
        <is>
          <t xml:space="preserve">2,500 - 5,000</t>
        </is>
      </c>
      <c r="Q128" s="46" t="inlineStr">
        <is>
          <t xml:space="preserve">Hawaii</t>
        </is>
      </c>
      <c r="R128" s="46" t="inlineStr">
        <is>
          <t xml:space="preserve">96813</t>
        </is>
      </c>
      <c r="S128" s="48" t="inlineStr">
        <is>
          <t xml:space="preserve">Earthquake - high (CA, Cascadia, New Madrid)</t>
        </is>
      </c>
      <c r="T128" s="36">
        <f>IF($A128="","",IF($S128="","",IFERROR(INDEX('[1]natural catastrophe'!$D$6:$D$17,MATCH($S128,'[1]natural catastrophe'!$B$6:$B$17,0)),"?")))</f>
      </c>
      <c r="U128" s="46" t="inlineStr">
        <is>
          <t xml:space="preserve">$5,000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4199.86</v>
      </c>
      <c r="AC128" s="51">
        <v>0</v>
      </c>
      <c r="AD128" s="38">
        <f>IF(ISNUMBER($AB128),$AB128*(1+N($AC128)),"")</f>
      </c>
      <c r="AE128" s="50">
        <v>350</v>
      </c>
      <c r="AF128" s="50">
        <v>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CANON-202607-009693</t>
        </is>
      </c>
      <c r="B129" s="30" t="inlineStr">
        <is>
          <t xml:space="preserve">Saoirse Okonkwo</t>
        </is>
      </c>
      <c r="C129" s="31">
        <v>46204</v>
      </c>
      <c r="D129" s="32" t="inlineStr">
        <is>
          <t xml:space="preserve">Bound - within authority</t>
        </is>
      </c>
      <c r="E129" s="32" t="inlineStr">
        <is>
          <t xml:space="preserve">New business</t>
        </is>
      </c>
      <c r="F129" s="30" t="inlineStr">
        <is>
          <t xml:space="preserve">B1234EXOTIC26</t>
        </is>
      </c>
      <c r="G129" s="33">
        <f>IF($A129="","",IF($C129="","",YEAR($C129)))</f>
      </c>
      <c r="H129" s="34">
        <v>2000</v>
      </c>
      <c r="I129" s="30" t="inlineStr">
        <is>
          <t xml:space="preserve">BMW</t>
        </is>
      </c>
      <c r="J129" s="30" t="inlineStr">
        <is>
          <t xml:space="preserve">M8 Competition</t>
        </is>
      </c>
      <c r="K129" s="30" t="inlineStr">
        <is>
          <t xml:space="preserve">RALFEBYL0VBET12D8</t>
        </is>
      </c>
      <c r="L129" s="32" t="inlineStr">
        <is>
          <t xml:space="preserve">02 - Sports / GT</t>
        </is>
      </c>
      <c r="M129" s="35">
        <v>340000</v>
      </c>
      <c r="N129" s="32" t="inlineStr">
        <is>
          <t xml:space="preserve">Personal</t>
        </is>
      </c>
      <c r="O129" s="30" t="inlineStr">
        <is>
          <t xml:space="preserve">Personal - regular use</t>
        </is>
      </c>
      <c r="P129" s="30" t="inlineStr">
        <is>
          <t xml:space="preserve">Under 1,000</t>
        </is>
      </c>
      <c r="Q129" s="30" t="inlineStr">
        <is>
          <t xml:space="preserve">Florida</t>
        </is>
      </c>
      <c r="R129" s="30" t="inlineStr">
        <is>
          <t xml:space="preserve">33139</t>
        </is>
      </c>
      <c r="S129" s="32" t="inlineStr">
        <is>
          <t xml:space="preserve">Tier 2 - Coastal wind (1-25 miles)</t>
        </is>
      </c>
      <c r="T129" s="36">
        <f>IF($A129="","",IF($S129="","",IFERROR(INDEX('[1]natural catastrophe'!$D$6:$D$17,MATCH($S129,'[1]natural catastrophe'!$B$6:$B$17,0)),"?")))</f>
      </c>
      <c r="U129" s="30" t="inlineStr">
        <is>
          <t xml:space="preserve">2% of agreed value, minimum $10,000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5199.21</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CANON-202607-009694</t>
        </is>
      </c>
      <c r="B130" s="46" t="inlineStr">
        <is>
          <t xml:space="preserve">Fitzgerald Underwood</t>
        </is>
      </c>
      <c r="C130" s="47">
        <v>46232</v>
      </c>
      <c r="D130" s="48" t="inlineStr">
        <is>
          <t xml:space="preserve">Bound - within authority</t>
        </is>
      </c>
      <c r="E130" s="48" t="inlineStr">
        <is>
          <t xml:space="preserve">New business</t>
        </is>
      </c>
      <c r="F130" s="46" t="inlineStr">
        <is>
          <t xml:space="preserve">B1234EXOTIC26</t>
        </is>
      </c>
      <c r="G130" s="33">
        <f>IF($A130="","",IF($C130="","",YEAR($C130)))</f>
      </c>
      <c r="H130" s="49">
        <v>2024</v>
      </c>
      <c r="I130" s="46" t="inlineStr">
        <is>
          <t xml:space="preserve">Bentley</t>
        </is>
      </c>
      <c r="J130" s="46" t="inlineStr">
        <is>
          <t xml:space="preserve">4.5 Litre</t>
        </is>
      </c>
      <c r="K130" s="46" t="inlineStr">
        <is>
          <t xml:space="preserve">5A0GZPJ9TUMH6CLY1</t>
        </is>
      </c>
      <c r="L130" s="48" t="inlineStr">
        <is>
          <t xml:space="preserve">02 - Sports / GT</t>
        </is>
      </c>
      <c r="M130" s="50">
        <v>340000</v>
      </c>
      <c r="N130" s="48" t="inlineStr">
        <is>
          <t xml:space="preserve">Personal</t>
        </is>
      </c>
      <c r="O130" s="46" t="inlineStr">
        <is>
          <t xml:space="preserve">Personal - regular use</t>
        </is>
      </c>
      <c r="P130" s="46" t="inlineStr">
        <is>
          <t xml:space="preserve">2,500 - 5,000</t>
        </is>
      </c>
      <c r="Q130" s="46" t="inlineStr">
        <is>
          <t xml:space="preserve">Ohio</t>
        </is>
      </c>
      <c r="R130" s="46" t="inlineStr">
        <is>
          <t xml:space="preserve">43215</t>
        </is>
      </c>
      <c r="S130" s="48" t="inlineStr">
        <is>
          <t xml:space="preserve">Severe convective - hail / tornado (moderate)</t>
        </is>
      </c>
      <c r="T130" s="36">
        <f>IF($A130="","",IF($S130="","",IFERROR(INDEX('[1]natural catastrophe'!$D$6:$D$17,MATCH($S130,'[1]natural catastrophe'!$B$6:$B$17,0)),"?")))</f>
      </c>
      <c r="U130" s="46" t="inlineStr">
        <is>
          <t xml:space="preserve">$5,000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2850.04</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CANON-202607-009695</t>
        </is>
      </c>
      <c r="B131" s="30" t="inlineStr">
        <is>
          <t xml:space="preserve">Leopold Vasquez</t>
        </is>
      </c>
      <c r="C131" s="31">
        <v>46227</v>
      </c>
      <c r="D131" s="32" t="inlineStr">
        <is>
          <t xml:space="preserve">Bound - within authority</t>
        </is>
      </c>
      <c r="E131" s="32" t="inlineStr">
        <is>
          <t xml:space="preserve">New business</t>
        </is>
      </c>
      <c r="F131" s="30" t="inlineStr">
        <is>
          <t xml:space="preserve">B1234EXOTIC26</t>
        </is>
      </c>
      <c r="G131" s="33">
        <f>IF($A131="","",IF($C131="","",YEAR($C131)))</f>
      </c>
      <c r="H131" s="34">
        <v>1955</v>
      </c>
      <c r="I131" s="30" t="inlineStr">
        <is>
          <t xml:space="preserve">Ferrari</t>
        </is>
      </c>
      <c r="J131" s="30" t="inlineStr">
        <is>
          <t xml:space="preserve">296 GTB</t>
        </is>
      </c>
      <c r="K131" s="30" t="inlineStr">
        <is>
          <t xml:space="preserve">DX464F03NH42RCSE6</t>
        </is>
      </c>
      <c r="L131" s="32" t="inlineStr">
        <is>
          <t xml:space="preserve">03 - Supercar</t>
        </is>
      </c>
      <c r="M131" s="35">
        <v>440000</v>
      </c>
      <c r="N131" s="32" t="inlineStr">
        <is>
          <t xml:space="preserve">Personal</t>
        </is>
      </c>
      <c r="O131" s="30" t="inlineStr">
        <is>
          <t xml:space="preserve">Personal - regular use</t>
        </is>
      </c>
      <c r="P131" s="30" t="inlineStr">
        <is>
          <t xml:space="preserve">Under 1,000</t>
        </is>
      </c>
      <c r="Q131" s="30" t="inlineStr">
        <is>
          <t xml:space="preserve">Massachusetts</t>
        </is>
      </c>
      <c r="R131" s="30" t="inlineStr">
        <is>
          <t xml:space="preserve">02108</t>
        </is>
      </c>
      <c r="S131" s="32" t="inlineStr">
        <is>
          <t xml:space="preserve">Tier 3 - Coastal wind (25-100 miles)</t>
        </is>
      </c>
      <c r="T131" s="36">
        <f>IF($A131="","",IF($S131="","",IFERROR(INDEX('[1]natural catastrophe'!$D$6:$D$17,MATCH($S131,'[1]natural catastrophe'!$B$6:$B$17,0)),"?")))</f>
      </c>
      <c r="U131" s="30" t="inlineStr">
        <is>
          <t xml:space="preserve">2% of agreed value, minimum $10,000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9081.74</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CANON-202607-009696</t>
        </is>
      </c>
      <c r="B132" s="46" t="inlineStr">
        <is>
          <t xml:space="preserve">Callum Blackwood</t>
        </is>
      </c>
      <c r="C132" s="47">
        <v>46230</v>
      </c>
      <c r="D132" s="48" t="inlineStr">
        <is>
          <t xml:space="preserve">Bound - within authority</t>
        </is>
      </c>
      <c r="E132" s="48" t="inlineStr">
        <is>
          <t xml:space="preserve">New business</t>
        </is>
      </c>
      <c r="F132" s="46" t="inlineStr">
        <is>
          <t xml:space="preserve">B1234EXOTIC26</t>
        </is>
      </c>
      <c r="G132" s="33">
        <f>IF($A132="","",IF($C132="","",YEAR($C132)))</f>
      </c>
      <c r="H132" s="49">
        <v>2005</v>
      </c>
      <c r="I132" s="46" t="inlineStr">
        <is>
          <t xml:space="preserve">Mercedes-Benz</t>
        </is>
      </c>
      <c r="J132" s="46" t="inlineStr">
        <is>
          <t xml:space="preserve">AMG GT</t>
        </is>
      </c>
      <c r="K132" s="46" t="inlineStr">
        <is>
          <t xml:space="preserve">2E53Y6AZTFTAYS4LV</t>
        </is>
      </c>
      <c r="L132" s="48" t="inlineStr">
        <is>
          <t xml:space="preserve">02 - Sports / GT</t>
        </is>
      </c>
      <c r="M132" s="50">
        <v>400000</v>
      </c>
      <c r="N132" s="48" t="inlineStr">
        <is>
          <t xml:space="preserve">Personal</t>
        </is>
      </c>
      <c r="O132" s="46" t="inlineStr">
        <is>
          <t xml:space="preserve">Personal - regular use</t>
        </is>
      </c>
      <c r="P132" s="46" t="inlineStr">
        <is>
          <t xml:space="preserve">1,000 - 2,500</t>
        </is>
      </c>
      <c r="Q132" s="46" t="inlineStr">
        <is>
          <t xml:space="preserve">Montana</t>
        </is>
      </c>
      <c r="R132" s="46" t="inlineStr">
        <is>
          <t xml:space="preserve">59601</t>
        </is>
      </c>
      <c r="S132" s="48" t="inlineStr">
        <is>
          <t xml:space="preserve">Wildfire - WUI high hazard</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4006.02</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CANON-202607-009697</t>
        </is>
      </c>
      <c r="B133" s="30" t="inlineStr">
        <is>
          <t xml:space="preserve">Priya Vasquez</t>
        </is>
      </c>
      <c r="C133" s="31">
        <v>46226</v>
      </c>
      <c r="D133" s="32" t="inlineStr">
        <is>
          <t xml:space="preserve">Bound - within authority</t>
        </is>
      </c>
      <c r="E133" s="32" t="inlineStr">
        <is>
          <t xml:space="preserve">New business</t>
        </is>
      </c>
      <c r="F133" s="30" t="inlineStr">
        <is>
          <t xml:space="preserve">B1234EXOTIC26</t>
        </is>
      </c>
      <c r="G133" s="33">
        <f>IF($A133="","",IF($C133="","",YEAR($C133)))</f>
      </c>
      <c r="H133" s="34">
        <v>2003</v>
      </c>
      <c r="I133" s="30" t="inlineStr">
        <is>
          <t xml:space="preserve">Mercedes-Benz</t>
        </is>
      </c>
      <c r="J133" s="30" t="inlineStr">
        <is>
          <t xml:space="preserve">AMG GT</t>
        </is>
      </c>
      <c r="K133" s="30" t="inlineStr">
        <is>
          <t xml:space="preserve">JMSUM16WJWY1H5242</t>
        </is>
      </c>
      <c r="L133" s="32" t="inlineStr">
        <is>
          <t xml:space="preserve">02 - Sports / GT</t>
        </is>
      </c>
      <c r="M133" s="35">
        <v>635000</v>
      </c>
      <c r="N133" s="32" t="inlineStr">
        <is>
          <t xml:space="preserve">Personal</t>
        </is>
      </c>
      <c r="O133" s="30" t="inlineStr">
        <is>
          <t xml:space="preserve">Personal - regular use</t>
        </is>
      </c>
      <c r="P133" s="30" t="inlineStr">
        <is>
          <t xml:space="preserve">1,000 - 2,500</t>
        </is>
      </c>
      <c r="Q133" s="30" t="inlineStr">
        <is>
          <t xml:space="preserve">Georgia</t>
        </is>
      </c>
      <c r="R133" s="30" t="inlineStr">
        <is>
          <t xml:space="preserve">30303</t>
        </is>
      </c>
      <c r="S133" s="32" t="inlineStr">
        <is>
          <t xml:space="preserve">Tier 2 - Coastal wind (1-25 miles)</t>
        </is>
      </c>
      <c r="T133" s="36">
        <f>IF($A133="","",IF($S133="","",IFERROR(INDEX('[1]natural catastrophe'!$D$6:$D$17,MATCH($S133,'[1]natural catastrophe'!$B$6:$B$17,0)),"?")))</f>
      </c>
      <c r="U133" s="30" t="inlineStr">
        <is>
          <t xml:space="preserve">2% of agreed value, minimum $10,000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6637.64</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CANON-202607-009698</t>
        </is>
      </c>
      <c r="B134" s="46" t="inlineStr">
        <is>
          <t xml:space="preserve">Leopold Fairweather</t>
        </is>
      </c>
      <c r="C134" s="47">
        <v>46208</v>
      </c>
      <c r="D134" s="48" t="inlineStr">
        <is>
          <t xml:space="preserve">Bound - within authority</t>
        </is>
      </c>
      <c r="E134" s="48" t="inlineStr">
        <is>
          <t xml:space="preserve">New business</t>
        </is>
      </c>
      <c r="F134" s="46" t="inlineStr">
        <is>
          <t xml:space="preserve">B1234EXOTIC26</t>
        </is>
      </c>
      <c r="G134" s="33">
        <f>IF($A134="","",IF($C134="","",YEAR($C134)))</f>
      </c>
      <c r="H134" s="49">
        <v>1978</v>
      </c>
      <c r="I134" s="46" t="inlineStr">
        <is>
          <t xml:space="preserve">Mercedes-Benz</t>
        </is>
      </c>
      <c r="J134" s="46" t="inlineStr">
        <is>
          <t xml:space="preserve">AMG GT</t>
        </is>
      </c>
      <c r="K134" s="46" t="inlineStr">
        <is>
          <t xml:space="preserve">4KZXVYJ18WLJJSKKP</t>
        </is>
      </c>
      <c r="L134" s="48" t="inlineStr">
        <is>
          <t xml:space="preserve">02 - Sports / GT</t>
        </is>
      </c>
      <c r="M134" s="50">
        <v>525000</v>
      </c>
      <c r="N134" s="48" t="inlineStr">
        <is>
          <t xml:space="preserve">Personal</t>
        </is>
      </c>
      <c r="O134" s="46" t="inlineStr">
        <is>
          <t xml:space="preserve">Personal - regular use</t>
        </is>
      </c>
      <c r="P134" s="46" t="inlineStr">
        <is>
          <t xml:space="preserve">1,000 - 2,500</t>
        </is>
      </c>
      <c r="Q134" s="46" t="inlineStr">
        <is>
          <t xml:space="preserve">Tennessee</t>
        </is>
      </c>
      <c r="R134" s="46" t="inlineStr">
        <is>
          <t xml:space="preserve">37203</t>
        </is>
      </c>
      <c r="S134" s="48" t="inlineStr">
        <is>
          <t xml:space="preserve">Severe convective - hail / tornado (moderate)</t>
        </is>
      </c>
      <c r="T134" s="36">
        <f>IF($A134="","",IF($S134="","",IFERROR(INDEX('[1]natural catastrophe'!$D$6:$D$17,MATCH($S134,'[1]natural catastrophe'!$B$6:$B$17,0)),"?")))</f>
      </c>
      <c r="U134" s="46" t="inlineStr">
        <is>
          <t xml:space="preserve">$5,000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4801.84</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CANON-202607-009699</t>
        </is>
      </c>
      <c r="B135" s="30" t="inlineStr">
        <is>
          <t xml:space="preserve">Noor Castellanos</t>
        </is>
      </c>
      <c r="C135" s="31">
        <v>46216</v>
      </c>
      <c r="D135" s="32" t="inlineStr">
        <is>
          <t xml:space="preserve">Bound - within authority</t>
        </is>
      </c>
      <c r="E135" s="32" t="inlineStr">
        <is>
          <t xml:space="preserve">New business</t>
        </is>
      </c>
      <c r="F135" s="30" t="inlineStr">
        <is>
          <t xml:space="preserve">B1234EXOTIC26</t>
        </is>
      </c>
      <c r="G135" s="33">
        <f>IF($A135="","",IF($C135="","",YEAR($C135)))</f>
      </c>
      <c r="H135" s="34">
        <v>1958</v>
      </c>
      <c r="I135" s="30" t="inlineStr">
        <is>
          <t xml:space="preserve">Mercedes-Benz</t>
        </is>
      </c>
      <c r="J135" s="30" t="inlineStr">
        <is>
          <t xml:space="preserve">AMG GT</t>
        </is>
      </c>
      <c r="K135" s="30" t="inlineStr">
        <is>
          <t xml:space="preserve">3DJERF1CGLMLVZ3VG</t>
        </is>
      </c>
      <c r="L135" s="32" t="inlineStr">
        <is>
          <t xml:space="preserve">02 - Sports / GT</t>
        </is>
      </c>
      <c r="M135" s="35">
        <v>360000</v>
      </c>
      <c r="N135" s="32" t="inlineStr">
        <is>
          <t xml:space="preserve">Personal</t>
        </is>
      </c>
      <c r="O135" s="30" t="inlineStr">
        <is>
          <t xml:space="preserve">Personal - regular use</t>
        </is>
      </c>
      <c r="P135" s="30" t="inlineStr">
        <is>
          <t xml:space="preserve">1,000 - 2,500</t>
        </is>
      </c>
      <c r="Q135" s="30" t="inlineStr">
        <is>
          <t xml:space="preserve">Maine</t>
        </is>
      </c>
      <c r="R135" s="30" t="inlineStr">
        <is>
          <t xml:space="preserve">04101</t>
        </is>
      </c>
      <c r="S135" s="32" t="inlineStr">
        <is>
          <t xml:space="preserve">Tier 3 - Coastal wind (25-100 miles)</t>
        </is>
      </c>
      <c r="T135" s="36">
        <f>IF($A135="","",IF($S135="","",IFERROR(INDEX('[1]natural catastrophe'!$D$6:$D$17,MATCH($S135,'[1]natural catastrophe'!$B$6:$B$17,0)),"?")))</f>
      </c>
      <c r="U135" s="30" t="inlineStr">
        <is>
          <t xml:space="preserve">2% of agreed value, minimum $10,000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4186.94</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CANON-202607-009700</t>
        </is>
      </c>
      <c r="B136" s="46" t="inlineStr">
        <is>
          <t xml:space="preserve">Noor Farkas</t>
        </is>
      </c>
      <c r="C136" s="47">
        <v>46225</v>
      </c>
      <c r="D136" s="48" t="inlineStr">
        <is>
          <t xml:space="preserve">Bound - within authority</t>
        </is>
      </c>
      <c r="E136" s="48" t="inlineStr">
        <is>
          <t xml:space="preserve">New business</t>
        </is>
      </c>
      <c r="F136" s="46" t="inlineStr">
        <is>
          <t xml:space="preserve">B1234EXOTIC26</t>
        </is>
      </c>
      <c r="G136" s="33">
        <f>IF($A136="","",IF($C136="","",YEAR($C136)))</f>
      </c>
      <c r="H136" s="49">
        <v>1985</v>
      </c>
      <c r="I136" s="46" t="inlineStr">
        <is>
          <t xml:space="preserve">McLaren</t>
        </is>
      </c>
      <c r="J136" s="46" t="inlineStr">
        <is>
          <t xml:space="preserve">750S</t>
        </is>
      </c>
      <c r="K136" s="46" t="inlineStr">
        <is>
          <t xml:space="preserve">A94ZY005H6Z52UY37</t>
        </is>
      </c>
      <c r="L136" s="48" t="inlineStr">
        <is>
          <t xml:space="preserve">03 - Supercar</t>
        </is>
      </c>
      <c r="M136" s="50">
        <v>725000</v>
      </c>
      <c r="N136" s="48" t="inlineStr">
        <is>
          <t xml:space="preserve">Personal</t>
        </is>
      </c>
      <c r="O136" s="46" t="inlineStr">
        <is>
          <t xml:space="preserve">Personal - regular use</t>
        </is>
      </c>
      <c r="P136" s="46" t="inlineStr">
        <is>
          <t xml:space="preserve">1,000 - 2,500</t>
        </is>
      </c>
      <c r="Q136" s="46" t="inlineStr">
        <is>
          <t xml:space="preserve">Wyoming</t>
        </is>
      </c>
      <c r="R136" s="46" t="inlineStr">
        <is>
          <t xml:space="preserve">82001</t>
        </is>
      </c>
      <c r="S136" s="48" t="inlineStr">
        <is>
          <t xml:space="preserve">Severe convective - hail alley (high)</t>
        </is>
      </c>
      <c r="T136" s="36">
        <f>IF($A136="","",IF($S136="","",IFERROR(INDEX('[1]natural catastrophe'!$D$6:$D$17,MATCH($S136,'[1]natural catastrophe'!$B$6:$B$17,0)),"?")))</f>
      </c>
      <c r="U136" s="46" t="inlineStr">
        <is>
          <t xml:space="preserve">$5,000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10581.67</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CANON-202607-009701</t>
        </is>
      </c>
      <c r="B137" s="30" t="inlineStr">
        <is>
          <t xml:space="preserve">Desmond Vandermeer</t>
        </is>
      </c>
      <c r="C137" s="31">
        <v>46208</v>
      </c>
      <c r="D137" s="32" t="inlineStr">
        <is>
          <t xml:space="preserve">Bound - within authority</t>
        </is>
      </c>
      <c r="E137" s="32" t="inlineStr">
        <is>
          <t xml:space="preserve">New business</t>
        </is>
      </c>
      <c r="F137" s="30" t="inlineStr">
        <is>
          <t xml:space="preserve">B1234EXOTIC26</t>
        </is>
      </c>
      <c r="G137" s="33">
        <f>IF($A137="","",IF($C137="","",YEAR($C137)))</f>
      </c>
      <c r="H137" s="34">
        <v>2005</v>
      </c>
      <c r="I137" s="30" t="inlineStr">
        <is>
          <t xml:space="preserve">Maserati</t>
        </is>
      </c>
      <c r="J137" s="30" t="inlineStr">
        <is>
          <t xml:space="preserve">GranTurismo</t>
        </is>
      </c>
      <c r="K137" s="30" t="inlineStr">
        <is>
          <t xml:space="preserve">VCJNG8LHNAK62C91L</t>
        </is>
      </c>
      <c r="L137" s="32" t="inlineStr">
        <is>
          <t xml:space="preserve">02 - Sports / GT</t>
        </is>
      </c>
      <c r="M137" s="35">
        <v>380000</v>
      </c>
      <c r="N137" s="32" t="inlineStr">
        <is>
          <t xml:space="preserve">Personal</t>
        </is>
      </c>
      <c r="O137" s="30" t="inlineStr">
        <is>
          <t xml:space="preserve">Personal - regular use</t>
        </is>
      </c>
      <c r="P137" s="30" t="inlineStr">
        <is>
          <t xml:space="preserve">1,000 - 2,500</t>
        </is>
      </c>
      <c r="Q137" s="30" t="inlineStr">
        <is>
          <t xml:space="preserve">Tennessee</t>
        </is>
      </c>
      <c r="R137" s="30" t="inlineStr">
        <is>
          <t xml:space="preserve">37203</t>
        </is>
      </c>
      <c r="S137" s="32" t="inlineStr">
        <is>
          <t xml:space="preserve">Severe convective - hail / tornado (moderate)</t>
        </is>
      </c>
      <c r="T137" s="36">
        <f>IF($A137="","",IF($S137="","",IFERROR(INDEX('[1]natural catastrophe'!$D$6:$D$17,MATCH($S137,'[1]natural catastrophe'!$B$6:$B$17,0)),"?")))</f>
      </c>
      <c r="U137" s="30" t="inlineStr">
        <is>
          <t xml:space="preserve">$5,000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4010.33</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CANON-202607-009702</t>
        </is>
      </c>
      <c r="B138" s="46" t="inlineStr">
        <is>
          <t xml:space="preserve">Fitzgerald Vandermeer</t>
        </is>
      </c>
      <c r="C138" s="47">
        <v>46229</v>
      </c>
      <c r="D138" s="48" t="inlineStr">
        <is>
          <t xml:space="preserve">Bound - within authority</t>
        </is>
      </c>
      <c r="E138" s="48" t="inlineStr">
        <is>
          <t xml:space="preserve">New business</t>
        </is>
      </c>
      <c r="F138" s="46" t="inlineStr">
        <is>
          <t xml:space="preserve">B1234EXOTIC26</t>
        </is>
      </c>
      <c r="G138" s="33">
        <f>IF($A138="","",IF($C138="","",YEAR($C138)))</f>
      </c>
      <c r="H138" s="49">
        <v>1969</v>
      </c>
      <c r="I138" s="46" t="inlineStr">
        <is>
          <t xml:space="preserve">Bentley</t>
        </is>
      </c>
      <c r="J138" s="46" t="inlineStr">
        <is>
          <t xml:space="preserve">Continental GT</t>
        </is>
      </c>
      <c r="K138" s="46" t="inlineStr">
        <is>
          <t xml:space="preserve">1VFU4M8E3HZ5LM4NH</t>
        </is>
      </c>
      <c r="L138" s="48" t="inlineStr">
        <is>
          <t xml:space="preserve">02 - Sports / GT</t>
        </is>
      </c>
      <c r="M138" s="50">
        <v>225000</v>
      </c>
      <c r="N138" s="48" t="inlineStr">
        <is>
          <t xml:space="preserve">Personal</t>
        </is>
      </c>
      <c r="O138" s="46" t="inlineStr">
        <is>
          <t xml:space="preserve">Personal - regular use</t>
        </is>
      </c>
      <c r="P138" s="46" t="inlineStr">
        <is>
          <t xml:space="preserve">2,500 - 5,000</t>
        </is>
      </c>
      <c r="Q138" s="46" t="inlineStr">
        <is>
          <t xml:space="preserve">Pennsylvania</t>
        </is>
      </c>
      <c r="R138" s="46" t="inlineStr">
        <is>
          <t xml:space="preserve">19103</t>
        </is>
      </c>
      <c r="S138" s="48" t="inlineStr">
        <is>
          <t xml:space="preserve">Low hazard - inland benign</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2972.21</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CANON-202607-009703</t>
        </is>
      </c>
      <c r="B139" s="30" t="inlineStr">
        <is>
          <t xml:space="preserve">Emiliano Whitlock</t>
        </is>
      </c>
      <c r="C139" s="31">
        <v>46204</v>
      </c>
      <c r="D139" s="32" t="inlineStr">
        <is>
          <t xml:space="preserve">Bound - within authority</t>
        </is>
      </c>
      <c r="E139" s="32" t="inlineStr">
        <is>
          <t xml:space="preserve">New business</t>
        </is>
      </c>
      <c r="F139" s="30" t="inlineStr">
        <is>
          <t xml:space="preserve">B1234EXOTIC26</t>
        </is>
      </c>
      <c r="G139" s="33">
        <f>IF($A139="","",IF($C139="","",YEAR($C139)))</f>
      </c>
      <c r="H139" s="34">
        <v>2013</v>
      </c>
      <c r="I139" s="30" t="inlineStr">
        <is>
          <t xml:space="preserve">Maserati</t>
        </is>
      </c>
      <c r="J139" s="30" t="inlineStr">
        <is>
          <t xml:space="preserve">GranTurismo</t>
        </is>
      </c>
      <c r="K139" s="30" t="inlineStr">
        <is>
          <t xml:space="preserve">PB5UXGZYW4A7BLD6G</t>
        </is>
      </c>
      <c r="L139" s="32" t="inlineStr">
        <is>
          <t xml:space="preserve">02 - Sports / GT</t>
        </is>
      </c>
      <c r="M139" s="35">
        <v>485000</v>
      </c>
      <c r="N139" s="32" t="inlineStr">
        <is>
          <t xml:space="preserve">Personal</t>
        </is>
      </c>
      <c r="O139" s="30" t="inlineStr">
        <is>
          <t xml:space="preserve">Personal - regular use</t>
        </is>
      </c>
      <c r="P139" s="30" t="inlineStr">
        <is>
          <t xml:space="preserve">Under 1,000</t>
        </is>
      </c>
      <c r="Q139" s="30" t="inlineStr">
        <is>
          <t xml:space="preserve">Florida</t>
        </is>
      </c>
      <c r="R139" s="30" t="inlineStr">
        <is>
          <t xml:space="preserve">33139</t>
        </is>
      </c>
      <c r="S139" s="32" t="inlineStr">
        <is>
          <t xml:space="preserve">Tier 2 - Coastal wind (1-25 miles)</t>
        </is>
      </c>
      <c r="T139" s="36">
        <f>IF($A139="","",IF($S139="","",IFERROR(INDEX('[1]natural catastrophe'!$D$6:$D$17,MATCH($S139,'[1]natural catastrophe'!$B$6:$B$17,0)),"?")))</f>
      </c>
      <c r="U139" s="30" t="inlineStr">
        <is>
          <t xml:space="preserve">2% of agreed value, minimum $10,000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7416.52</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CANON-202607-009704</t>
        </is>
      </c>
      <c r="B140" s="46" t="inlineStr">
        <is>
          <t xml:space="preserve">Lorenzo Montoya</t>
        </is>
      </c>
      <c r="C140" s="47">
        <v>46228</v>
      </c>
      <c r="D140" s="48" t="inlineStr">
        <is>
          <t xml:space="preserve">Bound - within authority</t>
        </is>
      </c>
      <c r="E140" s="48" t="inlineStr">
        <is>
          <t xml:space="preserve">New business</t>
        </is>
      </c>
      <c r="F140" s="46" t="inlineStr">
        <is>
          <t xml:space="preserve">B1234EXOTIC26</t>
        </is>
      </c>
      <c r="G140" s="33">
        <f>IF($A140="","",IF($C140="","",YEAR($C140)))</f>
      </c>
      <c r="H140" s="49">
        <v>2015</v>
      </c>
      <c r="I140" s="46" t="inlineStr">
        <is>
          <t xml:space="preserve">Bentley</t>
        </is>
      </c>
      <c r="J140" s="46" t="inlineStr">
        <is>
          <t xml:space="preserve">Continental GT</t>
        </is>
      </c>
      <c r="K140" s="46" t="inlineStr">
        <is>
          <t xml:space="preserve">PG5K3JBTCUT250WY9</t>
        </is>
      </c>
      <c r="L140" s="48" t="inlineStr">
        <is>
          <t xml:space="preserve">02 - Sports / GT</t>
        </is>
      </c>
      <c r="M140" s="50">
        <v>255000</v>
      </c>
      <c r="N140" s="48" t="inlineStr">
        <is>
          <t xml:space="preserve">Personal</t>
        </is>
      </c>
      <c r="O140" s="46" t="inlineStr">
        <is>
          <t xml:space="preserve">Personal - regular use</t>
        </is>
      </c>
      <c r="P140" s="46" t="inlineStr">
        <is>
          <t xml:space="preserve">1,000 - 2,500</t>
        </is>
      </c>
      <c r="Q140" s="46" t="inlineStr">
        <is>
          <t xml:space="preserve">Maine</t>
        </is>
      </c>
      <c r="R140" s="46" t="inlineStr">
        <is>
          <t xml:space="preserve">04101</t>
        </is>
      </c>
      <c r="S140" s="48" t="inlineStr">
        <is>
          <t xml:space="preserve">Tier 3 - Coastal wind (25-100 miles)</t>
        </is>
      </c>
      <c r="T140" s="36">
        <f>IF($A140="","",IF($S140="","",IFERROR(INDEX('[1]natural catastrophe'!$D$6:$D$17,MATCH($S140,'[1]natural catastrophe'!$B$6:$B$17,0)),"?")))</f>
      </c>
      <c r="U140" s="46" t="inlineStr">
        <is>
          <t xml:space="preserve">2% of agreed value, minimum $10,000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2965.75</v>
      </c>
      <c r="AC140" s="51">
        <v>0</v>
      </c>
      <c r="AD140" s="38">
        <f>IF(ISNUMBER($AB140),$AB140*(1+N($AC140)),"")</f>
      </c>
      <c r="AE140" s="50">
        <v>350</v>
      </c>
      <c r="AF140" s="50">
        <v>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CANON-202607-009705</t>
        </is>
      </c>
      <c r="B141" s="30" t="inlineStr">
        <is>
          <t xml:space="preserve">Mireille Castellanos</t>
        </is>
      </c>
      <c r="C141" s="31">
        <v>46213</v>
      </c>
      <c r="D141" s="32" t="inlineStr">
        <is>
          <t xml:space="preserve">Bound - within authority</t>
        </is>
      </c>
      <c r="E141" s="32" t="inlineStr">
        <is>
          <t xml:space="preserve">New business</t>
        </is>
      </c>
      <c r="F141" s="30" t="inlineStr">
        <is>
          <t xml:space="preserve">B1234EXOTIC26</t>
        </is>
      </c>
      <c r="G141" s="33">
        <f>IF($A141="","",IF($C141="","",YEAR($C141)))</f>
      </c>
      <c r="H141" s="34">
        <v>1999</v>
      </c>
      <c r="I141" s="30" t="inlineStr">
        <is>
          <t xml:space="preserve">Mercedes-Benz</t>
        </is>
      </c>
      <c r="J141" s="30" t="inlineStr">
        <is>
          <t xml:space="preserve">AMG GT</t>
        </is>
      </c>
      <c r="K141" s="30" t="inlineStr">
        <is>
          <t xml:space="preserve">9Y6SAY5XSK7WCDYXB</t>
        </is>
      </c>
      <c r="L141" s="32" t="inlineStr">
        <is>
          <t xml:space="preserve">02 - Sports / GT</t>
        </is>
      </c>
      <c r="M141" s="35">
        <v>190000</v>
      </c>
      <c r="N141" s="32" t="inlineStr">
        <is>
          <t xml:space="preserve">Personal</t>
        </is>
      </c>
      <c r="O141" s="30" t="inlineStr">
        <is>
          <t xml:space="preserve">Personal - regular use</t>
        </is>
      </c>
      <c r="P141" s="30" t="inlineStr">
        <is>
          <t xml:space="preserve">Under 1,000</t>
        </is>
      </c>
      <c r="Q141" s="30" t="inlineStr">
        <is>
          <t xml:space="preserve">South Dakota</t>
        </is>
      </c>
      <c r="R141" s="30" t="inlineStr">
        <is>
          <t xml:space="preserve">57501</t>
        </is>
      </c>
      <c r="S141" s="32" t="inlineStr">
        <is>
          <t xml:space="preserve">Severe convective - hail alley (high)</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2785.95</v>
      </c>
      <c r="AC141" s="37">
        <v>0</v>
      </c>
      <c r="AD141" s="38">
        <f>IF(ISNUMBER($AB141),$AB141*(1+N($AC141)),"")</f>
      </c>
      <c r="AE141" s="35">
        <v>350</v>
      </c>
      <c r="AF141" s="35">
        <v>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CANON-202607-009706</t>
        </is>
      </c>
      <c r="B142" s="46" t="inlineStr">
        <is>
          <t xml:space="preserve">Aurelio Merriweather</t>
        </is>
      </c>
      <c r="C142" s="47">
        <v>46211</v>
      </c>
      <c r="D142" s="48" t="inlineStr">
        <is>
          <t xml:space="preserve">Bound - within authority</t>
        </is>
      </c>
      <c r="E142" s="48" t="inlineStr">
        <is>
          <t xml:space="preserve">New business</t>
        </is>
      </c>
      <c r="F142" s="46" t="inlineStr">
        <is>
          <t xml:space="preserve">B1234EXOTIC26</t>
        </is>
      </c>
      <c r="G142" s="33">
        <f>IF($A142="","",IF($C142="","",YEAR($C142)))</f>
      </c>
      <c r="H142" s="49">
        <v>1992</v>
      </c>
      <c r="I142" s="46" t="inlineStr">
        <is>
          <t xml:space="preserve">Alfa Romeo</t>
        </is>
      </c>
      <c r="J142" s="46" t="inlineStr">
        <is>
          <t xml:space="preserve">8C 2900</t>
        </is>
      </c>
      <c r="K142" s="46" t="inlineStr">
        <is>
          <t xml:space="preserve">ALWS3THCDXGU6VBC9</t>
        </is>
      </c>
      <c r="L142" s="48" t="inlineStr">
        <is>
          <t xml:space="preserve">08 - Modern Classic (1973-1999)</t>
        </is>
      </c>
      <c r="M142" s="50">
        <v>1290000</v>
      </c>
      <c r="N142" s="48" t="inlineStr">
        <is>
          <t xml:space="preserve">Personal</t>
        </is>
      </c>
      <c r="O142" s="46" t="inlineStr">
        <is>
          <t xml:space="preserve">Personal - regular use</t>
        </is>
      </c>
      <c r="P142" s="46" t="inlineStr">
        <is>
          <t xml:space="preserve">Under 1,000</t>
        </is>
      </c>
      <c r="Q142" s="46" t="inlineStr">
        <is>
          <t xml:space="preserve">Delaware</t>
        </is>
      </c>
      <c r="R142" s="46" t="inlineStr">
        <is>
          <t xml:space="preserve">19801</t>
        </is>
      </c>
      <c r="S142" s="48" t="inlineStr">
        <is>
          <t xml:space="preserve">Tier 3 - Coastal wind (25-100 miles)</t>
        </is>
      </c>
      <c r="T142" s="36">
        <f>IF($A142="","",IF($S142="","",IFERROR(INDEX('[1]natural catastrophe'!$D$6:$D$17,MATCH($S142,'[1]natural catastrophe'!$B$6:$B$17,0)),"?")))</f>
      </c>
      <c r="U142" s="46" t="inlineStr">
        <is>
          <t xml:space="preserve">2% of agreed value, minimum $10,000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7872.04</v>
      </c>
      <c r="AC142" s="51">
        <v>0</v>
      </c>
      <c r="AD142" s="38">
        <f>IF(ISNUMBER($AB142),$AB142*(1+N($AC142)),"")</f>
      </c>
      <c r="AE142" s="50">
        <v>350</v>
      </c>
      <c r="AF142" s="50">
        <v>250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CANON-202607-009708</t>
        </is>
      </c>
      <c r="B143" s="30" t="inlineStr">
        <is>
          <t xml:space="preserve">Delphine Delacroix</t>
        </is>
      </c>
      <c r="C143" s="31">
        <v>46228</v>
      </c>
      <c r="D143" s="32" t="inlineStr">
        <is>
          <t xml:space="preserve">Bound - within authority</t>
        </is>
      </c>
      <c r="E143" s="32" t="inlineStr">
        <is>
          <t xml:space="preserve">New business</t>
        </is>
      </c>
      <c r="F143" s="30" t="inlineStr">
        <is>
          <t xml:space="preserve">B1234EXOTIC26</t>
        </is>
      </c>
      <c r="G143" s="33">
        <f>IF($A143="","",IF($C143="","",YEAR($C143)))</f>
      </c>
      <c r="H143" s="34">
        <v>1987</v>
      </c>
      <c r="I143" s="30" t="inlineStr">
        <is>
          <t xml:space="preserve">Porsche</t>
        </is>
      </c>
      <c r="J143" s="30" t="inlineStr">
        <is>
          <t xml:space="preserve">911 Turbo S</t>
        </is>
      </c>
      <c r="K143" s="30" t="inlineStr">
        <is>
          <t xml:space="preserve">FBXC7WL905XKESPCN</t>
        </is>
      </c>
      <c r="L143" s="32" t="inlineStr">
        <is>
          <t xml:space="preserve">02 - Sports / GT</t>
        </is>
      </c>
      <c r="M143" s="35">
        <v>200000</v>
      </c>
      <c r="N143" s="32" t="inlineStr">
        <is>
          <t xml:space="preserve">Personal</t>
        </is>
      </c>
      <c r="O143" s="30" t="inlineStr">
        <is>
          <t xml:space="preserve">Personal - regular use</t>
        </is>
      </c>
      <c r="P143" s="30" t="inlineStr">
        <is>
          <t xml:space="preserve">Under 1,000</t>
        </is>
      </c>
      <c r="Q143" s="30" t="inlineStr">
        <is>
          <t xml:space="preserve">Montana</t>
        </is>
      </c>
      <c r="R143" s="30" t="inlineStr">
        <is>
          <t xml:space="preserve">59601</t>
        </is>
      </c>
      <c r="S143" s="32" t="inlineStr">
        <is>
          <t xml:space="preserve">Wildfire - WUI high hazard</t>
        </is>
      </c>
      <c r="T143" s="36">
        <f>IF($A143="","",IF($S143="","",IFERROR(INDEX('[1]natural catastrophe'!$D$6:$D$17,MATCH($S143,'[1]natural catastrophe'!$B$6:$B$17,0)),"?")))</f>
      </c>
      <c r="U143" s="30" t="inlineStr">
        <is>
          <t xml:space="preserve">$5,000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2457.03</v>
      </c>
      <c r="AC143" s="37">
        <v>0</v>
      </c>
      <c r="AD143" s="38">
        <f>IF(ISNUMBER($AB143),$AB143*(1+N($AC143)),"")</f>
      </c>
      <c r="AE143" s="35">
        <v>350</v>
      </c>
      <c r="AF143" s="35">
        <v>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CANON-202607-009709</t>
        </is>
      </c>
      <c r="B144" s="46" t="inlineStr">
        <is>
          <t xml:space="preserve">Sunniva Bellandi</t>
        </is>
      </c>
      <c r="C144" s="47">
        <v>46205</v>
      </c>
      <c r="D144" s="48" t="inlineStr">
        <is>
          <t xml:space="preserve">Bound - within authority</t>
        </is>
      </c>
      <c r="E144" s="48" t="inlineStr">
        <is>
          <t xml:space="preserve">New business</t>
        </is>
      </c>
      <c r="F144" s="46" t="inlineStr">
        <is>
          <t xml:space="preserve">B1234EXOTIC26</t>
        </is>
      </c>
      <c r="G144" s="33">
        <f>IF($A144="","",IF($C144="","",YEAR($C144)))</f>
      </c>
      <c r="H144" s="49">
        <v>1971</v>
      </c>
      <c r="I144" s="46" t="inlineStr">
        <is>
          <t xml:space="preserve">Mercedes-Benz</t>
        </is>
      </c>
      <c r="J144" s="46" t="inlineStr">
        <is>
          <t xml:space="preserve">AMG GT</t>
        </is>
      </c>
      <c r="K144" s="46" t="inlineStr">
        <is>
          <t xml:space="preserve">VPF683XGV5W0ZD1L5</t>
        </is>
      </c>
      <c r="L144" s="48" t="inlineStr">
        <is>
          <t xml:space="preserve">02 - Sports / GT</t>
        </is>
      </c>
      <c r="M144" s="50">
        <v>380000</v>
      </c>
      <c r="N144" s="48" t="inlineStr">
        <is>
          <t xml:space="preserve">Personal</t>
        </is>
      </c>
      <c r="O144" s="46" t="inlineStr">
        <is>
          <t xml:space="preserve">Personal - regular use</t>
        </is>
      </c>
      <c r="P144" s="46" t="inlineStr">
        <is>
          <t xml:space="preserve">2,500 - 5,000</t>
        </is>
      </c>
      <c r="Q144" s="46" t="inlineStr">
        <is>
          <t xml:space="preserve">Minnesota</t>
        </is>
      </c>
      <c r="R144" s="46" t="inlineStr">
        <is>
          <t xml:space="preserve">55401</t>
        </is>
      </c>
      <c r="S144" s="48" t="inlineStr">
        <is>
          <t xml:space="preserve">Severe convective - hail / tornado (moderate)</t>
        </is>
      </c>
      <c r="T144" s="36">
        <f>IF($A144="","",IF($S144="","",IFERROR(INDEX('[1]natural catastrophe'!$D$6:$D$17,MATCH($S144,'[1]natural catastrophe'!$B$6:$B$17,0)),"?")))</f>
      </c>
      <c r="U144" s="46" t="inlineStr">
        <is>
          <t xml:space="preserve">$5,000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5401.66</v>
      </c>
      <c r="AC144" s="51">
        <v>0</v>
      </c>
      <c r="AD144" s="38">
        <f>IF(ISNUMBER($AB144),$AB144*(1+N($AC144)),"")</f>
      </c>
      <c r="AE144" s="50">
        <v>350</v>
      </c>
      <c r="AF144" s="50">
        <v>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CANON-202607-009713</t>
        </is>
      </c>
      <c r="B145" s="30" t="inlineStr">
        <is>
          <t xml:space="preserve">Priya Farkas</t>
        </is>
      </c>
      <c r="C145" s="31">
        <v>46225</v>
      </c>
      <c r="D145" s="32" t="inlineStr">
        <is>
          <t xml:space="preserve">Bound - within authority</t>
        </is>
      </c>
      <c r="E145" s="32" t="inlineStr">
        <is>
          <t xml:space="preserve">New business</t>
        </is>
      </c>
      <c r="F145" s="30" t="inlineStr">
        <is>
          <t xml:space="preserve">B1234EXOTIC26</t>
        </is>
      </c>
      <c r="G145" s="33">
        <f>IF($A145="","",IF($C145="","",YEAR($C145)))</f>
      </c>
      <c r="H145" s="34">
        <v>2010</v>
      </c>
      <c r="I145" s="30" t="inlineStr">
        <is>
          <t xml:space="preserve">Ferrari</t>
        </is>
      </c>
      <c r="J145" s="30" t="inlineStr">
        <is>
          <t xml:space="preserve">296 GTB</t>
        </is>
      </c>
      <c r="K145" s="30" t="inlineStr">
        <is>
          <t xml:space="preserve">GN8Z99WSY94NFGBBE</t>
        </is>
      </c>
      <c r="L145" s="32" t="inlineStr">
        <is>
          <t xml:space="preserve">03 - Supercar</t>
        </is>
      </c>
      <c r="M145" s="35">
        <v>705000</v>
      </c>
      <c r="N145" s="32" t="inlineStr">
        <is>
          <t xml:space="preserve">Personal</t>
        </is>
      </c>
      <c r="O145" s="30" t="inlineStr">
        <is>
          <t xml:space="preserve">Personal - regular use</t>
        </is>
      </c>
      <c r="P145" s="30" t="inlineStr">
        <is>
          <t xml:space="preserve">1,000 - 2,500</t>
        </is>
      </c>
      <c r="Q145" s="30" t="inlineStr">
        <is>
          <t xml:space="preserve">North Carolina</t>
        </is>
      </c>
      <c r="R145" s="30" t="inlineStr">
        <is>
          <t xml:space="preserve">28202</t>
        </is>
      </c>
      <c r="S145" s="32" t="inlineStr">
        <is>
          <t xml:space="preserve">Tier 2 - Coastal wind (1-25 miles)</t>
        </is>
      </c>
      <c r="T145" s="36">
        <f>IF($A145="","",IF($S145="","",IFERROR(INDEX('[1]natural catastrophe'!$D$6:$D$17,MATCH($S145,'[1]natural catastrophe'!$B$6:$B$17,0)),"?")))</f>
      </c>
      <c r="U145" s="30" t="inlineStr">
        <is>
          <t xml:space="preserve">2% of agreed value, minimum $10,000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11059.09</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CANON-202607-009714</t>
        </is>
      </c>
      <c r="B146" s="46" t="inlineStr">
        <is>
          <t xml:space="preserve">Sunniva Okonkwo</t>
        </is>
      </c>
      <c r="C146" s="47">
        <v>46205</v>
      </c>
      <c r="D146" s="48" t="inlineStr">
        <is>
          <t xml:space="preserve">Bound - within authority</t>
        </is>
      </c>
      <c r="E146" s="48" t="inlineStr">
        <is>
          <t xml:space="preserve">New business</t>
        </is>
      </c>
      <c r="F146" s="46" t="inlineStr">
        <is>
          <t xml:space="preserve">B1234EXOTIC26</t>
        </is>
      </c>
      <c r="G146" s="33">
        <f>IF($A146="","",IF($C146="","",YEAR($C146)))</f>
      </c>
      <c r="H146" s="49">
        <v>2009</v>
      </c>
      <c r="I146" s="46" t="inlineStr">
        <is>
          <t xml:space="preserve">Bentley</t>
        </is>
      </c>
      <c r="J146" s="46" t="inlineStr">
        <is>
          <t xml:space="preserve">Continental GT</t>
        </is>
      </c>
      <c r="K146" s="46" t="inlineStr">
        <is>
          <t xml:space="preserve">3TLCJFF6LGLTSUDFJ</t>
        </is>
      </c>
      <c r="L146" s="48" t="inlineStr">
        <is>
          <t xml:space="preserve">02 - Sports / GT</t>
        </is>
      </c>
      <c r="M146" s="50">
        <v>1435000</v>
      </c>
      <c r="N146" s="48" t="inlineStr">
        <is>
          <t xml:space="preserve">Personal</t>
        </is>
      </c>
      <c r="O146" s="46" t="inlineStr">
        <is>
          <t xml:space="preserve">Personal - regular use</t>
        </is>
      </c>
      <c r="P146" s="46" t="inlineStr">
        <is>
          <t xml:space="preserve">2,500 - 5,000</t>
        </is>
      </c>
      <c r="Q146" s="46" t="inlineStr">
        <is>
          <t xml:space="preserve">Connecticut</t>
        </is>
      </c>
      <c r="R146" s="46" t="inlineStr">
        <is>
          <t xml:space="preserve">06103</t>
        </is>
      </c>
      <c r="S146" s="48" t="inlineStr">
        <is>
          <t xml:space="preserve">Tier 3 - Coastal wind (25-100 miles)</t>
        </is>
      </c>
      <c r="T146" s="36">
        <f>IF($A146="","",IF($S146="","",IFERROR(INDEX('[1]natural catastrophe'!$D$6:$D$17,MATCH($S146,'[1]natural catastrophe'!$B$6:$B$17,0)),"?")))</f>
      </c>
      <c r="U146" s="46" t="inlineStr">
        <is>
          <t xml:space="preserve">2% of agreed value, minimum $10,000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12692.33</v>
      </c>
      <c r="AC146" s="51">
        <v>0</v>
      </c>
      <c r="AD146" s="38">
        <f>IF(ISNUMBER($AB146),$AB146*(1+N($AC146)),"")</f>
      </c>
      <c r="AE146" s="50">
        <v>350</v>
      </c>
      <c r="AF146" s="50">
        <v>250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CANON-202607-009715</t>
        </is>
      </c>
      <c r="B147" s="30" t="inlineStr">
        <is>
          <t xml:space="preserve">Delphine Castellanos</t>
        </is>
      </c>
      <c r="C147" s="31">
        <v>46219</v>
      </c>
      <c r="D147" s="32" t="inlineStr">
        <is>
          <t xml:space="preserve">Bound - within authority</t>
        </is>
      </c>
      <c r="E147" s="32" t="inlineStr">
        <is>
          <t xml:space="preserve">New business</t>
        </is>
      </c>
      <c r="F147" s="30" t="inlineStr">
        <is>
          <t xml:space="preserve">B1234EXOTIC26</t>
        </is>
      </c>
      <c r="G147" s="33">
        <f>IF($A147="","",IF($C147="","",YEAR($C147)))</f>
      </c>
      <c r="H147" s="34">
        <v>1986</v>
      </c>
      <c r="I147" s="30" t="inlineStr">
        <is>
          <t xml:space="preserve">Aston Martin</t>
        </is>
      </c>
      <c r="J147" s="30" t="inlineStr">
        <is>
          <t xml:space="preserve">DB12</t>
        </is>
      </c>
      <c r="K147" s="30" t="inlineStr">
        <is>
          <t xml:space="preserve">NMJ5SGLUSXY2D8L7E</t>
        </is>
      </c>
      <c r="L147" s="32" t="inlineStr">
        <is>
          <t xml:space="preserve">02 - Sports / GT</t>
        </is>
      </c>
      <c r="M147" s="35">
        <v>630000</v>
      </c>
      <c r="N147" s="32" t="inlineStr">
        <is>
          <t xml:space="preserve">Personal</t>
        </is>
      </c>
      <c r="O147" s="30" t="inlineStr">
        <is>
          <t xml:space="preserve">Personal - regular use</t>
        </is>
      </c>
      <c r="P147" s="30" t="inlineStr">
        <is>
          <t xml:space="preserve">Under 1,000</t>
        </is>
      </c>
      <c r="Q147" s="30" t="inlineStr">
        <is>
          <t xml:space="preserve">Georgia</t>
        </is>
      </c>
      <c r="R147" s="30" t="inlineStr">
        <is>
          <t xml:space="preserve">30303</t>
        </is>
      </c>
      <c r="S147" s="32" t="inlineStr">
        <is>
          <t xml:space="preserve">Tier 2 - Coastal wind (1-25 miles)</t>
        </is>
      </c>
      <c r="T147" s="36">
        <f>IF($A147="","",IF($S147="","",IFERROR(INDEX('[1]natural catastrophe'!$D$6:$D$17,MATCH($S147,'[1]natural catastrophe'!$B$6:$B$17,0)),"?")))</f>
      </c>
      <c r="U147" s="30" t="inlineStr">
        <is>
          <t xml:space="preserve">2% of agreed value, minimum $10,000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6585.37</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CANON-202607-009716</t>
        </is>
      </c>
      <c r="B148" s="46" t="inlineStr">
        <is>
          <t xml:space="preserve">Cassius Blackwood</t>
        </is>
      </c>
      <c r="C148" s="47">
        <v>46214</v>
      </c>
      <c r="D148" s="48" t="inlineStr">
        <is>
          <t xml:space="preserve">Bound - within authority</t>
        </is>
      </c>
      <c r="E148" s="48" t="inlineStr">
        <is>
          <t xml:space="preserve">New business</t>
        </is>
      </c>
      <c r="F148" s="46" t="inlineStr">
        <is>
          <t xml:space="preserve">B1234EXOTIC26</t>
        </is>
      </c>
      <c r="G148" s="33">
        <f>IF($A148="","",IF($C148="","",YEAR($C148)))</f>
      </c>
      <c r="H148" s="49">
        <v>1978</v>
      </c>
      <c r="I148" s="46" t="inlineStr">
        <is>
          <t xml:space="preserve">Ferrari</t>
        </is>
      </c>
      <c r="J148" s="46" t="inlineStr">
        <is>
          <t xml:space="preserve">275 GTB/4</t>
        </is>
      </c>
      <c r="K148" s="46" t="inlineStr">
        <is>
          <t xml:space="preserve">7B831NJPFDUN0G1AN</t>
        </is>
      </c>
      <c r="L148" s="48" t="inlineStr">
        <is>
          <t xml:space="preserve">08 - Modern Classic (1973-1999)</t>
        </is>
      </c>
      <c r="M148" s="50">
        <v>325000</v>
      </c>
      <c r="N148" s="48" t="inlineStr">
        <is>
          <t xml:space="preserve">Personal</t>
        </is>
      </c>
      <c r="O148" s="46" t="inlineStr">
        <is>
          <t xml:space="preserve">Personal - regular use</t>
        </is>
      </c>
      <c r="P148" s="46" t="inlineStr">
        <is>
          <t xml:space="preserve">2,500 - 5,000</t>
        </is>
      </c>
      <c r="Q148" s="46" t="inlineStr">
        <is>
          <t xml:space="preserve">Pennsylvania</t>
        </is>
      </c>
      <c r="R148" s="46" t="inlineStr">
        <is>
          <t xml:space="preserve">19103</t>
        </is>
      </c>
      <c r="S148" s="48" t="inlineStr">
        <is>
          <t xml:space="preserve">Low hazard - inland benign</t>
        </is>
      </c>
      <c r="T148" s="36">
        <f>IF($A148="","",IF($S148="","",IFERROR(INDEX('[1]natural catastrophe'!$D$6:$D$17,MATCH($S148,'[1]natural catastrophe'!$B$6:$B$17,0)),"?")))</f>
      </c>
      <c r="U148" s="46" t="inlineStr">
        <is>
          <t xml:space="preserve">$5,000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2239.93</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CANON-202607-009717</t>
        </is>
      </c>
      <c r="B149" s="30" t="inlineStr">
        <is>
          <t xml:space="preserve">Aurelio Bellandi</t>
        </is>
      </c>
      <c r="C149" s="31">
        <v>46221</v>
      </c>
      <c r="D149" s="32" t="inlineStr">
        <is>
          <t xml:space="preserve">Bound - within authority</t>
        </is>
      </c>
      <c r="E149" s="32" t="inlineStr">
        <is>
          <t xml:space="preserve">New business</t>
        </is>
      </c>
      <c r="F149" s="30" t="inlineStr">
        <is>
          <t xml:space="preserve">B1234EXOTIC26</t>
        </is>
      </c>
      <c r="G149" s="33">
        <f>IF($A149="","",IF($C149="","",YEAR($C149)))</f>
      </c>
      <c r="H149" s="34">
        <v>1972</v>
      </c>
      <c r="I149" s="30" t="inlineStr">
        <is>
          <t xml:space="preserve">Bentley</t>
        </is>
      </c>
      <c r="J149" s="30" t="inlineStr">
        <is>
          <t xml:space="preserve">Continental GT</t>
        </is>
      </c>
      <c r="K149" s="30" t="inlineStr">
        <is>
          <t xml:space="preserve">9AD3YLBBCWNT50E7G</t>
        </is>
      </c>
      <c r="L149" s="32" t="inlineStr">
        <is>
          <t xml:space="preserve">02 - Sports / GT</t>
        </is>
      </c>
      <c r="M149" s="35">
        <v>765000</v>
      </c>
      <c r="N149" s="32" t="inlineStr">
        <is>
          <t xml:space="preserve">Personal</t>
        </is>
      </c>
      <c r="O149" s="30" t="inlineStr">
        <is>
          <t xml:space="preserve">Personal - regular use</t>
        </is>
      </c>
      <c r="P149" s="30" t="inlineStr">
        <is>
          <t xml:space="preserve">2,500 - 5,000</t>
        </is>
      </c>
      <c r="Q149" s="30" t="inlineStr">
        <is>
          <t xml:space="preserve">Ohio</t>
        </is>
      </c>
      <c r="R149" s="30" t="inlineStr">
        <is>
          <t xml:space="preserve">43215</t>
        </is>
      </c>
      <c r="S149" s="32" t="inlineStr">
        <is>
          <t xml:space="preserve">Severe convective - hail / tornado (moderate)</t>
        </is>
      </c>
      <c r="T149" s="36">
        <f>IF($A149="","",IF($S149="","",IFERROR(INDEX('[1]natural catastrophe'!$D$6:$D$17,MATCH($S149,'[1]natural catastrophe'!$B$6:$B$17,0)),"?")))</f>
      </c>
      <c r="U149" s="30" t="inlineStr">
        <is>
          <t xml:space="preserve">$5,000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9924.26</v>
      </c>
      <c r="AC149" s="37">
        <v>0</v>
      </c>
      <c r="AD149" s="38">
        <f>IF(ISNUMBER($AB149),$AB149*(1+N($AC149)),"")</f>
      </c>
      <c r="AE149" s="35">
        <v>350</v>
      </c>
      <c r="AF149" s="35">
        <v>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CANON-202607-009720</t>
        </is>
      </c>
      <c r="B150" s="46" t="inlineStr">
        <is>
          <t xml:space="preserve">Beatrix Vandermeer</t>
        </is>
      </c>
      <c r="C150" s="47">
        <v>46222</v>
      </c>
      <c r="D150" s="48" t="inlineStr">
        <is>
          <t xml:space="preserve">Bound - within authority</t>
        </is>
      </c>
      <c r="E150" s="48" t="inlineStr">
        <is>
          <t xml:space="preserve">New business</t>
        </is>
      </c>
      <c r="F150" s="46" t="inlineStr">
        <is>
          <t xml:space="preserve">B1234EXOTIC26</t>
        </is>
      </c>
      <c r="G150" s="33">
        <f>IF($A150="","",IF($C150="","",YEAR($C150)))</f>
      </c>
      <c r="H150" s="49">
        <v>1955</v>
      </c>
      <c r="I150" s="46" t="inlineStr">
        <is>
          <t xml:space="preserve">Bentley</t>
        </is>
      </c>
      <c r="J150" s="46" t="inlineStr">
        <is>
          <t xml:space="preserve">Continental GT</t>
        </is>
      </c>
      <c r="K150" s="46" t="inlineStr">
        <is>
          <t xml:space="preserve">UMV8DK9P14TDVDHAR</t>
        </is>
      </c>
      <c r="L150" s="48" t="inlineStr">
        <is>
          <t xml:space="preserve">02 - Sports / GT</t>
        </is>
      </c>
      <c r="M150" s="50">
        <v>585000</v>
      </c>
      <c r="N150" s="48" t="inlineStr">
        <is>
          <t xml:space="preserve">Personal</t>
        </is>
      </c>
      <c r="O150" s="46" t="inlineStr">
        <is>
          <t xml:space="preserve">Personal - regular use</t>
        </is>
      </c>
      <c r="P150" s="46" t="inlineStr">
        <is>
          <t xml:space="preserve">2,500 - 5,000</t>
        </is>
      </c>
      <c r="Q150" s="46" t="inlineStr">
        <is>
          <t xml:space="preserve">Florida</t>
        </is>
      </c>
      <c r="R150" s="46" t="inlineStr">
        <is>
          <t xml:space="preserve">33139</t>
        </is>
      </c>
      <c r="S150" s="48" t="inlineStr">
        <is>
          <t xml:space="preserve">Tier 2 - Coastal wind (1-25 miles)</t>
        </is>
      </c>
      <c r="T150" s="36">
        <f>IF($A150="","",IF($S150="","",IFERROR(INDEX('[1]natural catastrophe'!$D$6:$D$17,MATCH($S150,'[1]natural catastrophe'!$B$6:$B$17,0)),"?")))</f>
      </c>
      <c r="U150" s="46" t="inlineStr">
        <is>
          <t xml:space="preserve">2% of agreed value, minimum $10,000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7752.94</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CANON-202607-009721</t>
        </is>
      </c>
      <c r="B151" s="30" t="inlineStr">
        <is>
          <t xml:space="preserve">Noor Larsson</t>
        </is>
      </c>
      <c r="C151" s="31">
        <v>46222</v>
      </c>
      <c r="D151" s="32" t="inlineStr">
        <is>
          <t xml:space="preserve">Bound - within authority</t>
        </is>
      </c>
      <c r="E151" s="32" t="inlineStr">
        <is>
          <t xml:space="preserve">New business</t>
        </is>
      </c>
      <c r="F151" s="30" t="inlineStr">
        <is>
          <t xml:space="preserve">B1234EXOTIC26</t>
        </is>
      </c>
      <c r="G151" s="33">
        <f>IF($A151="","",IF($C151="","",YEAR($C151)))</f>
      </c>
      <c r="H151" s="34">
        <v>1991</v>
      </c>
      <c r="I151" s="30" t="inlineStr">
        <is>
          <t xml:space="preserve">Bentley</t>
        </is>
      </c>
      <c r="J151" s="30" t="inlineStr">
        <is>
          <t xml:space="preserve">4.5 Litre</t>
        </is>
      </c>
      <c r="K151" s="30" t="inlineStr">
        <is>
          <t xml:space="preserve">1ABEX7G9R1HKEDYKN</t>
        </is>
      </c>
      <c r="L151" s="32" t="inlineStr">
        <is>
          <t xml:space="preserve">08 - Modern Classic (1973-1999)</t>
        </is>
      </c>
      <c r="M151" s="35">
        <v>1950000</v>
      </c>
      <c r="N151" s="32" t="inlineStr">
        <is>
          <t xml:space="preserve">Personal</t>
        </is>
      </c>
      <c r="O151" s="30" t="inlineStr">
        <is>
          <t xml:space="preserve">Personal - regular use</t>
        </is>
      </c>
      <c r="P151" s="30" t="inlineStr">
        <is>
          <t xml:space="preserve">1,000 - 2,500</t>
        </is>
      </c>
      <c r="Q151" s="30" t="inlineStr">
        <is>
          <t xml:space="preserve">California</t>
        </is>
      </c>
      <c r="R151" s="30" t="inlineStr">
        <is>
          <t xml:space="preserve">90012</t>
        </is>
      </c>
      <c r="S151" s="32" t="inlineStr">
        <is>
          <t xml:space="preserve">Earthquake - high (CA, Cascadia, New Madrid)</t>
        </is>
      </c>
      <c r="T151" s="36">
        <f>IF($A151="","",IF($S151="","",IFERROR(INDEX('[1]natural catastrophe'!$D$6:$D$17,MATCH($S151,'[1]natural catastrophe'!$B$6:$B$17,0)),"?")))</f>
      </c>
      <c r="U151" s="30" t="inlineStr">
        <is>
          <t xml:space="preserve">$5,000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12851.57</v>
      </c>
      <c r="AC151" s="37">
        <v>0</v>
      </c>
      <c r="AD151" s="38">
        <f>IF(ISNUMBER($AB151),$AB151*(1+N($AC151)),"")</f>
      </c>
      <c r="AE151" s="35">
        <v>350</v>
      </c>
      <c r="AF151" s="35">
        <v>250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CANON-202607-009722</t>
        </is>
      </c>
      <c r="B152" s="46" t="inlineStr">
        <is>
          <t xml:space="preserve">Leopold Fairweather</t>
        </is>
      </c>
      <c r="C152" s="47">
        <v>46206</v>
      </c>
      <c r="D152" s="48" t="inlineStr">
        <is>
          <t xml:space="preserve">Bound - within authority</t>
        </is>
      </c>
      <c r="E152" s="48" t="inlineStr">
        <is>
          <t xml:space="preserve">New business</t>
        </is>
      </c>
      <c r="F152" s="46" t="inlineStr">
        <is>
          <t xml:space="preserve">B1234EXOTIC26</t>
        </is>
      </c>
      <c r="G152" s="33">
        <f>IF($A152="","",IF($C152="","",YEAR($C152)))</f>
      </c>
      <c r="H152" s="49">
        <v>2000</v>
      </c>
      <c r="I152" s="46" t="inlineStr">
        <is>
          <t xml:space="preserve">Bentley</t>
        </is>
      </c>
      <c r="J152" s="46" t="inlineStr">
        <is>
          <t xml:space="preserve">Continental GT</t>
        </is>
      </c>
      <c r="K152" s="46" t="inlineStr">
        <is>
          <t xml:space="preserve">77N95BRCTW0KSLXWM</t>
        </is>
      </c>
      <c r="L152" s="48" t="inlineStr">
        <is>
          <t xml:space="preserve">02 - Sports / GT</t>
        </is>
      </c>
      <c r="M152" s="50">
        <v>200000</v>
      </c>
      <c r="N152" s="48" t="inlineStr">
        <is>
          <t xml:space="preserve">Personal</t>
        </is>
      </c>
      <c r="O152" s="46" t="inlineStr">
        <is>
          <t xml:space="preserve">Personal - regular use</t>
        </is>
      </c>
      <c r="P152" s="46" t="inlineStr">
        <is>
          <t xml:space="preserve">1,000 - 2,500</t>
        </is>
      </c>
      <c r="Q152" s="46" t="inlineStr">
        <is>
          <t xml:space="preserve">Massachusetts</t>
        </is>
      </c>
      <c r="R152" s="46" t="inlineStr">
        <is>
          <t xml:space="preserve">02108</t>
        </is>
      </c>
      <c r="S152" s="48" t="inlineStr">
        <is>
          <t xml:space="preserve">Tier 3 - Coastal wind (25-100 miles)</t>
        </is>
      </c>
      <c r="T152" s="36">
        <f>IF($A152="","",IF($S152="","",IFERROR(INDEX('[1]natural catastrophe'!$D$6:$D$17,MATCH($S152,'[1]natural catastrophe'!$B$6:$B$17,0)),"?")))</f>
      </c>
      <c r="U152" s="46" t="inlineStr">
        <is>
          <t xml:space="preserve">2% of agreed value, minimum $10,000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3302.45</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CANON-202607-009725</t>
        </is>
      </c>
      <c r="B153" s="30" t="inlineStr">
        <is>
          <t xml:space="preserve">Lorenzo Pennington</t>
        </is>
      </c>
      <c r="C153" s="31">
        <v>46223</v>
      </c>
      <c r="D153" s="32" t="inlineStr">
        <is>
          <t xml:space="preserve">Bound - within authority</t>
        </is>
      </c>
      <c r="E153" s="32" t="inlineStr">
        <is>
          <t xml:space="preserve">New business</t>
        </is>
      </c>
      <c r="F153" s="30" t="inlineStr">
        <is>
          <t xml:space="preserve">B1234EXOTIC26</t>
        </is>
      </c>
      <c r="G153" s="33">
        <f>IF($A153="","",IF($C153="","",YEAR($C153)))</f>
      </c>
      <c r="H153" s="34">
        <v>2010</v>
      </c>
      <c r="I153" s="30" t="inlineStr">
        <is>
          <t xml:space="preserve">Aston Martin</t>
        </is>
      </c>
      <c r="J153" s="30" t="inlineStr">
        <is>
          <t xml:space="preserve">DB12</t>
        </is>
      </c>
      <c r="K153" s="30" t="inlineStr">
        <is>
          <t xml:space="preserve">K8DW28UHEN8HFZWCS</t>
        </is>
      </c>
      <c r="L153" s="32" t="inlineStr">
        <is>
          <t xml:space="preserve">02 - Sports / GT</t>
        </is>
      </c>
      <c r="M153" s="35">
        <v>705000</v>
      </c>
      <c r="N153" s="32" t="inlineStr">
        <is>
          <t xml:space="preserve">Personal</t>
        </is>
      </c>
      <c r="O153" s="30" t="inlineStr">
        <is>
          <t xml:space="preserve">Personal - regular use</t>
        </is>
      </c>
      <c r="P153" s="30" t="inlineStr">
        <is>
          <t xml:space="preserve">1,000 - 2,500</t>
        </is>
      </c>
      <c r="Q153" s="30" t="inlineStr">
        <is>
          <t xml:space="preserve">Colorado</t>
        </is>
      </c>
      <c r="R153" s="30" t="inlineStr">
        <is>
          <t xml:space="preserve">80202</t>
        </is>
      </c>
      <c r="S153" s="32" t="inlineStr">
        <is>
          <t xml:space="preserve">Severe convective - hail alley (high)</t>
        </is>
      </c>
      <c r="T153" s="36">
        <f>IF($A153="","",IF($S153="","",IFERROR(INDEX('[1]natural catastrophe'!$D$6:$D$17,MATCH($S153,'[1]natural catastrophe'!$B$6:$B$17,0)),"?")))</f>
      </c>
      <c r="U153" s="30" t="inlineStr">
        <is>
          <t xml:space="preserve">$5,000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7237.76</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CANON-202607-009726</t>
        </is>
      </c>
      <c r="B154" s="46" t="inlineStr">
        <is>
          <t xml:space="preserve">Lorenzo Ashcombe</t>
        </is>
      </c>
      <c r="C154" s="47">
        <v>46224</v>
      </c>
      <c r="D154" s="48" t="inlineStr">
        <is>
          <t xml:space="preserve">Bound - within authority</t>
        </is>
      </c>
      <c r="E154" s="48" t="inlineStr">
        <is>
          <t xml:space="preserve">New business</t>
        </is>
      </c>
      <c r="F154" s="46" t="inlineStr">
        <is>
          <t xml:space="preserve">B1234EXOTIC26</t>
        </is>
      </c>
      <c r="G154" s="33">
        <f>IF($A154="","",IF($C154="","",YEAR($C154)))</f>
      </c>
      <c r="H154" s="49">
        <v>1971</v>
      </c>
      <c r="I154" s="46" t="inlineStr">
        <is>
          <t xml:space="preserve">Aston Martin</t>
        </is>
      </c>
      <c r="J154" s="46" t="inlineStr">
        <is>
          <t xml:space="preserve">DB12</t>
        </is>
      </c>
      <c r="K154" s="46" t="inlineStr">
        <is>
          <t xml:space="preserve">B31XENUWGLKRE9GMX</t>
        </is>
      </c>
      <c r="L154" s="48" t="inlineStr">
        <is>
          <t xml:space="preserve">02 - Sports / GT</t>
        </is>
      </c>
      <c r="M154" s="50">
        <v>535000</v>
      </c>
      <c r="N154" s="48" t="inlineStr">
        <is>
          <t xml:space="preserve">Personal</t>
        </is>
      </c>
      <c r="O154" s="46" t="inlineStr">
        <is>
          <t xml:space="preserve">Personal - regular use</t>
        </is>
      </c>
      <c r="P154" s="46" t="inlineStr">
        <is>
          <t xml:space="preserve">Under 1,000</t>
        </is>
      </c>
      <c r="Q154" s="46" t="inlineStr">
        <is>
          <t xml:space="preserve">Colorado</t>
        </is>
      </c>
      <c r="R154" s="46" t="inlineStr">
        <is>
          <t xml:space="preserve">80202</t>
        </is>
      </c>
      <c r="S154" s="48" t="inlineStr">
        <is>
          <t xml:space="preserve">Severe convective - hail alley (high)</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5492.48</v>
      </c>
      <c r="AC154" s="51">
        <v>0</v>
      </c>
      <c r="AD154" s="38">
        <f>IF(ISNUMBER($AB154),$AB154*(1+N($AC154)),"")</f>
      </c>
      <c r="AE154" s="50">
        <v>350</v>
      </c>
      <c r="AF154" s="50">
        <v>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CANON-202607-009727</t>
        </is>
      </c>
      <c r="B155" s="30" t="inlineStr">
        <is>
          <t xml:space="preserve">Aurelio Rourke</t>
        </is>
      </c>
      <c r="C155" s="31">
        <v>46209</v>
      </c>
      <c r="D155" s="32" t="inlineStr">
        <is>
          <t xml:space="preserve">Bound - within authority</t>
        </is>
      </c>
      <c r="E155" s="32" t="inlineStr">
        <is>
          <t xml:space="preserve">New business</t>
        </is>
      </c>
      <c r="F155" s="30" t="inlineStr">
        <is>
          <t xml:space="preserve">B1234EXOTIC26</t>
        </is>
      </c>
      <c r="G155" s="33">
        <f>IF($A155="","",IF($C155="","",YEAR($C155)))</f>
      </c>
      <c r="H155" s="34">
        <v>1972</v>
      </c>
      <c r="I155" s="30" t="inlineStr">
        <is>
          <t xml:space="preserve">Porsche</t>
        </is>
      </c>
      <c r="J155" s="30" t="inlineStr">
        <is>
          <t xml:space="preserve">911 Turbo S</t>
        </is>
      </c>
      <c r="K155" s="30" t="inlineStr">
        <is>
          <t xml:space="preserve">96RZE19NFCJ1BU1BK</t>
        </is>
      </c>
      <c r="L155" s="32" t="inlineStr">
        <is>
          <t xml:space="preserve">02 - Sports / GT</t>
        </is>
      </c>
      <c r="M155" s="35">
        <v>870000</v>
      </c>
      <c r="N155" s="32" t="inlineStr">
        <is>
          <t xml:space="preserve">Personal</t>
        </is>
      </c>
      <c r="O155" s="30" t="inlineStr">
        <is>
          <t xml:space="preserve">Personal - regular use</t>
        </is>
      </c>
      <c r="P155" s="30" t="inlineStr">
        <is>
          <t xml:space="preserve">Under 1,000</t>
        </is>
      </c>
      <c r="Q155" s="30" t="inlineStr">
        <is>
          <t xml:space="preserve">Indiana</t>
        </is>
      </c>
      <c r="R155" s="30" t="inlineStr">
        <is>
          <t xml:space="preserve">46204</t>
        </is>
      </c>
      <c r="S155" s="32" t="inlineStr">
        <is>
          <t xml:space="preserve">Severe convective - hail / tornado (moderate)</t>
        </is>
      </c>
      <c r="T155" s="36">
        <f>IF($A155="","",IF($S155="","",IFERROR(INDEX('[1]natural catastrophe'!$D$6:$D$17,MATCH($S155,'[1]natural catastrophe'!$B$6:$B$17,0)),"?")))</f>
      </c>
      <c r="U155" s="30" t="inlineStr">
        <is>
          <t xml:space="preserve">$5,000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9987.27</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CANON-202607-009728</t>
        </is>
      </c>
      <c r="B156" s="46" t="inlineStr">
        <is>
          <t xml:space="preserve">Emiliano Ashcombe</t>
        </is>
      </c>
      <c r="C156" s="47">
        <v>46226</v>
      </c>
      <c r="D156" s="48" t="inlineStr">
        <is>
          <t xml:space="preserve">Bound - within authority</t>
        </is>
      </c>
      <c r="E156" s="48" t="inlineStr">
        <is>
          <t xml:space="preserve">New business</t>
        </is>
      </c>
      <c r="F156" s="46" t="inlineStr">
        <is>
          <t xml:space="preserve">B1234EXOTIC26</t>
        </is>
      </c>
      <c r="G156" s="33">
        <f>IF($A156="","",IF($C156="","",YEAR($C156)))</f>
      </c>
      <c r="H156" s="49">
        <v>1972</v>
      </c>
      <c r="I156" s="46" t="inlineStr">
        <is>
          <t xml:space="preserve">Bentley</t>
        </is>
      </c>
      <c r="J156" s="46" t="inlineStr">
        <is>
          <t xml:space="preserve">Continental GT</t>
        </is>
      </c>
      <c r="K156" s="46" t="inlineStr">
        <is>
          <t xml:space="preserve">9CM278D5847H8RSPD</t>
        </is>
      </c>
      <c r="L156" s="48" t="inlineStr">
        <is>
          <t xml:space="preserve">02 - Sports / GT</t>
        </is>
      </c>
      <c r="M156" s="50">
        <v>400000</v>
      </c>
      <c r="N156" s="48" t="inlineStr">
        <is>
          <t xml:space="preserve">Personal</t>
        </is>
      </c>
      <c r="O156" s="46" t="inlineStr">
        <is>
          <t xml:space="preserve">Personal - regular use</t>
        </is>
      </c>
      <c r="P156" s="46" t="inlineStr">
        <is>
          <t xml:space="preserve">1,000 - 2,500</t>
        </is>
      </c>
      <c r="Q156" s="46" t="inlineStr">
        <is>
          <t xml:space="preserve">Connecticut</t>
        </is>
      </c>
      <c r="R156" s="46" t="inlineStr">
        <is>
          <t xml:space="preserve">06103</t>
        </is>
      </c>
      <c r="S156" s="48" t="inlineStr">
        <is>
          <t xml:space="preserve">Tier 3 - Coastal wind (25-100 miles)</t>
        </is>
      </c>
      <c r="T156" s="36">
        <f>IF($A156="","",IF($S156="","",IFERROR(INDEX('[1]natural catastrophe'!$D$6:$D$17,MATCH($S156,'[1]natural catastrophe'!$B$6:$B$17,0)),"?")))</f>
      </c>
      <c r="U156" s="46" t="inlineStr">
        <is>
          <t xml:space="preserve">2% of agreed value, minimum $10,000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4824.45</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CANON-202607-009729</t>
        </is>
      </c>
      <c r="B157" s="30" t="inlineStr">
        <is>
          <t xml:space="preserve">Fenwick Harrington</t>
        </is>
      </c>
      <c r="C157" s="31">
        <v>46234</v>
      </c>
      <c r="D157" s="32" t="inlineStr">
        <is>
          <t xml:space="preserve">Bound - within authority</t>
        </is>
      </c>
      <c r="E157" s="32" t="inlineStr">
        <is>
          <t xml:space="preserve">New business</t>
        </is>
      </c>
      <c r="F157" s="30" t="inlineStr">
        <is>
          <t xml:space="preserve">B1234EXOTIC26</t>
        </is>
      </c>
      <c r="G157" s="33">
        <f>IF($A157="","",IF($C157="","",YEAR($C157)))</f>
      </c>
      <c r="H157" s="34">
        <v>2022</v>
      </c>
      <c r="I157" s="30" t="inlineStr">
        <is>
          <t xml:space="preserve">Aston Martin</t>
        </is>
      </c>
      <c r="J157" s="30" t="inlineStr">
        <is>
          <t xml:space="preserve">DB12</t>
        </is>
      </c>
      <c r="K157" s="30" t="inlineStr">
        <is>
          <t xml:space="preserve">SDM7H0RC5YA4MPYGD</t>
        </is>
      </c>
      <c r="L157" s="32" t="inlineStr">
        <is>
          <t xml:space="preserve">02 - Sports / GT</t>
        </is>
      </c>
      <c r="M157" s="35">
        <v>175000</v>
      </c>
      <c r="N157" s="32" t="inlineStr">
        <is>
          <t xml:space="preserve">Personal</t>
        </is>
      </c>
      <c r="O157" s="30" t="inlineStr">
        <is>
          <t xml:space="preserve">Personal - regular use</t>
        </is>
      </c>
      <c r="P157" s="30" t="inlineStr">
        <is>
          <t xml:space="preserve">1,000 - 2,500</t>
        </is>
      </c>
      <c r="Q157" s="30" t="inlineStr">
        <is>
          <t xml:space="preserve">Nebraska</t>
        </is>
      </c>
      <c r="R157" s="30" t="inlineStr">
        <is>
          <t xml:space="preserve">68102</t>
        </is>
      </c>
      <c r="S157" s="32" t="inlineStr">
        <is>
          <t xml:space="preserve">Severe convective - hail alley (high)</t>
        </is>
      </c>
      <c r="T157" s="36">
        <f>IF($A157="","",IF($S157="","",IFERROR(INDEX('[1]natural catastrophe'!$D$6:$D$17,MATCH($S157,'[1]natural catastrophe'!$B$6:$B$17,0)),"?")))</f>
      </c>
      <c r="U157" s="30" t="inlineStr">
        <is>
          <t xml:space="preserve">$5,000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3005.23</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CANON-202607-009731</t>
        </is>
      </c>
      <c r="B158" s="46" t="inlineStr">
        <is>
          <t xml:space="preserve">Fenwick Merriweather</t>
        </is>
      </c>
      <c r="C158" s="47">
        <v>46216</v>
      </c>
      <c r="D158" s="48" t="inlineStr">
        <is>
          <t xml:space="preserve">Bound - within authority</t>
        </is>
      </c>
      <c r="E158" s="48" t="inlineStr">
        <is>
          <t xml:space="preserve">New business</t>
        </is>
      </c>
      <c r="F158" s="46" t="inlineStr">
        <is>
          <t xml:space="preserve">B1234EXOTIC26</t>
        </is>
      </c>
      <c r="G158" s="33">
        <f>IF($A158="","",IF($C158="","",YEAR($C158)))</f>
      </c>
      <c r="H158" s="49">
        <v>2019</v>
      </c>
      <c r="I158" s="46" t="inlineStr">
        <is>
          <t xml:space="preserve">Bentley</t>
        </is>
      </c>
      <c r="J158" s="46" t="inlineStr">
        <is>
          <t xml:space="preserve">Continental GT</t>
        </is>
      </c>
      <c r="K158" s="46" t="inlineStr">
        <is>
          <t xml:space="preserve">JXXSCZ9F5UNF6KT8Z</t>
        </is>
      </c>
      <c r="L158" s="48" t="inlineStr">
        <is>
          <t xml:space="preserve">02 - Sports / GT</t>
        </is>
      </c>
      <c r="M158" s="50">
        <v>300000</v>
      </c>
      <c r="N158" s="48" t="inlineStr">
        <is>
          <t xml:space="preserve">Personal</t>
        </is>
      </c>
      <c r="O158" s="46" t="inlineStr">
        <is>
          <t xml:space="preserve">Personal - regular use</t>
        </is>
      </c>
      <c r="P158" s="46" t="inlineStr">
        <is>
          <t xml:space="preserve">Under 1,000</t>
        </is>
      </c>
      <c r="Q158" s="46" t="inlineStr">
        <is>
          <t xml:space="preserve">Virginia</t>
        </is>
      </c>
      <c r="R158" s="46" t="inlineStr">
        <is>
          <t xml:space="preserve">23219</t>
        </is>
      </c>
      <c r="S158" s="48" t="inlineStr">
        <is>
          <t xml:space="preserve">Tier 3 - Coastal wind (25-100 miles)</t>
        </is>
      </c>
      <c r="T158" s="36">
        <f>IF($A158="","",IF($S158="","",IFERROR(INDEX('[1]natural catastrophe'!$D$6:$D$17,MATCH($S158,'[1]natural catastrophe'!$B$6:$B$17,0)),"?")))</f>
      </c>
      <c r="U158" s="46" t="inlineStr">
        <is>
          <t xml:space="preserve">2% of agreed value, minimum $10,000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3521.42</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CANON-202607-009732</t>
        </is>
      </c>
      <c r="B159" s="30" t="inlineStr">
        <is>
          <t xml:space="preserve">Ottilie Castellanos</t>
        </is>
      </c>
      <c r="C159" s="31">
        <v>46218</v>
      </c>
      <c r="D159" s="32" t="inlineStr">
        <is>
          <t xml:space="preserve">Bound - within authority</t>
        </is>
      </c>
      <c r="E159" s="32" t="inlineStr">
        <is>
          <t xml:space="preserve">New business</t>
        </is>
      </c>
      <c r="F159" s="30" t="inlineStr">
        <is>
          <t xml:space="preserve">B1234EXOTIC26</t>
        </is>
      </c>
      <c r="G159" s="33">
        <f>IF($A159="","",IF($C159="","",YEAR($C159)))</f>
      </c>
      <c r="H159" s="34">
        <v>1980</v>
      </c>
      <c r="I159" s="30" t="inlineStr">
        <is>
          <t xml:space="preserve">Ferrari</t>
        </is>
      </c>
      <c r="J159" s="30" t="inlineStr">
        <is>
          <t xml:space="preserve">SF90 Stradale</t>
        </is>
      </c>
      <c r="K159" s="30" t="inlineStr">
        <is>
          <t xml:space="preserve">AT7KWKP4RZPAHW4Y2</t>
        </is>
      </c>
      <c r="L159" s="32" t="inlineStr">
        <is>
          <t xml:space="preserve">03 - Supercar</t>
        </is>
      </c>
      <c r="M159" s="35">
        <v>1400000</v>
      </c>
      <c r="N159" s="32" t="inlineStr">
        <is>
          <t xml:space="preserve">Personal</t>
        </is>
      </c>
      <c r="O159" s="30" t="inlineStr">
        <is>
          <t xml:space="preserve">Personal - regular use</t>
        </is>
      </c>
      <c r="P159" s="30" t="inlineStr">
        <is>
          <t xml:space="preserve">2,500 - 5,000</t>
        </is>
      </c>
      <c r="Q159" s="30" t="inlineStr">
        <is>
          <t xml:space="preserve">Texas</t>
        </is>
      </c>
      <c r="R159" s="30" t="inlineStr">
        <is>
          <t xml:space="preserve">75201</t>
        </is>
      </c>
      <c r="S159" s="32" t="inlineStr">
        <is>
          <t xml:space="preserve">Tier 2 - Coastal wind (1-25 miles)</t>
        </is>
      </c>
      <c r="T159" s="36">
        <f>IF($A159="","",IF($S159="","",IFERROR(INDEX('[1]natural catastrophe'!$D$6:$D$17,MATCH($S159,'[1]natural catastrophe'!$B$6:$B$17,0)),"?")))</f>
      </c>
      <c r="U159" s="30" t="inlineStr">
        <is>
          <t xml:space="preserve">2% of agreed value, minimum $10,000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18493.74</v>
      </c>
      <c r="AC159" s="37">
        <v>0</v>
      </c>
      <c r="AD159" s="38">
        <f>IF(ISNUMBER($AB159),$AB159*(1+N($AC159)),"")</f>
      </c>
      <c r="AE159" s="35">
        <v>350</v>
      </c>
      <c r="AF159" s="35">
        <v>250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CANON-202607-009733</t>
        </is>
      </c>
      <c r="B160" s="46" t="inlineStr">
        <is>
          <t xml:space="preserve">Horace Kingsford</t>
        </is>
      </c>
      <c r="C160" s="47">
        <v>46217</v>
      </c>
      <c r="D160" s="48" t="inlineStr">
        <is>
          <t xml:space="preserve">Bound - within authority</t>
        </is>
      </c>
      <c r="E160" s="48" t="inlineStr">
        <is>
          <t xml:space="preserve">New business</t>
        </is>
      </c>
      <c r="F160" s="46" t="inlineStr">
        <is>
          <t xml:space="preserve">B1234EXOTIC26</t>
        </is>
      </c>
      <c r="G160" s="33">
        <f>IF($A160="","",IF($C160="","",YEAR($C160)))</f>
      </c>
      <c r="H160" s="49">
        <v>1985</v>
      </c>
      <c r="I160" s="46" t="inlineStr">
        <is>
          <t xml:space="preserve">Bentley</t>
        </is>
      </c>
      <c r="J160" s="46" t="inlineStr">
        <is>
          <t xml:space="preserve">4.5 Litre</t>
        </is>
      </c>
      <c r="K160" s="46" t="inlineStr">
        <is>
          <t xml:space="preserve">63T2UC7K37ZS4UENX</t>
        </is>
      </c>
      <c r="L160" s="48" t="inlineStr">
        <is>
          <t xml:space="preserve">08 - Modern Classic (1973-1999)</t>
        </is>
      </c>
      <c r="M160" s="50">
        <v>1060000</v>
      </c>
      <c r="N160" s="48" t="inlineStr">
        <is>
          <t xml:space="preserve">Personal</t>
        </is>
      </c>
      <c r="O160" s="46" t="inlineStr">
        <is>
          <t xml:space="preserve">Personal - regular use</t>
        </is>
      </c>
      <c r="P160" s="46" t="inlineStr">
        <is>
          <t xml:space="preserve">1,000 - 2,500</t>
        </is>
      </c>
      <c r="Q160" s="46" t="inlineStr">
        <is>
          <t xml:space="preserve">Vermont</t>
        </is>
      </c>
      <c r="R160" s="46" t="inlineStr">
        <is>
          <t xml:space="preserve">05601</t>
        </is>
      </c>
      <c r="S160" s="48" t="inlineStr">
        <is>
          <t xml:space="preserve">Low hazard - inland benign</t>
        </is>
      </c>
      <c r="T160" s="36">
        <f>IF($A160="","",IF($S160="","",IFERROR(INDEX('[1]natural catastrophe'!$D$6:$D$17,MATCH($S160,'[1]natural catastrophe'!$B$6:$B$17,0)),"?")))</f>
      </c>
      <c r="U160" s="46" t="inlineStr">
        <is>
          <t xml:space="preserve">$5,000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6313.26</v>
      </c>
      <c r="AC160" s="51">
        <v>0</v>
      </c>
      <c r="AD160" s="38">
        <f>IF(ISNUMBER($AB160),$AB160*(1+N($AC160)),"")</f>
      </c>
      <c r="AE160" s="50">
        <v>350</v>
      </c>
      <c r="AF160" s="50">
        <v>250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CANON-202607-009734</t>
        </is>
      </c>
      <c r="B161" s="30" t="inlineStr">
        <is>
          <t xml:space="preserve">Beatrix Thistlewood</t>
        </is>
      </c>
      <c r="C161" s="31">
        <v>46224</v>
      </c>
      <c r="D161" s="32" t="inlineStr">
        <is>
          <t xml:space="preserve">Bound - within authority</t>
        </is>
      </c>
      <c r="E161" s="32" t="inlineStr">
        <is>
          <t xml:space="preserve">New business</t>
        </is>
      </c>
      <c r="F161" s="30" t="inlineStr">
        <is>
          <t xml:space="preserve">B1234EXOTIC26</t>
        </is>
      </c>
      <c r="G161" s="33">
        <f>IF($A161="","",IF($C161="","",YEAR($C161)))</f>
      </c>
      <c r="H161" s="34">
        <v>2004</v>
      </c>
      <c r="I161" s="30" t="inlineStr">
        <is>
          <t xml:space="preserve">Ferrari</t>
        </is>
      </c>
      <c r="J161" s="30" t="inlineStr">
        <is>
          <t xml:space="preserve">296 GTB</t>
        </is>
      </c>
      <c r="K161" s="30" t="inlineStr">
        <is>
          <t xml:space="preserve">728L4V0UMZNTP754U</t>
        </is>
      </c>
      <c r="L161" s="32" t="inlineStr">
        <is>
          <t xml:space="preserve">03 - Supercar</t>
        </is>
      </c>
      <c r="M161" s="35">
        <v>360000</v>
      </c>
      <c r="N161" s="32" t="inlineStr">
        <is>
          <t xml:space="preserve">Personal</t>
        </is>
      </c>
      <c r="O161" s="30" t="inlineStr">
        <is>
          <t xml:space="preserve">Personal - regular use</t>
        </is>
      </c>
      <c r="P161" s="30" t="inlineStr">
        <is>
          <t xml:space="preserve">1,000 - 2,500</t>
        </is>
      </c>
      <c r="Q161" s="30" t="inlineStr">
        <is>
          <t xml:space="preserve">Oregon</t>
        </is>
      </c>
      <c r="R161" s="30" t="inlineStr">
        <is>
          <t xml:space="preserve">97204</t>
        </is>
      </c>
      <c r="S161" s="32" t="inlineStr">
        <is>
          <t xml:space="preserve">Earthquake - high (CA, Cascadia, New Madrid)</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6717.19</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CANON-202607-009735</t>
        </is>
      </c>
      <c r="B162" s="46" t="inlineStr">
        <is>
          <t xml:space="preserve">Wilhelmina Vandermeer</t>
        </is>
      </c>
      <c r="C162" s="47">
        <v>46230</v>
      </c>
      <c r="D162" s="48" t="inlineStr">
        <is>
          <t xml:space="preserve">Bound - within authority</t>
        </is>
      </c>
      <c r="E162" s="48" t="inlineStr">
        <is>
          <t xml:space="preserve">New business</t>
        </is>
      </c>
      <c r="F162" s="46" t="inlineStr">
        <is>
          <t xml:space="preserve">B1234EXOTIC26</t>
        </is>
      </c>
      <c r="G162" s="33">
        <f>IF($A162="","",IF($C162="","",YEAR($C162)))</f>
      </c>
      <c r="H162" s="49">
        <v>2021</v>
      </c>
      <c r="I162" s="46" t="inlineStr">
        <is>
          <t xml:space="preserve">Jaguar</t>
        </is>
      </c>
      <c r="J162" s="46" t="inlineStr">
        <is>
          <t xml:space="preserve">E-Type Series 1</t>
        </is>
      </c>
      <c r="K162" s="46" t="inlineStr">
        <is>
          <t xml:space="preserve">96AF8AAB965GFS8WP</t>
        </is>
      </c>
      <c r="L162" s="48" t="inlineStr">
        <is>
          <t xml:space="preserve">02 - Sports / GT</t>
        </is>
      </c>
      <c r="M162" s="50">
        <v>935000</v>
      </c>
      <c r="N162" s="48" t="inlineStr">
        <is>
          <t xml:space="preserve">Personal</t>
        </is>
      </c>
      <c r="O162" s="46" t="inlineStr">
        <is>
          <t xml:space="preserve">Personal - regular use</t>
        </is>
      </c>
      <c r="P162" s="46" t="inlineStr">
        <is>
          <t xml:space="preserve">1,000 - 2,500</t>
        </is>
      </c>
      <c r="Q162" s="46" t="inlineStr">
        <is>
          <t xml:space="preserve">Connecticut</t>
        </is>
      </c>
      <c r="R162" s="46" t="inlineStr">
        <is>
          <t xml:space="preserve">06103</t>
        </is>
      </c>
      <c r="S162" s="48" t="inlineStr">
        <is>
          <t xml:space="preserve">Tier 3 - Coastal wind (25-100 miles)</t>
        </is>
      </c>
      <c r="T162" s="36">
        <f>IF($A162="","",IF($S162="","",IFERROR(INDEX('[1]natural catastrophe'!$D$6:$D$17,MATCH($S162,'[1]natural catastrophe'!$B$6:$B$17,0)),"?")))</f>
      </c>
      <c r="U162" s="46" t="inlineStr">
        <is>
          <t xml:space="preserve">2% of agreed value, minimum $10,000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6465.57</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CANON-202607-009736</t>
        </is>
      </c>
      <c r="B163" s="30" t="inlineStr">
        <is>
          <t xml:space="preserve">Leopold Merriweather</t>
        </is>
      </c>
      <c r="C163" s="31">
        <v>46226</v>
      </c>
      <c r="D163" s="32" t="inlineStr">
        <is>
          <t xml:space="preserve">Bound - within authority</t>
        </is>
      </c>
      <c r="E163" s="32" t="inlineStr">
        <is>
          <t xml:space="preserve">New business</t>
        </is>
      </c>
      <c r="F163" s="30" t="inlineStr">
        <is>
          <t xml:space="preserve">B1234EXOTIC26</t>
        </is>
      </c>
      <c r="G163" s="33">
        <f>IF($A163="","",IF($C163="","",YEAR($C163)))</f>
      </c>
      <c r="H163" s="34">
        <v>1993</v>
      </c>
      <c r="I163" s="30" t="inlineStr">
        <is>
          <t xml:space="preserve">Ferrari</t>
        </is>
      </c>
      <c r="J163" s="30" t="inlineStr">
        <is>
          <t xml:space="preserve">296 GTB</t>
        </is>
      </c>
      <c r="K163" s="30" t="inlineStr">
        <is>
          <t xml:space="preserve">UFT27ASRY73544V2M</t>
        </is>
      </c>
      <c r="L163" s="32" t="inlineStr">
        <is>
          <t xml:space="preserve">03 - Supercar</t>
        </is>
      </c>
      <c r="M163" s="35">
        <v>275000</v>
      </c>
      <c r="N163" s="32" t="inlineStr">
        <is>
          <t xml:space="preserve">Personal</t>
        </is>
      </c>
      <c r="O163" s="30" t="inlineStr">
        <is>
          <t xml:space="preserve">Personal - regular use</t>
        </is>
      </c>
      <c r="P163" s="30" t="inlineStr">
        <is>
          <t xml:space="preserve">2,500 - 5,000</t>
        </is>
      </c>
      <c r="Q163" s="30" t="inlineStr">
        <is>
          <t xml:space="preserve">New Jersey</t>
        </is>
      </c>
      <c r="R163" s="30" t="inlineStr">
        <is>
          <t xml:space="preserve">07102</t>
        </is>
      </c>
      <c r="S163" s="32" t="inlineStr">
        <is>
          <t xml:space="preserve">Tier 3 - Coastal wind (25-100 miles)</t>
        </is>
      </c>
      <c r="T163" s="36">
        <f>IF($A163="","",IF($S163="","",IFERROR(INDEX('[1]natural catastrophe'!$D$6:$D$17,MATCH($S163,'[1]natural catastrophe'!$B$6:$B$17,0)),"?")))</f>
      </c>
      <c r="U163" s="30" t="inlineStr">
        <is>
          <t xml:space="preserve">2% of agreed value, minimum $10,000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4132.19</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CANON-202607-009737</t>
        </is>
      </c>
      <c r="B164" s="46" t="inlineStr">
        <is>
          <t xml:space="preserve">Sunniva Okonkwo</t>
        </is>
      </c>
      <c r="C164" s="47">
        <v>46215</v>
      </c>
      <c r="D164" s="48" t="inlineStr">
        <is>
          <t xml:space="preserve">Bound - within authority</t>
        </is>
      </c>
      <c r="E164" s="48" t="inlineStr">
        <is>
          <t xml:space="preserve">New business</t>
        </is>
      </c>
      <c r="F164" s="46" t="inlineStr">
        <is>
          <t xml:space="preserve">B1234EXOTIC26</t>
        </is>
      </c>
      <c r="G164" s="33">
        <f>IF($A164="","",IF($C164="","",YEAR($C164)))</f>
      </c>
      <c r="H164" s="49">
        <v>2019</v>
      </c>
      <c r="I164" s="46" t="inlineStr">
        <is>
          <t xml:space="preserve">BMW</t>
        </is>
      </c>
      <c r="J164" s="46" t="inlineStr">
        <is>
          <t xml:space="preserve">M8 Competition</t>
        </is>
      </c>
      <c r="K164" s="46" t="inlineStr">
        <is>
          <t xml:space="preserve">YP6XW3X8SMBEUNSWZ</t>
        </is>
      </c>
      <c r="L164" s="48" t="inlineStr">
        <is>
          <t xml:space="preserve">02 - Sports / GT</t>
        </is>
      </c>
      <c r="M164" s="50">
        <v>865000</v>
      </c>
      <c r="N164" s="48" t="inlineStr">
        <is>
          <t xml:space="preserve">Personal</t>
        </is>
      </c>
      <c r="O164" s="46" t="inlineStr">
        <is>
          <t xml:space="preserve">Personal - regular use</t>
        </is>
      </c>
      <c r="P164" s="46" t="inlineStr">
        <is>
          <t xml:space="preserve">Under 1,000</t>
        </is>
      </c>
      <c r="Q164" s="46" t="inlineStr">
        <is>
          <t xml:space="preserve">Minnesota</t>
        </is>
      </c>
      <c r="R164" s="46" t="inlineStr">
        <is>
          <t xml:space="preserve">55401</t>
        </is>
      </c>
      <c r="S164" s="48" t="inlineStr">
        <is>
          <t xml:space="preserve">Severe convective - hail / tornado (moderate)</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10656.44</v>
      </c>
      <c r="AC164" s="51">
        <v>0</v>
      </c>
      <c r="AD164" s="38">
        <f>IF(ISNUMBER($AB164),$AB164*(1+N($AC164)),"")</f>
      </c>
      <c r="AE164" s="50">
        <v>350</v>
      </c>
      <c r="AF164" s="50">
        <v>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CANON-202607-009738</t>
        </is>
      </c>
      <c r="B165" s="30" t="inlineStr">
        <is>
          <t xml:space="preserve">Delphine Chattopadhyay</t>
        </is>
      </c>
      <c r="C165" s="31">
        <v>46212</v>
      </c>
      <c r="D165" s="32" t="inlineStr">
        <is>
          <t xml:space="preserve">Bound - within authority</t>
        </is>
      </c>
      <c r="E165" s="32" t="inlineStr">
        <is>
          <t xml:space="preserve">New business</t>
        </is>
      </c>
      <c r="F165" s="30" t="inlineStr">
        <is>
          <t xml:space="preserve">B1234EXOTIC26</t>
        </is>
      </c>
      <c r="G165" s="33">
        <f>IF($A165="","",IF($C165="","",YEAR($C165)))</f>
      </c>
      <c r="H165" s="34">
        <v>1995</v>
      </c>
      <c r="I165" s="30" t="inlineStr">
        <is>
          <t xml:space="preserve">Mercedes-Benz</t>
        </is>
      </c>
      <c r="J165" s="30" t="inlineStr">
        <is>
          <t xml:space="preserve">AMG GT</t>
        </is>
      </c>
      <c r="K165" s="30" t="inlineStr">
        <is>
          <t xml:space="preserve">YTMU50ZGF1YR85KXP</t>
        </is>
      </c>
      <c r="L165" s="32" t="inlineStr">
        <is>
          <t xml:space="preserve">02 - Sports / GT</t>
        </is>
      </c>
      <c r="M165" s="35">
        <v>455000</v>
      </c>
      <c r="N165" s="32" t="inlineStr">
        <is>
          <t xml:space="preserve">Personal</t>
        </is>
      </c>
      <c r="O165" s="30" t="inlineStr">
        <is>
          <t xml:space="preserve">Personal - regular use</t>
        </is>
      </c>
      <c r="P165" s="30" t="inlineStr">
        <is>
          <t xml:space="preserve">2,500 - 5,000</t>
        </is>
      </c>
      <c r="Q165" s="30" t="inlineStr">
        <is>
          <t xml:space="preserve">Wyoming</t>
        </is>
      </c>
      <c r="R165" s="30" t="inlineStr">
        <is>
          <t xml:space="preserve">82001</t>
        </is>
      </c>
      <c r="S165" s="32" t="inlineStr">
        <is>
          <t xml:space="preserve">Severe convective - hail alley (high)</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5242.83</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CANON-202607-009739</t>
        </is>
      </c>
      <c r="B166" s="46" t="inlineStr">
        <is>
          <t xml:space="preserve">Lorenzo Merriweather</t>
        </is>
      </c>
      <c r="C166" s="47">
        <v>46219</v>
      </c>
      <c r="D166" s="48" t="inlineStr">
        <is>
          <t xml:space="preserve">Bound - within authority</t>
        </is>
      </c>
      <c r="E166" s="48" t="inlineStr">
        <is>
          <t xml:space="preserve">New business</t>
        </is>
      </c>
      <c r="F166" s="46" t="inlineStr">
        <is>
          <t xml:space="preserve">B1234EXOTIC26</t>
        </is>
      </c>
      <c r="G166" s="33">
        <f>IF($A166="","",IF($C166="","",YEAR($C166)))</f>
      </c>
      <c r="H166" s="49">
        <v>2022</v>
      </c>
      <c r="I166" s="46" t="inlineStr">
        <is>
          <t xml:space="preserve">Porsche</t>
        </is>
      </c>
      <c r="J166" s="46" t="inlineStr">
        <is>
          <t xml:space="preserve">911 Turbo S</t>
        </is>
      </c>
      <c r="K166" s="46" t="inlineStr">
        <is>
          <t xml:space="preserve">H6YJRDSNP4VNVXZUR</t>
        </is>
      </c>
      <c r="L166" s="48" t="inlineStr">
        <is>
          <t xml:space="preserve">02 - Sports / GT</t>
        </is>
      </c>
      <c r="M166" s="50">
        <v>345000</v>
      </c>
      <c r="N166" s="48" t="inlineStr">
        <is>
          <t xml:space="preserve">Personal</t>
        </is>
      </c>
      <c r="O166" s="46" t="inlineStr">
        <is>
          <t xml:space="preserve">Personal - regular use</t>
        </is>
      </c>
      <c r="P166" s="46" t="inlineStr">
        <is>
          <t xml:space="preserve">2,500 - 5,000</t>
        </is>
      </c>
      <c r="Q166" s="46" t="inlineStr">
        <is>
          <t xml:space="preserve">Colorado</t>
        </is>
      </c>
      <c r="R166" s="46" t="inlineStr">
        <is>
          <t xml:space="preserve">80202</t>
        </is>
      </c>
      <c r="S166" s="48" t="inlineStr">
        <is>
          <t xml:space="preserve">Severe convective - hail alley (high)</t>
        </is>
      </c>
      <c r="T166" s="36">
        <f>IF($A166="","",IF($S166="","",IFERROR(INDEX('[1]natural catastrophe'!$D$6:$D$17,MATCH($S166,'[1]natural catastrophe'!$B$6:$B$17,0)),"?")))</f>
      </c>
      <c r="U166" s="46" t="inlineStr">
        <is>
          <t xml:space="preserve">$5,000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4086.78</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CANON-202607-009740</t>
        </is>
      </c>
      <c r="B167" s="30" t="inlineStr">
        <is>
          <t xml:space="preserve">Everett Merriweather</t>
        </is>
      </c>
      <c r="C167" s="31">
        <v>46215</v>
      </c>
      <c r="D167" s="32" t="inlineStr">
        <is>
          <t xml:space="preserve">Bound - within authority</t>
        </is>
      </c>
      <c r="E167" s="32" t="inlineStr">
        <is>
          <t xml:space="preserve">New business</t>
        </is>
      </c>
      <c r="F167" s="30" t="inlineStr">
        <is>
          <t xml:space="preserve">B1234EXOTIC26</t>
        </is>
      </c>
      <c r="G167" s="33">
        <f>IF($A167="","",IF($C167="","",YEAR($C167)))</f>
      </c>
      <c r="H167" s="34">
        <v>1988</v>
      </c>
      <c r="I167" s="30" t="inlineStr">
        <is>
          <t xml:space="preserve">Jaguar</t>
        </is>
      </c>
      <c r="J167" s="30" t="inlineStr">
        <is>
          <t xml:space="preserve">E-Type Series 1</t>
        </is>
      </c>
      <c r="K167" s="30" t="inlineStr">
        <is>
          <t xml:space="preserve">WTW05RK7LPGSUZ1M9</t>
        </is>
      </c>
      <c r="L167" s="32" t="inlineStr">
        <is>
          <t xml:space="preserve">08 - Modern Classic (1973-1999)</t>
        </is>
      </c>
      <c r="M167" s="35">
        <v>820000</v>
      </c>
      <c r="N167" s="32" t="inlineStr">
        <is>
          <t xml:space="preserve">Personal</t>
        </is>
      </c>
      <c r="O167" s="30" t="inlineStr">
        <is>
          <t xml:space="preserve">Personal - regular use</t>
        </is>
      </c>
      <c r="P167" s="30" t="inlineStr">
        <is>
          <t xml:space="preserve">2,500 - 5,000</t>
        </is>
      </c>
      <c r="Q167" s="30" t="inlineStr">
        <is>
          <t xml:space="preserve">Oklahoma</t>
        </is>
      </c>
      <c r="R167" s="30" t="inlineStr">
        <is>
          <t xml:space="preserve">73102</t>
        </is>
      </c>
      <c r="S167" s="32" t="inlineStr">
        <is>
          <t xml:space="preserve">Severe convective - hail alley (high)</t>
        </is>
      </c>
      <c r="T167" s="36">
        <f>IF($A167="","",IF($S167="","",IFERROR(INDEX('[1]natural catastrophe'!$D$6:$D$17,MATCH($S167,'[1]natural catastrophe'!$B$6:$B$17,0)),"?")))</f>
      </c>
      <c r="U167" s="30" t="inlineStr">
        <is>
          <t xml:space="preserve">$5,000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6379.14</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CANON-202607-009741</t>
        </is>
      </c>
      <c r="B168" s="46" t="inlineStr">
        <is>
          <t xml:space="preserve">Horace Vasquez</t>
        </is>
      </c>
      <c r="C168" s="47">
        <v>46231</v>
      </c>
      <c r="D168" s="48" t="inlineStr">
        <is>
          <t xml:space="preserve">Bound - within authority</t>
        </is>
      </c>
      <c r="E168" s="48" t="inlineStr">
        <is>
          <t xml:space="preserve">New business</t>
        </is>
      </c>
      <c r="F168" s="46" t="inlineStr">
        <is>
          <t xml:space="preserve">B1234EXOTIC26</t>
        </is>
      </c>
      <c r="G168" s="33">
        <f>IF($A168="","",IF($C168="","",YEAR($C168)))</f>
      </c>
      <c r="H168" s="49">
        <v>1985</v>
      </c>
      <c r="I168" s="46" t="inlineStr">
        <is>
          <t xml:space="preserve">Mercedes-Benz</t>
        </is>
      </c>
      <c r="J168" s="46" t="inlineStr">
        <is>
          <t xml:space="preserve">280SL Pagoda</t>
        </is>
      </c>
      <c r="K168" s="46" t="inlineStr">
        <is>
          <t xml:space="preserve">B16K6ZJ9WMSRXFG7L</t>
        </is>
      </c>
      <c r="L168" s="48" t="inlineStr">
        <is>
          <t xml:space="preserve">08 - Modern Classic (1973-1999)</t>
        </is>
      </c>
      <c r="M168" s="50">
        <v>725000</v>
      </c>
      <c r="N168" s="48" t="inlineStr">
        <is>
          <t xml:space="preserve">Personal</t>
        </is>
      </c>
      <c r="O168" s="46" t="inlineStr">
        <is>
          <t xml:space="preserve">Personal - regular use</t>
        </is>
      </c>
      <c r="P168" s="46" t="inlineStr">
        <is>
          <t xml:space="preserve">Under 1,000</t>
        </is>
      </c>
      <c r="Q168" s="46" t="inlineStr">
        <is>
          <t xml:space="preserve">Maine</t>
        </is>
      </c>
      <c r="R168" s="46" t="inlineStr">
        <is>
          <t xml:space="preserve">04101</t>
        </is>
      </c>
      <c r="S168" s="48" t="inlineStr">
        <is>
          <t xml:space="preserve">Tier 3 - Coastal wind (25-100 miles)</t>
        </is>
      </c>
      <c r="T168" s="36">
        <f>IF($A168="","",IF($S168="","",IFERROR(INDEX('[1]natural catastrophe'!$D$6:$D$17,MATCH($S168,'[1]natural catastrophe'!$B$6:$B$17,0)),"?")))</f>
      </c>
      <c r="U168" s="46" t="inlineStr">
        <is>
          <t xml:space="preserve">2% of agreed value, minimum $10,000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4834.36</v>
      </c>
      <c r="AC168" s="51">
        <v>0</v>
      </c>
      <c r="AD168" s="38">
        <f>IF(ISNUMBER($AB168),$AB168*(1+N($AC168)),"")</f>
      </c>
      <c r="AE168" s="50">
        <v>350</v>
      </c>
      <c r="AF168" s="50">
        <v>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CANON-202607-009742</t>
        </is>
      </c>
      <c r="B169" s="30" t="inlineStr">
        <is>
          <t xml:space="preserve">Aurelio Vasquez</t>
        </is>
      </c>
      <c r="C169" s="31">
        <v>46230</v>
      </c>
      <c r="D169" s="32" t="inlineStr">
        <is>
          <t xml:space="preserve">Bound - within authority</t>
        </is>
      </c>
      <c r="E169" s="32" t="inlineStr">
        <is>
          <t xml:space="preserve">New business</t>
        </is>
      </c>
      <c r="F169" s="30" t="inlineStr">
        <is>
          <t xml:space="preserve">B1234EXOTIC26</t>
        </is>
      </c>
      <c r="G169" s="33">
        <f>IF($A169="","",IF($C169="","",YEAR($C169)))</f>
      </c>
      <c r="H169" s="34">
        <v>1986</v>
      </c>
      <c r="I169" s="30" t="inlineStr">
        <is>
          <t xml:space="preserve">Porsche</t>
        </is>
      </c>
      <c r="J169" s="30" t="inlineStr">
        <is>
          <t xml:space="preserve">911 Turbo S</t>
        </is>
      </c>
      <c r="K169" s="30" t="inlineStr">
        <is>
          <t xml:space="preserve">D9ER6EX49UX0TMEUZ</t>
        </is>
      </c>
      <c r="L169" s="32" t="inlineStr">
        <is>
          <t xml:space="preserve">02 - Sports / GT</t>
        </is>
      </c>
      <c r="M169" s="35">
        <v>590000</v>
      </c>
      <c r="N169" s="32" t="inlineStr">
        <is>
          <t xml:space="preserve">Personal</t>
        </is>
      </c>
      <c r="O169" s="30" t="inlineStr">
        <is>
          <t xml:space="preserve">Personal - regular use</t>
        </is>
      </c>
      <c r="P169" s="30" t="inlineStr">
        <is>
          <t xml:space="preserve">1,000 - 2,500</t>
        </is>
      </c>
      <c r="Q169" s="30" t="inlineStr">
        <is>
          <t xml:space="preserve">Michigan</t>
        </is>
      </c>
      <c r="R169" s="30" t="inlineStr">
        <is>
          <t xml:space="preserve">48226</t>
        </is>
      </c>
      <c r="S169" s="32" t="inlineStr">
        <is>
          <t xml:space="preserve">Severe convective - hail / tornado (moderate)</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8535.05</v>
      </c>
      <c r="AC169" s="37">
        <v>0</v>
      </c>
      <c r="AD169" s="38">
        <f>IF(ISNUMBER($AB169),$AB169*(1+N($AC169)),"")</f>
      </c>
      <c r="AE169" s="35">
        <v>350</v>
      </c>
      <c r="AF169" s="35">
        <v>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CANON-202607-009743</t>
        </is>
      </c>
      <c r="B170" s="46" t="inlineStr">
        <is>
          <t xml:space="preserve">Fenwick Castellanos</t>
        </is>
      </c>
      <c r="C170" s="47">
        <v>46220</v>
      </c>
      <c r="D170" s="48" t="inlineStr">
        <is>
          <t xml:space="preserve">Bound - within authority</t>
        </is>
      </c>
      <c r="E170" s="48" t="inlineStr">
        <is>
          <t xml:space="preserve">New business</t>
        </is>
      </c>
      <c r="F170" s="46" t="inlineStr">
        <is>
          <t xml:space="preserve">B1234EXOTIC26</t>
        </is>
      </c>
      <c r="G170" s="33">
        <f>IF($A170="","",IF($C170="","",YEAR($C170)))</f>
      </c>
      <c r="H170" s="49">
        <v>2007</v>
      </c>
      <c r="I170" s="46" t="inlineStr">
        <is>
          <t xml:space="preserve">Ferrari</t>
        </is>
      </c>
      <c r="J170" s="46" t="inlineStr">
        <is>
          <t xml:space="preserve">296 GTB</t>
        </is>
      </c>
      <c r="K170" s="46" t="inlineStr">
        <is>
          <t xml:space="preserve">5B4S1ZPMA1VHBZUEL</t>
        </is>
      </c>
      <c r="L170" s="48" t="inlineStr">
        <is>
          <t xml:space="preserve">03 - Supercar</t>
        </is>
      </c>
      <c r="M170" s="50">
        <v>380000</v>
      </c>
      <c r="N170" s="48" t="inlineStr">
        <is>
          <t xml:space="preserve">Personal</t>
        </is>
      </c>
      <c r="O170" s="46" t="inlineStr">
        <is>
          <t xml:space="preserve">Personal - regular use</t>
        </is>
      </c>
      <c r="P170" s="46" t="inlineStr">
        <is>
          <t xml:space="preserve">Under 1,000</t>
        </is>
      </c>
      <c r="Q170" s="46" t="inlineStr">
        <is>
          <t xml:space="preserve">Georgia</t>
        </is>
      </c>
      <c r="R170" s="46" t="inlineStr">
        <is>
          <t xml:space="preserve">30303</t>
        </is>
      </c>
      <c r="S170" s="48" t="inlineStr">
        <is>
          <t xml:space="preserve">Tier 2 - Coastal wind (1-25 miles)</t>
        </is>
      </c>
      <c r="T170" s="36">
        <f>IF($A170="","",IF($S170="","",IFERROR(INDEX('[1]natural catastrophe'!$D$6:$D$17,MATCH($S170,'[1]natural catastrophe'!$B$6:$B$17,0)),"?")))</f>
      </c>
      <c r="U170" s="46" t="inlineStr">
        <is>
          <t xml:space="preserve">2% of agreed value, minimum $10,000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7027.62</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CANON-202607-009744</t>
        </is>
      </c>
      <c r="B171" s="30" t="inlineStr">
        <is>
          <t xml:space="preserve">Horace Montoya</t>
        </is>
      </c>
      <c r="C171" s="31">
        <v>46211</v>
      </c>
      <c r="D171" s="32" t="inlineStr">
        <is>
          <t xml:space="preserve">Bound - within authority</t>
        </is>
      </c>
      <c r="E171" s="32" t="inlineStr">
        <is>
          <t xml:space="preserve">New business</t>
        </is>
      </c>
      <c r="F171" s="30" t="inlineStr">
        <is>
          <t xml:space="preserve">B1234EXOTIC26</t>
        </is>
      </c>
      <c r="G171" s="33">
        <f>IF($A171="","",IF($C171="","",YEAR($C171)))</f>
      </c>
      <c r="H171" s="34">
        <v>2014</v>
      </c>
      <c r="I171" s="30" t="inlineStr">
        <is>
          <t xml:space="preserve">McLaren</t>
        </is>
      </c>
      <c r="J171" s="30" t="inlineStr">
        <is>
          <t xml:space="preserve">750S</t>
        </is>
      </c>
      <c r="K171" s="30" t="inlineStr">
        <is>
          <t xml:space="preserve">ULVVN5A1VFBMWGWCR</t>
        </is>
      </c>
      <c r="L171" s="32" t="inlineStr">
        <is>
          <t xml:space="preserve">03 - Supercar</t>
        </is>
      </c>
      <c r="M171" s="35">
        <v>660000</v>
      </c>
      <c r="N171" s="32" t="inlineStr">
        <is>
          <t xml:space="preserve">Personal</t>
        </is>
      </c>
      <c r="O171" s="30" t="inlineStr">
        <is>
          <t xml:space="preserve">Personal - regular use</t>
        </is>
      </c>
      <c r="P171" s="30" t="inlineStr">
        <is>
          <t xml:space="preserve">Under 1,000</t>
        </is>
      </c>
      <c r="Q171" s="30" t="inlineStr">
        <is>
          <t xml:space="preserve">Delaware</t>
        </is>
      </c>
      <c r="R171" s="30" t="inlineStr">
        <is>
          <t xml:space="preserve">19801</t>
        </is>
      </c>
      <c r="S171" s="32" t="inlineStr">
        <is>
          <t xml:space="preserve">Tier 3 - Coastal wind (25-100 miles)</t>
        </is>
      </c>
      <c r="T171" s="36">
        <f>IF($A171="","",IF($S171="","",IFERROR(INDEX('[1]natural catastrophe'!$D$6:$D$17,MATCH($S171,'[1]natural catastrophe'!$B$6:$B$17,0)),"?")))</f>
      </c>
      <c r="U171" s="30" t="inlineStr">
        <is>
          <t xml:space="preserve">2% of agreed value, minimum $10,000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11253.47</v>
      </c>
      <c r="AC171" s="37">
        <v>0</v>
      </c>
      <c r="AD171" s="38">
        <f>IF(ISNUMBER($AB171),$AB171*(1+N($AC171)),"")</f>
      </c>
      <c r="AE171" s="35">
        <v>350</v>
      </c>
      <c r="AF171" s="35">
        <v>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CANON-202607-009745</t>
        </is>
      </c>
      <c r="B172" s="46" t="inlineStr">
        <is>
          <t xml:space="preserve">Thaddeus Kingsford</t>
        </is>
      </c>
      <c r="C172" s="47">
        <v>46234</v>
      </c>
      <c r="D172" s="48" t="inlineStr">
        <is>
          <t xml:space="preserve">Bound - within authority</t>
        </is>
      </c>
      <c r="E172" s="48" t="inlineStr">
        <is>
          <t xml:space="preserve">New business</t>
        </is>
      </c>
      <c r="F172" s="46" t="inlineStr">
        <is>
          <t xml:space="preserve">B1234EXOTIC26</t>
        </is>
      </c>
      <c r="G172" s="33">
        <f>IF($A172="","",IF($C172="","",YEAR($C172)))</f>
      </c>
      <c r="H172" s="49">
        <v>1989</v>
      </c>
      <c r="I172" s="46" t="inlineStr">
        <is>
          <t xml:space="preserve">Icon</t>
        </is>
      </c>
      <c r="J172" s="46" t="inlineStr">
        <is>
          <t xml:space="preserve">Derelict</t>
        </is>
      </c>
      <c r="K172" s="46" t="inlineStr">
        <is>
          <t xml:space="preserve">BZWH1PH8PHE1H6YHY</t>
        </is>
      </c>
      <c r="L172" s="48" t="inlineStr">
        <is>
          <t xml:space="preserve">11 - Restomod / Coachbuilt / Bespoke</t>
        </is>
      </c>
      <c r="M172" s="50">
        <v>725000</v>
      </c>
      <c r="N172" s="48" t="inlineStr">
        <is>
          <t xml:space="preserve">Personal</t>
        </is>
      </c>
      <c r="O172" s="46" t="inlineStr">
        <is>
          <t xml:space="preserve">Personal - regular use</t>
        </is>
      </c>
      <c r="P172" s="46" t="inlineStr">
        <is>
          <t xml:space="preserve">2,500 - 5,000</t>
        </is>
      </c>
      <c r="Q172" s="46" t="inlineStr">
        <is>
          <t xml:space="preserve">Utah</t>
        </is>
      </c>
      <c r="R172" s="46" t="inlineStr">
        <is>
          <t xml:space="preserve">84101</t>
        </is>
      </c>
      <c r="S172" s="48" t="inlineStr">
        <is>
          <t xml:space="preserve">Wildfire - WUI high hazard</t>
        </is>
      </c>
      <c r="T172" s="36">
        <f>IF($A172="","",IF($S172="","",IFERROR(INDEX('[1]natural catastrophe'!$D$6:$D$17,MATCH($S172,'[1]natural catastrophe'!$B$6:$B$17,0)),"?")))</f>
      </c>
      <c r="U172" s="46" t="inlineStr">
        <is>
          <t xml:space="preserve">$5,000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10961.63</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CANON-202607-009746</t>
        </is>
      </c>
      <c r="B173" s="30" t="inlineStr">
        <is>
          <t xml:space="preserve">Sunniva Pennington</t>
        </is>
      </c>
      <c r="C173" s="31">
        <v>46206</v>
      </c>
      <c r="D173" s="32" t="inlineStr">
        <is>
          <t xml:space="preserve">Bound - within authority</t>
        </is>
      </c>
      <c r="E173" s="32" t="inlineStr">
        <is>
          <t xml:space="preserve">New business</t>
        </is>
      </c>
      <c r="F173" s="30" t="inlineStr">
        <is>
          <t xml:space="preserve">B1234EXOTIC26</t>
        </is>
      </c>
      <c r="G173" s="33">
        <f>IF($A173="","",IF($C173="","",YEAR($C173)))</f>
      </c>
      <c r="H173" s="34">
        <v>2004</v>
      </c>
      <c r="I173" s="30" t="inlineStr">
        <is>
          <t xml:space="preserve">Ferrari</t>
        </is>
      </c>
      <c r="J173" s="30" t="inlineStr">
        <is>
          <t xml:space="preserve">296 GTB</t>
        </is>
      </c>
      <c r="K173" s="30" t="inlineStr">
        <is>
          <t xml:space="preserve">1CB7D89FNGGD1KX3Y</t>
        </is>
      </c>
      <c r="L173" s="32" t="inlineStr">
        <is>
          <t xml:space="preserve">03 - Supercar</t>
        </is>
      </c>
      <c r="M173" s="35">
        <v>1155000</v>
      </c>
      <c r="N173" s="32" t="inlineStr">
        <is>
          <t xml:space="preserve">Personal</t>
        </is>
      </c>
      <c r="O173" s="30" t="inlineStr">
        <is>
          <t xml:space="preserve">Personal - regular use</t>
        </is>
      </c>
      <c r="P173" s="30" t="inlineStr">
        <is>
          <t xml:space="preserve">2,500 - 5,000</t>
        </is>
      </c>
      <c r="Q173" s="30" t="inlineStr">
        <is>
          <t xml:space="preserve">Kansas</t>
        </is>
      </c>
      <c r="R173" s="30" t="inlineStr">
        <is>
          <t xml:space="preserve">66603</t>
        </is>
      </c>
      <c r="S173" s="32" t="inlineStr">
        <is>
          <t xml:space="preserve">Severe convective - hail alley (high)</t>
        </is>
      </c>
      <c r="T173" s="36">
        <f>IF($A173="","",IF($S173="","",IFERROR(INDEX('[1]natural catastrophe'!$D$6:$D$17,MATCH($S173,'[1]natural catastrophe'!$B$6:$B$17,0)),"?")))</f>
      </c>
      <c r="U173" s="30" t="inlineStr">
        <is>
          <t xml:space="preserve">$5,000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12869.23</v>
      </c>
      <c r="AC173" s="37">
        <v>0</v>
      </c>
      <c r="AD173" s="38">
        <f>IF(ISNUMBER($AB173),$AB173*(1+N($AC173)),"")</f>
      </c>
      <c r="AE173" s="35">
        <v>350</v>
      </c>
      <c r="AF173" s="35">
        <v>250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CANON-202607-009747</t>
        </is>
      </c>
      <c r="B174" s="46" t="inlineStr">
        <is>
          <t xml:space="preserve">Sunniva Underwood</t>
        </is>
      </c>
      <c r="C174" s="47">
        <v>46223</v>
      </c>
      <c r="D174" s="48" t="inlineStr">
        <is>
          <t xml:space="preserve">Bound - within authority</t>
        </is>
      </c>
      <c r="E174" s="48" t="inlineStr">
        <is>
          <t xml:space="preserve">New business</t>
        </is>
      </c>
      <c r="F174" s="46" t="inlineStr">
        <is>
          <t xml:space="preserve">B1234EXOTIC26</t>
        </is>
      </c>
      <c r="G174" s="33">
        <f>IF($A174="","",IF($C174="","",YEAR($C174)))</f>
      </c>
      <c r="H174" s="49">
        <v>1981</v>
      </c>
      <c r="I174" s="46" t="inlineStr">
        <is>
          <t xml:space="preserve">Aston Martin</t>
        </is>
      </c>
      <c r="J174" s="46" t="inlineStr">
        <is>
          <t xml:space="preserve">DB5</t>
        </is>
      </c>
      <c r="K174" s="46" t="inlineStr">
        <is>
          <t xml:space="preserve">PN2N8THTHCZ8601A7</t>
        </is>
      </c>
      <c r="L174" s="48" t="inlineStr">
        <is>
          <t xml:space="preserve">08 - Modern Classic (1973-1999)</t>
        </is>
      </c>
      <c r="M174" s="50">
        <v>340000</v>
      </c>
      <c r="N174" s="48" t="inlineStr">
        <is>
          <t xml:space="preserve">Personal</t>
        </is>
      </c>
      <c r="O174" s="46" t="inlineStr">
        <is>
          <t xml:space="preserve">Personal - regular use</t>
        </is>
      </c>
      <c r="P174" s="46" t="inlineStr">
        <is>
          <t xml:space="preserve">Under 1,000</t>
        </is>
      </c>
      <c r="Q174" s="46" t="inlineStr">
        <is>
          <t xml:space="preserve">Colorado</t>
        </is>
      </c>
      <c r="R174" s="46" t="inlineStr">
        <is>
          <t xml:space="preserve">80202</t>
        </is>
      </c>
      <c r="S174" s="48" t="inlineStr">
        <is>
          <t xml:space="preserve">Severe convective - hail alley (high)</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2577.64</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CANON-202607-009748</t>
        </is>
      </c>
      <c r="B175" s="30" t="inlineStr">
        <is>
          <t xml:space="preserve">Cassius Harrington</t>
        </is>
      </c>
      <c r="C175" s="31">
        <v>46232</v>
      </c>
      <c r="D175" s="32" t="inlineStr">
        <is>
          <t xml:space="preserve">Bound - within authority</t>
        </is>
      </c>
      <c r="E175" s="32" t="inlineStr">
        <is>
          <t xml:space="preserve">New business</t>
        </is>
      </c>
      <c r="F175" s="30" t="inlineStr">
        <is>
          <t xml:space="preserve">B1234EXOTIC26</t>
        </is>
      </c>
      <c r="G175" s="33">
        <f>IF($A175="","",IF($C175="","",YEAR($C175)))</f>
      </c>
      <c r="H175" s="34">
        <v>1956</v>
      </c>
      <c r="I175" s="30" t="inlineStr">
        <is>
          <t xml:space="preserve">Ferrari</t>
        </is>
      </c>
      <c r="J175" s="30" t="inlineStr">
        <is>
          <t xml:space="preserve">275 GTB/4</t>
        </is>
      </c>
      <c r="K175" s="30" t="inlineStr">
        <is>
          <t xml:space="preserve">EXMB9R3HR1TXTPBT6</t>
        </is>
      </c>
      <c r="L175" s="32" t="inlineStr">
        <is>
          <t xml:space="preserve">07 - Post-War Classic (1946-1972)</t>
        </is>
      </c>
      <c r="M175" s="35">
        <v>515000</v>
      </c>
      <c r="N175" s="32" t="inlineStr">
        <is>
          <t xml:space="preserve">Personal</t>
        </is>
      </c>
      <c r="O175" s="30" t="inlineStr">
        <is>
          <t xml:space="preserve">Personal - regular use</t>
        </is>
      </c>
      <c r="P175" s="30" t="inlineStr">
        <is>
          <t xml:space="preserve">Under 1,000</t>
        </is>
      </c>
      <c r="Q175" s="30" t="inlineStr">
        <is>
          <t xml:space="preserve">Rhode Island</t>
        </is>
      </c>
      <c r="R175" s="30" t="inlineStr">
        <is>
          <t xml:space="preserve">02903</t>
        </is>
      </c>
      <c r="S175" s="32" t="inlineStr">
        <is>
          <t xml:space="preserve">Tier 3 - Coastal wind (25-100 miles)</t>
        </is>
      </c>
      <c r="T175" s="36">
        <f>IF($A175="","",IF($S175="","",IFERROR(INDEX('[1]natural catastrophe'!$D$6:$D$17,MATCH($S175,'[1]natural catastrophe'!$B$6:$B$17,0)),"?")))</f>
      </c>
      <c r="U175" s="30" t="inlineStr">
        <is>
          <t xml:space="preserve">2% of agreed value, minimum $10,000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4356.17</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CANON-202607-009749</t>
        </is>
      </c>
      <c r="B176" s="46" t="inlineStr">
        <is>
          <t xml:space="preserve">Ramona Farkas</t>
        </is>
      </c>
      <c r="C176" s="47">
        <v>46228</v>
      </c>
      <c r="D176" s="48" t="inlineStr">
        <is>
          <t xml:space="preserve">Bound - within authority</t>
        </is>
      </c>
      <c r="E176" s="48" t="inlineStr">
        <is>
          <t xml:space="preserve">New business</t>
        </is>
      </c>
      <c r="F176" s="46" t="inlineStr">
        <is>
          <t xml:space="preserve">B1234EXOTIC26</t>
        </is>
      </c>
      <c r="G176" s="33">
        <f>IF($A176="","",IF($C176="","",YEAR($C176)))</f>
      </c>
      <c r="H176" s="49">
        <v>1992</v>
      </c>
      <c r="I176" s="46" t="inlineStr">
        <is>
          <t xml:space="preserve">Singer</t>
        </is>
      </c>
      <c r="J176" s="46" t="inlineStr">
        <is>
          <t xml:space="preserve">911 Reimagined</t>
        </is>
      </c>
      <c r="K176" s="46" t="inlineStr">
        <is>
          <t xml:space="preserve">8WVC6BVAHZXHKHUU8</t>
        </is>
      </c>
      <c r="L176" s="48" t="inlineStr">
        <is>
          <t xml:space="preserve">11 - Restomod / Coachbuilt / Bespoke</t>
        </is>
      </c>
      <c r="M176" s="50">
        <v>550000</v>
      </c>
      <c r="N176" s="48" t="inlineStr">
        <is>
          <t xml:space="preserve">Personal</t>
        </is>
      </c>
      <c r="O176" s="46" t="inlineStr">
        <is>
          <t xml:space="preserve">Personal - regular use</t>
        </is>
      </c>
      <c r="P176" s="46" t="inlineStr">
        <is>
          <t xml:space="preserve">1,000 - 2,500</t>
        </is>
      </c>
      <c r="Q176" s="46" t="inlineStr">
        <is>
          <t xml:space="preserve">Missouri</t>
        </is>
      </c>
      <c r="R176" s="46" t="inlineStr">
        <is>
          <t xml:space="preserve">63101</t>
        </is>
      </c>
      <c r="S176" s="48" t="inlineStr">
        <is>
          <t xml:space="preserve">Severe convective - hail / tornado (moderate)</t>
        </is>
      </c>
      <c r="T176" s="36">
        <f>IF($A176="","",IF($S176="","",IFERROR(INDEX('[1]natural catastrophe'!$D$6:$D$17,MATCH($S176,'[1]natural catastrophe'!$B$6:$B$17,0)),"?")))</f>
      </c>
      <c r="U176" s="46" t="inlineStr">
        <is>
          <t xml:space="preserve">$5,000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6529.38</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CANON-202607-009750</t>
        </is>
      </c>
      <c r="B177" s="30" t="inlineStr">
        <is>
          <t xml:space="preserve">Desmond Delacroix</t>
        </is>
      </c>
      <c r="C177" s="31">
        <v>46227</v>
      </c>
      <c r="D177" s="32" t="inlineStr">
        <is>
          <t xml:space="preserve">Bound - within authority</t>
        </is>
      </c>
      <c r="E177" s="32" t="inlineStr">
        <is>
          <t xml:space="preserve">New business</t>
        </is>
      </c>
      <c r="F177" s="30" t="inlineStr">
        <is>
          <t xml:space="preserve">B1234EXOTIC26</t>
        </is>
      </c>
      <c r="G177" s="33">
        <f>IF($A177="","",IF($C177="","",YEAR($C177)))</f>
      </c>
      <c r="H177" s="34">
        <v>2022</v>
      </c>
      <c r="I177" s="30" t="inlineStr">
        <is>
          <t xml:space="preserve">Bentley</t>
        </is>
      </c>
      <c r="J177" s="30" t="inlineStr">
        <is>
          <t xml:space="preserve">Continental GT</t>
        </is>
      </c>
      <c r="K177" s="30" t="inlineStr">
        <is>
          <t xml:space="preserve">Y531GN631ZLJAPBGG</t>
        </is>
      </c>
      <c r="L177" s="32" t="inlineStr">
        <is>
          <t xml:space="preserve">02 - Sports / GT</t>
        </is>
      </c>
      <c r="M177" s="35">
        <v>695000</v>
      </c>
      <c r="N177" s="32" t="inlineStr">
        <is>
          <t xml:space="preserve">Personal</t>
        </is>
      </c>
      <c r="O177" s="30" t="inlineStr">
        <is>
          <t xml:space="preserve">Personal - regular use</t>
        </is>
      </c>
      <c r="P177" s="30" t="inlineStr">
        <is>
          <t xml:space="preserve">2,500 - 5,000</t>
        </is>
      </c>
      <c r="Q177" s="30" t="inlineStr">
        <is>
          <t xml:space="preserve">Massachusetts</t>
        </is>
      </c>
      <c r="R177" s="30" t="inlineStr">
        <is>
          <t xml:space="preserve">02108</t>
        </is>
      </c>
      <c r="S177" s="32" t="inlineStr">
        <is>
          <t xml:space="preserve">Tier 3 - Coastal wind (25-100 miles)</t>
        </is>
      </c>
      <c r="T177" s="36">
        <f>IF($A177="","",IF($S177="","",IFERROR(INDEX('[1]natural catastrophe'!$D$6:$D$17,MATCH($S177,'[1]natural catastrophe'!$B$6:$B$17,0)),"?")))</f>
      </c>
      <c r="U177" s="30" t="inlineStr">
        <is>
          <t xml:space="preserve">2% of agreed value, minimum $10,000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8108.06</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CANON-202607-009752</t>
        </is>
      </c>
      <c r="B178" s="46" t="inlineStr">
        <is>
          <t xml:space="preserve">Noor Blackwood</t>
        </is>
      </c>
      <c r="C178" s="47">
        <v>46211</v>
      </c>
      <c r="D178" s="48" t="inlineStr">
        <is>
          <t xml:space="preserve">Bound - within authority</t>
        </is>
      </c>
      <c r="E178" s="48" t="inlineStr">
        <is>
          <t xml:space="preserve">New business</t>
        </is>
      </c>
      <c r="F178" s="46" t="inlineStr">
        <is>
          <t xml:space="preserve">B1234EXOTIC26</t>
        </is>
      </c>
      <c r="G178" s="33">
        <f>IF($A178="","",IF($C178="","",YEAR($C178)))</f>
      </c>
      <c r="H178" s="49">
        <v>1982</v>
      </c>
      <c r="I178" s="46" t="inlineStr">
        <is>
          <t xml:space="preserve">BMW</t>
        </is>
      </c>
      <c r="J178" s="46" t="inlineStr">
        <is>
          <t xml:space="preserve">M8 Competition</t>
        </is>
      </c>
      <c r="K178" s="46" t="inlineStr">
        <is>
          <t xml:space="preserve">N98CWWE9C8GFU26GL</t>
        </is>
      </c>
      <c r="L178" s="48" t="inlineStr">
        <is>
          <t xml:space="preserve">02 - Sports / GT</t>
        </is>
      </c>
      <c r="M178" s="50">
        <v>1315000</v>
      </c>
      <c r="N178" s="48" t="inlineStr">
        <is>
          <t xml:space="preserve">Personal</t>
        </is>
      </c>
      <c r="O178" s="46" t="inlineStr">
        <is>
          <t xml:space="preserve">Personal - regular use</t>
        </is>
      </c>
      <c r="P178" s="46" t="inlineStr">
        <is>
          <t xml:space="preserve">2,500 - 5,000</t>
        </is>
      </c>
      <c r="Q178" s="46" t="inlineStr">
        <is>
          <t xml:space="preserve">Utah</t>
        </is>
      </c>
      <c r="R178" s="46" t="inlineStr">
        <is>
          <t xml:space="preserve">84101</t>
        </is>
      </c>
      <c r="S178" s="48" t="inlineStr">
        <is>
          <t xml:space="preserve">Wildfire - WUI high hazard</t>
        </is>
      </c>
      <c r="T178" s="36">
        <f>IF($A178="","",IF($S178="","",IFERROR(INDEX('[1]natural catastrophe'!$D$6:$D$17,MATCH($S178,'[1]natural catastrophe'!$B$6:$B$17,0)),"?")))</f>
      </c>
      <c r="U178" s="46" t="inlineStr">
        <is>
          <t xml:space="preserve">$5,000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14019.45</v>
      </c>
      <c r="AC178" s="51">
        <v>0</v>
      </c>
      <c r="AD178" s="38">
        <f>IF(ISNUMBER($AB178),$AB178*(1+N($AC178)),"")</f>
      </c>
      <c r="AE178" s="50">
        <v>350</v>
      </c>
      <c r="AF178" s="50">
        <v>250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CANON-202607-009753</t>
        </is>
      </c>
      <c r="B179" s="30" t="inlineStr">
        <is>
          <t xml:space="preserve">Fenwick Chattopadhyay</t>
        </is>
      </c>
      <c r="C179" s="31">
        <v>46205</v>
      </c>
      <c r="D179" s="32" t="inlineStr">
        <is>
          <t xml:space="preserve">Bound - within authority</t>
        </is>
      </c>
      <c r="E179" s="32" t="inlineStr">
        <is>
          <t xml:space="preserve">New business</t>
        </is>
      </c>
      <c r="F179" s="30" t="inlineStr">
        <is>
          <t xml:space="preserve">B1234EXOTIC26</t>
        </is>
      </c>
      <c r="G179" s="33">
        <f>IF($A179="","",IF($C179="","",YEAR($C179)))</f>
      </c>
      <c r="H179" s="34">
        <v>1985</v>
      </c>
      <c r="I179" s="30" t="inlineStr">
        <is>
          <t xml:space="preserve">Aston Martin</t>
        </is>
      </c>
      <c r="J179" s="30" t="inlineStr">
        <is>
          <t xml:space="preserve">DB12</t>
        </is>
      </c>
      <c r="K179" s="30" t="inlineStr">
        <is>
          <t xml:space="preserve">CZMXYKV7N45SZ1814</t>
        </is>
      </c>
      <c r="L179" s="32" t="inlineStr">
        <is>
          <t xml:space="preserve">02 - Sports / GT</t>
        </is>
      </c>
      <c r="M179" s="35">
        <v>315000</v>
      </c>
      <c r="N179" s="32" t="inlineStr">
        <is>
          <t xml:space="preserve">Personal</t>
        </is>
      </c>
      <c r="O179" s="30" t="inlineStr">
        <is>
          <t xml:space="preserve">Personal - regular use</t>
        </is>
      </c>
      <c r="P179" s="30" t="inlineStr">
        <is>
          <t xml:space="preserve">1,000 - 2,500</t>
        </is>
      </c>
      <c r="Q179" s="30" t="inlineStr">
        <is>
          <t xml:space="preserve">Vermont</t>
        </is>
      </c>
      <c r="R179" s="30" t="inlineStr">
        <is>
          <t xml:space="preserve">05601</t>
        </is>
      </c>
      <c r="S179" s="32" t="inlineStr">
        <is>
          <t xml:space="preserve">Low hazard - inland benign</t>
        </is>
      </c>
      <c r="T179" s="36">
        <f>IF($A179="","",IF($S179="","",IFERROR(INDEX('[1]natural catastrophe'!$D$6:$D$17,MATCH($S179,'[1]natural catastrophe'!$B$6:$B$17,0)),"?")))</f>
      </c>
      <c r="U179" s="30" t="inlineStr">
        <is>
          <t xml:space="preserve">$5,000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4138.48</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CANON-202607-009754</t>
        </is>
      </c>
      <c r="B180" s="46" t="inlineStr">
        <is>
          <t xml:space="preserve">Fitzgerald Larsson</t>
        </is>
      </c>
      <c r="C180" s="47">
        <v>46224</v>
      </c>
      <c r="D180" s="48" t="inlineStr">
        <is>
          <t xml:space="preserve">Bound - within authority</t>
        </is>
      </c>
      <c r="E180" s="48" t="inlineStr">
        <is>
          <t xml:space="preserve">New business</t>
        </is>
      </c>
      <c r="F180" s="46" t="inlineStr">
        <is>
          <t xml:space="preserve">B1234EXOTIC26</t>
        </is>
      </c>
      <c r="G180" s="33">
        <f>IF($A180="","",IF($C180="","",YEAR($C180)))</f>
      </c>
      <c r="H180" s="49">
        <v>2007</v>
      </c>
      <c r="I180" s="46" t="inlineStr">
        <is>
          <t xml:space="preserve">Porsche</t>
        </is>
      </c>
      <c r="J180" s="46" t="inlineStr">
        <is>
          <t xml:space="preserve">911 Turbo S</t>
        </is>
      </c>
      <c r="K180" s="46" t="inlineStr">
        <is>
          <t xml:space="preserve">LM70YX474XCLJT0DB</t>
        </is>
      </c>
      <c r="L180" s="48" t="inlineStr">
        <is>
          <t xml:space="preserve">02 - Sports / GT</t>
        </is>
      </c>
      <c r="M180" s="50">
        <v>365000</v>
      </c>
      <c r="N180" s="48" t="inlineStr">
        <is>
          <t xml:space="preserve">Personal</t>
        </is>
      </c>
      <c r="O180" s="46" t="inlineStr">
        <is>
          <t xml:space="preserve">Personal - regular use</t>
        </is>
      </c>
      <c r="P180" s="46" t="inlineStr">
        <is>
          <t xml:space="preserve">Under 1,000</t>
        </is>
      </c>
      <c r="Q180" s="46" t="inlineStr">
        <is>
          <t xml:space="preserve">Louisiana</t>
        </is>
      </c>
      <c r="R180" s="46" t="inlineStr">
        <is>
          <t xml:space="preserve">70112</t>
        </is>
      </c>
      <c r="S180" s="48" t="inlineStr">
        <is>
          <t xml:space="preserve">Tier 2 - Coastal wind (1-25 miles)</t>
        </is>
      </c>
      <c r="T180" s="36">
        <f>IF($A180="","",IF($S180="","",IFERROR(INDEX('[1]natural catastrophe'!$D$6:$D$17,MATCH($S180,'[1]natural catastrophe'!$B$6:$B$17,0)),"?")))</f>
      </c>
      <c r="U180" s="46" t="inlineStr">
        <is>
          <t xml:space="preserve">2% of agreed value, minimum $10,000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4756.07</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CANON-202607-009756</t>
        </is>
      </c>
      <c r="B181" s="30" t="inlineStr">
        <is>
          <t xml:space="preserve">Wilhelmina Bellandi</t>
        </is>
      </c>
      <c r="C181" s="31">
        <v>46212</v>
      </c>
      <c r="D181" s="32" t="inlineStr">
        <is>
          <t xml:space="preserve">Bound - within authority</t>
        </is>
      </c>
      <c r="E181" s="32" t="inlineStr">
        <is>
          <t xml:space="preserve">New business</t>
        </is>
      </c>
      <c r="F181" s="30" t="inlineStr">
        <is>
          <t xml:space="preserve">B1234EXOTIC26</t>
        </is>
      </c>
      <c r="G181" s="33">
        <f>IF($A181="","",IF($C181="","",YEAR($C181)))</f>
      </c>
      <c r="H181" s="34">
        <v>1955</v>
      </c>
      <c r="I181" s="30" t="inlineStr">
        <is>
          <t xml:space="preserve">Porsche</t>
        </is>
      </c>
      <c r="J181" s="30" t="inlineStr">
        <is>
          <t xml:space="preserve">911 Turbo S</t>
        </is>
      </c>
      <c r="K181" s="30" t="inlineStr">
        <is>
          <t xml:space="preserve">KJW830GXV6AXS0JFW</t>
        </is>
      </c>
      <c r="L181" s="32" t="inlineStr">
        <is>
          <t xml:space="preserve">02 - Sports / GT</t>
        </is>
      </c>
      <c r="M181" s="35">
        <v>765000</v>
      </c>
      <c r="N181" s="32" t="inlineStr">
        <is>
          <t xml:space="preserve">Personal</t>
        </is>
      </c>
      <c r="O181" s="30" t="inlineStr">
        <is>
          <t xml:space="preserve">Personal - regular use</t>
        </is>
      </c>
      <c r="P181" s="30" t="inlineStr">
        <is>
          <t xml:space="preserve">Under 1,000</t>
        </is>
      </c>
      <c r="Q181" s="30" t="inlineStr">
        <is>
          <t xml:space="preserve">Maine</t>
        </is>
      </c>
      <c r="R181" s="30" t="inlineStr">
        <is>
          <t xml:space="preserve">04101</t>
        </is>
      </c>
      <c r="S181" s="32" t="inlineStr">
        <is>
          <t xml:space="preserve">Tier 3 - Coastal wind (25-100 miles)</t>
        </is>
      </c>
      <c r="T181" s="36">
        <f>IF($A181="","",IF($S181="","",IFERROR(INDEX('[1]natural catastrophe'!$D$6:$D$17,MATCH($S181,'[1]natural catastrophe'!$B$6:$B$17,0)),"?")))</f>
      </c>
      <c r="U181" s="30" t="inlineStr">
        <is>
          <t xml:space="preserve">2% of agreed value, minimum $10,000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7710.94</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CANON-202607-009757</t>
        </is>
      </c>
      <c r="B182" s="46" t="inlineStr">
        <is>
          <t xml:space="preserve">Cassius Delacroix</t>
        </is>
      </c>
      <c r="C182" s="47">
        <v>46219</v>
      </c>
      <c r="D182" s="48" t="inlineStr">
        <is>
          <t xml:space="preserve">Bound - within authority</t>
        </is>
      </c>
      <c r="E182" s="48" t="inlineStr">
        <is>
          <t xml:space="preserve">New business</t>
        </is>
      </c>
      <c r="F182" s="46" t="inlineStr">
        <is>
          <t xml:space="preserve">B1234EXOTIC26</t>
        </is>
      </c>
      <c r="G182" s="33">
        <f>IF($A182="","",IF($C182="","",YEAR($C182)))</f>
      </c>
      <c r="H182" s="49">
        <v>1992</v>
      </c>
      <c r="I182" s="46" t="inlineStr">
        <is>
          <t xml:space="preserve">Aston Martin</t>
        </is>
      </c>
      <c r="J182" s="46" t="inlineStr">
        <is>
          <t xml:space="preserve">DB12</t>
        </is>
      </c>
      <c r="K182" s="46" t="inlineStr">
        <is>
          <t xml:space="preserve">P4ULBU49W30A1AZJU</t>
        </is>
      </c>
      <c r="L182" s="48" t="inlineStr">
        <is>
          <t xml:space="preserve">02 - Sports / GT</t>
        </is>
      </c>
      <c r="M182" s="50">
        <v>1200000</v>
      </c>
      <c r="N182" s="48" t="inlineStr">
        <is>
          <t xml:space="preserve">Personal</t>
        </is>
      </c>
      <c r="O182" s="46" t="inlineStr">
        <is>
          <t xml:space="preserve">Personal - regular use</t>
        </is>
      </c>
      <c r="P182" s="46" t="inlineStr">
        <is>
          <t xml:space="preserve">1,000 - 2,500</t>
        </is>
      </c>
      <c r="Q182" s="46" t="inlineStr">
        <is>
          <t xml:space="preserve">Tennessee</t>
        </is>
      </c>
      <c r="R182" s="46" t="inlineStr">
        <is>
          <t xml:space="preserve">37203</t>
        </is>
      </c>
      <c r="S182" s="48" t="inlineStr">
        <is>
          <t xml:space="preserve">Severe convective - hail / tornado (moderate)</t>
        </is>
      </c>
      <c r="T182" s="36">
        <f>IF($A182="","",IF($S182="","",IFERROR(INDEX('[1]natural catastrophe'!$D$6:$D$17,MATCH($S182,'[1]natural catastrophe'!$B$6:$B$17,0)),"?")))</f>
      </c>
      <c r="U182" s="46" t="inlineStr">
        <is>
          <t xml:space="preserve">$5,000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9287.07</v>
      </c>
      <c r="AC182" s="51">
        <v>0</v>
      </c>
      <c r="AD182" s="38">
        <f>IF(ISNUMBER($AB182),$AB182*(1+N($AC182)),"")</f>
      </c>
      <c r="AE182" s="50">
        <v>350</v>
      </c>
      <c r="AF182" s="50">
        <v>250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CANON-202607-009758</t>
        </is>
      </c>
      <c r="B183" s="30" t="inlineStr">
        <is>
          <t xml:space="preserve">Sunniva Ashcombe</t>
        </is>
      </c>
      <c r="C183" s="31">
        <v>46211</v>
      </c>
      <c r="D183" s="32" t="inlineStr">
        <is>
          <t xml:space="preserve">Bound - within authority</t>
        </is>
      </c>
      <c r="E183" s="32" t="inlineStr">
        <is>
          <t xml:space="preserve">New business</t>
        </is>
      </c>
      <c r="F183" s="30" t="inlineStr">
        <is>
          <t xml:space="preserve">B1234EXOTIC26</t>
        </is>
      </c>
      <c r="G183" s="33">
        <f>IF($A183="","",IF($C183="","",YEAR($C183)))</f>
      </c>
      <c r="H183" s="34">
        <v>1983</v>
      </c>
      <c r="I183" s="30" t="inlineStr">
        <is>
          <t xml:space="preserve">Maserati</t>
        </is>
      </c>
      <c r="J183" s="30" t="inlineStr">
        <is>
          <t xml:space="preserve">GranTurismo</t>
        </is>
      </c>
      <c r="K183" s="30" t="inlineStr">
        <is>
          <t xml:space="preserve">2K0ZLY5RXUUX82HAR</t>
        </is>
      </c>
      <c r="L183" s="32" t="inlineStr">
        <is>
          <t xml:space="preserve">02 - Sports / GT</t>
        </is>
      </c>
      <c r="M183" s="35">
        <v>395000</v>
      </c>
      <c r="N183" s="32" t="inlineStr">
        <is>
          <t xml:space="preserve">Personal</t>
        </is>
      </c>
      <c r="O183" s="30" t="inlineStr">
        <is>
          <t xml:space="preserve">Personal - regular use</t>
        </is>
      </c>
      <c r="P183" s="30" t="inlineStr">
        <is>
          <t xml:space="preserve">2,500 - 5,000</t>
        </is>
      </c>
      <c r="Q183" s="30" t="inlineStr">
        <is>
          <t xml:space="preserve">Tennessee</t>
        </is>
      </c>
      <c r="R183" s="30" t="inlineStr">
        <is>
          <t xml:space="preserve">37203</t>
        </is>
      </c>
      <c r="S183" s="32" t="inlineStr">
        <is>
          <t xml:space="preserve">Severe convective - hail / tornado (moderate)</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4168.63</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CANON-202607-009762</t>
        </is>
      </c>
      <c r="B184" s="46" t="inlineStr">
        <is>
          <t xml:space="preserve">Lorenzo Harrington</t>
        </is>
      </c>
      <c r="C184" s="47">
        <v>46217</v>
      </c>
      <c r="D184" s="48" t="inlineStr">
        <is>
          <t xml:space="preserve">Bound - within authority</t>
        </is>
      </c>
      <c r="E184" s="48" t="inlineStr">
        <is>
          <t xml:space="preserve">New business</t>
        </is>
      </c>
      <c r="F184" s="46" t="inlineStr">
        <is>
          <t xml:space="preserve">B1234EXOTIC26</t>
        </is>
      </c>
      <c r="G184" s="33">
        <f>IF($A184="","",IF($C184="","",YEAR($C184)))</f>
      </c>
      <c r="H184" s="49">
        <v>1978</v>
      </c>
      <c r="I184" s="46" t="inlineStr">
        <is>
          <t xml:space="preserve">Ferrari</t>
        </is>
      </c>
      <c r="J184" s="46" t="inlineStr">
        <is>
          <t xml:space="preserve">SF90 Stradale</t>
        </is>
      </c>
      <c r="K184" s="46" t="inlineStr">
        <is>
          <t xml:space="preserve">FJ282GRCJLR2W2FFN</t>
        </is>
      </c>
      <c r="L184" s="48" t="inlineStr">
        <is>
          <t xml:space="preserve">03 - Supercar</t>
        </is>
      </c>
      <c r="M184" s="50">
        <v>320000</v>
      </c>
      <c r="N184" s="48" t="inlineStr">
        <is>
          <t xml:space="preserve">Personal</t>
        </is>
      </c>
      <c r="O184" s="46" t="inlineStr">
        <is>
          <t xml:space="preserve">Personal - regular use</t>
        </is>
      </c>
      <c r="P184" s="46" t="inlineStr">
        <is>
          <t xml:space="preserve">Under 1,000</t>
        </is>
      </c>
      <c r="Q184" s="46" t="inlineStr">
        <is>
          <t xml:space="preserve">Idaho</t>
        </is>
      </c>
      <c r="R184" s="46" t="inlineStr">
        <is>
          <t xml:space="preserve">83702</t>
        </is>
      </c>
      <c r="S184" s="48" t="inlineStr">
        <is>
          <t xml:space="preserve">Wildfire - WUI high hazard</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5231.08</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CANON-202607-009763</t>
        </is>
      </c>
      <c r="B185" s="30" t="inlineStr">
        <is>
          <t xml:space="preserve">Everett Thistlewood</t>
        </is>
      </c>
      <c r="C185" s="31">
        <v>46208</v>
      </c>
      <c r="D185" s="32" t="inlineStr">
        <is>
          <t xml:space="preserve">Bound - within authority</t>
        </is>
      </c>
      <c r="E185" s="32" t="inlineStr">
        <is>
          <t xml:space="preserve">New business</t>
        </is>
      </c>
      <c r="F185" s="30" t="inlineStr">
        <is>
          <t xml:space="preserve">B1234EXOTIC26</t>
        </is>
      </c>
      <c r="G185" s="33">
        <f>IF($A185="","",IF($C185="","",YEAR($C185)))</f>
      </c>
      <c r="H185" s="34">
        <v>1956</v>
      </c>
      <c r="I185" s="30" t="inlineStr">
        <is>
          <t xml:space="preserve">Jaguar</t>
        </is>
      </c>
      <c r="J185" s="30" t="inlineStr">
        <is>
          <t xml:space="preserve">E-Type Series 1</t>
        </is>
      </c>
      <c r="K185" s="30" t="inlineStr">
        <is>
          <t xml:space="preserve">9C4YMES5ANGZ23N1R</t>
        </is>
      </c>
      <c r="L185" s="32" t="inlineStr">
        <is>
          <t xml:space="preserve">07 - Post-War Classic (1946-1972)</t>
        </is>
      </c>
      <c r="M185" s="35">
        <v>375000</v>
      </c>
      <c r="N185" s="32" t="inlineStr">
        <is>
          <t xml:space="preserve">Personal</t>
        </is>
      </c>
      <c r="O185" s="30" t="inlineStr">
        <is>
          <t xml:space="preserve">Personal - regular use</t>
        </is>
      </c>
      <c r="P185" s="30" t="inlineStr">
        <is>
          <t xml:space="preserve">1,000 - 2,500</t>
        </is>
      </c>
      <c r="Q185" s="30" t="inlineStr">
        <is>
          <t xml:space="preserve">Hawaii</t>
        </is>
      </c>
      <c r="R185" s="30" t="inlineStr">
        <is>
          <t xml:space="preserve">96813</t>
        </is>
      </c>
      <c r="S185" s="32" t="inlineStr">
        <is>
          <t xml:space="preserve">Earthquake - high (CA, Cascadia, New Madrid)</t>
        </is>
      </c>
      <c r="T185" s="36">
        <f>IF($A185="","",IF($S185="","",IFERROR(INDEX('[1]natural catastrophe'!$D$6:$D$17,MATCH($S185,'[1]natural catastrophe'!$B$6:$B$17,0)),"?")))</f>
      </c>
      <c r="U185" s="30" t="inlineStr">
        <is>
          <t xml:space="preserve">$5,000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3359.88</v>
      </c>
      <c r="AC185" s="37">
        <v>0</v>
      </c>
      <c r="AD185" s="38">
        <f>IF(ISNUMBER($AB185),$AB185*(1+N($AC185)),"")</f>
      </c>
      <c r="AE185" s="35">
        <v>350</v>
      </c>
      <c r="AF185" s="35">
        <v>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CANON-202607-009764</t>
        </is>
      </c>
      <c r="B186" s="46" t="inlineStr">
        <is>
          <t xml:space="preserve">Anouk Whitlock</t>
        </is>
      </c>
      <c r="C186" s="47">
        <v>46218</v>
      </c>
      <c r="D186" s="48" t="inlineStr">
        <is>
          <t xml:space="preserve">Bound - within authority</t>
        </is>
      </c>
      <c r="E186" s="48" t="inlineStr">
        <is>
          <t xml:space="preserve">New business</t>
        </is>
      </c>
      <c r="F186" s="46" t="inlineStr">
        <is>
          <t xml:space="preserve">B1234EXOTIC26</t>
        </is>
      </c>
      <c r="G186" s="33">
        <f>IF($A186="","",IF($C186="","",YEAR($C186)))</f>
      </c>
      <c r="H186" s="49">
        <v>2020</v>
      </c>
      <c r="I186" s="46" t="inlineStr">
        <is>
          <t xml:space="preserve">Lamborghini</t>
        </is>
      </c>
      <c r="J186" s="46" t="inlineStr">
        <is>
          <t xml:space="preserve">Huracan EVO</t>
        </is>
      </c>
      <c r="K186" s="46" t="inlineStr">
        <is>
          <t xml:space="preserve">M743K6EAKA8BRD081</t>
        </is>
      </c>
      <c r="L186" s="48" t="inlineStr">
        <is>
          <t xml:space="preserve">03 - Supercar</t>
        </is>
      </c>
      <c r="M186" s="50">
        <v>1320000</v>
      </c>
      <c r="N186" s="48" t="inlineStr">
        <is>
          <t xml:space="preserve">Personal</t>
        </is>
      </c>
      <c r="O186" s="46" t="inlineStr">
        <is>
          <t xml:space="preserve">Personal - regular use</t>
        </is>
      </c>
      <c r="P186" s="46" t="inlineStr">
        <is>
          <t xml:space="preserve">2,500 - 5,000</t>
        </is>
      </c>
      <c r="Q186" s="46" t="inlineStr">
        <is>
          <t xml:space="preserve">Texas</t>
        </is>
      </c>
      <c r="R186" s="46" t="inlineStr">
        <is>
          <t xml:space="preserve">75201</t>
        </is>
      </c>
      <c r="S186" s="48" t="inlineStr">
        <is>
          <t xml:space="preserve">Tier 2 - Coastal wind (1-25 miles)</t>
        </is>
      </c>
      <c r="T186" s="36">
        <f>IF($A186="","",IF($S186="","",IFERROR(INDEX('[1]natural catastrophe'!$D$6:$D$17,MATCH($S186,'[1]natural catastrophe'!$B$6:$B$17,0)),"?")))</f>
      </c>
      <c r="U186" s="46" t="inlineStr">
        <is>
          <t xml:space="preserve">2% of agreed value, minimum $10,000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17436.95</v>
      </c>
      <c r="AC186" s="51">
        <v>0</v>
      </c>
      <c r="AD186" s="38">
        <f>IF(ISNUMBER($AB186),$AB186*(1+N($AC186)),"")</f>
      </c>
      <c r="AE186" s="50">
        <v>350</v>
      </c>
      <c r="AF186" s="50">
        <v>250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CANON-202607-009766</t>
        </is>
      </c>
      <c r="B187" s="30" t="inlineStr">
        <is>
          <t xml:space="preserve">Desmond Farkas</t>
        </is>
      </c>
      <c r="C187" s="31">
        <v>46213</v>
      </c>
      <c r="D187" s="32" t="inlineStr">
        <is>
          <t xml:space="preserve">Bound - within authority</t>
        </is>
      </c>
      <c r="E187" s="32" t="inlineStr">
        <is>
          <t xml:space="preserve">New business</t>
        </is>
      </c>
      <c r="F187" s="30" t="inlineStr">
        <is>
          <t xml:space="preserve">B1234EXOTIC26</t>
        </is>
      </c>
      <c r="G187" s="33">
        <f>IF($A187="","",IF($C187="","",YEAR($C187)))</f>
      </c>
      <c r="H187" s="34">
        <v>1998</v>
      </c>
      <c r="I187" s="30" t="inlineStr">
        <is>
          <t xml:space="preserve">Ferrari</t>
        </is>
      </c>
      <c r="J187" s="30" t="inlineStr">
        <is>
          <t xml:space="preserve">275 GTB/4</t>
        </is>
      </c>
      <c r="K187" s="30" t="inlineStr">
        <is>
          <t xml:space="preserve">M6YU1VFMH96DHRLDH</t>
        </is>
      </c>
      <c r="L187" s="32" t="inlineStr">
        <is>
          <t xml:space="preserve">08 - Modern Classic (1973-1999)</t>
        </is>
      </c>
      <c r="M187" s="35">
        <v>750000</v>
      </c>
      <c r="N187" s="32" t="inlineStr">
        <is>
          <t xml:space="preserve">Personal</t>
        </is>
      </c>
      <c r="O187" s="30" t="inlineStr">
        <is>
          <t xml:space="preserve">Personal - regular use</t>
        </is>
      </c>
      <c r="P187" s="30" t="inlineStr">
        <is>
          <t xml:space="preserve">Under 1,000</t>
        </is>
      </c>
      <c r="Q187" s="30" t="inlineStr">
        <is>
          <t xml:space="preserve">New York</t>
        </is>
      </c>
      <c r="R187" s="30" t="inlineStr">
        <is>
          <t xml:space="preserve">10022</t>
        </is>
      </c>
      <c r="S187" s="32" t="inlineStr">
        <is>
          <t xml:space="preserve">Tier 3 - Coastal wind (25-100 miles)</t>
        </is>
      </c>
      <c r="T187" s="36">
        <f>IF($A187="","",IF($S187="","",IFERROR(INDEX('[1]natural catastrophe'!$D$6:$D$17,MATCH($S187,'[1]natural catastrophe'!$B$6:$B$17,0)),"?")))</f>
      </c>
      <c r="U187" s="30" t="inlineStr">
        <is>
          <t xml:space="preserve">2% of agreed value, minimum $10,000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5927.19</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CANON-202607-009769</t>
        </is>
      </c>
      <c r="B188" s="46" t="inlineStr">
        <is>
          <t xml:space="preserve">Fenwick Blackwood</t>
        </is>
      </c>
      <c r="C188" s="47">
        <v>46223</v>
      </c>
      <c r="D188" s="48" t="inlineStr">
        <is>
          <t xml:space="preserve">Bound - within authority</t>
        </is>
      </c>
      <c r="E188" s="48" t="inlineStr">
        <is>
          <t xml:space="preserve">New business</t>
        </is>
      </c>
      <c r="F188" s="46" t="inlineStr">
        <is>
          <t xml:space="preserve">B1234EXOTIC26</t>
        </is>
      </c>
      <c r="G188" s="33">
        <f>IF($A188="","",IF($C188="","",YEAR($C188)))</f>
      </c>
      <c r="H188" s="49">
        <v>2016</v>
      </c>
      <c r="I188" s="46" t="inlineStr">
        <is>
          <t xml:space="preserve">McLaren</t>
        </is>
      </c>
      <c r="J188" s="46" t="inlineStr">
        <is>
          <t xml:space="preserve">750S</t>
        </is>
      </c>
      <c r="K188" s="46" t="inlineStr">
        <is>
          <t xml:space="preserve">17WMHPZHY2KS08D34</t>
        </is>
      </c>
      <c r="L188" s="48" t="inlineStr">
        <is>
          <t xml:space="preserve">03 - Supercar</t>
        </is>
      </c>
      <c r="M188" s="50">
        <v>1780000</v>
      </c>
      <c r="N188" s="48" t="inlineStr">
        <is>
          <t xml:space="preserve">Personal</t>
        </is>
      </c>
      <c r="O188" s="46" t="inlineStr">
        <is>
          <t xml:space="preserve">Personal - regular use</t>
        </is>
      </c>
      <c r="P188" s="46" t="inlineStr">
        <is>
          <t xml:space="preserve">1,000 - 2,500</t>
        </is>
      </c>
      <c r="Q188" s="46" t="inlineStr">
        <is>
          <t xml:space="preserve">Tennessee</t>
        </is>
      </c>
      <c r="R188" s="46" t="inlineStr">
        <is>
          <t xml:space="preserve">37203</t>
        </is>
      </c>
      <c r="S188" s="48" t="inlineStr">
        <is>
          <t xml:space="preserve">Severe convective - hail / tornado (moderate)</t>
        </is>
      </c>
      <c r="T188" s="36">
        <f>IF($A188="","",IF($S188="","",IFERROR(INDEX('[1]natural catastrophe'!$D$6:$D$17,MATCH($S188,'[1]natural catastrophe'!$B$6:$B$17,0)),"?")))</f>
      </c>
      <c r="U188" s="46" t="inlineStr">
        <is>
          <t xml:space="preserve">$5,000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20037.56</v>
      </c>
      <c r="AC188" s="51">
        <v>0</v>
      </c>
      <c r="AD188" s="38">
        <f>IF(ISNUMBER($AB188),$AB188*(1+N($AC188)),"")</f>
      </c>
      <c r="AE188" s="50">
        <v>350</v>
      </c>
      <c r="AF188" s="50">
        <v>250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CANON-202607-009771</t>
        </is>
      </c>
      <c r="B189" s="30" t="inlineStr">
        <is>
          <t xml:space="preserve">Cassius Nakashima</t>
        </is>
      </c>
      <c r="C189" s="31">
        <v>46222</v>
      </c>
      <c r="D189" s="32" t="inlineStr">
        <is>
          <t xml:space="preserve">Bound - within authority</t>
        </is>
      </c>
      <c r="E189" s="32" t="inlineStr">
        <is>
          <t xml:space="preserve">New business</t>
        </is>
      </c>
      <c r="F189" s="30" t="inlineStr">
        <is>
          <t xml:space="preserve">B1234EXOTIC26</t>
        </is>
      </c>
      <c r="G189" s="33">
        <f>IF($A189="","",IF($C189="","",YEAR($C189)))</f>
      </c>
      <c r="H189" s="34">
        <v>2014</v>
      </c>
      <c r="I189" s="30" t="inlineStr">
        <is>
          <t xml:space="preserve">BMW</t>
        </is>
      </c>
      <c r="J189" s="30" t="inlineStr">
        <is>
          <t xml:space="preserve">M8 Competition</t>
        </is>
      </c>
      <c r="K189" s="30" t="inlineStr">
        <is>
          <t xml:space="preserve">0TTZ2RBUYWHX3ET9E</t>
        </is>
      </c>
      <c r="L189" s="32" t="inlineStr">
        <is>
          <t xml:space="preserve">02 - Sports / GT</t>
        </is>
      </c>
      <c r="M189" s="35">
        <v>725000</v>
      </c>
      <c r="N189" s="32" t="inlineStr">
        <is>
          <t xml:space="preserve">Personal</t>
        </is>
      </c>
      <c r="O189" s="30" t="inlineStr">
        <is>
          <t xml:space="preserve">Personal - regular use</t>
        </is>
      </c>
      <c r="P189" s="30" t="inlineStr">
        <is>
          <t xml:space="preserve">1,000 - 2,500</t>
        </is>
      </c>
      <c r="Q189" s="30" t="inlineStr">
        <is>
          <t xml:space="preserve">Texas</t>
        </is>
      </c>
      <c r="R189" s="30" t="inlineStr">
        <is>
          <t xml:space="preserve">75201</t>
        </is>
      </c>
      <c r="S189" s="32" t="inlineStr">
        <is>
          <t xml:space="preserve">Tier 2 - Coastal wind (1-25 miles)</t>
        </is>
      </c>
      <c r="T189" s="36">
        <f>IF($A189="","",IF($S189="","",IFERROR(INDEX('[1]natural catastrophe'!$D$6:$D$17,MATCH($S189,'[1]natural catastrophe'!$B$6:$B$17,0)),"?")))</f>
      </c>
      <c r="U189" s="30" t="inlineStr">
        <is>
          <t xml:space="preserve">2% of agreed value, minimum $10,000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7781.41</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CANON-202607-009772</t>
        </is>
      </c>
      <c r="B190" s="46" t="inlineStr">
        <is>
          <t xml:space="preserve">Fenwick Merriweather</t>
        </is>
      </c>
      <c r="C190" s="47">
        <v>46228</v>
      </c>
      <c r="D190" s="48" t="inlineStr">
        <is>
          <t xml:space="preserve">Bound - within authority</t>
        </is>
      </c>
      <c r="E190" s="48" t="inlineStr">
        <is>
          <t xml:space="preserve">New business</t>
        </is>
      </c>
      <c r="F190" s="46" t="inlineStr">
        <is>
          <t xml:space="preserve">B1234EXOTIC26</t>
        </is>
      </c>
      <c r="G190" s="33">
        <f>IF($A190="","",IF($C190="","",YEAR($C190)))</f>
      </c>
      <c r="H190" s="49">
        <v>2015</v>
      </c>
      <c r="I190" s="46" t="inlineStr">
        <is>
          <t xml:space="preserve">Ferrari</t>
        </is>
      </c>
      <c r="J190" s="46" t="inlineStr">
        <is>
          <t xml:space="preserve">SF90 Stradale</t>
        </is>
      </c>
      <c r="K190" s="46" t="inlineStr">
        <is>
          <t xml:space="preserve">T4RGS6DCMXF0K44D2</t>
        </is>
      </c>
      <c r="L190" s="48" t="inlineStr">
        <is>
          <t xml:space="preserve">03 - Supercar</t>
        </is>
      </c>
      <c r="M190" s="50">
        <v>1035000</v>
      </c>
      <c r="N190" s="48" t="inlineStr">
        <is>
          <t xml:space="preserve">Personal</t>
        </is>
      </c>
      <c r="O190" s="46" t="inlineStr">
        <is>
          <t xml:space="preserve">Personal - regular use</t>
        </is>
      </c>
      <c r="P190" s="46" t="inlineStr">
        <is>
          <t xml:space="preserve">1,000 - 2,500</t>
        </is>
      </c>
      <c r="Q190" s="46" t="inlineStr">
        <is>
          <t xml:space="preserve">Illinois</t>
        </is>
      </c>
      <c r="R190" s="46" t="inlineStr">
        <is>
          <t xml:space="preserve">60601</t>
        </is>
      </c>
      <c r="S190" s="48" t="inlineStr">
        <is>
          <t xml:space="preserve">Severe convective - hail / tornado (moderate)</t>
        </is>
      </c>
      <c r="T190" s="36">
        <f>IF($A190="","",IF($S190="","",IFERROR(INDEX('[1]natural catastrophe'!$D$6:$D$17,MATCH($S190,'[1]natural catastrophe'!$B$6:$B$17,0)),"?")))</f>
      </c>
      <c r="U190" s="46" t="inlineStr">
        <is>
          <t xml:space="preserve">$5,000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16168.81</v>
      </c>
      <c r="AC190" s="51">
        <v>0</v>
      </c>
      <c r="AD190" s="38">
        <f>IF(ISNUMBER($AB190),$AB190*(1+N($AC190)),"")</f>
      </c>
      <c r="AE190" s="50">
        <v>350</v>
      </c>
      <c r="AF190" s="50">
        <v>250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CANON-202607-009773</t>
        </is>
      </c>
      <c r="B191" s="30" t="inlineStr">
        <is>
          <t xml:space="preserve">Ottilie Whitlock</t>
        </is>
      </c>
      <c r="C191" s="31">
        <v>46229</v>
      </c>
      <c r="D191" s="32" t="inlineStr">
        <is>
          <t xml:space="preserve">Bound - within authority</t>
        </is>
      </c>
      <c r="E191" s="32" t="inlineStr">
        <is>
          <t xml:space="preserve">New business</t>
        </is>
      </c>
      <c r="F191" s="30" t="inlineStr">
        <is>
          <t xml:space="preserve">B1234EXOTIC26</t>
        </is>
      </c>
      <c r="G191" s="33">
        <f>IF($A191="","",IF($C191="","",YEAR($C191)))</f>
      </c>
      <c r="H191" s="34">
        <v>2010</v>
      </c>
      <c r="I191" s="30" t="inlineStr">
        <is>
          <t xml:space="preserve">Porsche</t>
        </is>
      </c>
      <c r="J191" s="30" t="inlineStr">
        <is>
          <t xml:space="preserve">911 Turbo S</t>
        </is>
      </c>
      <c r="K191" s="30" t="inlineStr">
        <is>
          <t xml:space="preserve">SNAZND7T2N5GKDMCN</t>
        </is>
      </c>
      <c r="L191" s="32" t="inlineStr">
        <is>
          <t xml:space="preserve">02 - Sports / GT</t>
        </is>
      </c>
      <c r="M191" s="35">
        <v>195000</v>
      </c>
      <c r="N191" s="32" t="inlineStr">
        <is>
          <t xml:space="preserve">Personal</t>
        </is>
      </c>
      <c r="O191" s="30" t="inlineStr">
        <is>
          <t xml:space="preserve">Personal - regular use</t>
        </is>
      </c>
      <c r="P191" s="30" t="inlineStr">
        <is>
          <t xml:space="preserve">Under 1,000</t>
        </is>
      </c>
      <c r="Q191" s="30" t="inlineStr">
        <is>
          <t xml:space="preserve">Vermont</t>
        </is>
      </c>
      <c r="R191" s="30" t="inlineStr">
        <is>
          <t xml:space="preserve">05601</t>
        </is>
      </c>
      <c r="S191" s="32" t="inlineStr">
        <is>
          <t xml:space="preserve">Low hazard - inland benign</t>
        </is>
      </c>
      <c r="T191" s="36">
        <f>IF($A191="","",IF($S191="","",IFERROR(INDEX('[1]natural catastrophe'!$D$6:$D$17,MATCH($S191,'[1]natural catastrophe'!$B$6:$B$17,0)),"?")))</f>
      </c>
      <c r="U191" s="30" t="inlineStr">
        <is>
          <t xml:space="preserve">$5,000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3142.61</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CANON-202607-009774</t>
        </is>
      </c>
      <c r="B192" s="46" t="inlineStr">
        <is>
          <t xml:space="preserve">Fitzgerald Whitlock</t>
        </is>
      </c>
      <c r="C192" s="47">
        <v>46229</v>
      </c>
      <c r="D192" s="48" t="inlineStr">
        <is>
          <t xml:space="preserve">Bound - within authority</t>
        </is>
      </c>
      <c r="E192" s="48" t="inlineStr">
        <is>
          <t xml:space="preserve">New business</t>
        </is>
      </c>
      <c r="F192" s="46" t="inlineStr">
        <is>
          <t xml:space="preserve">B1234EXOTIC26</t>
        </is>
      </c>
      <c r="G192" s="33">
        <f>IF($A192="","",IF($C192="","",YEAR($C192)))</f>
      </c>
      <c r="H192" s="49">
        <v>1974</v>
      </c>
      <c r="I192" s="46" t="inlineStr">
        <is>
          <t xml:space="preserve">BMW</t>
        </is>
      </c>
      <c r="J192" s="46" t="inlineStr">
        <is>
          <t xml:space="preserve">M8 Competition</t>
        </is>
      </c>
      <c r="K192" s="46" t="inlineStr">
        <is>
          <t xml:space="preserve">DFGXTA2ST6HLEFE2A</t>
        </is>
      </c>
      <c r="L192" s="48" t="inlineStr">
        <is>
          <t xml:space="preserve">02 - Sports / GT</t>
        </is>
      </c>
      <c r="M192" s="50">
        <v>430000</v>
      </c>
      <c r="N192" s="48" t="inlineStr">
        <is>
          <t xml:space="preserve">Personal</t>
        </is>
      </c>
      <c r="O192" s="46" t="inlineStr">
        <is>
          <t xml:space="preserve">Personal - regular use</t>
        </is>
      </c>
      <c r="P192" s="46" t="inlineStr">
        <is>
          <t xml:space="preserve">1,000 - 2,500</t>
        </is>
      </c>
      <c r="Q192" s="46" t="inlineStr">
        <is>
          <t xml:space="preserve">Pennsylvania</t>
        </is>
      </c>
      <c r="R192" s="46" t="inlineStr">
        <is>
          <t xml:space="preserve">19103</t>
        </is>
      </c>
      <c r="S192" s="48" t="inlineStr">
        <is>
          <t xml:space="preserve">Low hazard - inland benign</t>
        </is>
      </c>
      <c r="T192" s="36">
        <f>IF($A192="","",IF($S192="","",IFERROR(INDEX('[1]natural catastrophe'!$D$6:$D$17,MATCH($S192,'[1]natural catastrophe'!$B$6:$B$17,0)),"?")))</f>
      </c>
      <c r="U192" s="46" t="inlineStr">
        <is>
          <t xml:space="preserve">$5,000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4630.62</v>
      </c>
      <c r="AC192" s="51">
        <v>0</v>
      </c>
      <c r="AD192" s="38">
        <f>IF(ISNUMBER($AB192),$AB192*(1+N($AC192)),"")</f>
      </c>
      <c r="AE192" s="50">
        <v>350</v>
      </c>
      <c r="AF192" s="50">
        <v>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CANON-202607-009775</t>
        </is>
      </c>
      <c r="B193" s="30" t="inlineStr">
        <is>
          <t xml:space="preserve">Ramona Fairweather</t>
        </is>
      </c>
      <c r="C193" s="31">
        <v>46220</v>
      </c>
      <c r="D193" s="32" t="inlineStr">
        <is>
          <t xml:space="preserve">Bound - within authority</t>
        </is>
      </c>
      <c r="E193" s="32" t="inlineStr">
        <is>
          <t xml:space="preserve">New business</t>
        </is>
      </c>
      <c r="F193" s="30" t="inlineStr">
        <is>
          <t xml:space="preserve">B1234EXOTIC26</t>
        </is>
      </c>
      <c r="G193" s="33">
        <f>IF($A193="","",IF($C193="","",YEAR($C193)))</f>
      </c>
      <c r="H193" s="34">
        <v>2000</v>
      </c>
      <c r="I193" s="30" t="inlineStr">
        <is>
          <t xml:space="preserve">Porsche</t>
        </is>
      </c>
      <c r="J193" s="30" t="inlineStr">
        <is>
          <t xml:space="preserve">911 Turbo S</t>
        </is>
      </c>
      <c r="K193" s="30" t="inlineStr">
        <is>
          <t xml:space="preserve">DSYHU6NUTV4NBJTZC</t>
        </is>
      </c>
      <c r="L193" s="32" t="inlineStr">
        <is>
          <t xml:space="preserve">02 - Sports / GT</t>
        </is>
      </c>
      <c r="M193" s="35">
        <v>300000</v>
      </c>
      <c r="N193" s="32" t="inlineStr">
        <is>
          <t xml:space="preserve">Personal</t>
        </is>
      </c>
      <c r="O193" s="30" t="inlineStr">
        <is>
          <t xml:space="preserve">Personal - regular use</t>
        </is>
      </c>
      <c r="P193" s="30" t="inlineStr">
        <is>
          <t xml:space="preserve">Under 1,000</t>
        </is>
      </c>
      <c r="Q193" s="30" t="inlineStr">
        <is>
          <t xml:space="preserve">Rhode Island</t>
        </is>
      </c>
      <c r="R193" s="30" t="inlineStr">
        <is>
          <t xml:space="preserve">02903</t>
        </is>
      </c>
      <c r="S193" s="32" t="inlineStr">
        <is>
          <t xml:space="preserve">Tier 3 - Coastal wind (25-100 miles)</t>
        </is>
      </c>
      <c r="T193" s="36">
        <f>IF($A193="","",IF($S193="","",IFERROR(INDEX('[1]natural catastrophe'!$D$6:$D$17,MATCH($S193,'[1]natural catastrophe'!$B$6:$B$17,0)),"?")))</f>
      </c>
      <c r="U193" s="30" t="inlineStr">
        <is>
          <t xml:space="preserve">2% of agreed value, minimum $10,000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4426.01</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CANON-202607-009776</t>
        </is>
      </c>
      <c r="B194" s="46" t="inlineStr">
        <is>
          <t xml:space="preserve">Callum Pennington</t>
        </is>
      </c>
      <c r="C194" s="47">
        <v>46234</v>
      </c>
      <c r="D194" s="48" t="inlineStr">
        <is>
          <t xml:space="preserve">Bound - within authority</t>
        </is>
      </c>
      <c r="E194" s="48" t="inlineStr">
        <is>
          <t xml:space="preserve">New business</t>
        </is>
      </c>
      <c r="F194" s="46" t="inlineStr">
        <is>
          <t xml:space="preserve">B1234EXOTIC26</t>
        </is>
      </c>
      <c r="G194" s="33">
        <f>IF($A194="","",IF($C194="","",YEAR($C194)))</f>
      </c>
      <c r="H194" s="49">
        <v>1987</v>
      </c>
      <c r="I194" s="46" t="inlineStr">
        <is>
          <t xml:space="preserve">Porsche</t>
        </is>
      </c>
      <c r="J194" s="46" t="inlineStr">
        <is>
          <t xml:space="preserve">911 Turbo S</t>
        </is>
      </c>
      <c r="K194" s="46" t="inlineStr">
        <is>
          <t xml:space="preserve">A3JSNYFB5H1R2WLHN</t>
        </is>
      </c>
      <c r="L194" s="48" t="inlineStr">
        <is>
          <t xml:space="preserve">02 - Sports / GT</t>
        </is>
      </c>
      <c r="M194" s="50">
        <v>1130000</v>
      </c>
      <c r="N194" s="48" t="inlineStr">
        <is>
          <t xml:space="preserve">Personal</t>
        </is>
      </c>
      <c r="O194" s="46" t="inlineStr">
        <is>
          <t xml:space="preserve">Personal - regular use</t>
        </is>
      </c>
      <c r="P194" s="46" t="inlineStr">
        <is>
          <t xml:space="preserve">Under 1,000</t>
        </is>
      </c>
      <c r="Q194" s="46" t="inlineStr">
        <is>
          <t xml:space="preserve">New York</t>
        </is>
      </c>
      <c r="R194" s="46" t="inlineStr">
        <is>
          <t xml:space="preserve">10022</t>
        </is>
      </c>
      <c r="S194" s="48" t="inlineStr">
        <is>
          <t xml:space="preserve">Tier 3 - Coastal wind (25-100 miles)</t>
        </is>
      </c>
      <c r="T194" s="36">
        <f>IF($A194="","",IF($S194="","",IFERROR(INDEX('[1]natural catastrophe'!$D$6:$D$17,MATCH($S194,'[1]natural catastrophe'!$B$6:$B$17,0)),"?")))</f>
      </c>
      <c r="U194" s="46" t="inlineStr">
        <is>
          <t xml:space="preserve">2% of agreed value, minimum $10,000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11422.47</v>
      </c>
      <c r="AC194" s="51">
        <v>0</v>
      </c>
      <c r="AD194" s="38">
        <f>IF(ISNUMBER($AB194),$AB194*(1+N($AC194)),"")</f>
      </c>
      <c r="AE194" s="50">
        <v>350</v>
      </c>
      <c r="AF194" s="50">
        <v>250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CANON-202607-009777</t>
        </is>
      </c>
      <c r="B195" s="30" t="inlineStr">
        <is>
          <t xml:space="preserve">Mireille Nakashima</t>
        </is>
      </c>
      <c r="C195" s="31">
        <v>46214</v>
      </c>
      <c r="D195" s="32" t="inlineStr">
        <is>
          <t xml:space="preserve">Bound - within authority</t>
        </is>
      </c>
      <c r="E195" s="32" t="inlineStr">
        <is>
          <t xml:space="preserve">New business</t>
        </is>
      </c>
      <c r="F195" s="30" t="inlineStr">
        <is>
          <t xml:space="preserve">B1234EXOTIC26</t>
        </is>
      </c>
      <c r="G195" s="33">
        <f>IF($A195="","",IF($C195="","",YEAR($C195)))</f>
      </c>
      <c r="H195" s="34">
        <v>2011</v>
      </c>
      <c r="I195" s="30" t="inlineStr">
        <is>
          <t xml:space="preserve">Jaguar</t>
        </is>
      </c>
      <c r="J195" s="30" t="inlineStr">
        <is>
          <t xml:space="preserve">E-Type Series 1</t>
        </is>
      </c>
      <c r="K195" s="30" t="inlineStr">
        <is>
          <t xml:space="preserve">Z123A7NT9A459D14M</t>
        </is>
      </c>
      <c r="L195" s="32" t="inlineStr">
        <is>
          <t xml:space="preserve">02 - Sports / GT</t>
        </is>
      </c>
      <c r="M195" s="35">
        <v>1320000</v>
      </c>
      <c r="N195" s="32" t="inlineStr">
        <is>
          <t xml:space="preserve">Personal</t>
        </is>
      </c>
      <c r="O195" s="30" t="inlineStr">
        <is>
          <t xml:space="preserve">Personal - regular use</t>
        </is>
      </c>
      <c r="P195" s="30" t="inlineStr">
        <is>
          <t xml:space="preserve">Under 1,000</t>
        </is>
      </c>
      <c r="Q195" s="30" t="inlineStr">
        <is>
          <t xml:space="preserve">Minnesota</t>
        </is>
      </c>
      <c r="R195" s="30" t="inlineStr">
        <is>
          <t xml:space="preserve">55401</t>
        </is>
      </c>
      <c r="S195" s="32" t="inlineStr">
        <is>
          <t xml:space="preserve">Severe convective - hail / tornado (moderate)</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9506.93</v>
      </c>
      <c r="AC195" s="37">
        <v>0</v>
      </c>
      <c r="AD195" s="38">
        <f>IF(ISNUMBER($AB195),$AB195*(1+N($AC195)),"")</f>
      </c>
      <c r="AE195" s="35">
        <v>350</v>
      </c>
      <c r="AF195" s="35">
        <v>250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CANON-202607-009778</t>
        </is>
      </c>
      <c r="B196" s="46" t="inlineStr">
        <is>
          <t xml:space="preserve">Thaddeus Underwood</t>
        </is>
      </c>
      <c r="C196" s="47">
        <v>46213</v>
      </c>
      <c r="D196" s="48" t="inlineStr">
        <is>
          <t xml:space="preserve">Bound - within authority</t>
        </is>
      </c>
      <c r="E196" s="48" t="inlineStr">
        <is>
          <t xml:space="preserve">New business</t>
        </is>
      </c>
      <c r="F196" s="46" t="inlineStr">
        <is>
          <t xml:space="preserve">B1234EXOTIC26</t>
        </is>
      </c>
      <c r="G196" s="33">
        <f>IF($A196="","",IF($C196="","",YEAR($C196)))</f>
      </c>
      <c r="H196" s="49">
        <v>1960</v>
      </c>
      <c r="I196" s="46" t="inlineStr">
        <is>
          <t xml:space="preserve">Porsche</t>
        </is>
      </c>
      <c r="J196" s="46" t="inlineStr">
        <is>
          <t xml:space="preserve">911 Turbo S</t>
        </is>
      </c>
      <c r="K196" s="46" t="inlineStr">
        <is>
          <t xml:space="preserve">TZ6Y8SCANPUE4REVH</t>
        </is>
      </c>
      <c r="L196" s="48" t="inlineStr">
        <is>
          <t xml:space="preserve">02 - Sports / GT</t>
        </is>
      </c>
      <c r="M196" s="50">
        <v>415000</v>
      </c>
      <c r="N196" s="48" t="inlineStr">
        <is>
          <t xml:space="preserve">Personal</t>
        </is>
      </c>
      <c r="O196" s="46" t="inlineStr">
        <is>
          <t xml:space="preserve">Personal - regular use</t>
        </is>
      </c>
      <c r="P196" s="46" t="inlineStr">
        <is>
          <t xml:space="preserve">2,500 - 5,000</t>
        </is>
      </c>
      <c r="Q196" s="46" t="inlineStr">
        <is>
          <t xml:space="preserve">Oklahoma</t>
        </is>
      </c>
      <c r="R196" s="46" t="inlineStr">
        <is>
          <t xml:space="preserve">73102</t>
        </is>
      </c>
      <c r="S196" s="48" t="inlineStr">
        <is>
          <t xml:space="preserve">Severe convective - hail alley (high)</t>
        </is>
      </c>
      <c r="T196" s="36">
        <f>IF($A196="","",IF($S196="","",IFERROR(INDEX('[1]natural catastrophe'!$D$6:$D$17,MATCH($S196,'[1]natural catastrophe'!$B$6:$B$17,0)),"?")))</f>
      </c>
      <c r="U196" s="46" t="inlineStr">
        <is>
          <t xml:space="preserve">$5,000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5631.04</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CANON-202607-009780</t>
        </is>
      </c>
      <c r="B197" s="30" t="inlineStr">
        <is>
          <t xml:space="preserve">Lorenzo Merriweather</t>
        </is>
      </c>
      <c r="C197" s="31">
        <v>46232</v>
      </c>
      <c r="D197" s="32" t="inlineStr">
        <is>
          <t xml:space="preserve">Bound - within authority</t>
        </is>
      </c>
      <c r="E197" s="32" t="inlineStr">
        <is>
          <t xml:space="preserve">New business</t>
        </is>
      </c>
      <c r="F197" s="30" t="inlineStr">
        <is>
          <t xml:space="preserve">B1234EXOTIC26</t>
        </is>
      </c>
      <c r="G197" s="33">
        <f>IF($A197="","",IF($C197="","",YEAR($C197)))</f>
      </c>
      <c r="H197" s="34">
        <v>1979</v>
      </c>
      <c r="I197" s="30" t="inlineStr">
        <is>
          <t xml:space="preserve">Porsche</t>
        </is>
      </c>
      <c r="J197" s="30" t="inlineStr">
        <is>
          <t xml:space="preserve">911 Turbo S</t>
        </is>
      </c>
      <c r="K197" s="30" t="inlineStr">
        <is>
          <t xml:space="preserve">HXNLLMH7CN92K585U</t>
        </is>
      </c>
      <c r="L197" s="32" t="inlineStr">
        <is>
          <t xml:space="preserve">02 - Sports / GT</t>
        </is>
      </c>
      <c r="M197" s="35">
        <v>460000</v>
      </c>
      <c r="N197" s="32" t="inlineStr">
        <is>
          <t xml:space="preserve">Personal</t>
        </is>
      </c>
      <c r="O197" s="30" t="inlineStr">
        <is>
          <t xml:space="preserve">Personal - regular use</t>
        </is>
      </c>
      <c r="P197" s="30" t="inlineStr">
        <is>
          <t xml:space="preserve">Under 1,000</t>
        </is>
      </c>
      <c r="Q197" s="30" t="inlineStr">
        <is>
          <t xml:space="preserve">Idaho</t>
        </is>
      </c>
      <c r="R197" s="30" t="inlineStr">
        <is>
          <t xml:space="preserve">83702</t>
        </is>
      </c>
      <c r="S197" s="32" t="inlineStr">
        <is>
          <t xml:space="preserve">Wildfire - WUI high hazard</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4904.14</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CANON-202607-009782</t>
        </is>
      </c>
      <c r="B198" s="46" t="inlineStr">
        <is>
          <t xml:space="preserve">Sunniva Blackwood</t>
        </is>
      </c>
      <c r="C198" s="47">
        <v>46209</v>
      </c>
      <c r="D198" s="48" t="inlineStr">
        <is>
          <t xml:space="preserve">Bound - within authority</t>
        </is>
      </c>
      <c r="E198" s="48" t="inlineStr">
        <is>
          <t xml:space="preserve">New business</t>
        </is>
      </c>
      <c r="F198" s="46" t="inlineStr">
        <is>
          <t xml:space="preserve">B1234EXOTIC26</t>
        </is>
      </c>
      <c r="G198" s="33">
        <f>IF($A198="","",IF($C198="","",YEAR($C198)))</f>
      </c>
      <c r="H198" s="49">
        <v>1967</v>
      </c>
      <c r="I198" s="46" t="inlineStr">
        <is>
          <t xml:space="preserve">Aston Martin</t>
        </is>
      </c>
      <c r="J198" s="46" t="inlineStr">
        <is>
          <t xml:space="preserve">DB12</t>
        </is>
      </c>
      <c r="K198" s="46" t="inlineStr">
        <is>
          <t xml:space="preserve">DTJ6W5LHN10YRA8SM</t>
        </is>
      </c>
      <c r="L198" s="48" t="inlineStr">
        <is>
          <t xml:space="preserve">02 - Sports / GT</t>
        </is>
      </c>
      <c r="M198" s="50">
        <v>800000</v>
      </c>
      <c r="N198" s="48" t="inlineStr">
        <is>
          <t xml:space="preserve">Personal</t>
        </is>
      </c>
      <c r="O198" s="46" t="inlineStr">
        <is>
          <t xml:space="preserve">Personal - regular use</t>
        </is>
      </c>
      <c r="P198" s="46" t="inlineStr">
        <is>
          <t xml:space="preserve">1,000 - 2,500</t>
        </is>
      </c>
      <c r="Q198" s="46" t="inlineStr">
        <is>
          <t xml:space="preserve">Idaho</t>
        </is>
      </c>
      <c r="R198" s="46" t="inlineStr">
        <is>
          <t xml:space="preserve">83702</t>
        </is>
      </c>
      <c r="S198" s="48" t="inlineStr">
        <is>
          <t xml:space="preserve">Wildfire - WUI high hazard</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7391.75</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CANON-202607-009783</t>
        </is>
      </c>
      <c r="B199" s="30" t="inlineStr">
        <is>
          <t xml:space="preserve">Priya Larsson</t>
        </is>
      </c>
      <c r="C199" s="31">
        <v>46205</v>
      </c>
      <c r="D199" s="32" t="inlineStr">
        <is>
          <t xml:space="preserve">Bound - within authority</t>
        </is>
      </c>
      <c r="E199" s="32" t="inlineStr">
        <is>
          <t xml:space="preserve">New business</t>
        </is>
      </c>
      <c r="F199" s="30" t="inlineStr">
        <is>
          <t xml:space="preserve">B1234EXOTIC26</t>
        </is>
      </c>
      <c r="G199" s="33">
        <f>IF($A199="","",IF($C199="","",YEAR($C199)))</f>
      </c>
      <c r="H199" s="34">
        <v>2024</v>
      </c>
      <c r="I199" s="30" t="inlineStr">
        <is>
          <t xml:space="preserve">Mercedes-Benz</t>
        </is>
      </c>
      <c r="J199" s="30" t="inlineStr">
        <is>
          <t xml:space="preserve">AMG GT</t>
        </is>
      </c>
      <c r="K199" s="30" t="inlineStr">
        <is>
          <t xml:space="preserve">GLMPHCNCJ1P5PJEBT</t>
        </is>
      </c>
      <c r="L199" s="32" t="inlineStr">
        <is>
          <t xml:space="preserve">02 - Sports / GT</t>
        </is>
      </c>
      <c r="M199" s="35">
        <v>540000</v>
      </c>
      <c r="N199" s="32" t="inlineStr">
        <is>
          <t xml:space="preserve">Personal</t>
        </is>
      </c>
      <c r="O199" s="30" t="inlineStr">
        <is>
          <t xml:space="preserve">Personal - regular use</t>
        </is>
      </c>
      <c r="P199" s="30" t="inlineStr">
        <is>
          <t xml:space="preserve">Under 1,000</t>
        </is>
      </c>
      <c r="Q199" s="30" t="inlineStr">
        <is>
          <t xml:space="preserve">Maryland</t>
        </is>
      </c>
      <c r="R199" s="30" t="inlineStr">
        <is>
          <t xml:space="preserve">21201</t>
        </is>
      </c>
      <c r="S199" s="32" t="inlineStr">
        <is>
          <t xml:space="preserve">Tier 3 - Coastal wind (25-100 miles)</t>
        </is>
      </c>
      <c r="T199" s="36">
        <f>IF($A199="","",IF($S199="","",IFERROR(INDEX('[1]natural catastrophe'!$D$6:$D$17,MATCH($S199,'[1]natural catastrophe'!$B$6:$B$17,0)),"?")))</f>
      </c>
      <c r="U199" s="30" t="inlineStr">
        <is>
          <t xml:space="preserve">2% of agreed value, minimum $10,000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4787.84</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CANON-202607-009784</t>
        </is>
      </c>
      <c r="B200" s="46" t="inlineStr">
        <is>
          <t xml:space="preserve">Delphine Vandermeer</t>
        </is>
      </c>
      <c r="C200" s="47">
        <v>46225</v>
      </c>
      <c r="D200" s="48" t="inlineStr">
        <is>
          <t xml:space="preserve">Bound - within authority</t>
        </is>
      </c>
      <c r="E200" s="48" t="inlineStr">
        <is>
          <t xml:space="preserve">New business</t>
        </is>
      </c>
      <c r="F200" s="46" t="inlineStr">
        <is>
          <t xml:space="preserve">B1234EXOTIC26</t>
        </is>
      </c>
      <c r="G200" s="33">
        <f>IF($A200="","",IF($C200="","",YEAR($C200)))</f>
      </c>
      <c r="H200" s="49">
        <v>1988</v>
      </c>
      <c r="I200" s="46" t="inlineStr">
        <is>
          <t xml:space="preserve">McLaren</t>
        </is>
      </c>
      <c r="J200" s="46" t="inlineStr">
        <is>
          <t xml:space="preserve">750S</t>
        </is>
      </c>
      <c r="K200" s="46" t="inlineStr">
        <is>
          <t xml:space="preserve">BTEU90JAZ4MMA8VMG</t>
        </is>
      </c>
      <c r="L200" s="48" t="inlineStr">
        <is>
          <t xml:space="preserve">03 - Supercar</t>
        </is>
      </c>
      <c r="M200" s="50">
        <v>1160000</v>
      </c>
      <c r="N200" s="48" t="inlineStr">
        <is>
          <t xml:space="preserve">Personal</t>
        </is>
      </c>
      <c r="O200" s="46" t="inlineStr">
        <is>
          <t xml:space="preserve">Personal - regular use</t>
        </is>
      </c>
      <c r="P200" s="46" t="inlineStr">
        <is>
          <t xml:space="preserve">1,000 - 2,500</t>
        </is>
      </c>
      <c r="Q200" s="46" t="inlineStr">
        <is>
          <t xml:space="preserve">North Carolina</t>
        </is>
      </c>
      <c r="R200" s="46" t="inlineStr">
        <is>
          <t xml:space="preserve">28202</t>
        </is>
      </c>
      <c r="S200" s="48" t="inlineStr">
        <is>
          <t xml:space="preserve">Tier 2 - Coastal wind (1-25 miles)</t>
        </is>
      </c>
      <c r="T200" s="36">
        <f>IF($A200="","",IF($S200="","",IFERROR(INDEX('[1]natural catastrophe'!$D$6:$D$17,MATCH($S200,'[1]natural catastrophe'!$B$6:$B$17,0)),"?")))</f>
      </c>
      <c r="U200" s="46" t="inlineStr">
        <is>
          <t xml:space="preserve">2% of agreed value, minimum $10,000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15323.38</v>
      </c>
      <c r="AC200" s="51">
        <v>0</v>
      </c>
      <c r="AD200" s="38">
        <f>IF(ISNUMBER($AB200),$AB200*(1+N($AC200)),"")</f>
      </c>
      <c r="AE200" s="50">
        <v>350</v>
      </c>
      <c r="AF200" s="50">
        <v>250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CANON-202607-009785</t>
        </is>
      </c>
      <c r="B201" s="30" t="inlineStr">
        <is>
          <t xml:space="preserve">Fenwick Vandermeer</t>
        </is>
      </c>
      <c r="C201" s="31">
        <v>46221</v>
      </c>
      <c r="D201" s="32" t="inlineStr">
        <is>
          <t xml:space="preserve">Bound - within authority</t>
        </is>
      </c>
      <c r="E201" s="32" t="inlineStr">
        <is>
          <t xml:space="preserve">New business</t>
        </is>
      </c>
      <c r="F201" s="30" t="inlineStr">
        <is>
          <t xml:space="preserve">B1234EXOTIC26</t>
        </is>
      </c>
      <c r="G201" s="33">
        <f>IF($A201="","",IF($C201="","",YEAR($C201)))</f>
      </c>
      <c r="H201" s="34">
        <v>2009</v>
      </c>
      <c r="I201" s="30" t="inlineStr">
        <is>
          <t xml:space="preserve">Porsche</t>
        </is>
      </c>
      <c r="J201" s="30" t="inlineStr">
        <is>
          <t xml:space="preserve">911 Turbo S</t>
        </is>
      </c>
      <c r="K201" s="30" t="inlineStr">
        <is>
          <t xml:space="preserve">K5PZAL8M4WSY5GK8E</t>
        </is>
      </c>
      <c r="L201" s="32" t="inlineStr">
        <is>
          <t xml:space="preserve">02 - Sports / GT</t>
        </is>
      </c>
      <c r="M201" s="35">
        <v>790000</v>
      </c>
      <c r="N201" s="32" t="inlineStr">
        <is>
          <t xml:space="preserve">Personal</t>
        </is>
      </c>
      <c r="O201" s="30" t="inlineStr">
        <is>
          <t xml:space="preserve">Personal - regular use</t>
        </is>
      </c>
      <c r="P201" s="30" t="inlineStr">
        <is>
          <t xml:space="preserve">1,000 - 2,500</t>
        </is>
      </c>
      <c r="Q201" s="30" t="inlineStr">
        <is>
          <t xml:space="preserve">Delaware</t>
        </is>
      </c>
      <c r="R201" s="30" t="inlineStr">
        <is>
          <t xml:space="preserve">19801</t>
        </is>
      </c>
      <c r="S201" s="32" t="inlineStr">
        <is>
          <t xml:space="preserve">Tier 3 - Coastal wind (25-100 miles)</t>
        </is>
      </c>
      <c r="T201" s="36">
        <f>IF($A201="","",IF($S201="","",IFERROR(INDEX('[1]natural catastrophe'!$D$6:$D$17,MATCH($S201,'[1]natural catastrophe'!$B$6:$B$17,0)),"?")))</f>
      </c>
      <c r="U201" s="30" t="inlineStr">
        <is>
          <t xml:space="preserve">2% of agreed value, minimum $10,000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9216.36</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CANON-202607-009786</t>
        </is>
      </c>
      <c r="B202" s="46" t="inlineStr">
        <is>
          <t xml:space="preserve">Saoirse Chattopadhyay</t>
        </is>
      </c>
      <c r="C202" s="47">
        <v>46218</v>
      </c>
      <c r="D202" s="48" t="inlineStr">
        <is>
          <t xml:space="preserve">Bound - within authority</t>
        </is>
      </c>
      <c r="E202" s="48" t="inlineStr">
        <is>
          <t xml:space="preserve">New business</t>
        </is>
      </c>
      <c r="F202" s="46" t="inlineStr">
        <is>
          <t xml:space="preserve">B1234EXOTIC26</t>
        </is>
      </c>
      <c r="G202" s="33">
        <f>IF($A202="","",IF($C202="","",YEAR($C202)))</f>
      </c>
      <c r="H202" s="49">
        <v>1969</v>
      </c>
      <c r="I202" s="46" t="inlineStr">
        <is>
          <t xml:space="preserve">McLaren</t>
        </is>
      </c>
      <c r="J202" s="46" t="inlineStr">
        <is>
          <t xml:space="preserve">750S</t>
        </is>
      </c>
      <c r="K202" s="46" t="inlineStr">
        <is>
          <t xml:space="preserve">0E426ZRCW67Z4W5JX</t>
        </is>
      </c>
      <c r="L202" s="48" t="inlineStr">
        <is>
          <t xml:space="preserve">03 - Supercar</t>
        </is>
      </c>
      <c r="M202" s="50">
        <v>490000</v>
      </c>
      <c r="N202" s="48" t="inlineStr">
        <is>
          <t xml:space="preserve">Personal</t>
        </is>
      </c>
      <c r="O202" s="46" t="inlineStr">
        <is>
          <t xml:space="preserve">Personal - regular use</t>
        </is>
      </c>
      <c r="P202" s="46" t="inlineStr">
        <is>
          <t xml:space="preserve">2,500 - 5,000</t>
        </is>
      </c>
      <c r="Q202" s="46" t="inlineStr">
        <is>
          <t xml:space="preserve">West Virginia</t>
        </is>
      </c>
      <c r="R202" s="46" t="inlineStr">
        <is>
          <t xml:space="preserve">25301</t>
        </is>
      </c>
      <c r="S202" s="48" t="inlineStr">
        <is>
          <t xml:space="preserve">Low hazard - inland benign</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10761.04</v>
      </c>
      <c r="AC202" s="51">
        <v>0</v>
      </c>
      <c r="AD202" s="38">
        <f>IF(ISNUMBER($AB202),$AB202*(1+N($AC202)),"")</f>
      </c>
      <c r="AE202" s="50">
        <v>350</v>
      </c>
      <c r="AF202" s="50">
        <v>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CANON-202607-009787</t>
        </is>
      </c>
      <c r="B203" s="30" t="inlineStr">
        <is>
          <t xml:space="preserve">Emiliano Blackwood</t>
        </is>
      </c>
      <c r="C203" s="31">
        <v>46219</v>
      </c>
      <c r="D203" s="32" t="inlineStr">
        <is>
          <t xml:space="preserve">Bound - within authority</t>
        </is>
      </c>
      <c r="E203" s="32" t="inlineStr">
        <is>
          <t xml:space="preserve">New business</t>
        </is>
      </c>
      <c r="F203" s="30" t="inlineStr">
        <is>
          <t xml:space="preserve">B1234EXOTIC26</t>
        </is>
      </c>
      <c r="G203" s="33">
        <f>IF($A203="","",IF($C203="","",YEAR($C203)))</f>
      </c>
      <c r="H203" s="34">
        <v>2006</v>
      </c>
      <c r="I203" s="30" t="inlineStr">
        <is>
          <t xml:space="preserve">Aston Martin</t>
        </is>
      </c>
      <c r="J203" s="30" t="inlineStr">
        <is>
          <t xml:space="preserve">DB12</t>
        </is>
      </c>
      <c r="K203" s="30" t="inlineStr">
        <is>
          <t xml:space="preserve">XGZKPZHCBBJ7YVYV2</t>
        </is>
      </c>
      <c r="L203" s="32" t="inlineStr">
        <is>
          <t xml:space="preserve">02 - Sports / GT</t>
        </is>
      </c>
      <c r="M203" s="35">
        <v>325000</v>
      </c>
      <c r="N203" s="32" t="inlineStr">
        <is>
          <t xml:space="preserve">Personal</t>
        </is>
      </c>
      <c r="O203" s="30" t="inlineStr">
        <is>
          <t xml:space="preserve">Personal - regular use</t>
        </is>
      </c>
      <c r="P203" s="30" t="inlineStr">
        <is>
          <t xml:space="preserve">2,500 - 5,000</t>
        </is>
      </c>
      <c r="Q203" s="30" t="inlineStr">
        <is>
          <t xml:space="preserve">California</t>
        </is>
      </c>
      <c r="R203" s="30" t="inlineStr">
        <is>
          <t xml:space="preserve">90012</t>
        </is>
      </c>
      <c r="S203" s="32" t="inlineStr">
        <is>
          <t xml:space="preserve">Earthquake - high (CA, Cascadia, New Madrid)</t>
        </is>
      </c>
      <c r="T203" s="36">
        <f>IF($A203="","",IF($S203="","",IFERROR(INDEX('[1]natural catastrophe'!$D$6:$D$17,MATCH($S203,'[1]natural catastrophe'!$B$6:$B$17,0)),"?")))</f>
      </c>
      <c r="U203" s="30" t="inlineStr">
        <is>
          <t xml:space="preserve">$5,000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4724.84</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CANON-202607-009788</t>
        </is>
      </c>
      <c r="B204" s="46" t="inlineStr">
        <is>
          <t xml:space="preserve">Beatrix Rourke</t>
        </is>
      </c>
      <c r="C204" s="47">
        <v>46222</v>
      </c>
      <c r="D204" s="48" t="inlineStr">
        <is>
          <t xml:space="preserve">Bound - within authority</t>
        </is>
      </c>
      <c r="E204" s="48" t="inlineStr">
        <is>
          <t xml:space="preserve">New business</t>
        </is>
      </c>
      <c r="F204" s="46" t="inlineStr">
        <is>
          <t xml:space="preserve">B1234EXOTIC26</t>
        </is>
      </c>
      <c r="G204" s="33">
        <f>IF($A204="","",IF($C204="","",YEAR($C204)))</f>
      </c>
      <c r="H204" s="49">
        <v>1987</v>
      </c>
      <c r="I204" s="46" t="inlineStr">
        <is>
          <t xml:space="preserve">Bentley</t>
        </is>
      </c>
      <c r="J204" s="46" t="inlineStr">
        <is>
          <t xml:space="preserve">Continental GT</t>
        </is>
      </c>
      <c r="K204" s="46" t="inlineStr">
        <is>
          <t xml:space="preserve">VBYS94YBG8XUWBYDL</t>
        </is>
      </c>
      <c r="L204" s="48" t="inlineStr">
        <is>
          <t xml:space="preserve">02 - Sports / GT</t>
        </is>
      </c>
      <c r="M204" s="50">
        <v>560000</v>
      </c>
      <c r="N204" s="48" t="inlineStr">
        <is>
          <t xml:space="preserve">Personal</t>
        </is>
      </c>
      <c r="O204" s="46" t="inlineStr">
        <is>
          <t xml:space="preserve">Personal - regular use</t>
        </is>
      </c>
      <c r="P204" s="46" t="inlineStr">
        <is>
          <t xml:space="preserve">1,000 - 2,500</t>
        </is>
      </c>
      <c r="Q204" s="46" t="inlineStr">
        <is>
          <t xml:space="preserve">Minnesota</t>
        </is>
      </c>
      <c r="R204" s="46" t="inlineStr">
        <is>
          <t xml:space="preserve">55401</t>
        </is>
      </c>
      <c r="S204" s="48" t="inlineStr">
        <is>
          <t xml:space="preserve">Severe convective - hail / tornado (moderate)</t>
        </is>
      </c>
      <c r="T204" s="36">
        <f>IF($A204="","",IF($S204="","",IFERROR(INDEX('[1]natural catastrophe'!$D$6:$D$17,MATCH($S204,'[1]natural catastrophe'!$B$6:$B$17,0)),"?")))</f>
      </c>
      <c r="U204" s="46" t="inlineStr">
        <is>
          <t xml:space="preserve">$5,000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6898.97</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CANON-202607-009791</t>
        </is>
      </c>
      <c r="B205" s="30" t="inlineStr">
        <is>
          <t xml:space="preserve">Leopold Underwood</t>
        </is>
      </c>
      <c r="C205" s="31">
        <v>46224</v>
      </c>
      <c r="D205" s="32" t="inlineStr">
        <is>
          <t xml:space="preserve">Bound - within authority</t>
        </is>
      </c>
      <c r="E205" s="32" t="inlineStr">
        <is>
          <t xml:space="preserve">New business</t>
        </is>
      </c>
      <c r="F205" s="30" t="inlineStr">
        <is>
          <t xml:space="preserve">B1234EXOTIC26</t>
        </is>
      </c>
      <c r="G205" s="33">
        <f>IF($A205="","",IF($C205="","",YEAR($C205)))</f>
      </c>
      <c r="H205" s="34">
        <v>1982</v>
      </c>
      <c r="I205" s="30" t="inlineStr">
        <is>
          <t xml:space="preserve">Ferrari</t>
        </is>
      </c>
      <c r="J205" s="30" t="inlineStr">
        <is>
          <t xml:space="preserve">SF90 Stradale</t>
        </is>
      </c>
      <c r="K205" s="30" t="inlineStr">
        <is>
          <t xml:space="preserve">3WJ8UM9EB4KFXRSP3</t>
        </is>
      </c>
      <c r="L205" s="32" t="inlineStr">
        <is>
          <t xml:space="preserve">03 - Supercar</t>
        </is>
      </c>
      <c r="M205" s="35">
        <v>1295000</v>
      </c>
      <c r="N205" s="32" t="inlineStr">
        <is>
          <t xml:space="preserve">Personal</t>
        </is>
      </c>
      <c r="O205" s="30" t="inlineStr">
        <is>
          <t xml:space="preserve">Personal - regular use</t>
        </is>
      </c>
      <c r="P205" s="30" t="inlineStr">
        <is>
          <t xml:space="preserve">Under 1,000</t>
        </is>
      </c>
      <c r="Q205" s="30" t="inlineStr">
        <is>
          <t xml:space="preserve">Missouri</t>
        </is>
      </c>
      <c r="R205" s="30" t="inlineStr">
        <is>
          <t xml:space="preserve">63101</t>
        </is>
      </c>
      <c r="S205" s="32" t="inlineStr">
        <is>
          <t xml:space="preserve">Severe convective - hail / tornado (moderate)</t>
        </is>
      </c>
      <c r="T205" s="36">
        <f>IF($A205="","",IF($S205="","",IFERROR(INDEX('[1]natural catastrophe'!$D$6:$D$17,MATCH($S205,'[1]natural catastrophe'!$B$6:$B$17,0)),"?")))</f>
      </c>
      <c r="U205" s="30" t="inlineStr">
        <is>
          <t xml:space="preserve">$5,000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15767.92</v>
      </c>
      <c r="AC205" s="37">
        <v>0</v>
      </c>
      <c r="AD205" s="38">
        <f>IF(ISNUMBER($AB205),$AB205*(1+N($AC205)),"")</f>
      </c>
      <c r="AE205" s="35">
        <v>350</v>
      </c>
      <c r="AF205" s="35">
        <v>250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CANON-202607-009792</t>
        </is>
      </c>
      <c r="B206" s="46" t="inlineStr">
        <is>
          <t xml:space="preserve">Aurelio Rourke</t>
        </is>
      </c>
      <c r="C206" s="47">
        <v>46217</v>
      </c>
      <c r="D206" s="48" t="inlineStr">
        <is>
          <t xml:space="preserve">Bound - within authority</t>
        </is>
      </c>
      <c r="E206" s="48" t="inlineStr">
        <is>
          <t xml:space="preserve">New business</t>
        </is>
      </c>
      <c r="F206" s="46" t="inlineStr">
        <is>
          <t xml:space="preserve">B1234EXOTIC26</t>
        </is>
      </c>
      <c r="G206" s="33">
        <f>IF($A206="","",IF($C206="","",YEAR($C206)))</f>
      </c>
      <c r="H206" s="49">
        <v>2024</v>
      </c>
      <c r="I206" s="46" t="inlineStr">
        <is>
          <t xml:space="preserve">Aston Martin</t>
        </is>
      </c>
      <c r="J206" s="46" t="inlineStr">
        <is>
          <t xml:space="preserve">DB12</t>
        </is>
      </c>
      <c r="K206" s="46" t="inlineStr">
        <is>
          <t xml:space="preserve">YMVF3CY7PFNKW9F3J</t>
        </is>
      </c>
      <c r="L206" s="48" t="inlineStr">
        <is>
          <t xml:space="preserve">02 - Sports / GT</t>
        </is>
      </c>
      <c r="M206" s="50">
        <v>1110000</v>
      </c>
      <c r="N206" s="48" t="inlineStr">
        <is>
          <t xml:space="preserve">Personal</t>
        </is>
      </c>
      <c r="O206" s="46" t="inlineStr">
        <is>
          <t xml:space="preserve">Personal - regular use</t>
        </is>
      </c>
      <c r="P206" s="46" t="inlineStr">
        <is>
          <t xml:space="preserve">1,000 - 2,500</t>
        </is>
      </c>
      <c r="Q206" s="46" t="inlineStr">
        <is>
          <t xml:space="preserve">Illinois</t>
        </is>
      </c>
      <c r="R206" s="46" t="inlineStr">
        <is>
          <t xml:space="preserve">60601</t>
        </is>
      </c>
      <c r="S206" s="48" t="inlineStr">
        <is>
          <t xml:space="preserve">Severe convective - hail / tornado (moderate)</t>
        </is>
      </c>
      <c r="T206" s="36">
        <f>IF($A206="","",IF($S206="","",IFERROR(INDEX('[1]natural catastrophe'!$D$6:$D$17,MATCH($S206,'[1]natural catastrophe'!$B$6:$B$17,0)),"?")))</f>
      </c>
      <c r="U206" s="46" t="inlineStr">
        <is>
          <t xml:space="preserve">$5,000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11921.57</v>
      </c>
      <c r="AC206" s="51">
        <v>0</v>
      </c>
      <c r="AD206" s="38">
        <f>IF(ISNUMBER($AB206),$AB206*(1+N($AC206)),"")</f>
      </c>
      <c r="AE206" s="50">
        <v>350</v>
      </c>
      <c r="AF206" s="50">
        <v>250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CANON-202607-009793</t>
        </is>
      </c>
      <c r="B207" s="30" t="inlineStr">
        <is>
          <t xml:space="preserve">Cassius Kingsford</t>
        </is>
      </c>
      <c r="C207" s="31">
        <v>46226</v>
      </c>
      <c r="D207" s="32" t="inlineStr">
        <is>
          <t xml:space="preserve">Bound - within authority</t>
        </is>
      </c>
      <c r="E207" s="32" t="inlineStr">
        <is>
          <t xml:space="preserve">New business</t>
        </is>
      </c>
      <c r="F207" s="30" t="inlineStr">
        <is>
          <t xml:space="preserve">B1234EXOTIC26</t>
        </is>
      </c>
      <c r="G207" s="33">
        <f>IF($A207="","",IF($C207="","",YEAR($C207)))</f>
      </c>
      <c r="H207" s="34">
        <v>1964</v>
      </c>
      <c r="I207" s="30" t="inlineStr">
        <is>
          <t xml:space="preserve">Aston Martin</t>
        </is>
      </c>
      <c r="J207" s="30" t="inlineStr">
        <is>
          <t xml:space="preserve">DB12</t>
        </is>
      </c>
      <c r="K207" s="30" t="inlineStr">
        <is>
          <t xml:space="preserve">TUKLSPFPJDYWX5PRK</t>
        </is>
      </c>
      <c r="L207" s="32" t="inlineStr">
        <is>
          <t xml:space="preserve">02 - Sports / GT</t>
        </is>
      </c>
      <c r="M207" s="35">
        <v>620000</v>
      </c>
      <c r="N207" s="32" t="inlineStr">
        <is>
          <t xml:space="preserve">Personal</t>
        </is>
      </c>
      <c r="O207" s="30" t="inlineStr">
        <is>
          <t xml:space="preserve">Personal - regular use</t>
        </is>
      </c>
      <c r="P207" s="30" t="inlineStr">
        <is>
          <t xml:space="preserve">1,000 - 2,500</t>
        </is>
      </c>
      <c r="Q207" s="30" t="inlineStr">
        <is>
          <t xml:space="preserve">Massachusetts</t>
        </is>
      </c>
      <c r="R207" s="30" t="inlineStr">
        <is>
          <t xml:space="preserve">02108</t>
        </is>
      </c>
      <c r="S207" s="32" t="inlineStr">
        <is>
          <t xml:space="preserve">Tier 3 - Coastal wind (25-100 miles)</t>
        </is>
      </c>
      <c r="T207" s="36">
        <f>IF($A207="","",IF($S207="","",IFERROR(INDEX('[1]natural catastrophe'!$D$6:$D$17,MATCH($S207,'[1]natural catastrophe'!$B$6:$B$17,0)),"?")))</f>
      </c>
      <c r="U207" s="30" t="inlineStr">
        <is>
          <t xml:space="preserve">2% of agreed value, minimum $10,000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7233.09</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CANON-202607-009794</t>
        </is>
      </c>
      <c r="B208" s="46" t="inlineStr">
        <is>
          <t xml:space="preserve">Callum Thistlewood</t>
        </is>
      </c>
      <c r="C208" s="47">
        <v>46223</v>
      </c>
      <c r="D208" s="48" t="inlineStr">
        <is>
          <t xml:space="preserve">Bound - within authority</t>
        </is>
      </c>
      <c r="E208" s="48" t="inlineStr">
        <is>
          <t xml:space="preserve">New business</t>
        </is>
      </c>
      <c r="F208" s="46" t="inlineStr">
        <is>
          <t xml:space="preserve">B1234EXOTIC26</t>
        </is>
      </c>
      <c r="G208" s="33">
        <f>IF($A208="","",IF($C208="","",YEAR($C208)))</f>
      </c>
      <c r="H208" s="49">
        <v>1982</v>
      </c>
      <c r="I208" s="46" t="inlineStr">
        <is>
          <t xml:space="preserve">Ringbrothers</t>
        </is>
      </c>
      <c r="J208" s="46" t="inlineStr">
        <is>
          <t xml:space="preserve">Mustang</t>
        </is>
      </c>
      <c r="K208" s="46" t="inlineStr">
        <is>
          <t xml:space="preserve">LVYJUNVWG1EGNLLY0</t>
        </is>
      </c>
      <c r="L208" s="48" t="inlineStr">
        <is>
          <t xml:space="preserve">11 - Restomod / Coachbuilt / Bespoke</t>
        </is>
      </c>
      <c r="M208" s="50">
        <v>805000</v>
      </c>
      <c r="N208" s="48" t="inlineStr">
        <is>
          <t xml:space="preserve">Personal</t>
        </is>
      </c>
      <c r="O208" s="46" t="inlineStr">
        <is>
          <t xml:space="preserve">Personal - regular use</t>
        </is>
      </c>
      <c r="P208" s="46" t="inlineStr">
        <is>
          <t xml:space="preserve">2,500 - 5,000</t>
        </is>
      </c>
      <c r="Q208" s="46" t="inlineStr">
        <is>
          <t xml:space="preserve">New York</t>
        </is>
      </c>
      <c r="R208" s="46" t="inlineStr">
        <is>
          <t xml:space="preserve">10022</t>
        </is>
      </c>
      <c r="S208" s="48" t="inlineStr">
        <is>
          <t xml:space="preserve">Tier 3 - Coastal wind (25-100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11540.09</v>
      </c>
      <c r="AC208" s="51">
        <v>0</v>
      </c>
      <c r="AD208" s="38">
        <f>IF(ISNUMBER($AB208),$AB208*(1+N($AC208)),"")</f>
      </c>
      <c r="AE208" s="50">
        <v>350</v>
      </c>
      <c r="AF208" s="50">
        <v>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CANON-202607-009797</t>
        </is>
      </c>
      <c r="B209" s="30" t="inlineStr">
        <is>
          <t xml:space="preserve">Lorenzo Montoya</t>
        </is>
      </c>
      <c r="C209" s="31">
        <v>46215</v>
      </c>
      <c r="D209" s="32" t="inlineStr">
        <is>
          <t xml:space="preserve">Bound - within authority</t>
        </is>
      </c>
      <c r="E209" s="32" t="inlineStr">
        <is>
          <t xml:space="preserve">New business</t>
        </is>
      </c>
      <c r="F209" s="30" t="inlineStr">
        <is>
          <t xml:space="preserve">B1234EXOTIC26</t>
        </is>
      </c>
      <c r="G209" s="33">
        <f>IF($A209="","",IF($C209="","",YEAR($C209)))</f>
      </c>
      <c r="H209" s="34">
        <v>1969</v>
      </c>
      <c r="I209" s="30" t="inlineStr">
        <is>
          <t xml:space="preserve">Icon</t>
        </is>
      </c>
      <c r="J209" s="30" t="inlineStr">
        <is>
          <t xml:space="preserve">Derelict</t>
        </is>
      </c>
      <c r="K209" s="30" t="inlineStr">
        <is>
          <t xml:space="preserve">0SX32CZMEKJ7WBDNW</t>
        </is>
      </c>
      <c r="L209" s="32" t="inlineStr">
        <is>
          <t xml:space="preserve">11 - Restomod / Coachbuilt / Bespoke</t>
        </is>
      </c>
      <c r="M209" s="35">
        <v>830000</v>
      </c>
      <c r="N209" s="32" t="inlineStr">
        <is>
          <t xml:space="preserve">Personal</t>
        </is>
      </c>
      <c r="O209" s="30" t="inlineStr">
        <is>
          <t xml:space="preserve">Personal - regular use</t>
        </is>
      </c>
      <c r="P209" s="30" t="inlineStr">
        <is>
          <t xml:space="preserve">1,000 - 2,500</t>
        </is>
      </c>
      <c r="Q209" s="30" t="inlineStr">
        <is>
          <t xml:space="preserve">New Hampshire</t>
        </is>
      </c>
      <c r="R209" s="30" t="inlineStr">
        <is>
          <t xml:space="preserve">03301</t>
        </is>
      </c>
      <c r="S209" s="32" t="inlineStr">
        <is>
          <t xml:space="preserve">Tier 3 - Coastal wind (25-100 miles)</t>
        </is>
      </c>
      <c r="T209" s="36">
        <f>IF($A209="","",IF($S209="","",IFERROR(INDEX('[1]natural catastrophe'!$D$6:$D$17,MATCH($S209,'[1]natural catastrophe'!$B$6:$B$17,0)),"?")))</f>
      </c>
      <c r="U209" s="30" t="inlineStr">
        <is>
          <t xml:space="preserve">2% of agreed value, minimum $10,000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9667.52</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CANON-202607-009798</t>
        </is>
      </c>
      <c r="B210" s="46" t="inlineStr">
        <is>
          <t xml:space="preserve">Callum Harrington</t>
        </is>
      </c>
      <c r="C210" s="47">
        <v>46232</v>
      </c>
      <c r="D210" s="48" t="inlineStr">
        <is>
          <t xml:space="preserve">Bound - within authority</t>
        </is>
      </c>
      <c r="E210" s="48" t="inlineStr">
        <is>
          <t xml:space="preserve">New business</t>
        </is>
      </c>
      <c r="F210" s="46" t="inlineStr">
        <is>
          <t xml:space="preserve">B1234EXOTIC26</t>
        </is>
      </c>
      <c r="G210" s="33">
        <f>IF($A210="","",IF($C210="","",YEAR($C210)))</f>
      </c>
      <c r="H210" s="49">
        <v>1986</v>
      </c>
      <c r="I210" s="46" t="inlineStr">
        <is>
          <t xml:space="preserve">Porsche</t>
        </is>
      </c>
      <c r="J210" s="46" t="inlineStr">
        <is>
          <t xml:space="preserve">911 Turbo S</t>
        </is>
      </c>
      <c r="K210" s="46" t="inlineStr">
        <is>
          <t xml:space="preserve">6E5VLMTG578UESAJA</t>
        </is>
      </c>
      <c r="L210" s="48" t="inlineStr">
        <is>
          <t xml:space="preserve">02 - Sports / GT</t>
        </is>
      </c>
      <c r="M210" s="50">
        <v>685000</v>
      </c>
      <c r="N210" s="48" t="inlineStr">
        <is>
          <t xml:space="preserve">Personal</t>
        </is>
      </c>
      <c r="O210" s="46" t="inlineStr">
        <is>
          <t xml:space="preserve">Personal - regular use</t>
        </is>
      </c>
      <c r="P210" s="46" t="inlineStr">
        <is>
          <t xml:space="preserve">Under 1,000</t>
        </is>
      </c>
      <c r="Q210" s="46" t="inlineStr">
        <is>
          <t xml:space="preserve">Minnesota</t>
        </is>
      </c>
      <c r="R210" s="46" t="inlineStr">
        <is>
          <t xml:space="preserve">55401</t>
        </is>
      </c>
      <c r="S210" s="48" t="inlineStr">
        <is>
          <t xml:space="preserve">Severe convective - hail / tornado (moderate)</t>
        </is>
      </c>
      <c r="T210" s="36">
        <f>IF($A210="","",IF($S210="","",IFERROR(INDEX('[1]natural catastrophe'!$D$6:$D$17,MATCH($S210,'[1]natural catastrophe'!$B$6:$B$17,0)),"?")))</f>
      </c>
      <c r="U210" s="46" t="inlineStr">
        <is>
          <t xml:space="preserve">$5,000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8438.92</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CANON-202607-009799</t>
        </is>
      </c>
      <c r="B211" s="30" t="inlineStr">
        <is>
          <t xml:space="preserve">Horace Chattopadhyay</t>
        </is>
      </c>
      <c r="C211" s="31">
        <v>46206</v>
      </c>
      <c r="D211" s="32" t="inlineStr">
        <is>
          <t xml:space="preserve">Bound - within authority</t>
        </is>
      </c>
      <c r="E211" s="32" t="inlineStr">
        <is>
          <t xml:space="preserve">New business</t>
        </is>
      </c>
      <c r="F211" s="30" t="inlineStr">
        <is>
          <t xml:space="preserve">B1234EXOTIC26</t>
        </is>
      </c>
      <c r="G211" s="33">
        <f>IF($A211="","",IF($C211="","",YEAR($C211)))</f>
      </c>
      <c r="H211" s="34">
        <v>1980</v>
      </c>
      <c r="I211" s="30" t="inlineStr">
        <is>
          <t xml:space="preserve">Mercedes-Benz</t>
        </is>
      </c>
      <c r="J211" s="30" t="inlineStr">
        <is>
          <t xml:space="preserve">280SL Pagoda</t>
        </is>
      </c>
      <c r="K211" s="30" t="inlineStr">
        <is>
          <t xml:space="preserve">J1Z72GKP92CNBLBTC</t>
        </is>
      </c>
      <c r="L211" s="32" t="inlineStr">
        <is>
          <t xml:space="preserve">08 - Modern Classic (1973-1999)</t>
        </is>
      </c>
      <c r="M211" s="35">
        <v>1645000</v>
      </c>
      <c r="N211" s="32" t="inlineStr">
        <is>
          <t xml:space="preserve">Personal</t>
        </is>
      </c>
      <c r="O211" s="30" t="inlineStr">
        <is>
          <t xml:space="preserve">Personal - regular use</t>
        </is>
      </c>
      <c r="P211" s="30" t="inlineStr">
        <is>
          <t xml:space="preserve">Under 1,000</t>
        </is>
      </c>
      <c r="Q211" s="30" t="inlineStr">
        <is>
          <t xml:space="preserve">Maryland</t>
        </is>
      </c>
      <c r="R211" s="30" t="inlineStr">
        <is>
          <t xml:space="preserve">21201</t>
        </is>
      </c>
      <c r="S211" s="32" t="inlineStr">
        <is>
          <t xml:space="preserve">Tier 3 - Coastal wind (25-100 miles)</t>
        </is>
      </c>
      <c r="T211" s="36">
        <f>IF($A211="","",IF($S211="","",IFERROR(INDEX('[1]natural catastrophe'!$D$6:$D$17,MATCH($S211,'[1]natural catastrophe'!$B$6:$B$17,0)),"?")))</f>
      </c>
      <c r="U211" s="30" t="inlineStr">
        <is>
          <t xml:space="preserve">2% of agreed value, minimum $10,000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8526.72</v>
      </c>
      <c r="AC211" s="37">
        <v>0</v>
      </c>
      <c r="AD211" s="38">
        <f>IF(ISNUMBER($AB211),$AB211*(1+N($AC211)),"")</f>
      </c>
      <c r="AE211" s="35">
        <v>350</v>
      </c>
      <c r="AF211" s="35">
        <v>250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CANON-202607-009802</t>
        </is>
      </c>
      <c r="B212" s="46" t="inlineStr">
        <is>
          <t xml:space="preserve">Mireille Fairweather</t>
        </is>
      </c>
      <c r="C212" s="47">
        <v>46220</v>
      </c>
      <c r="D212" s="48" t="inlineStr">
        <is>
          <t xml:space="preserve">Bound - within authority</t>
        </is>
      </c>
      <c r="E212" s="48" t="inlineStr">
        <is>
          <t xml:space="preserve">New business</t>
        </is>
      </c>
      <c r="F212" s="46" t="inlineStr">
        <is>
          <t xml:space="preserve">B1234EXOTIC26</t>
        </is>
      </c>
      <c r="G212" s="33">
        <f>IF($A212="","",IF($C212="","",YEAR($C212)))</f>
      </c>
      <c r="H212" s="49">
        <v>1992</v>
      </c>
      <c r="I212" s="46" t="inlineStr">
        <is>
          <t xml:space="preserve">Porsche</t>
        </is>
      </c>
      <c r="J212" s="46" t="inlineStr">
        <is>
          <t xml:space="preserve">911 Turbo S</t>
        </is>
      </c>
      <c r="K212" s="46" t="inlineStr">
        <is>
          <t xml:space="preserve">07E62JMY62NEGDFP2</t>
        </is>
      </c>
      <c r="L212" s="48" t="inlineStr">
        <is>
          <t xml:space="preserve">02 - Sports / GT</t>
        </is>
      </c>
      <c r="M212" s="50">
        <v>440000</v>
      </c>
      <c r="N212" s="48" t="inlineStr">
        <is>
          <t xml:space="preserve">Personal</t>
        </is>
      </c>
      <c r="O212" s="46" t="inlineStr">
        <is>
          <t xml:space="preserve">Personal - regular use</t>
        </is>
      </c>
      <c r="P212" s="46" t="inlineStr">
        <is>
          <t xml:space="preserve">Under 1,000</t>
        </is>
      </c>
      <c r="Q212" s="46" t="inlineStr">
        <is>
          <t xml:space="preserve">Oregon</t>
        </is>
      </c>
      <c r="R212" s="46" t="inlineStr">
        <is>
          <t xml:space="preserve">97204</t>
        </is>
      </c>
      <c r="S212" s="48" t="inlineStr">
        <is>
          <t xml:space="preserve">Earthquake - high (CA, Cascadia, New Madrid)</t>
        </is>
      </c>
      <c r="T212" s="36">
        <f>IF($A212="","",IF($S212="","",IFERROR(INDEX('[1]natural catastrophe'!$D$6:$D$17,MATCH($S212,'[1]natural catastrophe'!$B$6:$B$17,0)),"?")))</f>
      </c>
      <c r="U212" s="46" t="inlineStr">
        <is>
          <t xml:space="preserve">$5,000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5354.28</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CANON-202607-009803</t>
        </is>
      </c>
      <c r="B213" s="30" t="inlineStr">
        <is>
          <t xml:space="preserve">Leopold Whitlock</t>
        </is>
      </c>
      <c r="C213" s="31">
        <v>46234</v>
      </c>
      <c r="D213" s="32" t="inlineStr">
        <is>
          <t xml:space="preserve">Bound - within authority</t>
        </is>
      </c>
      <c r="E213" s="32" t="inlineStr">
        <is>
          <t xml:space="preserve">New business</t>
        </is>
      </c>
      <c r="F213" s="30" t="inlineStr">
        <is>
          <t xml:space="preserve">B1234EXOTIC26</t>
        </is>
      </c>
      <c r="G213" s="33">
        <f>IF($A213="","",IF($C213="","",YEAR($C213)))</f>
      </c>
      <c r="H213" s="34">
        <v>2022</v>
      </c>
      <c r="I213" s="30" t="inlineStr">
        <is>
          <t xml:space="preserve">Ferrari</t>
        </is>
      </c>
      <c r="J213" s="30" t="inlineStr">
        <is>
          <t xml:space="preserve">296 GTB</t>
        </is>
      </c>
      <c r="K213" s="30" t="inlineStr">
        <is>
          <t xml:space="preserve">XF4USWEXZZW70LMYG</t>
        </is>
      </c>
      <c r="L213" s="32" t="inlineStr">
        <is>
          <t xml:space="preserve">03 - Supercar</t>
        </is>
      </c>
      <c r="M213" s="35">
        <v>930000</v>
      </c>
      <c r="N213" s="32" t="inlineStr">
        <is>
          <t xml:space="preserve">Personal</t>
        </is>
      </c>
      <c r="O213" s="30" t="inlineStr">
        <is>
          <t xml:space="preserve">Personal - regular use</t>
        </is>
      </c>
      <c r="P213" s="30" t="inlineStr">
        <is>
          <t xml:space="preserve">1,000 - 2,500</t>
        </is>
      </c>
      <c r="Q213" s="30" t="inlineStr">
        <is>
          <t xml:space="preserve">Wyoming</t>
        </is>
      </c>
      <c r="R213" s="30" t="inlineStr">
        <is>
          <t xml:space="preserve">82001</t>
        </is>
      </c>
      <c r="S213" s="32" t="inlineStr">
        <is>
          <t xml:space="preserve">Severe convective - hail alley (high)</t>
        </is>
      </c>
      <c r="T213" s="36">
        <f>IF($A213="","",IF($S213="","",IFERROR(INDEX('[1]natural catastrophe'!$D$6:$D$17,MATCH($S213,'[1]natural catastrophe'!$B$6:$B$17,0)),"?")))</f>
      </c>
      <c r="U213" s="30" t="inlineStr">
        <is>
          <t xml:space="preserve">$5,000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13573.73</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CANON-202607-009804</t>
        </is>
      </c>
      <c r="B214" s="46" t="inlineStr">
        <is>
          <t xml:space="preserve">Anouk Underwood</t>
        </is>
      </c>
      <c r="C214" s="47">
        <v>46222</v>
      </c>
      <c r="D214" s="48" t="inlineStr">
        <is>
          <t xml:space="preserve">Bound - within authority</t>
        </is>
      </c>
      <c r="E214" s="48" t="inlineStr">
        <is>
          <t xml:space="preserve">New business</t>
        </is>
      </c>
      <c r="F214" s="46" t="inlineStr">
        <is>
          <t xml:space="preserve">B1234EXOTIC26</t>
        </is>
      </c>
      <c r="G214" s="33">
        <f>IF($A214="","",IF($C214="","",YEAR($C214)))</f>
      </c>
      <c r="H214" s="49">
        <v>2024</v>
      </c>
      <c r="I214" s="46" t="inlineStr">
        <is>
          <t xml:space="preserve">Ferrari</t>
        </is>
      </c>
      <c r="J214" s="46" t="inlineStr">
        <is>
          <t xml:space="preserve">SF90 Stradale</t>
        </is>
      </c>
      <c r="K214" s="46" t="inlineStr">
        <is>
          <t xml:space="preserve">D5KEADBPAK9VCN3HJ</t>
        </is>
      </c>
      <c r="L214" s="48" t="inlineStr">
        <is>
          <t xml:space="preserve">03 - Supercar</t>
        </is>
      </c>
      <c r="M214" s="50">
        <v>1950000</v>
      </c>
      <c r="N214" s="48" t="inlineStr">
        <is>
          <t xml:space="preserve">Personal</t>
        </is>
      </c>
      <c r="O214" s="46" t="inlineStr">
        <is>
          <t xml:space="preserve">Personal - regular use</t>
        </is>
      </c>
      <c r="P214" s="46" t="inlineStr">
        <is>
          <t xml:space="preserve">1,000 - 2,500</t>
        </is>
      </c>
      <c r="Q214" s="46" t="inlineStr">
        <is>
          <t xml:space="preserve">Virginia</t>
        </is>
      </c>
      <c r="R214" s="46" t="inlineStr">
        <is>
          <t xml:space="preserve">23219</t>
        </is>
      </c>
      <c r="S214" s="48" t="inlineStr">
        <is>
          <t xml:space="preserve">Tier 3 - Coastal wind (25-100 miles)</t>
        </is>
      </c>
      <c r="T214" s="36">
        <f>IF($A214="","",IF($S214="","",IFERROR(INDEX('[1]natural catastrophe'!$D$6:$D$17,MATCH($S214,'[1]natural catastrophe'!$B$6:$B$17,0)),"?")))</f>
      </c>
      <c r="U214" s="46" t="inlineStr">
        <is>
          <t xml:space="preserve">2% of agreed value, minimum $10,000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24415.18</v>
      </c>
      <c r="AC214" s="51">
        <v>0</v>
      </c>
      <c r="AD214" s="38">
        <f>IF(ISNUMBER($AB214),$AB214*(1+N($AC214)),"")</f>
      </c>
      <c r="AE214" s="50">
        <v>350</v>
      </c>
      <c r="AF214" s="50">
        <v>250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CANON-202607-009805</t>
        </is>
      </c>
      <c r="B215" s="30" t="inlineStr">
        <is>
          <t xml:space="preserve">Delphine Kingsford</t>
        </is>
      </c>
      <c r="C215" s="31">
        <v>46210</v>
      </c>
      <c r="D215" s="32" t="inlineStr">
        <is>
          <t xml:space="preserve">Bound - within authority</t>
        </is>
      </c>
      <c r="E215" s="32" t="inlineStr">
        <is>
          <t xml:space="preserve">New business</t>
        </is>
      </c>
      <c r="F215" s="30" t="inlineStr">
        <is>
          <t xml:space="preserve">B1234EXOTIC26</t>
        </is>
      </c>
      <c r="G215" s="33">
        <f>IF($A215="","",IF($C215="","",YEAR($C215)))</f>
      </c>
      <c r="H215" s="34">
        <v>1958</v>
      </c>
      <c r="I215" s="30" t="inlineStr">
        <is>
          <t xml:space="preserve">Porsche</t>
        </is>
      </c>
      <c r="J215" s="30" t="inlineStr">
        <is>
          <t xml:space="preserve">911 Turbo S</t>
        </is>
      </c>
      <c r="K215" s="30" t="inlineStr">
        <is>
          <t xml:space="preserve">DCSN5H2LVR8NYJ7RA</t>
        </is>
      </c>
      <c r="L215" s="32" t="inlineStr">
        <is>
          <t xml:space="preserve">02 - Sports / GT</t>
        </is>
      </c>
      <c r="M215" s="35">
        <v>760000</v>
      </c>
      <c r="N215" s="32" t="inlineStr">
        <is>
          <t xml:space="preserve">Personal</t>
        </is>
      </c>
      <c r="O215" s="30" t="inlineStr">
        <is>
          <t xml:space="preserve">Personal - regular use</t>
        </is>
      </c>
      <c r="P215" s="30" t="inlineStr">
        <is>
          <t xml:space="preserve">Under 1,000</t>
        </is>
      </c>
      <c r="Q215" s="30" t="inlineStr">
        <is>
          <t xml:space="preserve">Maine</t>
        </is>
      </c>
      <c r="R215" s="30" t="inlineStr">
        <is>
          <t xml:space="preserve">04101</t>
        </is>
      </c>
      <c r="S215" s="32" t="inlineStr">
        <is>
          <t xml:space="preserve">Tier 3 - Coastal wind (25-100 miles)</t>
        </is>
      </c>
      <c r="T215" s="36">
        <f>IF($A215="","",IF($S215="","",IFERROR(INDEX('[1]natural catastrophe'!$D$6:$D$17,MATCH($S215,'[1]natural catastrophe'!$B$6:$B$17,0)),"?")))</f>
      </c>
      <c r="U215" s="30" t="inlineStr">
        <is>
          <t xml:space="preserve">2% of agreed value, minimum $10,000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7660.55</v>
      </c>
      <c r="AC215" s="37">
        <v>0</v>
      </c>
      <c r="AD215" s="38">
        <f>IF(ISNUMBER($AB215),$AB215*(1+N($AC215)),"")</f>
      </c>
      <c r="AE215" s="35">
        <v>350</v>
      </c>
      <c r="AF215" s="35">
        <v>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CANON-202607-009807</t>
        </is>
      </c>
      <c r="B216" s="46" t="inlineStr">
        <is>
          <t xml:space="preserve">Wilhelmina Whitlock</t>
        </is>
      </c>
      <c r="C216" s="47">
        <v>46227</v>
      </c>
      <c r="D216" s="48" t="inlineStr">
        <is>
          <t xml:space="preserve">Bound - within authority</t>
        </is>
      </c>
      <c r="E216" s="48" t="inlineStr">
        <is>
          <t xml:space="preserve">New business</t>
        </is>
      </c>
      <c r="F216" s="46" t="inlineStr">
        <is>
          <t xml:space="preserve">B1234EXOTIC26</t>
        </is>
      </c>
      <c r="G216" s="33">
        <f>IF($A216="","",IF($C216="","",YEAR($C216)))</f>
      </c>
      <c r="H216" s="49">
        <v>2016</v>
      </c>
      <c r="I216" s="46" t="inlineStr">
        <is>
          <t xml:space="preserve">Maserati</t>
        </is>
      </c>
      <c r="J216" s="46" t="inlineStr">
        <is>
          <t xml:space="preserve">GranTurismo</t>
        </is>
      </c>
      <c r="K216" s="46" t="inlineStr">
        <is>
          <t xml:space="preserve">L750AEA68YSXANTVG</t>
        </is>
      </c>
      <c r="L216" s="48" t="inlineStr">
        <is>
          <t xml:space="preserve">02 - Sports / GT</t>
        </is>
      </c>
      <c r="M216" s="50">
        <v>1140000</v>
      </c>
      <c r="N216" s="48" t="inlineStr">
        <is>
          <t xml:space="preserve">Personal</t>
        </is>
      </c>
      <c r="O216" s="46" t="inlineStr">
        <is>
          <t xml:space="preserve">Personal - regular use</t>
        </is>
      </c>
      <c r="P216" s="46" t="inlineStr">
        <is>
          <t xml:space="preserve">1,000 - 2,500</t>
        </is>
      </c>
      <c r="Q216" s="46" t="inlineStr">
        <is>
          <t xml:space="preserve">Mississippi</t>
        </is>
      </c>
      <c r="R216" s="46" t="inlineStr">
        <is>
          <t xml:space="preserve">39201</t>
        </is>
      </c>
      <c r="S216" s="48" t="inlineStr">
        <is>
          <t xml:space="preserve">Tier 2 - Coastal wind (1-25 miles)</t>
        </is>
      </c>
      <c r="T216" s="36">
        <f>IF($A216="","",IF($S216="","",IFERROR(INDEX('[1]natural catastrophe'!$D$6:$D$17,MATCH($S216,'[1]natural catastrophe'!$B$6:$B$17,0)),"?")))</f>
      </c>
      <c r="U216" s="46" t="inlineStr">
        <is>
          <t xml:space="preserve">2% of agreed value, minimum $10,000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10713.3</v>
      </c>
      <c r="AC216" s="51">
        <v>0</v>
      </c>
      <c r="AD216" s="38">
        <f>IF(ISNUMBER($AB216),$AB216*(1+N($AC216)),"")</f>
      </c>
      <c r="AE216" s="50">
        <v>350</v>
      </c>
      <c r="AF216" s="50">
        <v>250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CANON-202607-009808</t>
        </is>
      </c>
      <c r="B217" s="30" t="inlineStr">
        <is>
          <t xml:space="preserve">Beatrix Harrington</t>
        </is>
      </c>
      <c r="C217" s="31">
        <v>46206</v>
      </c>
      <c r="D217" s="32" t="inlineStr">
        <is>
          <t xml:space="preserve">Bound - within authority</t>
        </is>
      </c>
      <c r="E217" s="32" t="inlineStr">
        <is>
          <t xml:space="preserve">New business</t>
        </is>
      </c>
      <c r="F217" s="30" t="inlineStr">
        <is>
          <t xml:space="preserve">B1234EXOTIC26</t>
        </is>
      </c>
      <c r="G217" s="33">
        <f>IF($A217="","",IF($C217="","",YEAR($C217)))</f>
      </c>
      <c r="H217" s="34">
        <v>1956</v>
      </c>
      <c r="I217" s="30" t="inlineStr">
        <is>
          <t xml:space="preserve">Mercedes-Benz</t>
        </is>
      </c>
      <c r="J217" s="30" t="inlineStr">
        <is>
          <t xml:space="preserve">AMG GT</t>
        </is>
      </c>
      <c r="K217" s="30" t="inlineStr">
        <is>
          <t xml:space="preserve">ZNJKSH8R2FNPLS411</t>
        </is>
      </c>
      <c r="L217" s="32" t="inlineStr">
        <is>
          <t xml:space="preserve">02 - Sports / GT</t>
        </is>
      </c>
      <c r="M217" s="35">
        <v>145000</v>
      </c>
      <c r="N217" s="32" t="inlineStr">
        <is>
          <t xml:space="preserve">Personal</t>
        </is>
      </c>
      <c r="O217" s="30" t="inlineStr">
        <is>
          <t xml:space="preserve">Personal - regular use</t>
        </is>
      </c>
      <c r="P217" s="30" t="inlineStr">
        <is>
          <t xml:space="preserve">2,500 - 5,000</t>
        </is>
      </c>
      <c r="Q217" s="30" t="inlineStr">
        <is>
          <t xml:space="preserve">Oklahoma</t>
        </is>
      </c>
      <c r="R217" s="30" t="inlineStr">
        <is>
          <t xml:space="preserve">73102</t>
        </is>
      </c>
      <c r="S217" s="32" t="inlineStr">
        <is>
          <t xml:space="preserve">Severe convective - hail alley (high)</t>
        </is>
      </c>
      <c r="T217" s="36">
        <f>IF($A217="","",IF($S217="","",IFERROR(INDEX('[1]natural catastrophe'!$D$6:$D$17,MATCH($S217,'[1]natural catastrophe'!$B$6:$B$17,0)),"?")))</f>
      </c>
      <c r="U217" s="30" t="inlineStr">
        <is>
          <t xml:space="preserve">$5,000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2413.44</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CANON-202607-009809</t>
        </is>
      </c>
      <c r="B218" s="46" t="inlineStr">
        <is>
          <t xml:space="preserve">Wilhelmina Montoya</t>
        </is>
      </c>
      <c r="C218" s="47">
        <v>46233</v>
      </c>
      <c r="D218" s="48" t="inlineStr">
        <is>
          <t xml:space="preserve">Bound - within authority</t>
        </is>
      </c>
      <c r="E218" s="48" t="inlineStr">
        <is>
          <t xml:space="preserve">New business</t>
        </is>
      </c>
      <c r="F218" s="46" t="inlineStr">
        <is>
          <t xml:space="preserve">B1234EXOTIC26</t>
        </is>
      </c>
      <c r="G218" s="33">
        <f>IF($A218="","",IF($C218="","",YEAR($C218)))</f>
      </c>
      <c r="H218" s="49">
        <v>2005</v>
      </c>
      <c r="I218" s="46" t="inlineStr">
        <is>
          <t xml:space="preserve">Ferrari</t>
        </is>
      </c>
      <c r="J218" s="46" t="inlineStr">
        <is>
          <t xml:space="preserve">SF90 Stradale</t>
        </is>
      </c>
      <c r="K218" s="46" t="inlineStr">
        <is>
          <t xml:space="preserve">8U610PZPSND5193W1</t>
        </is>
      </c>
      <c r="L218" s="48" t="inlineStr">
        <is>
          <t xml:space="preserve">03 - Supercar</t>
        </is>
      </c>
      <c r="M218" s="50">
        <v>1510000</v>
      </c>
      <c r="N218" s="48" t="inlineStr">
        <is>
          <t xml:space="preserve">Personal</t>
        </is>
      </c>
      <c r="O218" s="46" t="inlineStr">
        <is>
          <t xml:space="preserve">Personal - regular use</t>
        </is>
      </c>
      <c r="P218" s="46" t="inlineStr">
        <is>
          <t xml:space="preserve">2,500 - 5,000</t>
        </is>
      </c>
      <c r="Q218" s="46" t="inlineStr">
        <is>
          <t xml:space="preserve">Washington</t>
        </is>
      </c>
      <c r="R218" s="46" t="inlineStr">
        <is>
          <t xml:space="preserve">98101</t>
        </is>
      </c>
      <c r="S218" s="48" t="inlineStr">
        <is>
          <t xml:space="preserve">Earthquake - high (CA, Cascadia, New Madrid)</t>
        </is>
      </c>
      <c r="T218" s="36">
        <f>IF($A218="","",IF($S218="","",IFERROR(INDEX('[1]natural catastrophe'!$D$6:$D$17,MATCH($S218,'[1]natural catastrophe'!$B$6:$B$17,0)),"?")))</f>
      </c>
      <c r="U218" s="46" t="inlineStr">
        <is>
          <t xml:space="preserve">$5,000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16651.25</v>
      </c>
      <c r="AC218" s="51">
        <v>0</v>
      </c>
      <c r="AD218" s="38">
        <f>IF(ISNUMBER($AB218),$AB218*(1+N($AC218)),"")</f>
      </c>
      <c r="AE218" s="50">
        <v>350</v>
      </c>
      <c r="AF218" s="50">
        <v>250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CANON-202607-009811</t>
        </is>
      </c>
      <c r="B219" s="30" t="inlineStr">
        <is>
          <t xml:space="preserve">Fitzgerald Chattopadhyay</t>
        </is>
      </c>
      <c r="C219" s="31">
        <v>46217</v>
      </c>
      <c r="D219" s="32" t="inlineStr">
        <is>
          <t xml:space="preserve">Bound - within authority</t>
        </is>
      </c>
      <c r="E219" s="32" t="inlineStr">
        <is>
          <t xml:space="preserve">New business</t>
        </is>
      </c>
      <c r="F219" s="30" t="inlineStr">
        <is>
          <t xml:space="preserve">B1234EXOTIC26</t>
        </is>
      </c>
      <c r="G219" s="33">
        <f>IF($A219="","",IF($C219="","",YEAR($C219)))</f>
      </c>
      <c r="H219" s="34">
        <v>1956</v>
      </c>
      <c r="I219" s="30" t="inlineStr">
        <is>
          <t xml:space="preserve">Aston Martin</t>
        </is>
      </c>
      <c r="J219" s="30" t="inlineStr">
        <is>
          <t xml:space="preserve">DB5</t>
        </is>
      </c>
      <c r="K219" s="30" t="inlineStr">
        <is>
          <t xml:space="preserve">5FT7WN3HK7C5E9WVS</t>
        </is>
      </c>
      <c r="L219" s="32" t="inlineStr">
        <is>
          <t xml:space="preserve">07 - Post-War Classic (1946-1972)</t>
        </is>
      </c>
      <c r="M219" s="35">
        <v>820000</v>
      </c>
      <c r="N219" s="32" t="inlineStr">
        <is>
          <t xml:space="preserve">Personal</t>
        </is>
      </c>
      <c r="O219" s="30" t="inlineStr">
        <is>
          <t xml:space="preserve">Personal - regular use</t>
        </is>
      </c>
      <c r="P219" s="30" t="inlineStr">
        <is>
          <t xml:space="preserve">1,000 - 2,500</t>
        </is>
      </c>
      <c r="Q219" s="30" t="inlineStr">
        <is>
          <t xml:space="preserve">Virginia</t>
        </is>
      </c>
      <c r="R219" s="30" t="inlineStr">
        <is>
          <t xml:space="preserve">23219</t>
        </is>
      </c>
      <c r="S219" s="32" t="inlineStr">
        <is>
          <t xml:space="preserve">Tier 3 - Coastal wind (25-100 miles)</t>
        </is>
      </c>
      <c r="T219" s="36">
        <f>IF($A219="","",IF($S219="","",IFERROR(INDEX('[1]natural catastrophe'!$D$6:$D$17,MATCH($S219,'[1]natural catastrophe'!$B$6:$B$17,0)),"?")))</f>
      </c>
      <c r="U219" s="30" t="inlineStr">
        <is>
          <t xml:space="preserve">2% of agreed value, minimum $10,000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5518.45</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CANON-202607-009812</t>
        </is>
      </c>
      <c r="B220" s="46" t="inlineStr">
        <is>
          <t xml:space="preserve">Priya Whitlock</t>
        </is>
      </c>
      <c r="C220" s="47">
        <v>46205</v>
      </c>
      <c r="D220" s="48" t="inlineStr">
        <is>
          <t xml:space="preserve">Bound - within authority</t>
        </is>
      </c>
      <c r="E220" s="48" t="inlineStr">
        <is>
          <t xml:space="preserve">New business</t>
        </is>
      </c>
      <c r="F220" s="46" t="inlineStr">
        <is>
          <t xml:space="preserve">B1234EXOTIC26</t>
        </is>
      </c>
      <c r="G220" s="33">
        <f>IF($A220="","",IF($C220="","",YEAR($C220)))</f>
      </c>
      <c r="H220" s="49">
        <v>2004</v>
      </c>
      <c r="I220" s="46" t="inlineStr">
        <is>
          <t xml:space="preserve">Aston Martin</t>
        </is>
      </c>
      <c r="J220" s="46" t="inlineStr">
        <is>
          <t xml:space="preserve">DB5</t>
        </is>
      </c>
      <c r="K220" s="46" t="inlineStr">
        <is>
          <t xml:space="preserve">BLTCGGJL2L43UGUTG</t>
        </is>
      </c>
      <c r="L220" s="48" t="inlineStr">
        <is>
          <t xml:space="preserve">09 - Youngtimer / Collectible (2000-2010)</t>
        </is>
      </c>
      <c r="M220" s="50">
        <v>645000</v>
      </c>
      <c r="N220" s="48" t="inlineStr">
        <is>
          <t xml:space="preserve">Personal</t>
        </is>
      </c>
      <c r="O220" s="46" t="inlineStr">
        <is>
          <t xml:space="preserve">Personal - regular use</t>
        </is>
      </c>
      <c r="P220" s="46" t="inlineStr">
        <is>
          <t xml:space="preserve">Under 1,000</t>
        </is>
      </c>
      <c r="Q220" s="46" t="inlineStr">
        <is>
          <t xml:space="preserve">Rhode Island</t>
        </is>
      </c>
      <c r="R220" s="46" t="inlineStr">
        <is>
          <t xml:space="preserve">02903</t>
        </is>
      </c>
      <c r="S220" s="48" t="inlineStr">
        <is>
          <t xml:space="preserve">Tier 3 - Coastal wind (25-100 miles)</t>
        </is>
      </c>
      <c r="T220" s="36">
        <f>IF($A220="","",IF($S220="","",IFERROR(INDEX('[1]natural catastrophe'!$D$6:$D$17,MATCH($S220,'[1]natural catastrophe'!$B$6:$B$17,0)),"?")))</f>
      </c>
      <c r="U220" s="46" t="inlineStr">
        <is>
          <t xml:space="preserve">2% of agreed value, minimum $10,000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5455.79</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CANON-202607-009813</t>
        </is>
      </c>
      <c r="B221" s="30" t="inlineStr">
        <is>
          <t xml:space="preserve">Desmond Ashcombe</t>
        </is>
      </c>
      <c r="C221" s="31">
        <v>46205</v>
      </c>
      <c r="D221" s="32" t="inlineStr">
        <is>
          <t xml:space="preserve">Bound - within authority</t>
        </is>
      </c>
      <c r="E221" s="32" t="inlineStr">
        <is>
          <t xml:space="preserve">New business</t>
        </is>
      </c>
      <c r="F221" s="30" t="inlineStr">
        <is>
          <t xml:space="preserve">B1234EXOTIC26</t>
        </is>
      </c>
      <c r="G221" s="33">
        <f>IF($A221="","",IF($C221="","",YEAR($C221)))</f>
      </c>
      <c r="H221" s="34">
        <v>2009</v>
      </c>
      <c r="I221" s="30" t="inlineStr">
        <is>
          <t xml:space="preserve">BMW</t>
        </is>
      </c>
      <c r="J221" s="30" t="inlineStr">
        <is>
          <t xml:space="preserve">M8 Competition</t>
        </is>
      </c>
      <c r="K221" s="30" t="inlineStr">
        <is>
          <t xml:space="preserve">HE8AJSEWUH6TNUN8X</t>
        </is>
      </c>
      <c r="L221" s="32" t="inlineStr">
        <is>
          <t xml:space="preserve">02 - Sports / GT</t>
        </is>
      </c>
      <c r="M221" s="35">
        <v>575000</v>
      </c>
      <c r="N221" s="32" t="inlineStr">
        <is>
          <t xml:space="preserve">Personal</t>
        </is>
      </c>
      <c r="O221" s="30" t="inlineStr">
        <is>
          <t xml:space="preserve">Personal - regular use</t>
        </is>
      </c>
      <c r="P221" s="30" t="inlineStr">
        <is>
          <t xml:space="preserve">Under 1,000</t>
        </is>
      </c>
      <c r="Q221" s="30" t="inlineStr">
        <is>
          <t xml:space="preserve">Idaho</t>
        </is>
      </c>
      <c r="R221" s="30" t="inlineStr">
        <is>
          <t xml:space="preserve">83702</t>
        </is>
      </c>
      <c r="S221" s="32" t="inlineStr">
        <is>
          <t xml:space="preserve">Wildfire - WUI high hazard</t>
        </is>
      </c>
      <c r="T221" s="36">
        <f>IF($A221="","",IF($S221="","",IFERROR(INDEX('[1]natural catastrophe'!$D$6:$D$17,MATCH($S221,'[1]natural catastrophe'!$B$6:$B$17,0)),"?")))</f>
      </c>
      <c r="U221" s="30" t="inlineStr">
        <is>
          <t xml:space="preserve">$5,000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5312.82</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CANON-202607-009814</t>
        </is>
      </c>
      <c r="B222" s="46" t="inlineStr">
        <is>
          <t xml:space="preserve">Priya Pennington</t>
        </is>
      </c>
      <c r="C222" s="47">
        <v>46225</v>
      </c>
      <c r="D222" s="48" t="inlineStr">
        <is>
          <t xml:space="preserve">Bound - within authority</t>
        </is>
      </c>
      <c r="E222" s="48" t="inlineStr">
        <is>
          <t xml:space="preserve">New business</t>
        </is>
      </c>
      <c r="F222" s="46" t="inlineStr">
        <is>
          <t xml:space="preserve">B1234EXOTIC26</t>
        </is>
      </c>
      <c r="G222" s="33">
        <f>IF($A222="","",IF($C222="","",YEAR($C222)))</f>
      </c>
      <c r="H222" s="49">
        <v>1999</v>
      </c>
      <c r="I222" s="46" t="inlineStr">
        <is>
          <t xml:space="preserve">Ferrari</t>
        </is>
      </c>
      <c r="J222" s="46" t="inlineStr">
        <is>
          <t xml:space="preserve">SF90 Stradale</t>
        </is>
      </c>
      <c r="K222" s="46" t="inlineStr">
        <is>
          <t xml:space="preserve">BHKXKSKV0CH892AZ3</t>
        </is>
      </c>
      <c r="L222" s="48" t="inlineStr">
        <is>
          <t xml:space="preserve">03 - Supercar</t>
        </is>
      </c>
      <c r="M222" s="50">
        <v>1490000</v>
      </c>
      <c r="N222" s="48" t="inlineStr">
        <is>
          <t xml:space="preserve">Personal</t>
        </is>
      </c>
      <c r="O222" s="46" t="inlineStr">
        <is>
          <t xml:space="preserve">Personal - regular use</t>
        </is>
      </c>
      <c r="P222" s="46" t="inlineStr">
        <is>
          <t xml:space="preserve">2,500 - 5,000</t>
        </is>
      </c>
      <c r="Q222" s="46" t="inlineStr">
        <is>
          <t xml:space="preserve">Tennessee</t>
        </is>
      </c>
      <c r="R222" s="46" t="inlineStr">
        <is>
          <t xml:space="preserve">37203</t>
        </is>
      </c>
      <c r="S222" s="48" t="inlineStr">
        <is>
          <t xml:space="preserve">Severe convective - hail / tornado (moderate)</t>
        </is>
      </c>
      <c r="T222" s="36">
        <f>IF($A222="","",IF($S222="","",IFERROR(INDEX('[1]natural catastrophe'!$D$6:$D$17,MATCH($S222,'[1]natural catastrophe'!$B$6:$B$17,0)),"?")))</f>
      </c>
      <c r="U222" s="46" t="inlineStr">
        <is>
          <t xml:space="preserve">$5,000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16773.01</v>
      </c>
      <c r="AC222" s="51">
        <v>0</v>
      </c>
      <c r="AD222" s="38">
        <f>IF(ISNUMBER($AB222),$AB222*(1+N($AC222)),"")</f>
      </c>
      <c r="AE222" s="50">
        <v>350</v>
      </c>
      <c r="AF222" s="50">
        <v>250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CANON-202607-009816</t>
        </is>
      </c>
      <c r="B223" s="30" t="inlineStr">
        <is>
          <t xml:space="preserve">Thaddeus Vasquez</t>
        </is>
      </c>
      <c r="C223" s="31">
        <v>46234</v>
      </c>
      <c r="D223" s="32" t="inlineStr">
        <is>
          <t xml:space="preserve">Bound - within authority</t>
        </is>
      </c>
      <c r="E223" s="32" t="inlineStr">
        <is>
          <t xml:space="preserve">New business</t>
        </is>
      </c>
      <c r="F223" s="30" t="inlineStr">
        <is>
          <t xml:space="preserve">B1234EXOTIC26</t>
        </is>
      </c>
      <c r="G223" s="33">
        <f>IF($A223="","",IF($C223="","",YEAR($C223)))</f>
      </c>
      <c r="H223" s="34">
        <v>2007</v>
      </c>
      <c r="I223" s="30" t="inlineStr">
        <is>
          <t xml:space="preserve">Lamborghini</t>
        </is>
      </c>
      <c r="J223" s="30" t="inlineStr">
        <is>
          <t xml:space="preserve">Huracan EVO</t>
        </is>
      </c>
      <c r="K223" s="30" t="inlineStr">
        <is>
          <t xml:space="preserve">8UZD40ZKHNBVHZ0EU</t>
        </is>
      </c>
      <c r="L223" s="32" t="inlineStr">
        <is>
          <t xml:space="preserve">03 - Supercar</t>
        </is>
      </c>
      <c r="M223" s="35">
        <v>1950000</v>
      </c>
      <c r="N223" s="32" t="inlineStr">
        <is>
          <t xml:space="preserve">Personal</t>
        </is>
      </c>
      <c r="O223" s="30" t="inlineStr">
        <is>
          <t xml:space="preserve">Personal - regular use</t>
        </is>
      </c>
      <c r="P223" s="30" t="inlineStr">
        <is>
          <t xml:space="preserve">1,000 - 2,500</t>
        </is>
      </c>
      <c r="Q223" s="30" t="inlineStr">
        <is>
          <t xml:space="preserve">Connecticut</t>
        </is>
      </c>
      <c r="R223" s="30" t="inlineStr">
        <is>
          <t xml:space="preserve">06103</t>
        </is>
      </c>
      <c r="S223" s="32" t="inlineStr">
        <is>
          <t xml:space="preserve">Tier 3 - Coastal wind (25-100 miles)</t>
        </is>
      </c>
      <c r="T223" s="36">
        <f>IF($A223="","",IF($S223="","",IFERROR(INDEX('[1]natural catastrophe'!$D$6:$D$17,MATCH($S223,'[1]natural catastrophe'!$B$6:$B$17,0)),"?")))</f>
      </c>
      <c r="U223" s="30" t="inlineStr">
        <is>
          <t xml:space="preserve">2% of agreed value, minimum $10,000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25087.16</v>
      </c>
      <c r="AC223" s="37">
        <v>0</v>
      </c>
      <c r="AD223" s="38">
        <f>IF(ISNUMBER($AB223),$AB223*(1+N($AC223)),"")</f>
      </c>
      <c r="AE223" s="35">
        <v>350</v>
      </c>
      <c r="AF223" s="35">
        <v>250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CANON-202607-009817</t>
        </is>
      </c>
      <c r="B224" s="46" t="inlineStr">
        <is>
          <t xml:space="preserve">Fitzgerald Delacroix</t>
        </is>
      </c>
      <c r="C224" s="47">
        <v>46209</v>
      </c>
      <c r="D224" s="48" t="inlineStr">
        <is>
          <t xml:space="preserve">Bound - within authority</t>
        </is>
      </c>
      <c r="E224" s="48" t="inlineStr">
        <is>
          <t xml:space="preserve">New business</t>
        </is>
      </c>
      <c r="F224" s="46" t="inlineStr">
        <is>
          <t xml:space="preserve">B1234EXOTIC26</t>
        </is>
      </c>
      <c r="G224" s="33">
        <f>IF($A224="","",IF($C224="","",YEAR($C224)))</f>
      </c>
      <c r="H224" s="49">
        <v>1981</v>
      </c>
      <c r="I224" s="46" t="inlineStr">
        <is>
          <t xml:space="preserve">BMW</t>
        </is>
      </c>
      <c r="J224" s="46" t="inlineStr">
        <is>
          <t xml:space="preserve">M8 Competition</t>
        </is>
      </c>
      <c r="K224" s="46" t="inlineStr">
        <is>
          <t xml:space="preserve">H2BGSP91AEKZW68AK</t>
        </is>
      </c>
      <c r="L224" s="48" t="inlineStr">
        <is>
          <t xml:space="preserve">02 - Sports / GT</t>
        </is>
      </c>
      <c r="M224" s="50">
        <v>125000</v>
      </c>
      <c r="N224" s="48" t="inlineStr">
        <is>
          <t xml:space="preserve">Personal</t>
        </is>
      </c>
      <c r="O224" s="46" t="inlineStr">
        <is>
          <t xml:space="preserve">Personal - regular use</t>
        </is>
      </c>
      <c r="P224" s="46" t="inlineStr">
        <is>
          <t xml:space="preserve">2,500 - 5,000</t>
        </is>
      </c>
      <c r="Q224" s="46" t="inlineStr">
        <is>
          <t xml:space="preserve">Nevada</t>
        </is>
      </c>
      <c r="R224" s="46" t="inlineStr">
        <is>
          <t xml:space="preserve">89101</t>
        </is>
      </c>
      <c r="S224" s="48" t="inlineStr">
        <is>
          <t xml:space="preserve">Wildfire - WUI high hazard</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1931.94</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CANON-202607-009821</t>
        </is>
      </c>
      <c r="B225" s="30" t="inlineStr">
        <is>
          <t xml:space="preserve">Ramona Underwood</t>
        </is>
      </c>
      <c r="C225" s="31">
        <v>46225</v>
      </c>
      <c r="D225" s="32" t="inlineStr">
        <is>
          <t xml:space="preserve">Bound - within authority</t>
        </is>
      </c>
      <c r="E225" s="32" t="inlineStr">
        <is>
          <t xml:space="preserve">New business</t>
        </is>
      </c>
      <c r="F225" s="30" t="inlineStr">
        <is>
          <t xml:space="preserve">B1234EXOTIC26</t>
        </is>
      </c>
      <c r="G225" s="33">
        <f>IF($A225="","",IF($C225="","",YEAR($C225)))</f>
      </c>
      <c r="H225" s="34">
        <v>1958</v>
      </c>
      <c r="I225" s="30" t="inlineStr">
        <is>
          <t xml:space="preserve">Aston Martin</t>
        </is>
      </c>
      <c r="J225" s="30" t="inlineStr">
        <is>
          <t xml:space="preserve">DB12</t>
        </is>
      </c>
      <c r="K225" s="30" t="inlineStr">
        <is>
          <t xml:space="preserve">MT8YCGW4CLE3ARCM2</t>
        </is>
      </c>
      <c r="L225" s="32" t="inlineStr">
        <is>
          <t xml:space="preserve">02 - Sports / GT</t>
        </is>
      </c>
      <c r="M225" s="35">
        <v>740000</v>
      </c>
      <c r="N225" s="32" t="inlineStr">
        <is>
          <t xml:space="preserve">Personal</t>
        </is>
      </c>
      <c r="O225" s="30" t="inlineStr">
        <is>
          <t xml:space="preserve">Personal - regular use</t>
        </is>
      </c>
      <c r="P225" s="30" t="inlineStr">
        <is>
          <t xml:space="preserve">1,000 - 2,500</t>
        </is>
      </c>
      <c r="Q225" s="30" t="inlineStr">
        <is>
          <t xml:space="preserve">Louisiana</t>
        </is>
      </c>
      <c r="R225" s="30" t="inlineStr">
        <is>
          <t xml:space="preserve">70112</t>
        </is>
      </c>
      <c r="S225" s="32" t="inlineStr">
        <is>
          <t xml:space="preserve">Tier 2 - Coastal wind (1-25 miles)</t>
        </is>
      </c>
      <c r="T225" s="36">
        <f>IF($A225="","",IF($S225="","",IFERROR(INDEX('[1]natural catastrophe'!$D$6:$D$17,MATCH($S225,'[1]natural catastrophe'!$B$6:$B$17,0)),"?")))</f>
      </c>
      <c r="U225" s="30" t="inlineStr">
        <is>
          <t xml:space="preserve">2% of agreed value, minimum $10,000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8356.78</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CANON-202607-009822</t>
        </is>
      </c>
      <c r="B226" s="46" t="inlineStr">
        <is>
          <t xml:space="preserve">Everett Whitlock</t>
        </is>
      </c>
      <c r="C226" s="47">
        <v>46206</v>
      </c>
      <c r="D226" s="48" t="inlineStr">
        <is>
          <t xml:space="preserve">Bound - within authority</t>
        </is>
      </c>
      <c r="E226" s="48" t="inlineStr">
        <is>
          <t xml:space="preserve">New business</t>
        </is>
      </c>
      <c r="F226" s="46" t="inlineStr">
        <is>
          <t xml:space="preserve">B1234EXOTIC26</t>
        </is>
      </c>
      <c r="G226" s="33">
        <f>IF($A226="","",IF($C226="","",YEAR($C226)))</f>
      </c>
      <c r="H226" s="49">
        <v>2013</v>
      </c>
      <c r="I226" s="46" t="inlineStr">
        <is>
          <t xml:space="preserve">Mercedes-Benz</t>
        </is>
      </c>
      <c r="J226" s="46" t="inlineStr">
        <is>
          <t xml:space="preserve">AMG GT</t>
        </is>
      </c>
      <c r="K226" s="46" t="inlineStr">
        <is>
          <t xml:space="preserve">N24FZ9PJT721KMKEV</t>
        </is>
      </c>
      <c r="L226" s="48" t="inlineStr">
        <is>
          <t xml:space="preserve">02 - Sports / GT</t>
        </is>
      </c>
      <c r="M226" s="50">
        <v>400000</v>
      </c>
      <c r="N226" s="48" t="inlineStr">
        <is>
          <t xml:space="preserve">Personal</t>
        </is>
      </c>
      <c r="O226" s="46" t="inlineStr">
        <is>
          <t xml:space="preserve">Personal - regular use</t>
        </is>
      </c>
      <c r="P226" s="46" t="inlineStr">
        <is>
          <t xml:space="preserve">1,000 - 2,500</t>
        </is>
      </c>
      <c r="Q226" s="46" t="inlineStr">
        <is>
          <t xml:space="preserve">Rhode Island</t>
        </is>
      </c>
      <c r="R226" s="46" t="inlineStr">
        <is>
          <t xml:space="preserve">02903</t>
        </is>
      </c>
      <c r="S226" s="48" t="inlineStr">
        <is>
          <t xml:space="preserve">Tier 3 - Coastal wind (25-100 miles)</t>
        </is>
      </c>
      <c r="T226" s="36">
        <f>IF($A226="","",IF($S226="","",IFERROR(INDEX('[1]natural catastrophe'!$D$6:$D$17,MATCH($S226,'[1]natural catastrophe'!$B$6:$B$17,0)),"?")))</f>
      </c>
      <c r="U226" s="46" t="inlineStr">
        <is>
          <t xml:space="preserve">2% of agreed value, minimum $10,000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5901.34</v>
      </c>
      <c r="AC226" s="51">
        <v>0</v>
      </c>
      <c r="AD226" s="38">
        <f>IF(ISNUMBER($AB226),$AB226*(1+N($AC226)),"")</f>
      </c>
      <c r="AE226" s="50">
        <v>350</v>
      </c>
      <c r="AF226" s="50">
        <v>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CANON-202607-009823</t>
        </is>
      </c>
      <c r="B227" s="30" t="inlineStr">
        <is>
          <t xml:space="preserve">Wilhelmina Chattopadhyay</t>
        </is>
      </c>
      <c r="C227" s="31">
        <v>46204</v>
      </c>
      <c r="D227" s="32" t="inlineStr">
        <is>
          <t xml:space="preserve">Bound - within authority</t>
        </is>
      </c>
      <c r="E227" s="32" t="inlineStr">
        <is>
          <t xml:space="preserve">New business</t>
        </is>
      </c>
      <c r="F227" s="30" t="inlineStr">
        <is>
          <t xml:space="preserve">B1234EXOTIC26</t>
        </is>
      </c>
      <c r="G227" s="33">
        <f>IF($A227="","",IF($C227="","",YEAR($C227)))</f>
      </c>
      <c r="H227" s="34">
        <v>1957</v>
      </c>
      <c r="I227" s="30" t="inlineStr">
        <is>
          <t xml:space="preserve">Aston Martin</t>
        </is>
      </c>
      <c r="J227" s="30" t="inlineStr">
        <is>
          <t xml:space="preserve">DB12</t>
        </is>
      </c>
      <c r="K227" s="30" t="inlineStr">
        <is>
          <t xml:space="preserve">V955BSE4MLK9YX4B2</t>
        </is>
      </c>
      <c r="L227" s="32" t="inlineStr">
        <is>
          <t xml:space="preserve">02 - Sports / GT</t>
        </is>
      </c>
      <c r="M227" s="35">
        <v>440000</v>
      </c>
      <c r="N227" s="32" t="inlineStr">
        <is>
          <t xml:space="preserve">Personal</t>
        </is>
      </c>
      <c r="O227" s="30" t="inlineStr">
        <is>
          <t xml:space="preserve">Personal - regular use</t>
        </is>
      </c>
      <c r="P227" s="30" t="inlineStr">
        <is>
          <t xml:space="preserve">1,000 - 2,500</t>
        </is>
      </c>
      <c r="Q227" s="30" t="inlineStr">
        <is>
          <t xml:space="preserve">Maryland</t>
        </is>
      </c>
      <c r="R227" s="30" t="inlineStr">
        <is>
          <t xml:space="preserve">21201</t>
        </is>
      </c>
      <c r="S227" s="32" t="inlineStr">
        <is>
          <t xml:space="preserve">Tier 3 - Coastal wind (25-100 miles)</t>
        </is>
      </c>
      <c r="T227" s="36">
        <f>IF($A227="","",IF($S227="","",IFERROR(INDEX('[1]natural catastrophe'!$D$6:$D$17,MATCH($S227,'[1]natural catastrophe'!$B$6:$B$17,0)),"?")))</f>
      </c>
      <c r="U227" s="30" t="inlineStr">
        <is>
          <t xml:space="preserve">2% of agreed value, minimum $10,000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4501.38</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CANON-202607-009824</t>
        </is>
      </c>
      <c r="B228" s="46" t="inlineStr">
        <is>
          <t xml:space="preserve">Lorenzo Okonkwo</t>
        </is>
      </c>
      <c r="C228" s="47">
        <v>46213</v>
      </c>
      <c r="D228" s="48" t="inlineStr">
        <is>
          <t xml:space="preserve">Bound - within authority</t>
        </is>
      </c>
      <c r="E228" s="48" t="inlineStr">
        <is>
          <t xml:space="preserve">New business</t>
        </is>
      </c>
      <c r="F228" s="46" t="inlineStr">
        <is>
          <t xml:space="preserve">B1234EXOTIC26</t>
        </is>
      </c>
      <c r="G228" s="33">
        <f>IF($A228="","",IF($C228="","",YEAR($C228)))</f>
      </c>
      <c r="H228" s="49">
        <v>2002</v>
      </c>
      <c r="I228" s="46" t="inlineStr">
        <is>
          <t xml:space="preserve">Ferrari</t>
        </is>
      </c>
      <c r="J228" s="46" t="inlineStr">
        <is>
          <t xml:space="preserve">SF90 Stradale</t>
        </is>
      </c>
      <c r="K228" s="46" t="inlineStr">
        <is>
          <t xml:space="preserve">AN28G6C0PFTRCBU0M</t>
        </is>
      </c>
      <c r="L228" s="48" t="inlineStr">
        <is>
          <t xml:space="preserve">03 - Supercar</t>
        </is>
      </c>
      <c r="M228" s="50">
        <v>1220000</v>
      </c>
      <c r="N228" s="48" t="inlineStr">
        <is>
          <t xml:space="preserve">Personal</t>
        </is>
      </c>
      <c r="O228" s="46" t="inlineStr">
        <is>
          <t xml:space="preserve">Personal - regular use</t>
        </is>
      </c>
      <c r="P228" s="46" t="inlineStr">
        <is>
          <t xml:space="preserve">2,500 - 5,000</t>
        </is>
      </c>
      <c r="Q228" s="46" t="inlineStr">
        <is>
          <t xml:space="preserve">Hawaii</t>
        </is>
      </c>
      <c r="R228" s="46" t="inlineStr">
        <is>
          <t xml:space="preserve">96813</t>
        </is>
      </c>
      <c r="S228" s="48" t="inlineStr">
        <is>
          <t xml:space="preserve">Earthquake - high (CA, Cascadia, New Madrid)</t>
        </is>
      </c>
      <c r="T228" s="36">
        <f>IF($A228="","",IF($S228="","",IFERROR(INDEX('[1]natural catastrophe'!$D$6:$D$17,MATCH($S228,'[1]natural catastrophe'!$B$6:$B$17,0)),"?")))</f>
      </c>
      <c r="U228" s="46" t="inlineStr">
        <is>
          <t xml:space="preserve">$5,000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18218.05</v>
      </c>
      <c r="AC228" s="51">
        <v>0</v>
      </c>
      <c r="AD228" s="38">
        <f>IF(ISNUMBER($AB228),$AB228*(1+N($AC228)),"")</f>
      </c>
      <c r="AE228" s="50">
        <v>350</v>
      </c>
      <c r="AF228" s="50">
        <v>250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CANON-202607-009825</t>
        </is>
      </c>
      <c r="B229" s="30" t="inlineStr">
        <is>
          <t xml:space="preserve">Sunniva Blackwood</t>
        </is>
      </c>
      <c r="C229" s="31">
        <v>46213</v>
      </c>
      <c r="D229" s="32" t="inlineStr">
        <is>
          <t xml:space="preserve">Bound - within authority</t>
        </is>
      </c>
      <c r="E229" s="32" t="inlineStr">
        <is>
          <t xml:space="preserve">New business</t>
        </is>
      </c>
      <c r="F229" s="30" t="inlineStr">
        <is>
          <t xml:space="preserve">B1234EXOTIC26</t>
        </is>
      </c>
      <c r="G229" s="33">
        <f>IF($A229="","",IF($C229="","",YEAR($C229)))</f>
      </c>
      <c r="H229" s="34">
        <v>1968</v>
      </c>
      <c r="I229" s="30" t="inlineStr">
        <is>
          <t xml:space="preserve">Bentley</t>
        </is>
      </c>
      <c r="J229" s="30" t="inlineStr">
        <is>
          <t xml:space="preserve">Continental GT</t>
        </is>
      </c>
      <c r="K229" s="30" t="inlineStr">
        <is>
          <t xml:space="preserve">LEN17K749ETY9C3EV</t>
        </is>
      </c>
      <c r="L229" s="32" t="inlineStr">
        <is>
          <t xml:space="preserve">02 - Sports / GT</t>
        </is>
      </c>
      <c r="M229" s="35">
        <v>480000</v>
      </c>
      <c r="N229" s="32" t="inlineStr">
        <is>
          <t xml:space="preserve">Personal</t>
        </is>
      </c>
      <c r="O229" s="30" t="inlineStr">
        <is>
          <t xml:space="preserve">Personal - regular use</t>
        </is>
      </c>
      <c r="P229" s="30" t="inlineStr">
        <is>
          <t xml:space="preserve">1,000 - 2,500</t>
        </is>
      </c>
      <c r="Q229" s="30" t="inlineStr">
        <is>
          <t xml:space="preserve">Wisconsin</t>
        </is>
      </c>
      <c r="R229" s="30" t="inlineStr">
        <is>
          <t xml:space="preserve">53202</t>
        </is>
      </c>
      <c r="S229" s="32" t="inlineStr">
        <is>
          <t xml:space="preserve">Severe convective - hail / tornado (moderate)</t>
        </is>
      </c>
      <c r="T229" s="36">
        <f>IF($A229="","",IF($S229="","",IFERROR(INDEX('[1]natural catastrophe'!$D$6:$D$17,MATCH($S229,'[1]natural catastrophe'!$B$6:$B$17,0)),"?")))</f>
      </c>
      <c r="U229" s="30" t="inlineStr">
        <is>
          <t xml:space="preserve">$5,000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6202.87</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CANON-202607-009826</t>
        </is>
      </c>
      <c r="B230" s="46" t="inlineStr">
        <is>
          <t xml:space="preserve">Saoirse Vasquez</t>
        </is>
      </c>
      <c r="C230" s="47">
        <v>46228</v>
      </c>
      <c r="D230" s="48" t="inlineStr">
        <is>
          <t xml:space="preserve">Bound - within authority</t>
        </is>
      </c>
      <c r="E230" s="48" t="inlineStr">
        <is>
          <t xml:space="preserve">New business</t>
        </is>
      </c>
      <c r="F230" s="46" t="inlineStr">
        <is>
          <t xml:space="preserve">B1234EXOTIC26</t>
        </is>
      </c>
      <c r="G230" s="33">
        <f>IF($A230="","",IF($C230="","",YEAR($C230)))</f>
      </c>
      <c r="H230" s="49">
        <v>1984</v>
      </c>
      <c r="I230" s="46" t="inlineStr">
        <is>
          <t xml:space="preserve">Bentley</t>
        </is>
      </c>
      <c r="J230" s="46" t="inlineStr">
        <is>
          <t xml:space="preserve">Continental GT</t>
        </is>
      </c>
      <c r="K230" s="46" t="inlineStr">
        <is>
          <t xml:space="preserve">JEJ6W8MN6TRU2GJ8L</t>
        </is>
      </c>
      <c r="L230" s="48" t="inlineStr">
        <is>
          <t xml:space="preserve">02 - Sports / GT</t>
        </is>
      </c>
      <c r="M230" s="50">
        <v>675000</v>
      </c>
      <c r="N230" s="48" t="inlineStr">
        <is>
          <t xml:space="preserve">Personal</t>
        </is>
      </c>
      <c r="O230" s="46" t="inlineStr">
        <is>
          <t xml:space="preserve">Personal - regular use</t>
        </is>
      </c>
      <c r="P230" s="46" t="inlineStr">
        <is>
          <t xml:space="preserve">2,500 - 5,000</t>
        </is>
      </c>
      <c r="Q230" s="46" t="inlineStr">
        <is>
          <t xml:space="preserve">Massachusetts</t>
        </is>
      </c>
      <c r="R230" s="46" t="inlineStr">
        <is>
          <t xml:space="preserve">02108</t>
        </is>
      </c>
      <c r="S230" s="48" t="inlineStr">
        <is>
          <t xml:space="preserve">Tier 3 - Coastal wind (25-100 miles)</t>
        </is>
      </c>
      <c r="T230" s="36">
        <f>IF($A230="","",IF($S230="","",IFERROR(INDEX('[1]natural catastrophe'!$D$6:$D$17,MATCH($S230,'[1]natural catastrophe'!$B$6:$B$17,0)),"?")))</f>
      </c>
      <c r="U230" s="46" t="inlineStr">
        <is>
          <t xml:space="preserve">2% of agreed value, minimum $10,000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7874.74</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CANON-202607-009827</t>
        </is>
      </c>
      <c r="B231" s="30" t="inlineStr">
        <is>
          <t xml:space="preserve">Cassius Castellanos</t>
        </is>
      </c>
      <c r="C231" s="31">
        <v>46211</v>
      </c>
      <c r="D231" s="32" t="inlineStr">
        <is>
          <t xml:space="preserve">Bound - within authority</t>
        </is>
      </c>
      <c r="E231" s="32" t="inlineStr">
        <is>
          <t xml:space="preserve">New business</t>
        </is>
      </c>
      <c r="F231" s="30" t="inlineStr">
        <is>
          <t xml:space="preserve">B1234EXOTIC26</t>
        </is>
      </c>
      <c r="G231" s="33">
        <f>IF($A231="","",IF($C231="","",YEAR($C231)))</f>
      </c>
      <c r="H231" s="34">
        <v>1967</v>
      </c>
      <c r="I231" s="30" t="inlineStr">
        <is>
          <t xml:space="preserve">Aston Martin</t>
        </is>
      </c>
      <c r="J231" s="30" t="inlineStr">
        <is>
          <t xml:space="preserve">DB5</t>
        </is>
      </c>
      <c r="K231" s="30" t="inlineStr">
        <is>
          <t xml:space="preserve">PUSRS7MR0P8ML2DM1</t>
        </is>
      </c>
      <c r="L231" s="32" t="inlineStr">
        <is>
          <t xml:space="preserve">07 - Post-War Classic (1946-1972)</t>
        </is>
      </c>
      <c r="M231" s="35">
        <v>550000</v>
      </c>
      <c r="N231" s="32" t="inlineStr">
        <is>
          <t xml:space="preserve">Personal</t>
        </is>
      </c>
      <c r="O231" s="30" t="inlineStr">
        <is>
          <t xml:space="preserve">Personal - regular use</t>
        </is>
      </c>
      <c r="P231" s="30" t="inlineStr">
        <is>
          <t xml:space="preserve">2,500 - 5,000</t>
        </is>
      </c>
      <c r="Q231" s="30" t="inlineStr">
        <is>
          <t xml:space="preserve">New Mexico</t>
        </is>
      </c>
      <c r="R231" s="30" t="inlineStr">
        <is>
          <t xml:space="preserve">87501</t>
        </is>
      </c>
      <c r="S231" s="32" t="inlineStr">
        <is>
          <t xml:space="preserve">Wildfire - WUI high hazard</t>
        </is>
      </c>
      <c r="T231" s="36">
        <f>IF($A231="","",IF($S231="","",IFERROR(INDEX('[1]natural catastrophe'!$D$6:$D$17,MATCH($S231,'[1]natural catastrophe'!$B$6:$B$17,0)),"?")))</f>
      </c>
      <c r="U231" s="30" t="inlineStr">
        <is>
          <t xml:space="preserve">$5,000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4346.6</v>
      </c>
      <c r="AC231" s="37">
        <v>0</v>
      </c>
      <c r="AD231" s="38">
        <f>IF(ISNUMBER($AB231),$AB231*(1+N($AC231)),"")</f>
      </c>
      <c r="AE231" s="35">
        <v>350</v>
      </c>
      <c r="AF231" s="35">
        <v>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CANON-202607-009828</t>
        </is>
      </c>
      <c r="B232" s="46" t="inlineStr">
        <is>
          <t xml:space="preserve">Emiliano Castellanos</t>
        </is>
      </c>
      <c r="C232" s="47">
        <v>46208</v>
      </c>
      <c r="D232" s="48" t="inlineStr">
        <is>
          <t xml:space="preserve">Bound - within authority</t>
        </is>
      </c>
      <c r="E232" s="48" t="inlineStr">
        <is>
          <t xml:space="preserve">New business</t>
        </is>
      </c>
      <c r="F232" s="46" t="inlineStr">
        <is>
          <t xml:space="preserve">B1234EXOTIC26</t>
        </is>
      </c>
      <c r="G232" s="33">
        <f>IF($A232="","",IF($C232="","",YEAR($C232)))</f>
      </c>
      <c r="H232" s="49">
        <v>2019</v>
      </c>
      <c r="I232" s="46" t="inlineStr">
        <is>
          <t xml:space="preserve">Aston Martin</t>
        </is>
      </c>
      <c r="J232" s="46" t="inlineStr">
        <is>
          <t xml:space="preserve">DB5</t>
        </is>
      </c>
      <c r="K232" s="46" t="inlineStr">
        <is>
          <t xml:space="preserve">1WYAS8BVZPKSS5S80</t>
        </is>
      </c>
      <c r="L232" s="48" t="inlineStr">
        <is>
          <t xml:space="preserve">02 - Sports / GT</t>
        </is>
      </c>
      <c r="M232" s="50">
        <v>660000</v>
      </c>
      <c r="N232" s="48" t="inlineStr">
        <is>
          <t xml:space="preserve">Personal</t>
        </is>
      </c>
      <c r="O232" s="46" t="inlineStr">
        <is>
          <t xml:space="preserve">Personal - regular use</t>
        </is>
      </c>
      <c r="P232" s="46" t="inlineStr">
        <is>
          <t xml:space="preserve">1,000 - 2,500</t>
        </is>
      </c>
      <c r="Q232" s="46" t="inlineStr">
        <is>
          <t xml:space="preserve">California</t>
        </is>
      </c>
      <c r="R232" s="46" t="inlineStr">
        <is>
          <t xml:space="preserve">90012</t>
        </is>
      </c>
      <c r="S232" s="48" t="inlineStr">
        <is>
          <t xml:space="preserve">Earthquake - high (CA, Cascadia, New Madrid)</t>
        </is>
      </c>
      <c r="T232" s="36">
        <f>IF($A232="","",IF($S232="","",IFERROR(INDEX('[1]natural catastrophe'!$D$6:$D$17,MATCH($S232,'[1]natural catastrophe'!$B$6:$B$17,0)),"?")))</f>
      </c>
      <c r="U232" s="46" t="inlineStr">
        <is>
          <t xml:space="preserve">$5,000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5501.17</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CANON-202607-009829</t>
        </is>
      </c>
      <c r="B233" s="30" t="inlineStr">
        <is>
          <t xml:space="preserve">Anouk Kingsford</t>
        </is>
      </c>
      <c r="C233" s="31">
        <v>46207</v>
      </c>
      <c r="D233" s="32" t="inlineStr">
        <is>
          <t xml:space="preserve">Bound - within authority</t>
        </is>
      </c>
      <c r="E233" s="32" t="inlineStr">
        <is>
          <t xml:space="preserve">New business</t>
        </is>
      </c>
      <c r="F233" s="30" t="inlineStr">
        <is>
          <t xml:space="preserve">B1234EXOTIC26</t>
        </is>
      </c>
      <c r="G233" s="33">
        <f>IF($A233="","",IF($C233="","",YEAR($C233)))</f>
      </c>
      <c r="H233" s="34">
        <v>2010</v>
      </c>
      <c r="I233" s="30" t="inlineStr">
        <is>
          <t xml:space="preserve">Aston Martin</t>
        </is>
      </c>
      <c r="J233" s="30" t="inlineStr">
        <is>
          <t xml:space="preserve">DB12</t>
        </is>
      </c>
      <c r="K233" s="30" t="inlineStr">
        <is>
          <t xml:space="preserve">EK55CLP17HK4F44T8</t>
        </is>
      </c>
      <c r="L233" s="32" t="inlineStr">
        <is>
          <t xml:space="preserve">02 - Sports / GT</t>
        </is>
      </c>
      <c r="M233" s="35">
        <v>475000</v>
      </c>
      <c r="N233" s="32" t="inlineStr">
        <is>
          <t xml:space="preserve">Personal</t>
        </is>
      </c>
      <c r="O233" s="30" t="inlineStr">
        <is>
          <t xml:space="preserve">Personal - regular use</t>
        </is>
      </c>
      <c r="P233" s="30" t="inlineStr">
        <is>
          <t xml:space="preserve">2,500 - 5,000</t>
        </is>
      </c>
      <c r="Q233" s="30" t="inlineStr">
        <is>
          <t xml:space="preserve">Tennessee</t>
        </is>
      </c>
      <c r="R233" s="30" t="inlineStr">
        <is>
          <t xml:space="preserve">37203</t>
        </is>
      </c>
      <c r="S233" s="32" t="inlineStr">
        <is>
          <t xml:space="preserve">Severe convective - hail / tornado (moderate)</t>
        </is>
      </c>
      <c r="T233" s="36">
        <f>IF($A233="","",IF($S233="","",IFERROR(INDEX('[1]natural catastrophe'!$D$6:$D$17,MATCH($S233,'[1]natural catastrophe'!$B$6:$B$17,0)),"?")))</f>
      </c>
      <c r="U233" s="30" t="inlineStr">
        <is>
          <t xml:space="preserve">$5,000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5012.9</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CANON-202607-009830</t>
        </is>
      </c>
      <c r="B234" s="46" t="inlineStr">
        <is>
          <t xml:space="preserve">Cassius Kingsford</t>
        </is>
      </c>
      <c r="C234" s="47">
        <v>46228</v>
      </c>
      <c r="D234" s="48" t="inlineStr">
        <is>
          <t xml:space="preserve">Bound - within authority</t>
        </is>
      </c>
      <c r="E234" s="48" t="inlineStr">
        <is>
          <t xml:space="preserve">New business</t>
        </is>
      </c>
      <c r="F234" s="46" t="inlineStr">
        <is>
          <t xml:space="preserve">B1234EXOTIC26</t>
        </is>
      </c>
      <c r="G234" s="33">
        <f>IF($A234="","",IF($C234="","",YEAR($C234)))</f>
      </c>
      <c r="H234" s="49">
        <v>1976</v>
      </c>
      <c r="I234" s="46" t="inlineStr">
        <is>
          <t xml:space="preserve">Mercedes-Benz</t>
        </is>
      </c>
      <c r="J234" s="46" t="inlineStr">
        <is>
          <t xml:space="preserve">AMG GT</t>
        </is>
      </c>
      <c r="K234" s="46" t="inlineStr">
        <is>
          <t xml:space="preserve">PM4UEXTXBHAG0GK97</t>
        </is>
      </c>
      <c r="L234" s="48" t="inlineStr">
        <is>
          <t xml:space="preserve">02 - Sports / GT</t>
        </is>
      </c>
      <c r="M234" s="50">
        <v>185000</v>
      </c>
      <c r="N234" s="48" t="inlineStr">
        <is>
          <t xml:space="preserve">Personal</t>
        </is>
      </c>
      <c r="O234" s="46" t="inlineStr">
        <is>
          <t xml:space="preserve">Personal - regular use</t>
        </is>
      </c>
      <c r="P234" s="46" t="inlineStr">
        <is>
          <t xml:space="preserve">Under 1,000</t>
        </is>
      </c>
      <c r="Q234" s="46" t="inlineStr">
        <is>
          <t xml:space="preserve">California</t>
        </is>
      </c>
      <c r="R234" s="46" t="inlineStr">
        <is>
          <t xml:space="preserve">90012</t>
        </is>
      </c>
      <c r="S234" s="48" t="inlineStr">
        <is>
          <t xml:space="preserve">Earthquake - high (CA, Cascadia, New Madrid)</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3299.15</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CANON-202607-009831</t>
        </is>
      </c>
      <c r="B235" s="30" t="inlineStr">
        <is>
          <t xml:space="preserve">Aurelio Underwood</t>
        </is>
      </c>
      <c r="C235" s="31">
        <v>46206</v>
      </c>
      <c r="D235" s="32" t="inlineStr">
        <is>
          <t xml:space="preserve">Bound - within authority</t>
        </is>
      </c>
      <c r="E235" s="32" t="inlineStr">
        <is>
          <t xml:space="preserve">New business</t>
        </is>
      </c>
      <c r="F235" s="30" t="inlineStr">
        <is>
          <t xml:space="preserve">B1234EXOTIC26</t>
        </is>
      </c>
      <c r="G235" s="33">
        <f>IF($A235="","",IF($C235="","",YEAR($C235)))</f>
      </c>
      <c r="H235" s="34">
        <v>1983</v>
      </c>
      <c r="I235" s="30" t="inlineStr">
        <is>
          <t xml:space="preserve">Porsche</t>
        </is>
      </c>
      <c r="J235" s="30" t="inlineStr">
        <is>
          <t xml:space="preserve">911 Turbo S</t>
        </is>
      </c>
      <c r="K235" s="30" t="inlineStr">
        <is>
          <t xml:space="preserve">6H368BYNWFKWXMYD7</t>
        </is>
      </c>
      <c r="L235" s="32" t="inlineStr">
        <is>
          <t xml:space="preserve">02 - Sports / GT</t>
        </is>
      </c>
      <c r="M235" s="35">
        <v>510000</v>
      </c>
      <c r="N235" s="32" t="inlineStr">
        <is>
          <t xml:space="preserve">Personal</t>
        </is>
      </c>
      <c r="O235" s="30" t="inlineStr">
        <is>
          <t xml:space="preserve">Personal - regular use</t>
        </is>
      </c>
      <c r="P235" s="30" t="inlineStr">
        <is>
          <t xml:space="preserve">1,000 - 2,500</t>
        </is>
      </c>
      <c r="Q235" s="30" t="inlineStr">
        <is>
          <t xml:space="preserve">Wyoming</t>
        </is>
      </c>
      <c r="R235" s="30" t="inlineStr">
        <is>
          <t xml:space="preserve">82001</t>
        </is>
      </c>
      <c r="S235" s="32" t="inlineStr">
        <is>
          <t xml:space="preserve">Severe convective - hail alley (high)</t>
        </is>
      </c>
      <c r="T235" s="36">
        <f>IF($A235="","",IF($S235="","",IFERROR(INDEX('[1]natural catastrophe'!$D$6:$D$17,MATCH($S235,'[1]natural catastrophe'!$B$6:$B$17,0)),"?")))</f>
      </c>
      <c r="U235" s="30" t="inlineStr">
        <is>
          <t xml:space="preserve">$5,000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5093.03</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CANON-202607-009832</t>
        </is>
      </c>
      <c r="B236" s="46" t="inlineStr">
        <is>
          <t xml:space="preserve">Fitzgerald Ashcombe</t>
        </is>
      </c>
      <c r="C236" s="47">
        <v>46227</v>
      </c>
      <c r="D236" s="48" t="inlineStr">
        <is>
          <t xml:space="preserve">Bound - within authority</t>
        </is>
      </c>
      <c r="E236" s="48" t="inlineStr">
        <is>
          <t xml:space="preserve">New business</t>
        </is>
      </c>
      <c r="F236" s="46" t="inlineStr">
        <is>
          <t xml:space="preserve">B1234EXOTIC26</t>
        </is>
      </c>
      <c r="G236" s="33">
        <f>IF($A236="","",IF($C236="","",YEAR($C236)))</f>
      </c>
      <c r="H236" s="49">
        <v>2010</v>
      </c>
      <c r="I236" s="46" t="inlineStr">
        <is>
          <t xml:space="preserve">Mercedes-Benz</t>
        </is>
      </c>
      <c r="J236" s="46" t="inlineStr">
        <is>
          <t xml:space="preserve">280SL Pagoda</t>
        </is>
      </c>
      <c r="K236" s="46" t="inlineStr">
        <is>
          <t xml:space="preserve">UMBZGWZJ5G4700D7M</t>
        </is>
      </c>
      <c r="L236" s="48" t="inlineStr">
        <is>
          <t xml:space="preserve">09 - Youngtimer / Collectible (2000-2010)</t>
        </is>
      </c>
      <c r="M236" s="50">
        <v>885000</v>
      </c>
      <c r="N236" s="48" t="inlineStr">
        <is>
          <t xml:space="preserve">Personal</t>
        </is>
      </c>
      <c r="O236" s="46" t="inlineStr">
        <is>
          <t xml:space="preserve">Personal - regular use</t>
        </is>
      </c>
      <c r="P236" s="46" t="inlineStr">
        <is>
          <t xml:space="preserve">1,000 - 2,500</t>
        </is>
      </c>
      <c r="Q236" s="46" t="inlineStr">
        <is>
          <t xml:space="preserve">Pennsylvania</t>
        </is>
      </c>
      <c r="R236" s="46" t="inlineStr">
        <is>
          <t xml:space="preserve">19103</t>
        </is>
      </c>
      <c r="S236" s="48" t="inlineStr">
        <is>
          <t xml:space="preserve">Low hazard - inland benign</t>
        </is>
      </c>
      <c r="T236" s="36">
        <f>IF($A236="","",IF($S236="","",IFERROR(INDEX('[1]natural catastrophe'!$D$6:$D$17,MATCH($S236,'[1]natural catastrophe'!$B$6:$B$17,0)),"?")))</f>
      </c>
      <c r="U236" s="46" t="inlineStr">
        <is>
          <t xml:space="preserve">$5,000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5464.12</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CANON-202607-009833</t>
        </is>
      </c>
      <c r="B237" s="30" t="inlineStr">
        <is>
          <t xml:space="preserve">Emiliano Rourke</t>
        </is>
      </c>
      <c r="C237" s="31">
        <v>46226</v>
      </c>
      <c r="D237" s="32" t="inlineStr">
        <is>
          <t xml:space="preserve">Bound - within authority</t>
        </is>
      </c>
      <c r="E237" s="32" t="inlineStr">
        <is>
          <t xml:space="preserve">New business</t>
        </is>
      </c>
      <c r="F237" s="30" t="inlineStr">
        <is>
          <t xml:space="preserve">B1234EXOTIC26</t>
        </is>
      </c>
      <c r="G237" s="33">
        <f>IF($A237="","",IF($C237="","",YEAR($C237)))</f>
      </c>
      <c r="H237" s="34">
        <v>1957</v>
      </c>
      <c r="I237" s="30" t="inlineStr">
        <is>
          <t xml:space="preserve">Maserati</t>
        </is>
      </c>
      <c r="J237" s="30" t="inlineStr">
        <is>
          <t xml:space="preserve">GranTurismo</t>
        </is>
      </c>
      <c r="K237" s="30" t="inlineStr">
        <is>
          <t xml:space="preserve">J7L0S7MVHPUT9R2U7</t>
        </is>
      </c>
      <c r="L237" s="32" t="inlineStr">
        <is>
          <t xml:space="preserve">02 - Sports / GT</t>
        </is>
      </c>
      <c r="M237" s="35">
        <v>1715000</v>
      </c>
      <c r="N237" s="32" t="inlineStr">
        <is>
          <t xml:space="preserve">Personal</t>
        </is>
      </c>
      <c r="O237" s="30" t="inlineStr">
        <is>
          <t xml:space="preserve">Personal - regular use</t>
        </is>
      </c>
      <c r="P237" s="30" t="inlineStr">
        <is>
          <t xml:space="preserve">Under 1,000</t>
        </is>
      </c>
      <c r="Q237" s="30" t="inlineStr">
        <is>
          <t xml:space="preserve">Iowa</t>
        </is>
      </c>
      <c r="R237" s="30" t="inlineStr">
        <is>
          <t xml:space="preserve">50309</t>
        </is>
      </c>
      <c r="S237" s="32" t="inlineStr">
        <is>
          <t xml:space="preserve">Severe convective - hail alley (high)</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14898.01</v>
      </c>
      <c r="AC237" s="37">
        <v>0</v>
      </c>
      <c r="AD237" s="38">
        <f>IF(ISNUMBER($AB237),$AB237*(1+N($AC237)),"")</f>
      </c>
      <c r="AE237" s="35">
        <v>350</v>
      </c>
      <c r="AF237" s="35">
        <v>250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CANON-202607-009834</t>
        </is>
      </c>
      <c r="B238" s="46" t="inlineStr">
        <is>
          <t xml:space="preserve">Fenwick Farkas</t>
        </is>
      </c>
      <c r="C238" s="47">
        <v>46228</v>
      </c>
      <c r="D238" s="48" t="inlineStr">
        <is>
          <t xml:space="preserve">Bound - within authority</t>
        </is>
      </c>
      <c r="E238" s="48" t="inlineStr">
        <is>
          <t xml:space="preserve">New business</t>
        </is>
      </c>
      <c r="F238" s="46" t="inlineStr">
        <is>
          <t xml:space="preserve">B1234EXOTIC26</t>
        </is>
      </c>
      <c r="G238" s="33">
        <f>IF($A238="","",IF($C238="","",YEAR($C238)))</f>
      </c>
      <c r="H238" s="49">
        <v>2013</v>
      </c>
      <c r="I238" s="46" t="inlineStr">
        <is>
          <t xml:space="preserve">Bentley</t>
        </is>
      </c>
      <c r="J238" s="46" t="inlineStr">
        <is>
          <t xml:space="preserve">Continental GT</t>
        </is>
      </c>
      <c r="K238" s="46" t="inlineStr">
        <is>
          <t xml:space="preserve">91FPUHR48GCGVEKDY</t>
        </is>
      </c>
      <c r="L238" s="48" t="inlineStr">
        <is>
          <t xml:space="preserve">02 - Sports / GT</t>
        </is>
      </c>
      <c r="M238" s="50">
        <v>370000</v>
      </c>
      <c r="N238" s="48" t="inlineStr">
        <is>
          <t xml:space="preserve">Personal</t>
        </is>
      </c>
      <c r="O238" s="46" t="inlineStr">
        <is>
          <t xml:space="preserve">Personal - regular use</t>
        </is>
      </c>
      <c r="P238" s="46" t="inlineStr">
        <is>
          <t xml:space="preserve">2,500 - 5,000</t>
        </is>
      </c>
      <c r="Q238" s="46" t="inlineStr">
        <is>
          <t xml:space="preserve">Connecticut</t>
        </is>
      </c>
      <c r="R238" s="46" t="inlineStr">
        <is>
          <t xml:space="preserve">06103</t>
        </is>
      </c>
      <c r="S238" s="48" t="inlineStr">
        <is>
          <t xml:space="preserve">Tier 3 - Coastal wind (25-100 miles)</t>
        </is>
      </c>
      <c r="T238" s="36">
        <f>IF($A238="","",IF($S238="","",IFERROR(INDEX('[1]natural catastrophe'!$D$6:$D$17,MATCH($S238,'[1]natural catastrophe'!$B$6:$B$17,0)),"?")))</f>
      </c>
      <c r="U238" s="46" t="inlineStr">
        <is>
          <t xml:space="preserve">2% of agreed value, minimum $10,000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4462.62</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CANON-202607-009835</t>
        </is>
      </c>
      <c r="B239" s="30" t="inlineStr">
        <is>
          <t xml:space="preserve">Noor Merriweather</t>
        </is>
      </c>
      <c r="C239" s="31">
        <v>46208</v>
      </c>
      <c r="D239" s="32" t="inlineStr">
        <is>
          <t xml:space="preserve">Bound - within authority</t>
        </is>
      </c>
      <c r="E239" s="32" t="inlineStr">
        <is>
          <t xml:space="preserve">New business</t>
        </is>
      </c>
      <c r="F239" s="30" t="inlineStr">
        <is>
          <t xml:space="preserve">B1234EXOTIC26</t>
        </is>
      </c>
      <c r="G239" s="33">
        <f>IF($A239="","",IF($C239="","",YEAR($C239)))</f>
      </c>
      <c r="H239" s="34">
        <v>2012</v>
      </c>
      <c r="I239" s="30" t="inlineStr">
        <is>
          <t xml:space="preserve">Ferrari</t>
        </is>
      </c>
      <c r="J239" s="30" t="inlineStr">
        <is>
          <t xml:space="preserve">SF90 Stradale</t>
        </is>
      </c>
      <c r="K239" s="30" t="inlineStr">
        <is>
          <t xml:space="preserve">0EWB2YVN290Y0755U</t>
        </is>
      </c>
      <c r="L239" s="32" t="inlineStr">
        <is>
          <t xml:space="preserve">03 - Supercar</t>
        </is>
      </c>
      <c r="M239" s="35">
        <v>655000</v>
      </c>
      <c r="N239" s="32" t="inlineStr">
        <is>
          <t xml:space="preserve">Personal</t>
        </is>
      </c>
      <c r="O239" s="30" t="inlineStr">
        <is>
          <t xml:space="preserve">Personal - regular use</t>
        </is>
      </c>
      <c r="P239" s="30" t="inlineStr">
        <is>
          <t xml:space="preserve">1,000 - 2,500</t>
        </is>
      </c>
      <c r="Q239" s="30" t="inlineStr">
        <is>
          <t xml:space="preserve">Arizona</t>
        </is>
      </c>
      <c r="R239" s="30" t="inlineStr">
        <is>
          <t xml:space="preserve">85001</t>
        </is>
      </c>
      <c r="S239" s="32" t="inlineStr">
        <is>
          <t xml:space="preserve">Wildfire - WUI high hazard</t>
        </is>
      </c>
      <c r="T239" s="36">
        <f>IF($A239="","",IF($S239="","",IFERROR(INDEX('[1]natural catastrophe'!$D$6:$D$17,MATCH($S239,'[1]natural catastrophe'!$B$6:$B$17,0)),"?")))</f>
      </c>
      <c r="U239" s="30" t="inlineStr">
        <is>
          <t xml:space="preserve">$5,000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9023.92</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CANON-202607-009836</t>
        </is>
      </c>
      <c r="B240" s="46" t="inlineStr">
        <is>
          <t xml:space="preserve">Aurelio Ashcombe</t>
        </is>
      </c>
      <c r="C240" s="47">
        <v>46231</v>
      </c>
      <c r="D240" s="48" t="inlineStr">
        <is>
          <t xml:space="preserve">Bound - within authority</t>
        </is>
      </c>
      <c r="E240" s="48" t="inlineStr">
        <is>
          <t xml:space="preserve">New business</t>
        </is>
      </c>
      <c r="F240" s="46" t="inlineStr">
        <is>
          <t xml:space="preserve">B1234EXOTIC26</t>
        </is>
      </c>
      <c r="G240" s="33">
        <f>IF($A240="","",IF($C240="","",YEAR($C240)))</f>
      </c>
      <c r="H240" s="49">
        <v>2020</v>
      </c>
      <c r="I240" s="46" t="inlineStr">
        <is>
          <t xml:space="preserve">McLaren</t>
        </is>
      </c>
      <c r="J240" s="46" t="inlineStr">
        <is>
          <t xml:space="preserve">750S</t>
        </is>
      </c>
      <c r="K240" s="46" t="inlineStr">
        <is>
          <t xml:space="preserve">2BZMB6215C4EXCP2U</t>
        </is>
      </c>
      <c r="L240" s="48" t="inlineStr">
        <is>
          <t xml:space="preserve">03 - Supercar</t>
        </is>
      </c>
      <c r="M240" s="50">
        <v>620000</v>
      </c>
      <c r="N240" s="48" t="inlineStr">
        <is>
          <t xml:space="preserve">Personal</t>
        </is>
      </c>
      <c r="O240" s="46" t="inlineStr">
        <is>
          <t xml:space="preserve">Personal - regular use</t>
        </is>
      </c>
      <c r="P240" s="46" t="inlineStr">
        <is>
          <t xml:space="preserve">Under 1,000</t>
        </is>
      </c>
      <c r="Q240" s="46" t="inlineStr">
        <is>
          <t xml:space="preserve">New Mexico</t>
        </is>
      </c>
      <c r="R240" s="46" t="inlineStr">
        <is>
          <t xml:space="preserve">87501</t>
        </is>
      </c>
      <c r="S240" s="48" t="inlineStr">
        <is>
          <t xml:space="preserve">Wildfire - WUI high hazard</t>
        </is>
      </c>
      <c r="T240" s="36">
        <f>IF($A240="","",IF($S240="","",IFERROR(INDEX('[1]natural catastrophe'!$D$6:$D$17,MATCH($S240,'[1]natural catastrophe'!$B$6:$B$17,0)),"?")))</f>
      </c>
      <c r="U240" s="46" t="inlineStr">
        <is>
          <t xml:space="preserve">$5,000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10825.16</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CANON-202607-009837</t>
        </is>
      </c>
      <c r="B241" s="30" t="inlineStr">
        <is>
          <t xml:space="preserve">Beatrix Fairweather</t>
        </is>
      </c>
      <c r="C241" s="31">
        <v>46220</v>
      </c>
      <c r="D241" s="32" t="inlineStr">
        <is>
          <t xml:space="preserve">Bound - within authority</t>
        </is>
      </c>
      <c r="E241" s="32" t="inlineStr">
        <is>
          <t xml:space="preserve">New business</t>
        </is>
      </c>
      <c r="F241" s="30" t="inlineStr">
        <is>
          <t xml:space="preserve">B1234EXOTIC26</t>
        </is>
      </c>
      <c r="G241" s="33">
        <f>IF($A241="","",IF($C241="","",YEAR($C241)))</f>
      </c>
      <c r="H241" s="34">
        <v>1980</v>
      </c>
      <c r="I241" s="30" t="inlineStr">
        <is>
          <t xml:space="preserve">Bentley</t>
        </is>
      </c>
      <c r="J241" s="30" t="inlineStr">
        <is>
          <t xml:space="preserve">Continental GT</t>
        </is>
      </c>
      <c r="K241" s="30" t="inlineStr">
        <is>
          <t xml:space="preserve">PABHBUC3XT38LX150</t>
        </is>
      </c>
      <c r="L241" s="32" t="inlineStr">
        <is>
          <t xml:space="preserve">02 - Sports / GT</t>
        </is>
      </c>
      <c r="M241" s="35">
        <v>255000</v>
      </c>
      <c r="N241" s="32" t="inlineStr">
        <is>
          <t xml:space="preserve">Personal</t>
        </is>
      </c>
      <c r="O241" s="30" t="inlineStr">
        <is>
          <t xml:space="preserve">Personal - regular use</t>
        </is>
      </c>
      <c r="P241" s="30" t="inlineStr">
        <is>
          <t xml:space="preserve">1,000 - 2,500</t>
        </is>
      </c>
      <c r="Q241" s="30" t="inlineStr">
        <is>
          <t xml:space="preserve">Kansas</t>
        </is>
      </c>
      <c r="R241" s="30" t="inlineStr">
        <is>
          <t xml:space="preserve">66603</t>
        </is>
      </c>
      <c r="S241" s="32" t="inlineStr">
        <is>
          <t xml:space="preserve">Severe convective - hail alley (high)</t>
        </is>
      </c>
      <c r="T241" s="36">
        <f>IF($A241="","",IF($S241="","",IFERROR(INDEX('[1]natural catastrophe'!$D$6:$D$17,MATCH($S241,'[1]natural catastrophe'!$B$6:$B$17,0)),"?")))</f>
      </c>
      <c r="U241" s="30" t="inlineStr">
        <is>
          <t xml:space="preserve">$5,000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2663.68</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CANON-202607-009839</t>
        </is>
      </c>
      <c r="B242" s="46" t="inlineStr">
        <is>
          <t xml:space="preserve">Priya Larsson</t>
        </is>
      </c>
      <c r="C242" s="47">
        <v>46231</v>
      </c>
      <c r="D242" s="48" t="inlineStr">
        <is>
          <t xml:space="preserve">Bound - within authority</t>
        </is>
      </c>
      <c r="E242" s="48" t="inlineStr">
        <is>
          <t xml:space="preserve">New business</t>
        </is>
      </c>
      <c r="F242" s="46" t="inlineStr">
        <is>
          <t xml:space="preserve">B1234EXOTIC26</t>
        </is>
      </c>
      <c r="G242" s="33">
        <f>IF($A242="","",IF($C242="","",YEAR($C242)))</f>
      </c>
      <c r="H242" s="49">
        <v>1990</v>
      </c>
      <c r="I242" s="46" t="inlineStr">
        <is>
          <t xml:space="preserve">Ferrari</t>
        </is>
      </c>
      <c r="J242" s="46" t="inlineStr">
        <is>
          <t xml:space="preserve">296 GTB</t>
        </is>
      </c>
      <c r="K242" s="46" t="inlineStr">
        <is>
          <t xml:space="preserve">L7XMDLEVB1FYTA7ZZ</t>
        </is>
      </c>
      <c r="L242" s="48" t="inlineStr">
        <is>
          <t xml:space="preserve">03 - Supercar</t>
        </is>
      </c>
      <c r="M242" s="50">
        <v>1320000</v>
      </c>
      <c r="N242" s="48" t="inlineStr">
        <is>
          <t xml:space="preserve">Personal</t>
        </is>
      </c>
      <c r="O242" s="46" t="inlineStr">
        <is>
          <t xml:space="preserve">Personal - regular use</t>
        </is>
      </c>
      <c r="P242" s="46" t="inlineStr">
        <is>
          <t xml:space="preserve">1,000 - 2,500</t>
        </is>
      </c>
      <c r="Q242" s="46" t="inlineStr">
        <is>
          <t xml:space="preserve">Connecticut</t>
        </is>
      </c>
      <c r="R242" s="46" t="inlineStr">
        <is>
          <t xml:space="preserve">06103</t>
        </is>
      </c>
      <c r="S242" s="48" t="inlineStr">
        <is>
          <t xml:space="preserve">Tier 3 - Coastal wind (25-100 miles)</t>
        </is>
      </c>
      <c r="T242" s="36">
        <f>IF($A242="","",IF($S242="","",IFERROR(INDEX('[1]natural catastrophe'!$D$6:$D$17,MATCH($S242,'[1]natural catastrophe'!$B$6:$B$17,0)),"?")))</f>
      </c>
      <c r="U242" s="46" t="inlineStr">
        <is>
          <t xml:space="preserve">2% of agreed value, minimum $10,000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16982.07</v>
      </c>
      <c r="AC242" s="51">
        <v>0</v>
      </c>
      <c r="AD242" s="38">
        <f>IF(ISNUMBER($AB242),$AB242*(1+N($AC242)),"")</f>
      </c>
      <c r="AE242" s="50">
        <v>350</v>
      </c>
      <c r="AF242" s="50">
        <v>250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CANON-202607-009840</t>
        </is>
      </c>
      <c r="B243" s="30" t="inlineStr">
        <is>
          <t xml:space="preserve">Delphine Kingsford</t>
        </is>
      </c>
      <c r="C243" s="31">
        <v>46228</v>
      </c>
      <c r="D243" s="32" t="inlineStr">
        <is>
          <t xml:space="preserve">Bound - within authority</t>
        </is>
      </c>
      <c r="E243" s="32" t="inlineStr">
        <is>
          <t xml:space="preserve">New business</t>
        </is>
      </c>
      <c r="F243" s="30" t="inlineStr">
        <is>
          <t xml:space="preserve">B1234EXOTIC26</t>
        </is>
      </c>
      <c r="G243" s="33">
        <f>IF($A243="","",IF($C243="","",YEAR($C243)))</f>
      </c>
      <c r="H243" s="34">
        <v>1998</v>
      </c>
      <c r="I243" s="30" t="inlineStr">
        <is>
          <t xml:space="preserve">Ferrari</t>
        </is>
      </c>
      <c r="J243" s="30" t="inlineStr">
        <is>
          <t xml:space="preserve">SF90 Stradale</t>
        </is>
      </c>
      <c r="K243" s="30" t="inlineStr">
        <is>
          <t xml:space="preserve">WC473W7CGSPG5TCEE</t>
        </is>
      </c>
      <c r="L243" s="32" t="inlineStr">
        <is>
          <t xml:space="preserve">03 - Supercar</t>
        </is>
      </c>
      <c r="M243" s="35">
        <v>390000</v>
      </c>
      <c r="N243" s="32" t="inlineStr">
        <is>
          <t xml:space="preserve">Personal</t>
        </is>
      </c>
      <c r="O243" s="30" t="inlineStr">
        <is>
          <t xml:space="preserve">Personal - regular use</t>
        </is>
      </c>
      <c r="P243" s="30" t="inlineStr">
        <is>
          <t xml:space="preserve">Under 1,000</t>
        </is>
      </c>
      <c r="Q243" s="30" t="inlineStr">
        <is>
          <t xml:space="preserve">Alaska</t>
        </is>
      </c>
      <c r="R243" s="30" t="inlineStr">
        <is>
          <t xml:space="preserve">99501</t>
        </is>
      </c>
      <c r="S243" s="32" t="inlineStr">
        <is>
          <t xml:space="preserve">Earthquake - high (CA, Cascadia, New Madrid)</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7341.35</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CANON-202607-009842</t>
        </is>
      </c>
      <c r="B244" s="46" t="inlineStr">
        <is>
          <t xml:space="preserve">Ingrid Chattopadhyay</t>
        </is>
      </c>
      <c r="C244" s="47">
        <v>46204</v>
      </c>
      <c r="D244" s="48" t="inlineStr">
        <is>
          <t xml:space="preserve">Bound - within authority</t>
        </is>
      </c>
      <c r="E244" s="48" t="inlineStr">
        <is>
          <t xml:space="preserve">New business</t>
        </is>
      </c>
      <c r="F244" s="46" t="inlineStr">
        <is>
          <t xml:space="preserve">B1234EXOTIC26</t>
        </is>
      </c>
      <c r="G244" s="33">
        <f>IF($A244="","",IF($C244="","",YEAR($C244)))</f>
      </c>
      <c r="H244" s="49">
        <v>1985</v>
      </c>
      <c r="I244" s="46" t="inlineStr">
        <is>
          <t xml:space="preserve">Maserati</t>
        </is>
      </c>
      <c r="J244" s="46" t="inlineStr">
        <is>
          <t xml:space="preserve">GranTurismo</t>
        </is>
      </c>
      <c r="K244" s="46" t="inlineStr">
        <is>
          <t xml:space="preserve">3JK0HGD9C8L4E6A85</t>
        </is>
      </c>
      <c r="L244" s="48" t="inlineStr">
        <is>
          <t xml:space="preserve">02 - Sports / GT</t>
        </is>
      </c>
      <c r="M244" s="50">
        <v>340000</v>
      </c>
      <c r="N244" s="48" t="inlineStr">
        <is>
          <t xml:space="preserve">Personal</t>
        </is>
      </c>
      <c r="O244" s="46" t="inlineStr">
        <is>
          <t xml:space="preserve">Personal - regular use</t>
        </is>
      </c>
      <c r="P244" s="46" t="inlineStr">
        <is>
          <t xml:space="preserve">Under 1,000</t>
        </is>
      </c>
      <c r="Q244" s="46" t="inlineStr">
        <is>
          <t xml:space="preserve">Wyoming</t>
        </is>
      </c>
      <c r="R244" s="46" t="inlineStr">
        <is>
          <t xml:space="preserve">82001</t>
        </is>
      </c>
      <c r="S244" s="48" t="inlineStr">
        <is>
          <t xml:space="preserve">Severe convective - hail alley (high)</t>
        </is>
      </c>
      <c r="T244" s="36">
        <f>IF($A244="","",IF($S244="","",IFERROR(INDEX('[1]natural catastrophe'!$D$6:$D$17,MATCH($S244,'[1]natural catastrophe'!$B$6:$B$17,0)),"?")))</f>
      </c>
      <c r="U244" s="46" t="inlineStr">
        <is>
          <t xml:space="preserve">$5,000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3917.71</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CANON-202607-009843</t>
        </is>
      </c>
      <c r="B245" s="30" t="inlineStr">
        <is>
          <t xml:space="preserve">Sunniva Whitlock</t>
        </is>
      </c>
      <c r="C245" s="31">
        <v>46207</v>
      </c>
      <c r="D245" s="32" t="inlineStr">
        <is>
          <t xml:space="preserve">Bound - within authority</t>
        </is>
      </c>
      <c r="E245" s="32" t="inlineStr">
        <is>
          <t xml:space="preserve">New business</t>
        </is>
      </c>
      <c r="F245" s="30" t="inlineStr">
        <is>
          <t xml:space="preserve">B1234EXOTIC26</t>
        </is>
      </c>
      <c r="G245" s="33">
        <f>IF($A245="","",IF($C245="","",YEAR($C245)))</f>
      </c>
      <c r="H245" s="34">
        <v>2015</v>
      </c>
      <c r="I245" s="30" t="inlineStr">
        <is>
          <t xml:space="preserve">Aston Martin</t>
        </is>
      </c>
      <c r="J245" s="30" t="inlineStr">
        <is>
          <t xml:space="preserve">DB12</t>
        </is>
      </c>
      <c r="K245" s="30" t="inlineStr">
        <is>
          <t xml:space="preserve">Z170S6Z54DRZCL9CA</t>
        </is>
      </c>
      <c r="L245" s="32" t="inlineStr">
        <is>
          <t xml:space="preserve">02 - Sports / GT</t>
        </is>
      </c>
      <c r="M245" s="35">
        <v>255000</v>
      </c>
      <c r="N245" s="32" t="inlineStr">
        <is>
          <t xml:space="preserve">Personal</t>
        </is>
      </c>
      <c r="O245" s="30" t="inlineStr">
        <is>
          <t xml:space="preserve">Personal - regular use</t>
        </is>
      </c>
      <c r="P245" s="30" t="inlineStr">
        <is>
          <t xml:space="preserve">2,500 - 5,000</t>
        </is>
      </c>
      <c r="Q245" s="30" t="inlineStr">
        <is>
          <t xml:space="preserve">Wisconsin</t>
        </is>
      </c>
      <c r="R245" s="30" t="inlineStr">
        <is>
          <t xml:space="preserve">53202</t>
        </is>
      </c>
      <c r="S245" s="32" t="inlineStr">
        <is>
          <t xml:space="preserve">Severe convective - hail / tornado (moderate)</t>
        </is>
      </c>
      <c r="T245" s="36">
        <f>IF($A245="","",IF($S245="","",IFERROR(INDEX('[1]natural catastrophe'!$D$6:$D$17,MATCH($S245,'[1]natural catastrophe'!$B$6:$B$17,0)),"?")))</f>
      </c>
      <c r="U245" s="30" t="inlineStr">
        <is>
          <t xml:space="preserve">$5,000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3295.27</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CANON-202607-009844</t>
        </is>
      </c>
      <c r="B246" s="46" t="inlineStr">
        <is>
          <t xml:space="preserve">Ramona Rourke</t>
        </is>
      </c>
      <c r="C246" s="47">
        <v>46219</v>
      </c>
      <c r="D246" s="48" t="inlineStr">
        <is>
          <t xml:space="preserve">Bound - within authority</t>
        </is>
      </c>
      <c r="E246" s="48" t="inlineStr">
        <is>
          <t xml:space="preserve">New business</t>
        </is>
      </c>
      <c r="F246" s="46" t="inlineStr">
        <is>
          <t xml:space="preserve">B1234EXOTIC26</t>
        </is>
      </c>
      <c r="G246" s="33">
        <f>IF($A246="","",IF($C246="","",YEAR($C246)))</f>
      </c>
      <c r="H246" s="49">
        <v>1962</v>
      </c>
      <c r="I246" s="46" t="inlineStr">
        <is>
          <t xml:space="preserve">Maserati</t>
        </is>
      </c>
      <c r="J246" s="46" t="inlineStr">
        <is>
          <t xml:space="preserve">GranTurismo</t>
        </is>
      </c>
      <c r="K246" s="46" t="inlineStr">
        <is>
          <t xml:space="preserve">LLYKY1YELEJ6TMPM1</t>
        </is>
      </c>
      <c r="L246" s="48" t="inlineStr">
        <is>
          <t xml:space="preserve">02 - Sports / GT</t>
        </is>
      </c>
      <c r="M246" s="50">
        <v>680000</v>
      </c>
      <c r="N246" s="48" t="inlineStr">
        <is>
          <t xml:space="preserve">Personal</t>
        </is>
      </c>
      <c r="O246" s="46" t="inlineStr">
        <is>
          <t xml:space="preserve">Personal - regular use</t>
        </is>
      </c>
      <c r="P246" s="46" t="inlineStr">
        <is>
          <t xml:space="preserve">2,500 - 5,000</t>
        </is>
      </c>
      <c r="Q246" s="46" t="inlineStr">
        <is>
          <t xml:space="preserve">Massachusetts</t>
        </is>
      </c>
      <c r="R246" s="46" t="inlineStr">
        <is>
          <t xml:space="preserve">02108</t>
        </is>
      </c>
      <c r="S246" s="48" t="inlineStr">
        <is>
          <t xml:space="preserve">Tier 3 - Coastal wind (25-100 miles)</t>
        </is>
      </c>
      <c r="T246" s="36">
        <f>IF($A246="","",IF($S246="","",IFERROR(INDEX('[1]natural catastrophe'!$D$6:$D$17,MATCH($S246,'[1]natural catastrophe'!$B$6:$B$17,0)),"?")))</f>
      </c>
      <c r="U246" s="46" t="inlineStr">
        <is>
          <t xml:space="preserve">2% of agreed value, minimum $10,000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7933.07</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CANON-202607-009845</t>
        </is>
      </c>
      <c r="B247" s="30" t="inlineStr">
        <is>
          <t xml:space="preserve">Marisol Larsson</t>
        </is>
      </c>
      <c r="C247" s="31">
        <v>46227</v>
      </c>
      <c r="D247" s="32" t="inlineStr">
        <is>
          <t xml:space="preserve">Bound - within authority</t>
        </is>
      </c>
      <c r="E247" s="32" t="inlineStr">
        <is>
          <t xml:space="preserve">New business</t>
        </is>
      </c>
      <c r="F247" s="30" t="inlineStr">
        <is>
          <t xml:space="preserve">B1234EXOTIC26</t>
        </is>
      </c>
      <c r="G247" s="33">
        <f>IF($A247="","",IF($C247="","",YEAR($C247)))</f>
      </c>
      <c r="H247" s="34">
        <v>2002</v>
      </c>
      <c r="I247" s="30" t="inlineStr">
        <is>
          <t xml:space="preserve">Ferrari</t>
        </is>
      </c>
      <c r="J247" s="30" t="inlineStr">
        <is>
          <t xml:space="preserve">SF90 Stradale</t>
        </is>
      </c>
      <c r="K247" s="30" t="inlineStr">
        <is>
          <t xml:space="preserve">206Y8JH2RWHUDT3YX</t>
        </is>
      </c>
      <c r="L247" s="32" t="inlineStr">
        <is>
          <t xml:space="preserve">03 - Supercar</t>
        </is>
      </c>
      <c r="M247" s="35">
        <v>405000</v>
      </c>
      <c r="N247" s="32" t="inlineStr">
        <is>
          <t xml:space="preserve">Personal</t>
        </is>
      </c>
      <c r="O247" s="30" t="inlineStr">
        <is>
          <t xml:space="preserve">Personal - regular use</t>
        </is>
      </c>
      <c r="P247" s="30" t="inlineStr">
        <is>
          <t xml:space="preserve">2,500 - 5,000</t>
        </is>
      </c>
      <c r="Q247" s="30" t="inlineStr">
        <is>
          <t xml:space="preserve">New York</t>
        </is>
      </c>
      <c r="R247" s="30" t="inlineStr">
        <is>
          <t xml:space="preserve">10022</t>
        </is>
      </c>
      <c r="S247" s="32" t="inlineStr">
        <is>
          <t xml:space="preserve">Tier 3 - Coastal wind (25-100 miles)</t>
        </is>
      </c>
      <c r="T247" s="36">
        <f>IF($A247="","",IF($S247="","",IFERROR(INDEX('[1]natural catastrophe'!$D$6:$D$17,MATCH($S247,'[1]natural catastrophe'!$B$6:$B$17,0)),"?")))</f>
      </c>
      <c r="U247" s="30" t="inlineStr">
        <is>
          <t xml:space="preserve">2% of agreed value, minimum $10,000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8559.96</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CANON-202607-009847</t>
        </is>
      </c>
      <c r="B248" s="46" t="inlineStr">
        <is>
          <t xml:space="preserve">Callum Farkas</t>
        </is>
      </c>
      <c r="C248" s="47">
        <v>46213</v>
      </c>
      <c r="D248" s="48" t="inlineStr">
        <is>
          <t xml:space="preserve">Bound - within authority</t>
        </is>
      </c>
      <c r="E248" s="48" t="inlineStr">
        <is>
          <t xml:space="preserve">New business</t>
        </is>
      </c>
      <c r="F248" s="46" t="inlineStr">
        <is>
          <t xml:space="preserve">B1234EXOTIC26</t>
        </is>
      </c>
      <c r="G248" s="33">
        <f>IF($A248="","",IF($C248="","",YEAR($C248)))</f>
      </c>
      <c r="H248" s="49">
        <v>2024</v>
      </c>
      <c r="I248" s="46" t="inlineStr">
        <is>
          <t xml:space="preserve">Mercedes-Benz</t>
        </is>
      </c>
      <c r="J248" s="46" t="inlineStr">
        <is>
          <t xml:space="preserve">AMG GT</t>
        </is>
      </c>
      <c r="K248" s="46" t="inlineStr">
        <is>
          <t xml:space="preserve">N20RXVKTR356E5J3J</t>
        </is>
      </c>
      <c r="L248" s="48" t="inlineStr">
        <is>
          <t xml:space="preserve">02 - Sports / GT</t>
        </is>
      </c>
      <c r="M248" s="50">
        <v>1230000</v>
      </c>
      <c r="N248" s="48" t="inlineStr">
        <is>
          <t xml:space="preserve">Personal</t>
        </is>
      </c>
      <c r="O248" s="46" t="inlineStr">
        <is>
          <t xml:space="preserve">Personal - regular use</t>
        </is>
      </c>
      <c r="P248" s="46" t="inlineStr">
        <is>
          <t xml:space="preserve">2,500 - 5,000</t>
        </is>
      </c>
      <c r="Q248" s="46" t="inlineStr">
        <is>
          <t xml:space="preserve">Montana</t>
        </is>
      </c>
      <c r="R248" s="46" t="inlineStr">
        <is>
          <t xml:space="preserve">59601</t>
        </is>
      </c>
      <c r="S248" s="48" t="inlineStr">
        <is>
          <t xml:space="preserve">Wildfire - WUI high hazard</t>
        </is>
      </c>
      <c r="T248" s="36">
        <f>IF($A248="","",IF($S248="","",IFERROR(INDEX('[1]natural catastrophe'!$D$6:$D$17,MATCH($S248,'[1]natural catastrophe'!$B$6:$B$17,0)),"?")))</f>
      </c>
      <c r="U248" s="46" t="inlineStr">
        <is>
          <t xml:space="preserve">$5,000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9033.57</v>
      </c>
      <c r="AC248" s="51">
        <v>0</v>
      </c>
      <c r="AD248" s="38">
        <f>IF(ISNUMBER($AB248),$AB248*(1+N($AC248)),"")</f>
      </c>
      <c r="AE248" s="50">
        <v>350</v>
      </c>
      <c r="AF248" s="50">
        <v>250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CANON-202607-009850</t>
        </is>
      </c>
      <c r="B249" s="30" t="inlineStr">
        <is>
          <t xml:space="preserve">Priya Thistlewood</t>
        </is>
      </c>
      <c r="C249" s="31">
        <v>46223</v>
      </c>
      <c r="D249" s="32" t="inlineStr">
        <is>
          <t xml:space="preserve">Bound - within authority</t>
        </is>
      </c>
      <c r="E249" s="32" t="inlineStr">
        <is>
          <t xml:space="preserve">New business</t>
        </is>
      </c>
      <c r="F249" s="30" t="inlineStr">
        <is>
          <t xml:space="preserve">B1234EXOTIC26</t>
        </is>
      </c>
      <c r="G249" s="33">
        <f>IF($A249="","",IF($C249="","",YEAR($C249)))</f>
      </c>
      <c r="H249" s="34">
        <v>1983</v>
      </c>
      <c r="I249" s="30" t="inlineStr">
        <is>
          <t xml:space="preserve">BMW</t>
        </is>
      </c>
      <c r="J249" s="30" t="inlineStr">
        <is>
          <t xml:space="preserve">M8 Competition</t>
        </is>
      </c>
      <c r="K249" s="30" t="inlineStr">
        <is>
          <t xml:space="preserve">3GN38ZFMLL35RH7P6</t>
        </is>
      </c>
      <c r="L249" s="32" t="inlineStr">
        <is>
          <t xml:space="preserve">02 - Sports / GT</t>
        </is>
      </c>
      <c r="M249" s="35">
        <v>630000</v>
      </c>
      <c r="N249" s="32" t="inlineStr">
        <is>
          <t xml:space="preserve">Personal</t>
        </is>
      </c>
      <c r="O249" s="30" t="inlineStr">
        <is>
          <t xml:space="preserve">Personal - regular use</t>
        </is>
      </c>
      <c r="P249" s="30" t="inlineStr">
        <is>
          <t xml:space="preserve">1,000 - 2,500</t>
        </is>
      </c>
      <c r="Q249" s="30" t="inlineStr">
        <is>
          <t xml:space="preserve">Florida</t>
        </is>
      </c>
      <c r="R249" s="30" t="inlineStr">
        <is>
          <t xml:space="preserve">33139</t>
        </is>
      </c>
      <c r="S249" s="32" t="inlineStr">
        <is>
          <t xml:space="preserve">Tier 2 - Coastal wind (1-25 miles)</t>
        </is>
      </c>
      <c r="T249" s="36">
        <f>IF($A249="","",IF($S249="","",IFERROR(INDEX('[1]natural catastrophe'!$D$6:$D$17,MATCH($S249,'[1]natural catastrophe'!$B$6:$B$17,0)),"?")))</f>
      </c>
      <c r="U249" s="30" t="inlineStr">
        <is>
          <t xml:space="preserve">2% of agreed value, minimum $10,000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8349.32</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CANON-202607-009852</t>
        </is>
      </c>
      <c r="B250" s="46" t="inlineStr">
        <is>
          <t xml:space="preserve">Priya Vasquez</t>
        </is>
      </c>
      <c r="C250" s="47">
        <v>46231</v>
      </c>
      <c r="D250" s="48" t="inlineStr">
        <is>
          <t xml:space="preserve">Bound - within authority</t>
        </is>
      </c>
      <c r="E250" s="48" t="inlineStr">
        <is>
          <t xml:space="preserve">New business</t>
        </is>
      </c>
      <c r="F250" s="46" t="inlineStr">
        <is>
          <t xml:space="preserve">B1234EXOTIC26</t>
        </is>
      </c>
      <c r="G250" s="33">
        <f>IF($A250="","",IF($C250="","",YEAR($C250)))</f>
      </c>
      <c r="H250" s="49">
        <v>1995</v>
      </c>
      <c r="I250" s="46" t="inlineStr">
        <is>
          <t xml:space="preserve">BMW</t>
        </is>
      </c>
      <c r="J250" s="46" t="inlineStr">
        <is>
          <t xml:space="preserve">M8 Competition</t>
        </is>
      </c>
      <c r="K250" s="46" t="inlineStr">
        <is>
          <t xml:space="preserve">5P5C8659S32742Y1F</t>
        </is>
      </c>
      <c r="L250" s="48" t="inlineStr">
        <is>
          <t xml:space="preserve">02 - Sports / GT</t>
        </is>
      </c>
      <c r="M250" s="50">
        <v>900000</v>
      </c>
      <c r="N250" s="48" t="inlineStr">
        <is>
          <t xml:space="preserve">Personal</t>
        </is>
      </c>
      <c r="O250" s="46" t="inlineStr">
        <is>
          <t xml:space="preserve">Personal - regular use</t>
        </is>
      </c>
      <c r="P250" s="46" t="inlineStr">
        <is>
          <t xml:space="preserve">1,000 - 2,500</t>
        </is>
      </c>
      <c r="Q250" s="46" t="inlineStr">
        <is>
          <t xml:space="preserve">New York</t>
        </is>
      </c>
      <c r="R250" s="46" t="inlineStr">
        <is>
          <t xml:space="preserve">10022</t>
        </is>
      </c>
      <c r="S250" s="48" t="inlineStr">
        <is>
          <t xml:space="preserve">Tier 3 - Coastal wind (25-100 miles)</t>
        </is>
      </c>
      <c r="T250" s="36">
        <f>IF($A250="","",IF($S250="","",IFERROR(INDEX('[1]natural catastrophe'!$D$6:$D$17,MATCH($S250,'[1]natural catastrophe'!$B$6:$B$17,0)),"?")))</f>
      </c>
      <c r="U250" s="46" t="inlineStr">
        <is>
          <t xml:space="preserve">2% of agreed value, minimum $10,000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10751.64</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CANON-202607-009855</t>
        </is>
      </c>
      <c r="B251" s="30" t="inlineStr">
        <is>
          <t xml:space="preserve">Mireille Pennington</t>
        </is>
      </c>
      <c r="C251" s="31">
        <v>46230</v>
      </c>
      <c r="D251" s="32" t="inlineStr">
        <is>
          <t xml:space="preserve">Bound - within authority</t>
        </is>
      </c>
      <c r="E251" s="32" t="inlineStr">
        <is>
          <t xml:space="preserve">New business</t>
        </is>
      </c>
      <c r="F251" s="30" t="inlineStr">
        <is>
          <t xml:space="preserve">B1234EXOTIC26</t>
        </is>
      </c>
      <c r="G251" s="33">
        <f>IF($A251="","",IF($C251="","",YEAR($C251)))</f>
      </c>
      <c r="H251" s="34">
        <v>1986</v>
      </c>
      <c r="I251" s="30" t="inlineStr">
        <is>
          <t xml:space="preserve">Mercedes-Benz</t>
        </is>
      </c>
      <c r="J251" s="30" t="inlineStr">
        <is>
          <t xml:space="preserve">AMG GT</t>
        </is>
      </c>
      <c r="K251" s="30" t="inlineStr">
        <is>
          <t xml:space="preserve">UMSG4J9L79KWSS1CC</t>
        </is>
      </c>
      <c r="L251" s="32" t="inlineStr">
        <is>
          <t xml:space="preserve">02 - Sports / GT</t>
        </is>
      </c>
      <c r="M251" s="35">
        <v>445000</v>
      </c>
      <c r="N251" s="32" t="inlineStr">
        <is>
          <t xml:space="preserve">Personal</t>
        </is>
      </c>
      <c r="O251" s="30" t="inlineStr">
        <is>
          <t xml:space="preserve">Personal - regular use</t>
        </is>
      </c>
      <c r="P251" s="30" t="inlineStr">
        <is>
          <t xml:space="preserve">Under 1,000</t>
        </is>
      </c>
      <c r="Q251" s="30" t="inlineStr">
        <is>
          <t xml:space="preserve">Pennsylvania</t>
        </is>
      </c>
      <c r="R251" s="30" t="inlineStr">
        <is>
          <t xml:space="preserve">19103</t>
        </is>
      </c>
      <c r="S251" s="32" t="inlineStr">
        <is>
          <t xml:space="preserve">Low hazard - inland benign</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4792.15</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CANON-202607-009859</t>
        </is>
      </c>
      <c r="B252" s="46" t="inlineStr">
        <is>
          <t xml:space="preserve">Priya Kingsford</t>
        </is>
      </c>
      <c r="C252" s="47">
        <v>46223</v>
      </c>
      <c r="D252" s="48" t="inlineStr">
        <is>
          <t xml:space="preserve">Bound - within authority</t>
        </is>
      </c>
      <c r="E252" s="48" t="inlineStr">
        <is>
          <t xml:space="preserve">New business</t>
        </is>
      </c>
      <c r="F252" s="46" t="inlineStr">
        <is>
          <t xml:space="preserve">B1234EXOTIC26</t>
        </is>
      </c>
      <c r="G252" s="33">
        <f>IF($A252="","",IF($C252="","",YEAR($C252)))</f>
      </c>
      <c r="H252" s="49">
        <v>1966</v>
      </c>
      <c r="I252" s="46" t="inlineStr">
        <is>
          <t xml:space="preserve">Ferrari</t>
        </is>
      </c>
      <c r="J252" s="46" t="inlineStr">
        <is>
          <t xml:space="preserve">275 GTB/4</t>
        </is>
      </c>
      <c r="K252" s="46" t="inlineStr">
        <is>
          <t xml:space="preserve">JBJKLW1SMH1TVUN60</t>
        </is>
      </c>
      <c r="L252" s="48" t="inlineStr">
        <is>
          <t xml:space="preserve">07 - Post-War Classic (1946-1972)</t>
        </is>
      </c>
      <c r="M252" s="50">
        <v>660000</v>
      </c>
      <c r="N252" s="48" t="inlineStr">
        <is>
          <t xml:space="preserve">Personal</t>
        </is>
      </c>
      <c r="O252" s="46" t="inlineStr">
        <is>
          <t xml:space="preserve">Personal - regular use</t>
        </is>
      </c>
      <c r="P252" s="46" t="inlineStr">
        <is>
          <t xml:space="preserve">Under 1,000</t>
        </is>
      </c>
      <c r="Q252" s="46" t="inlineStr">
        <is>
          <t xml:space="preserve">Delaware</t>
        </is>
      </c>
      <c r="R252" s="46" t="inlineStr">
        <is>
          <t xml:space="preserve">19801</t>
        </is>
      </c>
      <c r="S252" s="48" t="inlineStr">
        <is>
          <t xml:space="preserve">Tier 3 - Coastal wind (25-100 miles)</t>
        </is>
      </c>
      <c r="T252" s="36">
        <f>IF($A252="","",IF($S252="","",IFERROR(INDEX('[1]natural catastrophe'!$D$6:$D$17,MATCH($S252,'[1]natural catastrophe'!$B$6:$B$17,0)),"?")))</f>
      </c>
      <c r="U252" s="46" t="inlineStr">
        <is>
          <t xml:space="preserve">2% of agreed value, minimum $10,000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5093.68</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CANON-202607-009861</t>
        </is>
      </c>
      <c r="B253" s="30" t="inlineStr">
        <is>
          <t xml:space="preserve">Ottilie Thistlewood</t>
        </is>
      </c>
      <c r="C253" s="31">
        <v>46230</v>
      </c>
      <c r="D253" s="32" t="inlineStr">
        <is>
          <t xml:space="preserve">Bound - within authority</t>
        </is>
      </c>
      <c r="E253" s="32" t="inlineStr">
        <is>
          <t xml:space="preserve">New business</t>
        </is>
      </c>
      <c r="F253" s="30" t="inlineStr">
        <is>
          <t xml:space="preserve">B1234EXOTIC26</t>
        </is>
      </c>
      <c r="G253" s="33">
        <f>IF($A253="","",IF($C253="","",YEAR($C253)))</f>
      </c>
      <c r="H253" s="34">
        <v>1972</v>
      </c>
      <c r="I253" s="30" t="inlineStr">
        <is>
          <t xml:space="preserve">Maserati</t>
        </is>
      </c>
      <c r="J253" s="30" t="inlineStr">
        <is>
          <t xml:space="preserve">GranTurismo</t>
        </is>
      </c>
      <c r="K253" s="30" t="inlineStr">
        <is>
          <t xml:space="preserve">HECX0BSG1BVL8CEYP</t>
        </is>
      </c>
      <c r="L253" s="32" t="inlineStr">
        <is>
          <t xml:space="preserve">02 - Sports / GT</t>
        </is>
      </c>
      <c r="M253" s="35">
        <v>405000</v>
      </c>
      <c r="N253" s="32" t="inlineStr">
        <is>
          <t xml:space="preserve">Personal</t>
        </is>
      </c>
      <c r="O253" s="30" t="inlineStr">
        <is>
          <t xml:space="preserve">Personal - regular use</t>
        </is>
      </c>
      <c r="P253" s="30" t="inlineStr">
        <is>
          <t xml:space="preserve">1,000 - 2,500</t>
        </is>
      </c>
      <c r="Q253" s="30" t="inlineStr">
        <is>
          <t xml:space="preserve">Delaware</t>
        </is>
      </c>
      <c r="R253" s="30" t="inlineStr">
        <is>
          <t xml:space="preserve">19801</t>
        </is>
      </c>
      <c r="S253" s="32" t="inlineStr">
        <is>
          <t xml:space="preserve">Tier 3 - Coastal wind (25-100 miles)</t>
        </is>
      </c>
      <c r="T253" s="36">
        <f>IF($A253="","",IF($S253="","",IFERROR(INDEX('[1]natural catastrophe'!$D$6:$D$17,MATCH($S253,'[1]natural catastrophe'!$B$6:$B$17,0)),"?")))</f>
      </c>
      <c r="U253" s="30" t="inlineStr">
        <is>
          <t xml:space="preserve">2% of agreed value, minimum $10,000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5451.74</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CANON-202607-009862</t>
        </is>
      </c>
      <c r="B254" s="46" t="inlineStr">
        <is>
          <t xml:space="preserve">Priya Vandermeer</t>
        </is>
      </c>
      <c r="C254" s="47">
        <v>46211</v>
      </c>
      <c r="D254" s="48" t="inlineStr">
        <is>
          <t xml:space="preserve">Bound - within authority</t>
        </is>
      </c>
      <c r="E254" s="48" t="inlineStr">
        <is>
          <t xml:space="preserve">New business</t>
        </is>
      </c>
      <c r="F254" s="46" t="inlineStr">
        <is>
          <t xml:space="preserve">B1234EXOTIC26</t>
        </is>
      </c>
      <c r="G254" s="33">
        <f>IF($A254="","",IF($C254="","",YEAR($C254)))</f>
      </c>
      <c r="H254" s="49">
        <v>1976</v>
      </c>
      <c r="I254" s="46" t="inlineStr">
        <is>
          <t xml:space="preserve">Ferrari</t>
        </is>
      </c>
      <c r="J254" s="46" t="inlineStr">
        <is>
          <t xml:space="preserve">296 GTB</t>
        </is>
      </c>
      <c r="K254" s="46" t="inlineStr">
        <is>
          <t xml:space="preserve">0CB4MFFHPGU3S5G6E</t>
        </is>
      </c>
      <c r="L254" s="48" t="inlineStr">
        <is>
          <t xml:space="preserve">03 - Supercar</t>
        </is>
      </c>
      <c r="M254" s="50">
        <v>745000</v>
      </c>
      <c r="N254" s="48" t="inlineStr">
        <is>
          <t xml:space="preserve">Personal</t>
        </is>
      </c>
      <c r="O254" s="46" t="inlineStr">
        <is>
          <t xml:space="preserve">Personal - regular use</t>
        </is>
      </c>
      <c r="P254" s="46" t="inlineStr">
        <is>
          <t xml:space="preserve">Under 1,000</t>
        </is>
      </c>
      <c r="Q254" s="46" t="inlineStr">
        <is>
          <t xml:space="preserve">Louisiana</t>
        </is>
      </c>
      <c r="R254" s="46" t="inlineStr">
        <is>
          <t xml:space="preserve">70112</t>
        </is>
      </c>
      <c r="S254" s="48" t="inlineStr">
        <is>
          <t xml:space="preserve">Tier 2 - Coastal wind (1-25 miles)</t>
        </is>
      </c>
      <c r="T254" s="36">
        <f>IF($A254="","",IF($S254="","",IFERROR(INDEX('[1]natural catastrophe'!$D$6:$D$17,MATCH($S254,'[1]natural catastrophe'!$B$6:$B$17,0)),"?")))</f>
      </c>
      <c r="U254" s="46" t="inlineStr">
        <is>
          <t xml:space="preserve">2% of agreed value, minimum $10,000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12296.29</v>
      </c>
      <c r="AC254" s="51">
        <v>0</v>
      </c>
      <c r="AD254" s="38">
        <f>IF(ISNUMBER($AB254),$AB254*(1+N($AC254)),"")</f>
      </c>
      <c r="AE254" s="50">
        <v>350</v>
      </c>
      <c r="AF254" s="50">
        <v>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CANON-202607-009864</t>
        </is>
      </c>
      <c r="B255" s="30" t="inlineStr">
        <is>
          <t xml:space="preserve">Anouk Montoya</t>
        </is>
      </c>
      <c r="C255" s="31">
        <v>46204</v>
      </c>
      <c r="D255" s="32" t="inlineStr">
        <is>
          <t xml:space="preserve">Bound - within authority</t>
        </is>
      </c>
      <c r="E255" s="32" t="inlineStr">
        <is>
          <t xml:space="preserve">New business</t>
        </is>
      </c>
      <c r="F255" s="30" t="inlineStr">
        <is>
          <t xml:space="preserve">B1234EXOTIC26</t>
        </is>
      </c>
      <c r="G255" s="33">
        <f>IF($A255="","",IF($C255="","",YEAR($C255)))</f>
      </c>
      <c r="H255" s="34">
        <v>1996</v>
      </c>
      <c r="I255" s="30" t="inlineStr">
        <is>
          <t xml:space="preserve">Aston Martin</t>
        </is>
      </c>
      <c r="J255" s="30" t="inlineStr">
        <is>
          <t xml:space="preserve">DB5</t>
        </is>
      </c>
      <c r="K255" s="30" t="inlineStr">
        <is>
          <t xml:space="preserve">ZS0SW7W72XGT2D6UL</t>
        </is>
      </c>
      <c r="L255" s="32" t="inlineStr">
        <is>
          <t xml:space="preserve">08 - Modern Classic (1973-1999)</t>
        </is>
      </c>
      <c r="M255" s="35">
        <v>610000</v>
      </c>
      <c r="N255" s="32" t="inlineStr">
        <is>
          <t xml:space="preserve">Personal</t>
        </is>
      </c>
      <c r="O255" s="30" t="inlineStr">
        <is>
          <t xml:space="preserve">Personal - regular use</t>
        </is>
      </c>
      <c r="P255" s="30" t="inlineStr">
        <is>
          <t xml:space="preserve">1,000 - 2,500</t>
        </is>
      </c>
      <c r="Q255" s="30" t="inlineStr">
        <is>
          <t xml:space="preserve">Texas</t>
        </is>
      </c>
      <c r="R255" s="30" t="inlineStr">
        <is>
          <t xml:space="preserve">75201</t>
        </is>
      </c>
      <c r="S255" s="32" t="inlineStr">
        <is>
          <t xml:space="preserve">Tier 2 - Coastal wind (1-25 miles)</t>
        </is>
      </c>
      <c r="T255" s="36">
        <f>IF($A255="","",IF($S255="","",IFERROR(INDEX('[1]natural catastrophe'!$D$6:$D$17,MATCH($S255,'[1]natural catastrophe'!$B$6:$B$17,0)),"?")))</f>
      </c>
      <c r="U255" s="30" t="inlineStr">
        <is>
          <t xml:space="preserve">2% of agreed value, minimum $10,000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4331.17</v>
      </c>
      <c r="AC255" s="37">
        <v>0</v>
      </c>
      <c r="AD255" s="38">
        <f>IF(ISNUMBER($AB255),$AB255*(1+N($AC255)),"")</f>
      </c>
      <c r="AE255" s="35">
        <v>350</v>
      </c>
      <c r="AF255" s="35">
        <v>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CANON-202607-009865</t>
        </is>
      </c>
      <c r="B256" s="46" t="inlineStr">
        <is>
          <t xml:space="preserve">Anouk Whitlock</t>
        </is>
      </c>
      <c r="C256" s="47">
        <v>46228</v>
      </c>
      <c r="D256" s="48" t="inlineStr">
        <is>
          <t xml:space="preserve">Bound - within authority</t>
        </is>
      </c>
      <c r="E256" s="48" t="inlineStr">
        <is>
          <t xml:space="preserve">New business</t>
        </is>
      </c>
      <c r="F256" s="46" t="inlineStr">
        <is>
          <t xml:space="preserve">B1234EXOTIC26</t>
        </is>
      </c>
      <c r="G256" s="33">
        <f>IF($A256="","",IF($C256="","",YEAR($C256)))</f>
      </c>
      <c r="H256" s="49">
        <v>2012</v>
      </c>
      <c r="I256" s="46" t="inlineStr">
        <is>
          <t xml:space="preserve">Maserati</t>
        </is>
      </c>
      <c r="J256" s="46" t="inlineStr">
        <is>
          <t xml:space="preserve">GranTurismo</t>
        </is>
      </c>
      <c r="K256" s="46" t="inlineStr">
        <is>
          <t xml:space="preserve">BFJ598W13T0TP9AXG</t>
        </is>
      </c>
      <c r="L256" s="48" t="inlineStr">
        <is>
          <t xml:space="preserve">02 - Sports / GT</t>
        </is>
      </c>
      <c r="M256" s="50">
        <v>390000</v>
      </c>
      <c r="N256" s="48" t="inlineStr">
        <is>
          <t xml:space="preserve">Personal</t>
        </is>
      </c>
      <c r="O256" s="46" t="inlineStr">
        <is>
          <t xml:space="preserve">Personal - regular use</t>
        </is>
      </c>
      <c r="P256" s="46" t="inlineStr">
        <is>
          <t xml:space="preserve">Under 1,000</t>
        </is>
      </c>
      <c r="Q256" s="46" t="inlineStr">
        <is>
          <t xml:space="preserve">Maryland</t>
        </is>
      </c>
      <c r="R256" s="46" t="inlineStr">
        <is>
          <t xml:space="preserve">21201</t>
        </is>
      </c>
      <c r="S256" s="48" t="inlineStr">
        <is>
          <t xml:space="preserve">Tier 3 - Coastal wind (25-100 miles)</t>
        </is>
      </c>
      <c r="T256" s="36">
        <f>IF($A256="","",IF($S256="","",IFERROR(INDEX('[1]natural catastrophe'!$D$6:$D$17,MATCH($S256,'[1]natural catastrophe'!$B$6:$B$17,0)),"?")))</f>
      </c>
      <c r="U256" s="46" t="inlineStr">
        <is>
          <t xml:space="preserve">2% of agreed value, minimum $10,000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3989.86</v>
      </c>
      <c r="AC256" s="51">
        <v>0</v>
      </c>
      <c r="AD256" s="38">
        <f>IF(ISNUMBER($AB256),$AB256*(1+N($AC256)),"")</f>
      </c>
      <c r="AE256" s="50">
        <v>350</v>
      </c>
      <c r="AF256" s="50">
        <v>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CANON-202607-009867</t>
        </is>
      </c>
      <c r="B257" s="30" t="inlineStr">
        <is>
          <t xml:space="preserve">Cassius Bellandi</t>
        </is>
      </c>
      <c r="C257" s="31">
        <v>46204</v>
      </c>
      <c r="D257" s="32" t="inlineStr">
        <is>
          <t xml:space="preserve">Bound - within authority</t>
        </is>
      </c>
      <c r="E257" s="32" t="inlineStr">
        <is>
          <t xml:space="preserve">New business</t>
        </is>
      </c>
      <c r="F257" s="30" t="inlineStr">
        <is>
          <t xml:space="preserve">B1234EXOTIC26</t>
        </is>
      </c>
      <c r="G257" s="33">
        <f>IF($A257="","",IF($C257="","",YEAR($C257)))</f>
      </c>
      <c r="H257" s="34">
        <v>1957</v>
      </c>
      <c r="I257" s="30" t="inlineStr">
        <is>
          <t xml:space="preserve">Ferrari</t>
        </is>
      </c>
      <c r="J257" s="30" t="inlineStr">
        <is>
          <t xml:space="preserve">296 GTB</t>
        </is>
      </c>
      <c r="K257" s="30" t="inlineStr">
        <is>
          <t xml:space="preserve">GJPS4RP7YWDX5EXS1</t>
        </is>
      </c>
      <c r="L257" s="32" t="inlineStr">
        <is>
          <t xml:space="preserve">03 - Supercar</t>
        </is>
      </c>
      <c r="M257" s="35">
        <v>1950000</v>
      </c>
      <c r="N257" s="32" t="inlineStr">
        <is>
          <t xml:space="preserve">Personal</t>
        </is>
      </c>
      <c r="O257" s="30" t="inlineStr">
        <is>
          <t xml:space="preserve">Personal - regular use</t>
        </is>
      </c>
      <c r="P257" s="30" t="inlineStr">
        <is>
          <t xml:space="preserve">Under 1,000</t>
        </is>
      </c>
      <c r="Q257" s="30" t="inlineStr">
        <is>
          <t xml:space="preserve">Washington</t>
        </is>
      </c>
      <c r="R257" s="30" t="inlineStr">
        <is>
          <t xml:space="preserve">98101</t>
        </is>
      </c>
      <c r="S257" s="32" t="inlineStr">
        <is>
          <t xml:space="preserve">Earthquake - high (CA, Cascadia, New Madrid)</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21503.27</v>
      </c>
      <c r="AC257" s="37">
        <v>0</v>
      </c>
      <c r="AD257" s="38">
        <f>IF(ISNUMBER($AB257),$AB257*(1+N($AC257)),"")</f>
      </c>
      <c r="AE257" s="35">
        <v>350</v>
      </c>
      <c r="AF257" s="35">
        <v>250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CANON-202607-009868</t>
        </is>
      </c>
      <c r="B258" s="46" t="inlineStr">
        <is>
          <t xml:space="preserve">Saoirse Montoya</t>
        </is>
      </c>
      <c r="C258" s="47">
        <v>46210</v>
      </c>
      <c r="D258" s="48" t="inlineStr">
        <is>
          <t xml:space="preserve">Bound - within authority</t>
        </is>
      </c>
      <c r="E258" s="48" t="inlineStr">
        <is>
          <t xml:space="preserve">New business</t>
        </is>
      </c>
      <c r="F258" s="46" t="inlineStr">
        <is>
          <t xml:space="preserve">B1234EXOTIC26</t>
        </is>
      </c>
      <c r="G258" s="33">
        <f>IF($A258="","",IF($C258="","",YEAR($C258)))</f>
      </c>
      <c r="H258" s="49">
        <v>1993</v>
      </c>
      <c r="I258" s="46" t="inlineStr">
        <is>
          <t xml:space="preserve">Bentley</t>
        </is>
      </c>
      <c r="J258" s="46" t="inlineStr">
        <is>
          <t xml:space="preserve">Continental GT</t>
        </is>
      </c>
      <c r="K258" s="46" t="inlineStr">
        <is>
          <t xml:space="preserve">GL3UGWRSJXWLHFXN2</t>
        </is>
      </c>
      <c r="L258" s="48" t="inlineStr">
        <is>
          <t xml:space="preserve">02 - Sports / GT</t>
        </is>
      </c>
      <c r="M258" s="50">
        <v>405000</v>
      </c>
      <c r="N258" s="48" t="inlineStr">
        <is>
          <t xml:space="preserve">Personal</t>
        </is>
      </c>
      <c r="O258" s="46" t="inlineStr">
        <is>
          <t xml:space="preserve">Personal - regular use</t>
        </is>
      </c>
      <c r="P258" s="46" t="inlineStr">
        <is>
          <t xml:space="preserve">2,500 - 5,000</t>
        </is>
      </c>
      <c r="Q258" s="46" t="inlineStr">
        <is>
          <t xml:space="preserve">New Jersey</t>
        </is>
      </c>
      <c r="R258" s="46" t="inlineStr">
        <is>
          <t xml:space="preserve">07102</t>
        </is>
      </c>
      <c r="S258" s="48" t="inlineStr">
        <is>
          <t xml:space="preserve">Tier 3 - Coastal wind (25-100 miles)</t>
        </is>
      </c>
      <c r="T258" s="36">
        <f>IF($A258="","",IF($S258="","",IFERROR(INDEX('[1]natural catastrophe'!$D$6:$D$17,MATCH($S258,'[1]natural catastrophe'!$B$6:$B$17,0)),"?")))</f>
      </c>
      <c r="U258" s="46" t="inlineStr">
        <is>
          <t xml:space="preserve">2% of agreed value, minimum $10,000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3968.87</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CANON-202607-009870</t>
        </is>
      </c>
      <c r="B259" s="30" t="inlineStr">
        <is>
          <t xml:space="preserve">Fenwick Delacroix</t>
        </is>
      </c>
      <c r="C259" s="31">
        <v>46221</v>
      </c>
      <c r="D259" s="32" t="inlineStr">
        <is>
          <t xml:space="preserve">Bound - within authority</t>
        </is>
      </c>
      <c r="E259" s="32" t="inlineStr">
        <is>
          <t xml:space="preserve">New business</t>
        </is>
      </c>
      <c r="F259" s="30" t="inlineStr">
        <is>
          <t xml:space="preserve">B1234EXOTIC26</t>
        </is>
      </c>
      <c r="G259" s="33">
        <f>IF($A259="","",IF($C259="","",YEAR($C259)))</f>
      </c>
      <c r="H259" s="34">
        <v>1958</v>
      </c>
      <c r="I259" s="30" t="inlineStr">
        <is>
          <t xml:space="preserve">BMW</t>
        </is>
      </c>
      <c r="J259" s="30" t="inlineStr">
        <is>
          <t xml:space="preserve">M8 Competition</t>
        </is>
      </c>
      <c r="K259" s="30" t="inlineStr">
        <is>
          <t xml:space="preserve">6LE3X9NJAH4PRJG21</t>
        </is>
      </c>
      <c r="L259" s="32" t="inlineStr">
        <is>
          <t xml:space="preserve">02 - Sports / GT</t>
        </is>
      </c>
      <c r="M259" s="35">
        <v>905000</v>
      </c>
      <c r="N259" s="32" t="inlineStr">
        <is>
          <t xml:space="preserve">Personal</t>
        </is>
      </c>
      <c r="O259" s="30" t="inlineStr">
        <is>
          <t xml:space="preserve">Personal - regular use</t>
        </is>
      </c>
      <c r="P259" s="30" t="inlineStr">
        <is>
          <t xml:space="preserve">1,000 - 2,500</t>
        </is>
      </c>
      <c r="Q259" s="30" t="inlineStr">
        <is>
          <t xml:space="preserve">New Mexico</t>
        </is>
      </c>
      <c r="R259" s="30" t="inlineStr">
        <is>
          <t xml:space="preserve">87501</t>
        </is>
      </c>
      <c r="S259" s="32" t="inlineStr">
        <is>
          <t xml:space="preserve">Wildfire - WUI high hazard</t>
        </is>
      </c>
      <c r="T259" s="36">
        <f>IF($A259="","",IF($S259="","",IFERROR(INDEX('[1]natural catastrophe'!$D$6:$D$17,MATCH($S259,'[1]natural catastrophe'!$B$6:$B$17,0)),"?")))</f>
      </c>
      <c r="U259" s="30" t="inlineStr">
        <is>
          <t xml:space="preserve">$5,000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10811.37</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CANON-202607-009871</t>
        </is>
      </c>
      <c r="B260" s="46" t="inlineStr">
        <is>
          <t xml:space="preserve">Sunniva Pennington</t>
        </is>
      </c>
      <c r="C260" s="47">
        <v>46225</v>
      </c>
      <c r="D260" s="48" t="inlineStr">
        <is>
          <t xml:space="preserve">Bound - within authority</t>
        </is>
      </c>
      <c r="E260" s="48" t="inlineStr">
        <is>
          <t xml:space="preserve">New business</t>
        </is>
      </c>
      <c r="F260" s="46" t="inlineStr">
        <is>
          <t xml:space="preserve">B1234EXOTIC26</t>
        </is>
      </c>
      <c r="G260" s="33">
        <f>IF($A260="","",IF($C260="","",YEAR($C260)))</f>
      </c>
      <c r="H260" s="49">
        <v>2024</v>
      </c>
      <c r="I260" s="46" t="inlineStr">
        <is>
          <t xml:space="preserve">McLaren</t>
        </is>
      </c>
      <c r="J260" s="46" t="inlineStr">
        <is>
          <t xml:space="preserve">750S</t>
        </is>
      </c>
      <c r="K260" s="46" t="inlineStr">
        <is>
          <t xml:space="preserve">GAB8L3LK48F0VR2HU</t>
        </is>
      </c>
      <c r="L260" s="48" t="inlineStr">
        <is>
          <t xml:space="preserve">03 - Supercar</t>
        </is>
      </c>
      <c r="M260" s="50">
        <v>525000</v>
      </c>
      <c r="N260" s="48" t="inlineStr">
        <is>
          <t xml:space="preserve">Personal</t>
        </is>
      </c>
      <c r="O260" s="46" t="inlineStr">
        <is>
          <t xml:space="preserve">Personal - regular use</t>
        </is>
      </c>
      <c r="P260" s="46" t="inlineStr">
        <is>
          <t xml:space="preserve">Under 1,000</t>
        </is>
      </c>
      <c r="Q260" s="46" t="inlineStr">
        <is>
          <t xml:space="preserve">Delaware</t>
        </is>
      </c>
      <c r="R260" s="46" t="inlineStr">
        <is>
          <t xml:space="preserve">19801</t>
        </is>
      </c>
      <c r="S260" s="48" t="inlineStr">
        <is>
          <t xml:space="preserve">Tier 3 - Coastal wind (25-100 miles)</t>
        </is>
      </c>
      <c r="T260" s="36">
        <f>IF($A260="","",IF($S260="","",IFERROR(INDEX('[1]natural catastrophe'!$D$6:$D$17,MATCH($S260,'[1]natural catastrophe'!$B$6:$B$17,0)),"?")))</f>
      </c>
      <c r="U260" s="46" t="inlineStr">
        <is>
          <t xml:space="preserve">2% of agreed value, minimum $10,000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8951.62</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CANON-202607-009872</t>
        </is>
      </c>
      <c r="B261" s="30" t="inlineStr">
        <is>
          <t xml:space="preserve">Aurelio Castellanos</t>
        </is>
      </c>
      <c r="C261" s="31">
        <v>46217</v>
      </c>
      <c r="D261" s="32" t="inlineStr">
        <is>
          <t xml:space="preserve">Bound - within authority</t>
        </is>
      </c>
      <c r="E261" s="32" t="inlineStr">
        <is>
          <t xml:space="preserve">New business</t>
        </is>
      </c>
      <c r="F261" s="30" t="inlineStr">
        <is>
          <t xml:space="preserve">B1234EXOTIC26</t>
        </is>
      </c>
      <c r="G261" s="33">
        <f>IF($A261="","",IF($C261="","",YEAR($C261)))</f>
      </c>
      <c r="H261" s="34">
        <v>1981</v>
      </c>
      <c r="I261" s="30" t="inlineStr">
        <is>
          <t xml:space="preserve">Aston Martin</t>
        </is>
      </c>
      <c r="J261" s="30" t="inlineStr">
        <is>
          <t xml:space="preserve">DB12</t>
        </is>
      </c>
      <c r="K261" s="30" t="inlineStr">
        <is>
          <t xml:space="preserve">A5ZHCKG82FCJ73L6Y</t>
        </is>
      </c>
      <c r="L261" s="32" t="inlineStr">
        <is>
          <t xml:space="preserve">02 - Sports / GT</t>
        </is>
      </c>
      <c r="M261" s="35">
        <v>865000</v>
      </c>
      <c r="N261" s="32" t="inlineStr">
        <is>
          <t xml:space="preserve">Personal</t>
        </is>
      </c>
      <c r="O261" s="30" t="inlineStr">
        <is>
          <t xml:space="preserve">Personal - regular use</t>
        </is>
      </c>
      <c r="P261" s="30" t="inlineStr">
        <is>
          <t xml:space="preserve">1,000 - 2,500</t>
        </is>
      </c>
      <c r="Q261" s="30" t="inlineStr">
        <is>
          <t xml:space="preserve">North Dakota</t>
        </is>
      </c>
      <c r="R261" s="30" t="inlineStr">
        <is>
          <t xml:space="preserve">58501</t>
        </is>
      </c>
      <c r="S261" s="32" t="inlineStr">
        <is>
          <t xml:space="preserve">Severe convective - hail alley (high)</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8234.52</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CANON-202607-009874</t>
        </is>
      </c>
      <c r="B262" s="46" t="inlineStr">
        <is>
          <t xml:space="preserve">Marisol Underwood</t>
        </is>
      </c>
      <c r="C262" s="47">
        <v>46211</v>
      </c>
      <c r="D262" s="48" t="inlineStr">
        <is>
          <t xml:space="preserve">Bound - within authority</t>
        </is>
      </c>
      <c r="E262" s="48" t="inlineStr">
        <is>
          <t xml:space="preserve">New business</t>
        </is>
      </c>
      <c r="F262" s="46" t="inlineStr">
        <is>
          <t xml:space="preserve">B1234EXOTIC26</t>
        </is>
      </c>
      <c r="G262" s="33">
        <f>IF($A262="","",IF($C262="","",YEAR($C262)))</f>
      </c>
      <c r="H262" s="49">
        <v>1966</v>
      </c>
      <c r="I262" s="46" t="inlineStr">
        <is>
          <t xml:space="preserve">Porsche</t>
        </is>
      </c>
      <c r="J262" s="46" t="inlineStr">
        <is>
          <t xml:space="preserve">911 Turbo S</t>
        </is>
      </c>
      <c r="K262" s="46" t="inlineStr">
        <is>
          <t xml:space="preserve">BRLJ5VTJUNREJ4J2G</t>
        </is>
      </c>
      <c r="L262" s="48" t="inlineStr">
        <is>
          <t xml:space="preserve">02 - Sports / GT</t>
        </is>
      </c>
      <c r="M262" s="50">
        <v>455000</v>
      </c>
      <c r="N262" s="48" t="inlineStr">
        <is>
          <t xml:space="preserve">Personal</t>
        </is>
      </c>
      <c r="O262" s="46" t="inlineStr">
        <is>
          <t xml:space="preserve">Personal - regular use</t>
        </is>
      </c>
      <c r="P262" s="46" t="inlineStr">
        <is>
          <t xml:space="preserve">2,500 - 5,000</t>
        </is>
      </c>
      <c r="Q262" s="46" t="inlineStr">
        <is>
          <t xml:space="preserve">West Virginia</t>
        </is>
      </c>
      <c r="R262" s="46" t="inlineStr">
        <is>
          <t xml:space="preserve">25301</t>
        </is>
      </c>
      <c r="S262" s="48" t="inlineStr">
        <is>
          <t xml:space="preserve">Low hazard - inland benign</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6516.78</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CANON-202607-009875</t>
        </is>
      </c>
      <c r="B263" s="30" t="inlineStr">
        <is>
          <t xml:space="preserve">Beatrix Vasquez</t>
        </is>
      </c>
      <c r="C263" s="31">
        <v>46228</v>
      </c>
      <c r="D263" s="32" t="inlineStr">
        <is>
          <t xml:space="preserve">Bound - within authority</t>
        </is>
      </c>
      <c r="E263" s="32" t="inlineStr">
        <is>
          <t xml:space="preserve">New business</t>
        </is>
      </c>
      <c r="F263" s="30" t="inlineStr">
        <is>
          <t xml:space="preserve">B1234EXOTIC26</t>
        </is>
      </c>
      <c r="G263" s="33">
        <f>IF($A263="","",IF($C263="","",YEAR($C263)))</f>
      </c>
      <c r="H263" s="34">
        <v>1969</v>
      </c>
      <c r="I263" s="30" t="inlineStr">
        <is>
          <t xml:space="preserve">Lamborghini</t>
        </is>
      </c>
      <c r="J263" s="30" t="inlineStr">
        <is>
          <t xml:space="preserve">Huracan EVO</t>
        </is>
      </c>
      <c r="K263" s="30" t="inlineStr">
        <is>
          <t xml:space="preserve">W9JA13TBHCJ3FNMC9</t>
        </is>
      </c>
      <c r="L263" s="32" t="inlineStr">
        <is>
          <t xml:space="preserve">03 - Supercar</t>
        </is>
      </c>
      <c r="M263" s="35">
        <v>875000</v>
      </c>
      <c r="N263" s="32" t="inlineStr">
        <is>
          <t xml:space="preserve">Personal</t>
        </is>
      </c>
      <c r="O263" s="30" t="inlineStr">
        <is>
          <t xml:space="preserve">Personal - regular use</t>
        </is>
      </c>
      <c r="P263" s="30" t="inlineStr">
        <is>
          <t xml:space="preserve">Under 1,000</t>
        </is>
      </c>
      <c r="Q263" s="30" t="inlineStr">
        <is>
          <t xml:space="preserve">Alabama</t>
        </is>
      </c>
      <c r="R263" s="30" t="inlineStr">
        <is>
          <t xml:space="preserve">35203</t>
        </is>
      </c>
      <c r="S263" s="32" t="inlineStr">
        <is>
          <t xml:space="preserve">Tier 2 - Coastal wind (1-25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15158.08</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CANON-202607-009877</t>
        </is>
      </c>
      <c r="B264" s="46" t="inlineStr">
        <is>
          <t xml:space="preserve">Saoirse Rourke</t>
        </is>
      </c>
      <c r="C264" s="47">
        <v>46230</v>
      </c>
      <c r="D264" s="48" t="inlineStr">
        <is>
          <t xml:space="preserve">Bound - within authority</t>
        </is>
      </c>
      <c r="E264" s="48" t="inlineStr">
        <is>
          <t xml:space="preserve">New business</t>
        </is>
      </c>
      <c r="F264" s="46" t="inlineStr">
        <is>
          <t xml:space="preserve">B1234EXOTIC26</t>
        </is>
      </c>
      <c r="G264" s="33">
        <f>IF($A264="","",IF($C264="","",YEAR($C264)))</f>
      </c>
      <c r="H264" s="49">
        <v>1991</v>
      </c>
      <c r="I264" s="46" t="inlineStr">
        <is>
          <t xml:space="preserve">Aston Martin</t>
        </is>
      </c>
      <c r="J264" s="46" t="inlineStr">
        <is>
          <t xml:space="preserve">DB5</t>
        </is>
      </c>
      <c r="K264" s="46" t="inlineStr">
        <is>
          <t xml:space="preserve">1HRAPHCR27V6SXNBB</t>
        </is>
      </c>
      <c r="L264" s="48" t="inlineStr">
        <is>
          <t xml:space="preserve">08 - Modern Classic (1973-1999)</t>
        </is>
      </c>
      <c r="M264" s="50">
        <v>215000</v>
      </c>
      <c r="N264" s="48" t="inlineStr">
        <is>
          <t xml:space="preserve">Personal</t>
        </is>
      </c>
      <c r="O264" s="46" t="inlineStr">
        <is>
          <t xml:space="preserve">Personal - regular use</t>
        </is>
      </c>
      <c r="P264" s="46" t="inlineStr">
        <is>
          <t xml:space="preserve">2,500 - 5,000</t>
        </is>
      </c>
      <c r="Q264" s="46" t="inlineStr">
        <is>
          <t xml:space="preserve">New York</t>
        </is>
      </c>
      <c r="R264" s="46" t="inlineStr">
        <is>
          <t xml:space="preserve">10022</t>
        </is>
      </c>
      <c r="S264" s="48" t="inlineStr">
        <is>
          <t xml:space="preserve">Tier 3 - Coastal wind (25-100 miles)</t>
        </is>
      </c>
      <c r="T264" s="36">
        <f>IF($A264="","",IF($S264="","",IFERROR(INDEX('[1]natural catastrophe'!$D$6:$D$17,MATCH($S264,'[1]natural catastrophe'!$B$6:$B$17,0)),"?")))</f>
      </c>
      <c r="U264" s="46" t="inlineStr">
        <is>
          <t xml:space="preserve">2% of agreed value, minimum $10,000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2252.33</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CANON-202607-009879</t>
        </is>
      </c>
      <c r="B265" s="30" t="inlineStr">
        <is>
          <t xml:space="preserve">Fitzgerald Castellanos</t>
        </is>
      </c>
      <c r="C265" s="31">
        <v>46217</v>
      </c>
      <c r="D265" s="32" t="inlineStr">
        <is>
          <t xml:space="preserve">Bound - within authority</t>
        </is>
      </c>
      <c r="E265" s="32" t="inlineStr">
        <is>
          <t xml:space="preserve">New business</t>
        </is>
      </c>
      <c r="F265" s="30" t="inlineStr">
        <is>
          <t xml:space="preserve">B1234EXOTIC26</t>
        </is>
      </c>
      <c r="G265" s="33">
        <f>IF($A265="","",IF($C265="","",YEAR($C265)))</f>
      </c>
      <c r="H265" s="34">
        <v>1975</v>
      </c>
      <c r="I265" s="30" t="inlineStr">
        <is>
          <t xml:space="preserve">McLaren</t>
        </is>
      </c>
      <c r="J265" s="30" t="inlineStr">
        <is>
          <t xml:space="preserve">750S</t>
        </is>
      </c>
      <c r="K265" s="30" t="inlineStr">
        <is>
          <t xml:space="preserve">S89D3U529KAAMZU9W</t>
        </is>
      </c>
      <c r="L265" s="32" t="inlineStr">
        <is>
          <t xml:space="preserve">03 - Supercar</t>
        </is>
      </c>
      <c r="M265" s="35">
        <v>565000</v>
      </c>
      <c r="N265" s="32" t="inlineStr">
        <is>
          <t xml:space="preserve">Personal</t>
        </is>
      </c>
      <c r="O265" s="30" t="inlineStr">
        <is>
          <t xml:space="preserve">Personal - regular use</t>
        </is>
      </c>
      <c r="P265" s="30" t="inlineStr">
        <is>
          <t xml:space="preserve">Under 1,000</t>
        </is>
      </c>
      <c r="Q265" s="30" t="inlineStr">
        <is>
          <t xml:space="preserve">New York</t>
        </is>
      </c>
      <c r="R265" s="30" t="inlineStr">
        <is>
          <t xml:space="preserve">10022</t>
        </is>
      </c>
      <c r="S265" s="32" t="inlineStr">
        <is>
          <t xml:space="preserve">Tier 3 - Coastal wind (25-100 miles)</t>
        </is>
      </c>
      <c r="T265" s="36">
        <f>IF($A265="","",IF($S265="","",IFERROR(INDEX('[1]natural catastrophe'!$D$6:$D$17,MATCH($S265,'[1]natural catastrophe'!$B$6:$B$17,0)),"?")))</f>
      </c>
      <c r="U265" s="30" t="inlineStr">
        <is>
          <t xml:space="preserve">2% of agreed value, minimum $10,000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9864.86</v>
      </c>
      <c r="AC265" s="37">
        <v>0</v>
      </c>
      <c r="AD265" s="38">
        <f>IF(ISNUMBER($AB265),$AB265*(1+N($AC265)),"")</f>
      </c>
      <c r="AE265" s="35">
        <v>350</v>
      </c>
      <c r="AF265" s="35">
        <v>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CANON-202607-009880</t>
        </is>
      </c>
      <c r="B266" s="46" t="inlineStr">
        <is>
          <t xml:space="preserve">Fenwick Larsson</t>
        </is>
      </c>
      <c r="C266" s="47">
        <v>46204</v>
      </c>
      <c r="D266" s="48" t="inlineStr">
        <is>
          <t xml:space="preserve">Bound - within authority</t>
        </is>
      </c>
      <c r="E266" s="48" t="inlineStr">
        <is>
          <t xml:space="preserve">New business</t>
        </is>
      </c>
      <c r="F266" s="46" t="inlineStr">
        <is>
          <t xml:space="preserve">B1234EXOTIC26</t>
        </is>
      </c>
      <c r="G266" s="33">
        <f>IF($A266="","",IF($C266="","",YEAR($C266)))</f>
      </c>
      <c r="H266" s="49">
        <v>1966</v>
      </c>
      <c r="I266" s="46" t="inlineStr">
        <is>
          <t xml:space="preserve">BMW</t>
        </is>
      </c>
      <c r="J266" s="46" t="inlineStr">
        <is>
          <t xml:space="preserve">M8 Competition</t>
        </is>
      </c>
      <c r="K266" s="46" t="inlineStr">
        <is>
          <t xml:space="preserve">X7XZ0EWNT4BN9CSPP</t>
        </is>
      </c>
      <c r="L266" s="48" t="inlineStr">
        <is>
          <t xml:space="preserve">02 - Sports / GT</t>
        </is>
      </c>
      <c r="M266" s="50">
        <v>735000</v>
      </c>
      <c r="N266" s="48" t="inlineStr">
        <is>
          <t xml:space="preserve">Personal</t>
        </is>
      </c>
      <c r="O266" s="46" t="inlineStr">
        <is>
          <t xml:space="preserve">Personal - regular use</t>
        </is>
      </c>
      <c r="P266" s="46" t="inlineStr">
        <is>
          <t xml:space="preserve">1,000 - 2,500</t>
        </is>
      </c>
      <c r="Q266" s="46" t="inlineStr">
        <is>
          <t xml:space="preserve">Louisiana</t>
        </is>
      </c>
      <c r="R266" s="46" t="inlineStr">
        <is>
          <t xml:space="preserve">70112</t>
        </is>
      </c>
      <c r="S266" s="48" t="inlineStr">
        <is>
          <t xml:space="preserve">Tier 2 - Coastal wind (1-25 miles)</t>
        </is>
      </c>
      <c r="T266" s="36">
        <f>IF($A266="","",IF($S266="","",IFERROR(INDEX('[1]natural catastrophe'!$D$6:$D$17,MATCH($S266,'[1]natural catastrophe'!$B$6:$B$17,0)),"?")))</f>
      </c>
      <c r="U266" s="46" t="inlineStr">
        <is>
          <t xml:space="preserve">2% of agreed value, minimum $10,000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8300.32</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CANON-202607-009881</t>
        </is>
      </c>
      <c r="B267" s="30" t="inlineStr">
        <is>
          <t xml:space="preserve">Fenwick Vandermeer</t>
        </is>
      </c>
      <c r="C267" s="31">
        <v>46213</v>
      </c>
      <c r="D267" s="32" t="inlineStr">
        <is>
          <t xml:space="preserve">Bound - within authority</t>
        </is>
      </c>
      <c r="E267" s="32" t="inlineStr">
        <is>
          <t xml:space="preserve">New business</t>
        </is>
      </c>
      <c r="F267" s="30" t="inlineStr">
        <is>
          <t xml:space="preserve">B1234EXOTIC26</t>
        </is>
      </c>
      <c r="G267" s="33">
        <f>IF($A267="","",IF($C267="","",YEAR($C267)))</f>
      </c>
      <c r="H267" s="34">
        <v>2007</v>
      </c>
      <c r="I267" s="30" t="inlineStr">
        <is>
          <t xml:space="preserve">Maserati</t>
        </is>
      </c>
      <c r="J267" s="30" t="inlineStr">
        <is>
          <t xml:space="preserve">GranTurismo</t>
        </is>
      </c>
      <c r="K267" s="30" t="inlineStr">
        <is>
          <t xml:space="preserve">EWHCA1ETMDS3N0ZNJ</t>
        </is>
      </c>
      <c r="L267" s="32" t="inlineStr">
        <is>
          <t xml:space="preserve">02 - Sports / GT</t>
        </is>
      </c>
      <c r="M267" s="35">
        <v>515000</v>
      </c>
      <c r="N267" s="32" t="inlineStr">
        <is>
          <t xml:space="preserve">Personal</t>
        </is>
      </c>
      <c r="O267" s="30" t="inlineStr">
        <is>
          <t xml:space="preserve">Personal - regular use</t>
        </is>
      </c>
      <c r="P267" s="30" t="inlineStr">
        <is>
          <t xml:space="preserve">Under 1,000</t>
        </is>
      </c>
      <c r="Q267" s="30" t="inlineStr">
        <is>
          <t xml:space="preserve">Florida</t>
        </is>
      </c>
      <c r="R267" s="30" t="inlineStr">
        <is>
          <t xml:space="preserve">33139</t>
        </is>
      </c>
      <c r="S267" s="32" t="inlineStr">
        <is>
          <t xml:space="preserve">Tier 2 - Coastal wind (1-25 miles)</t>
        </is>
      </c>
      <c r="T267" s="36">
        <f>IF($A267="","",IF($S267="","",IFERROR(INDEX('[1]natural catastrophe'!$D$6:$D$17,MATCH($S267,'[1]natural catastrophe'!$B$6:$B$17,0)),"?")))</f>
      </c>
      <c r="U267" s="30" t="inlineStr">
        <is>
          <t xml:space="preserve">2% of agreed value, minimum $10,000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6825.23</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CANON-202607-009882</t>
        </is>
      </c>
      <c r="B268" s="46" t="inlineStr">
        <is>
          <t xml:space="preserve">Anouk Nakashima</t>
        </is>
      </c>
      <c r="C268" s="47">
        <v>46210</v>
      </c>
      <c r="D268" s="48" t="inlineStr">
        <is>
          <t xml:space="preserve">Bound - within authority</t>
        </is>
      </c>
      <c r="E268" s="48" t="inlineStr">
        <is>
          <t xml:space="preserve">New business</t>
        </is>
      </c>
      <c r="F268" s="46" t="inlineStr">
        <is>
          <t xml:space="preserve">B1234EXOTIC26</t>
        </is>
      </c>
      <c r="G268" s="33">
        <f>IF($A268="","",IF($C268="","",YEAR($C268)))</f>
      </c>
      <c r="H268" s="49">
        <v>1982</v>
      </c>
      <c r="I268" s="46" t="inlineStr">
        <is>
          <t xml:space="preserve">Aston Martin</t>
        </is>
      </c>
      <c r="J268" s="46" t="inlineStr">
        <is>
          <t xml:space="preserve">DB5</t>
        </is>
      </c>
      <c r="K268" s="46" t="inlineStr">
        <is>
          <t xml:space="preserve">92NBKL5MX41URXDPK</t>
        </is>
      </c>
      <c r="L268" s="48" t="inlineStr">
        <is>
          <t xml:space="preserve">08 - Modern Classic (1973-1999)</t>
        </is>
      </c>
      <c r="M268" s="50">
        <v>510000</v>
      </c>
      <c r="N268" s="48" t="inlineStr">
        <is>
          <t xml:space="preserve">Personal</t>
        </is>
      </c>
      <c r="O268" s="46" t="inlineStr">
        <is>
          <t xml:space="preserve">Personal - regular use</t>
        </is>
      </c>
      <c r="P268" s="46" t="inlineStr">
        <is>
          <t xml:space="preserve">1,000 - 2,500</t>
        </is>
      </c>
      <c r="Q268" s="46" t="inlineStr">
        <is>
          <t xml:space="preserve">Delaware</t>
        </is>
      </c>
      <c r="R268" s="46" t="inlineStr">
        <is>
          <t xml:space="preserve">19801</t>
        </is>
      </c>
      <c r="S268" s="48" t="inlineStr">
        <is>
          <t xml:space="preserve">Tier 3 - Coastal wind (25-100 miles)</t>
        </is>
      </c>
      <c r="T268" s="36">
        <f>IF($A268="","",IF($S268="","",IFERROR(INDEX('[1]natural catastrophe'!$D$6:$D$17,MATCH($S268,'[1]natural catastrophe'!$B$6:$B$17,0)),"?")))</f>
      </c>
      <c r="U268" s="46" t="inlineStr">
        <is>
          <t xml:space="preserve">2% of agreed value, minimum $10,000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3936.02</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CANON-202607-009883</t>
        </is>
      </c>
      <c r="B269" s="30" t="inlineStr">
        <is>
          <t xml:space="preserve">Saoirse Nakashima</t>
        </is>
      </c>
      <c r="C269" s="31">
        <v>46209</v>
      </c>
      <c r="D269" s="32" t="inlineStr">
        <is>
          <t xml:space="preserve">Bound - within authority</t>
        </is>
      </c>
      <c r="E269" s="32" t="inlineStr">
        <is>
          <t xml:space="preserve">New business</t>
        </is>
      </c>
      <c r="F269" s="30" t="inlineStr">
        <is>
          <t xml:space="preserve">B1234EXOTIC26</t>
        </is>
      </c>
      <c r="G269" s="33">
        <f>IF($A269="","",IF($C269="","",YEAR($C269)))</f>
      </c>
      <c r="H269" s="34">
        <v>1964</v>
      </c>
      <c r="I269" s="30" t="inlineStr">
        <is>
          <t xml:space="preserve">Ferrari</t>
        </is>
      </c>
      <c r="J269" s="30" t="inlineStr">
        <is>
          <t xml:space="preserve">296 GTB</t>
        </is>
      </c>
      <c r="K269" s="30" t="inlineStr">
        <is>
          <t xml:space="preserve">4CET9WL7NF4L7L9GH</t>
        </is>
      </c>
      <c r="L269" s="32" t="inlineStr">
        <is>
          <t xml:space="preserve">03 - Supercar</t>
        </is>
      </c>
      <c r="M269" s="35">
        <v>740000</v>
      </c>
      <c r="N269" s="32" t="inlineStr">
        <is>
          <t xml:space="preserve">Personal</t>
        </is>
      </c>
      <c r="O269" s="30" t="inlineStr">
        <is>
          <t xml:space="preserve">Personal - regular use</t>
        </is>
      </c>
      <c r="P269" s="30" t="inlineStr">
        <is>
          <t xml:space="preserve">1,000 - 2,500</t>
        </is>
      </c>
      <c r="Q269" s="30" t="inlineStr">
        <is>
          <t xml:space="preserve">Illinois</t>
        </is>
      </c>
      <c r="R269" s="30" t="inlineStr">
        <is>
          <t xml:space="preserve">60601</t>
        </is>
      </c>
      <c r="S269" s="32" t="inlineStr">
        <is>
          <t xml:space="preserve">Severe convective - hail / tornado (moderate)</t>
        </is>
      </c>
      <c r="T269" s="36">
        <f>IF($A269="","",IF($S269="","",IFERROR(INDEX('[1]natural catastrophe'!$D$6:$D$17,MATCH($S269,'[1]natural catastrophe'!$B$6:$B$17,0)),"?")))</f>
      </c>
      <c r="U269" s="30" t="inlineStr">
        <is>
          <t xml:space="preserve">$5,000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13727.87</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CANON-202607-009886</t>
        </is>
      </c>
      <c r="B270" s="46" t="inlineStr">
        <is>
          <t xml:space="preserve">Noor Montoya</t>
        </is>
      </c>
      <c r="C270" s="47">
        <v>46212</v>
      </c>
      <c r="D270" s="48" t="inlineStr">
        <is>
          <t xml:space="preserve">Bound - within authority</t>
        </is>
      </c>
      <c r="E270" s="48" t="inlineStr">
        <is>
          <t xml:space="preserve">New business</t>
        </is>
      </c>
      <c r="F270" s="46" t="inlineStr">
        <is>
          <t xml:space="preserve">B1234EXOTIC26</t>
        </is>
      </c>
      <c r="G270" s="33">
        <f>IF($A270="","",IF($C270="","",YEAR($C270)))</f>
      </c>
      <c r="H270" s="49">
        <v>1969</v>
      </c>
      <c r="I270" s="46" t="inlineStr">
        <is>
          <t xml:space="preserve">Mercedes-Benz</t>
        </is>
      </c>
      <c r="J270" s="46" t="inlineStr">
        <is>
          <t xml:space="preserve">AMG GT</t>
        </is>
      </c>
      <c r="K270" s="46" t="inlineStr">
        <is>
          <t xml:space="preserve">4V55BNBF0HN97PL2L</t>
        </is>
      </c>
      <c r="L270" s="48" t="inlineStr">
        <is>
          <t xml:space="preserve">02 - Sports / GT</t>
        </is>
      </c>
      <c r="M270" s="50">
        <v>410000</v>
      </c>
      <c r="N270" s="48" t="inlineStr">
        <is>
          <t xml:space="preserve">Personal</t>
        </is>
      </c>
      <c r="O270" s="46" t="inlineStr">
        <is>
          <t xml:space="preserve">Personal - regular use</t>
        </is>
      </c>
      <c r="P270" s="46" t="inlineStr">
        <is>
          <t xml:space="preserve">Under 1,000</t>
        </is>
      </c>
      <c r="Q270" s="46" t="inlineStr">
        <is>
          <t xml:space="preserve">Texas</t>
        </is>
      </c>
      <c r="R270" s="46" t="inlineStr">
        <is>
          <t xml:space="preserve">75201</t>
        </is>
      </c>
      <c r="S270" s="48" t="inlineStr">
        <is>
          <t xml:space="preserve">Tier 2 - Coastal wind (1-25 miles)</t>
        </is>
      </c>
      <c r="T270" s="36">
        <f>IF($A270="","",IF($S270="","",IFERROR(INDEX('[1]natural catastrophe'!$D$6:$D$17,MATCH($S270,'[1]natural catastrophe'!$B$6:$B$17,0)),"?")))</f>
      </c>
      <c r="U270" s="46" t="inlineStr">
        <is>
          <t xml:space="preserve">2% of agreed value, minimum $10,000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5077.52</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CANON-202607-009887</t>
        </is>
      </c>
      <c r="B271" s="30" t="inlineStr">
        <is>
          <t xml:space="preserve">Desmond Okonkwo</t>
        </is>
      </c>
      <c r="C271" s="31">
        <v>46214</v>
      </c>
      <c r="D271" s="32" t="inlineStr">
        <is>
          <t xml:space="preserve">Bound - within authority</t>
        </is>
      </c>
      <c r="E271" s="32" t="inlineStr">
        <is>
          <t xml:space="preserve">New business</t>
        </is>
      </c>
      <c r="F271" s="30" t="inlineStr">
        <is>
          <t xml:space="preserve">B1234EXOTIC26</t>
        </is>
      </c>
      <c r="G271" s="33">
        <f>IF($A271="","",IF($C271="","",YEAR($C271)))</f>
      </c>
      <c r="H271" s="34">
        <v>1977</v>
      </c>
      <c r="I271" s="30" t="inlineStr">
        <is>
          <t xml:space="preserve">BMW</t>
        </is>
      </c>
      <c r="J271" s="30" t="inlineStr">
        <is>
          <t xml:space="preserve">M8 Competition</t>
        </is>
      </c>
      <c r="K271" s="30" t="inlineStr">
        <is>
          <t xml:space="preserve">ZU7R31F2XWYNX7VXG</t>
        </is>
      </c>
      <c r="L271" s="32" t="inlineStr">
        <is>
          <t xml:space="preserve">02 - Sports / GT</t>
        </is>
      </c>
      <c r="M271" s="35">
        <v>295000</v>
      </c>
      <c r="N271" s="32" t="inlineStr">
        <is>
          <t xml:space="preserve">Personal</t>
        </is>
      </c>
      <c r="O271" s="30" t="inlineStr">
        <is>
          <t xml:space="preserve">Personal - regular use</t>
        </is>
      </c>
      <c r="P271" s="30" t="inlineStr">
        <is>
          <t xml:space="preserve">2,500 - 5,000</t>
        </is>
      </c>
      <c r="Q271" s="30" t="inlineStr">
        <is>
          <t xml:space="preserve">New Jersey</t>
        </is>
      </c>
      <c r="R271" s="30" t="inlineStr">
        <is>
          <t xml:space="preserve">07102</t>
        </is>
      </c>
      <c r="S271" s="32" t="inlineStr">
        <is>
          <t xml:space="preserve">Tier 3 - Coastal wind (25-100 miles)</t>
        </is>
      </c>
      <c r="T271" s="36">
        <f>IF($A271="","",IF($S271="","",IFERROR(INDEX('[1]natural catastrophe'!$D$6:$D$17,MATCH($S271,'[1]natural catastrophe'!$B$6:$B$17,0)),"?")))</f>
      </c>
      <c r="U271" s="30" t="inlineStr">
        <is>
          <t xml:space="preserve">2% of agreed value, minimum $10,000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2890.9</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CANON-202607-009888</t>
        </is>
      </c>
      <c r="B272" s="46" t="inlineStr">
        <is>
          <t xml:space="preserve">Saoirse Kingsford</t>
        </is>
      </c>
      <c r="C272" s="47">
        <v>46222</v>
      </c>
      <c r="D272" s="48" t="inlineStr">
        <is>
          <t xml:space="preserve">Bound - within authority</t>
        </is>
      </c>
      <c r="E272" s="48" t="inlineStr">
        <is>
          <t xml:space="preserve">New business</t>
        </is>
      </c>
      <c r="F272" s="46" t="inlineStr">
        <is>
          <t xml:space="preserve">B1234EXOTIC26</t>
        </is>
      </c>
      <c r="G272" s="33">
        <f>IF($A272="","",IF($C272="","",YEAR($C272)))</f>
      </c>
      <c r="H272" s="49">
        <v>1956</v>
      </c>
      <c r="I272" s="46" t="inlineStr">
        <is>
          <t xml:space="preserve">Lamborghini</t>
        </is>
      </c>
      <c r="J272" s="46" t="inlineStr">
        <is>
          <t xml:space="preserve">Huracan EVO</t>
        </is>
      </c>
      <c r="K272" s="46" t="inlineStr">
        <is>
          <t xml:space="preserve">9061BZ08W65AXVW6H</t>
        </is>
      </c>
      <c r="L272" s="48" t="inlineStr">
        <is>
          <t xml:space="preserve">03 - Supercar</t>
        </is>
      </c>
      <c r="M272" s="50">
        <v>740000</v>
      </c>
      <c r="N272" s="48" t="inlineStr">
        <is>
          <t xml:space="preserve">Personal</t>
        </is>
      </c>
      <c r="O272" s="46" t="inlineStr">
        <is>
          <t xml:space="preserve">Personal - regular use</t>
        </is>
      </c>
      <c r="P272" s="46" t="inlineStr">
        <is>
          <t xml:space="preserve">Under 1,000</t>
        </is>
      </c>
      <c r="Q272" s="46" t="inlineStr">
        <is>
          <t xml:space="preserve">Wisconsin</t>
        </is>
      </c>
      <c r="R272" s="46" t="inlineStr">
        <is>
          <t xml:space="preserve">53202</t>
        </is>
      </c>
      <c r="S272" s="48" t="inlineStr">
        <is>
          <t xml:space="preserve">Severe convective - hail / tornado (moderate)</t>
        </is>
      </c>
      <c r="T272" s="36">
        <f>IF($A272="","",IF($S272="","",IFERROR(INDEX('[1]natural catastrophe'!$D$6:$D$17,MATCH($S272,'[1]natural catastrophe'!$B$6:$B$17,0)),"?")))</f>
      </c>
      <c r="U272" s="46" t="inlineStr">
        <is>
          <t xml:space="preserve">$5,000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12112.82</v>
      </c>
      <c r="AC272" s="51">
        <v>0</v>
      </c>
      <c r="AD272" s="38">
        <f>IF(ISNUMBER($AB272),$AB272*(1+N($AC272)),"")</f>
      </c>
      <c r="AE272" s="50">
        <v>350</v>
      </c>
      <c r="AF272" s="50">
        <v>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CANON-202607-009891</t>
        </is>
      </c>
      <c r="B273" s="30" t="inlineStr">
        <is>
          <t xml:space="preserve">Horace Kingsford</t>
        </is>
      </c>
      <c r="C273" s="31">
        <v>46218</v>
      </c>
      <c r="D273" s="32" t="inlineStr">
        <is>
          <t xml:space="preserve">Bound - within authority</t>
        </is>
      </c>
      <c r="E273" s="32" t="inlineStr">
        <is>
          <t xml:space="preserve">New business</t>
        </is>
      </c>
      <c r="F273" s="30" t="inlineStr">
        <is>
          <t xml:space="preserve">B1234EXOTIC26</t>
        </is>
      </c>
      <c r="G273" s="33">
        <f>IF($A273="","",IF($C273="","",YEAR($C273)))</f>
      </c>
      <c r="H273" s="34">
        <v>2007</v>
      </c>
      <c r="I273" s="30" t="inlineStr">
        <is>
          <t xml:space="preserve">Aston Martin</t>
        </is>
      </c>
      <c r="J273" s="30" t="inlineStr">
        <is>
          <t xml:space="preserve">DB5</t>
        </is>
      </c>
      <c r="K273" s="30" t="inlineStr">
        <is>
          <t xml:space="preserve">0658T1V5FBD0V296B</t>
        </is>
      </c>
      <c r="L273" s="32" t="inlineStr">
        <is>
          <t xml:space="preserve">09 - Youngtimer / Collectible (2000-2010)</t>
        </is>
      </c>
      <c r="M273" s="35">
        <v>1950000</v>
      </c>
      <c r="N273" s="32" t="inlineStr">
        <is>
          <t xml:space="preserve">Personal</t>
        </is>
      </c>
      <c r="O273" s="30" t="inlineStr">
        <is>
          <t xml:space="preserve">Personal - regular use</t>
        </is>
      </c>
      <c r="P273" s="30" t="inlineStr">
        <is>
          <t xml:space="preserve">Under 1,000</t>
        </is>
      </c>
      <c r="Q273" s="30" t="inlineStr">
        <is>
          <t xml:space="preserve">Oklahoma</t>
        </is>
      </c>
      <c r="R273" s="30" t="inlineStr">
        <is>
          <t xml:space="preserve">73102</t>
        </is>
      </c>
      <c r="S273" s="32" t="inlineStr">
        <is>
          <t xml:space="preserve">Severe convective - hail alley (high)</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13405.95</v>
      </c>
      <c r="AC273" s="37">
        <v>0</v>
      </c>
      <c r="AD273" s="38">
        <f>IF(ISNUMBER($AB273),$AB273*(1+N($AC273)),"")</f>
      </c>
      <c r="AE273" s="35">
        <v>350</v>
      </c>
      <c r="AF273" s="35">
        <v>250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CANON-202607-009892</t>
        </is>
      </c>
      <c r="B274" s="46" t="inlineStr">
        <is>
          <t xml:space="preserve">Marisol Harrington</t>
        </is>
      </c>
      <c r="C274" s="47">
        <v>46214</v>
      </c>
      <c r="D274" s="48" t="inlineStr">
        <is>
          <t xml:space="preserve">Bound - within authority</t>
        </is>
      </c>
      <c r="E274" s="48" t="inlineStr">
        <is>
          <t xml:space="preserve">New business</t>
        </is>
      </c>
      <c r="F274" s="46" t="inlineStr">
        <is>
          <t xml:space="preserve">B1234EXOTIC26</t>
        </is>
      </c>
      <c r="G274" s="33">
        <f>IF($A274="","",IF($C274="","",YEAR($C274)))</f>
      </c>
      <c r="H274" s="49">
        <v>1994</v>
      </c>
      <c r="I274" s="46" t="inlineStr">
        <is>
          <t xml:space="preserve">Porsche</t>
        </is>
      </c>
      <c r="J274" s="46" t="inlineStr">
        <is>
          <t xml:space="preserve">911 Turbo S</t>
        </is>
      </c>
      <c r="K274" s="46" t="inlineStr">
        <is>
          <t xml:space="preserve">FWJ55A39Y2N0ZNWUX</t>
        </is>
      </c>
      <c r="L274" s="48" t="inlineStr">
        <is>
          <t xml:space="preserve">02 - Sports / GT</t>
        </is>
      </c>
      <c r="M274" s="50">
        <v>890000</v>
      </c>
      <c r="N274" s="48" t="inlineStr">
        <is>
          <t xml:space="preserve">Personal</t>
        </is>
      </c>
      <c r="O274" s="46" t="inlineStr">
        <is>
          <t xml:space="preserve">Personal - regular use</t>
        </is>
      </c>
      <c r="P274" s="46" t="inlineStr">
        <is>
          <t xml:space="preserve">1,000 - 2,500</t>
        </is>
      </c>
      <c r="Q274" s="46" t="inlineStr">
        <is>
          <t xml:space="preserve">Maryland</t>
        </is>
      </c>
      <c r="R274" s="46" t="inlineStr">
        <is>
          <t xml:space="preserve">21201</t>
        </is>
      </c>
      <c r="S274" s="48" t="inlineStr">
        <is>
          <t xml:space="preserve">Tier 3 - Coastal wind (25-100 miles)</t>
        </is>
      </c>
      <c r="T274" s="36">
        <f>IF($A274="","",IF($S274="","",IFERROR(INDEX('[1]natural catastrophe'!$D$6:$D$17,MATCH($S274,'[1]natural catastrophe'!$B$6:$B$17,0)),"?")))</f>
      </c>
      <c r="U274" s="46" t="inlineStr">
        <is>
          <t xml:space="preserve">2% of agreed value, minimum $10,000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7891.07</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CANON-202607-009893</t>
        </is>
      </c>
      <c r="B275" s="30" t="inlineStr">
        <is>
          <t xml:space="preserve">Marisol Montoya</t>
        </is>
      </c>
      <c r="C275" s="31">
        <v>46205</v>
      </c>
      <c r="D275" s="32" t="inlineStr">
        <is>
          <t xml:space="preserve">Bound - within authority</t>
        </is>
      </c>
      <c r="E275" s="32" t="inlineStr">
        <is>
          <t xml:space="preserve">New business</t>
        </is>
      </c>
      <c r="F275" s="30" t="inlineStr">
        <is>
          <t xml:space="preserve">B1234EXOTIC26</t>
        </is>
      </c>
      <c r="G275" s="33">
        <f>IF($A275="","",IF($C275="","",YEAR($C275)))</f>
      </c>
      <c r="H275" s="34">
        <v>2024</v>
      </c>
      <c r="I275" s="30" t="inlineStr">
        <is>
          <t xml:space="preserve">Porsche</t>
        </is>
      </c>
      <c r="J275" s="30" t="inlineStr">
        <is>
          <t xml:space="preserve">911 Turbo S</t>
        </is>
      </c>
      <c r="K275" s="30" t="inlineStr">
        <is>
          <t xml:space="preserve">KKTTWZPZ6XH6KE8NR</t>
        </is>
      </c>
      <c r="L275" s="32" t="inlineStr">
        <is>
          <t xml:space="preserve">02 - Sports / GT</t>
        </is>
      </c>
      <c r="M275" s="35">
        <v>1065000</v>
      </c>
      <c r="N275" s="32" t="inlineStr">
        <is>
          <t xml:space="preserve">Personal</t>
        </is>
      </c>
      <c r="O275" s="30" t="inlineStr">
        <is>
          <t xml:space="preserve">Personal - regular use</t>
        </is>
      </c>
      <c r="P275" s="30" t="inlineStr">
        <is>
          <t xml:space="preserve">1,000 - 2,500</t>
        </is>
      </c>
      <c r="Q275" s="30" t="inlineStr">
        <is>
          <t xml:space="preserve">New York</t>
        </is>
      </c>
      <c r="R275" s="30" t="inlineStr">
        <is>
          <t xml:space="preserve">10022</t>
        </is>
      </c>
      <c r="S275" s="32" t="inlineStr">
        <is>
          <t xml:space="preserve">Tier 3 - Coastal wind (25-100 miles)</t>
        </is>
      </c>
      <c r="T275" s="36">
        <f>IF($A275="","",IF($S275="","",IFERROR(INDEX('[1]natural catastrophe'!$D$6:$D$17,MATCH($S275,'[1]natural catastrophe'!$B$6:$B$17,0)),"?")))</f>
      </c>
      <c r="U275" s="30" t="inlineStr">
        <is>
          <t xml:space="preserve">2% of agreed value, minimum $10,000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10765.43</v>
      </c>
      <c r="AC275" s="37">
        <v>0</v>
      </c>
      <c r="AD275" s="38">
        <f>IF(ISNUMBER($AB275),$AB275*(1+N($AC275)),"")</f>
      </c>
      <c r="AE275" s="35">
        <v>350</v>
      </c>
      <c r="AF275" s="35">
        <v>250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CANON-202607-009894</t>
        </is>
      </c>
      <c r="B276" s="46" t="inlineStr">
        <is>
          <t xml:space="preserve">Desmond Castellanos</t>
        </is>
      </c>
      <c r="C276" s="47">
        <v>46218</v>
      </c>
      <c r="D276" s="48" t="inlineStr">
        <is>
          <t xml:space="preserve">Bound - within authority</t>
        </is>
      </c>
      <c r="E276" s="48" t="inlineStr">
        <is>
          <t xml:space="preserve">New business</t>
        </is>
      </c>
      <c r="F276" s="46" t="inlineStr">
        <is>
          <t xml:space="preserve">B1234EXOTIC26</t>
        </is>
      </c>
      <c r="G276" s="33">
        <f>IF($A276="","",IF($C276="","",YEAR($C276)))</f>
      </c>
      <c r="H276" s="49">
        <v>1999</v>
      </c>
      <c r="I276" s="46" t="inlineStr">
        <is>
          <t xml:space="preserve">Porsche</t>
        </is>
      </c>
      <c r="J276" s="46" t="inlineStr">
        <is>
          <t xml:space="preserve">911 Turbo S</t>
        </is>
      </c>
      <c r="K276" s="46" t="inlineStr">
        <is>
          <t xml:space="preserve">W15ZXUTFHH6WBA9Y2</t>
        </is>
      </c>
      <c r="L276" s="48" t="inlineStr">
        <is>
          <t xml:space="preserve">02 - Sports / GT</t>
        </is>
      </c>
      <c r="M276" s="50">
        <v>540000</v>
      </c>
      <c r="N276" s="48" t="inlineStr">
        <is>
          <t xml:space="preserve">Personal</t>
        </is>
      </c>
      <c r="O276" s="46" t="inlineStr">
        <is>
          <t xml:space="preserve">Personal - regular use</t>
        </is>
      </c>
      <c r="P276" s="46" t="inlineStr">
        <is>
          <t xml:space="preserve">1,000 - 2,500</t>
        </is>
      </c>
      <c r="Q276" s="46" t="inlineStr">
        <is>
          <t xml:space="preserve">Minnesota</t>
        </is>
      </c>
      <c r="R276" s="46" t="inlineStr">
        <is>
          <t xml:space="preserve">55401</t>
        </is>
      </c>
      <c r="S276" s="48" t="inlineStr">
        <is>
          <t xml:space="preserve">Severe convective - hail / tornado (moderate)</t>
        </is>
      </c>
      <c r="T276" s="36">
        <f>IF($A276="","",IF($S276="","",IFERROR(INDEX('[1]natural catastrophe'!$D$6:$D$17,MATCH($S276,'[1]natural catastrophe'!$B$6:$B$17,0)),"?")))</f>
      </c>
      <c r="U276" s="46" t="inlineStr">
        <is>
          <t xml:space="preserve">$5,000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6652.58</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CANON-202607-009896</t>
        </is>
      </c>
      <c r="B277" s="30" t="inlineStr">
        <is>
          <t xml:space="preserve">Marisol Vandermeer</t>
        </is>
      </c>
      <c r="C277" s="31">
        <v>46223</v>
      </c>
      <c r="D277" s="32" t="inlineStr">
        <is>
          <t xml:space="preserve">Bound - within authority</t>
        </is>
      </c>
      <c r="E277" s="32" t="inlineStr">
        <is>
          <t xml:space="preserve">New business</t>
        </is>
      </c>
      <c r="F277" s="30" t="inlineStr">
        <is>
          <t xml:space="preserve">B1234EXOTIC26</t>
        </is>
      </c>
      <c r="G277" s="33">
        <f>IF($A277="","",IF($C277="","",YEAR($C277)))</f>
      </c>
      <c r="H277" s="34">
        <v>1999</v>
      </c>
      <c r="I277" s="30" t="inlineStr">
        <is>
          <t xml:space="preserve">BMW</t>
        </is>
      </c>
      <c r="J277" s="30" t="inlineStr">
        <is>
          <t xml:space="preserve">M8 Competition</t>
        </is>
      </c>
      <c r="K277" s="30" t="inlineStr">
        <is>
          <t xml:space="preserve">EMMC18JD6B5EA2HR4</t>
        </is>
      </c>
      <c r="L277" s="32" t="inlineStr">
        <is>
          <t xml:space="preserve">02 - Sports / GT</t>
        </is>
      </c>
      <c r="M277" s="35">
        <v>320000</v>
      </c>
      <c r="N277" s="32" t="inlineStr">
        <is>
          <t xml:space="preserve">Personal</t>
        </is>
      </c>
      <c r="O277" s="30" t="inlineStr">
        <is>
          <t xml:space="preserve">Personal - regular use</t>
        </is>
      </c>
      <c r="P277" s="30" t="inlineStr">
        <is>
          <t xml:space="preserve">Under 1,000</t>
        </is>
      </c>
      <c r="Q277" s="30" t="inlineStr">
        <is>
          <t xml:space="preserve">Colorado</t>
        </is>
      </c>
      <c r="R277" s="30" t="inlineStr">
        <is>
          <t xml:space="preserve">80202</t>
        </is>
      </c>
      <c r="S277" s="32" t="inlineStr">
        <is>
          <t xml:space="preserve">Severe convective - hail alley (high)</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3790.64</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CANON-202607-009897</t>
        </is>
      </c>
      <c r="B278" s="46" t="inlineStr">
        <is>
          <t xml:space="preserve">Thaddeus Fairweather</t>
        </is>
      </c>
      <c r="C278" s="47">
        <v>46213</v>
      </c>
      <c r="D278" s="48" t="inlineStr">
        <is>
          <t xml:space="preserve">Bound - within authority</t>
        </is>
      </c>
      <c r="E278" s="48" t="inlineStr">
        <is>
          <t xml:space="preserve">New business</t>
        </is>
      </c>
      <c r="F278" s="46" t="inlineStr">
        <is>
          <t xml:space="preserve">B1234EXOTIC26</t>
        </is>
      </c>
      <c r="G278" s="33">
        <f>IF($A278="","",IF($C278="","",YEAR($C278)))</f>
      </c>
      <c r="H278" s="49">
        <v>2014</v>
      </c>
      <c r="I278" s="46" t="inlineStr">
        <is>
          <t xml:space="preserve">Lamborghini</t>
        </is>
      </c>
      <c r="J278" s="46" t="inlineStr">
        <is>
          <t xml:space="preserve">Huracan EVO</t>
        </is>
      </c>
      <c r="K278" s="46" t="inlineStr">
        <is>
          <t xml:space="preserve">R3FJS8CE7BNWHHV1R</t>
        </is>
      </c>
      <c r="L278" s="48" t="inlineStr">
        <is>
          <t xml:space="preserve">03 - Supercar</t>
        </is>
      </c>
      <c r="M278" s="50">
        <v>665000</v>
      </c>
      <c r="N278" s="48" t="inlineStr">
        <is>
          <t xml:space="preserve">Personal</t>
        </is>
      </c>
      <c r="O278" s="46" t="inlineStr">
        <is>
          <t xml:space="preserve">Personal - regular use</t>
        </is>
      </c>
      <c r="P278" s="46" t="inlineStr">
        <is>
          <t xml:space="preserve">1,000 - 2,500</t>
        </is>
      </c>
      <c r="Q278" s="46" t="inlineStr">
        <is>
          <t xml:space="preserve">Pennsylvania</t>
        </is>
      </c>
      <c r="R278" s="46" t="inlineStr">
        <is>
          <t xml:space="preserve">19103</t>
        </is>
      </c>
      <c r="S278" s="48" t="inlineStr">
        <is>
          <t xml:space="preserve">Low hazard - inland benign</t>
        </is>
      </c>
      <c r="T278" s="36">
        <f>IF($A278="","",IF($S278="","",IFERROR(INDEX('[1]natural catastrophe'!$D$6:$D$17,MATCH($S278,'[1]natural catastrophe'!$B$6:$B$17,0)),"?")))</f>
      </c>
      <c r="U278" s="46" t="inlineStr">
        <is>
          <t xml:space="preserve">$5,000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9070.98</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CANON-202607-009898</t>
        </is>
      </c>
      <c r="B279" s="30" t="inlineStr">
        <is>
          <t xml:space="preserve">Marisol Rourke</t>
        </is>
      </c>
      <c r="C279" s="31">
        <v>46225</v>
      </c>
      <c r="D279" s="32" t="inlineStr">
        <is>
          <t xml:space="preserve">Bound - within authority</t>
        </is>
      </c>
      <c r="E279" s="32" t="inlineStr">
        <is>
          <t xml:space="preserve">New business</t>
        </is>
      </c>
      <c r="F279" s="30" t="inlineStr">
        <is>
          <t xml:space="preserve">B1234EXOTIC26</t>
        </is>
      </c>
      <c r="G279" s="33">
        <f>IF($A279="","",IF($C279="","",YEAR($C279)))</f>
      </c>
      <c r="H279" s="34">
        <v>2024</v>
      </c>
      <c r="I279" s="30" t="inlineStr">
        <is>
          <t xml:space="preserve">Mercedes-Benz</t>
        </is>
      </c>
      <c r="J279" s="30" t="inlineStr">
        <is>
          <t xml:space="preserve">AMG GT</t>
        </is>
      </c>
      <c r="K279" s="30" t="inlineStr">
        <is>
          <t xml:space="preserve">XGNZCJ3JYHJNNZLTU</t>
        </is>
      </c>
      <c r="L279" s="32" t="inlineStr">
        <is>
          <t xml:space="preserve">02 - Sports / GT</t>
        </is>
      </c>
      <c r="M279" s="35">
        <v>770000</v>
      </c>
      <c r="N279" s="32" t="inlineStr">
        <is>
          <t xml:space="preserve">Personal</t>
        </is>
      </c>
      <c r="O279" s="30" t="inlineStr">
        <is>
          <t xml:space="preserve">Personal - regular use</t>
        </is>
      </c>
      <c r="P279" s="30" t="inlineStr">
        <is>
          <t xml:space="preserve">Under 1,000</t>
        </is>
      </c>
      <c r="Q279" s="30" t="inlineStr">
        <is>
          <t xml:space="preserve">Indiana</t>
        </is>
      </c>
      <c r="R279" s="30" t="inlineStr">
        <is>
          <t xml:space="preserve">46204</t>
        </is>
      </c>
      <c r="S279" s="32" t="inlineStr">
        <is>
          <t xml:space="preserve">Severe convective - hail / tornado (moderate)</t>
        </is>
      </c>
      <c r="T279" s="36">
        <f>IF($A279="","",IF($S279="","",IFERROR(INDEX('[1]natural catastrophe'!$D$6:$D$17,MATCH($S279,'[1]natural catastrophe'!$B$6:$B$17,0)),"?")))</f>
      </c>
      <c r="U279" s="30" t="inlineStr">
        <is>
          <t xml:space="preserve">$5,000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8839.3</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CANON-202607-009901</t>
        </is>
      </c>
      <c r="B280" s="46" t="inlineStr">
        <is>
          <t xml:space="preserve">Cassius Pennington</t>
        </is>
      </c>
      <c r="C280" s="47">
        <v>46223</v>
      </c>
      <c r="D280" s="48" t="inlineStr">
        <is>
          <t xml:space="preserve">Bound - within authority</t>
        </is>
      </c>
      <c r="E280" s="48" t="inlineStr">
        <is>
          <t xml:space="preserve">New business</t>
        </is>
      </c>
      <c r="F280" s="46" t="inlineStr">
        <is>
          <t xml:space="preserve">B1234EXOTIC26</t>
        </is>
      </c>
      <c r="G280" s="33">
        <f>IF($A280="","",IF($C280="","",YEAR($C280)))</f>
      </c>
      <c r="H280" s="49">
        <v>1963</v>
      </c>
      <c r="I280" s="46" t="inlineStr">
        <is>
          <t xml:space="preserve">Maserati</t>
        </is>
      </c>
      <c r="J280" s="46" t="inlineStr">
        <is>
          <t xml:space="preserve">GranTurismo</t>
        </is>
      </c>
      <c r="K280" s="46" t="inlineStr">
        <is>
          <t xml:space="preserve">4WB471ZE6SRTVJ04R</t>
        </is>
      </c>
      <c r="L280" s="48" t="inlineStr">
        <is>
          <t xml:space="preserve">02 - Sports / GT</t>
        </is>
      </c>
      <c r="M280" s="50">
        <v>410000</v>
      </c>
      <c r="N280" s="48" t="inlineStr">
        <is>
          <t xml:space="preserve">Personal</t>
        </is>
      </c>
      <c r="O280" s="46" t="inlineStr">
        <is>
          <t xml:space="preserve">Personal - regular use</t>
        </is>
      </c>
      <c r="P280" s="46" t="inlineStr">
        <is>
          <t xml:space="preserve">1,000 - 2,500</t>
        </is>
      </c>
      <c r="Q280" s="46" t="inlineStr">
        <is>
          <t xml:space="preserve">Texas</t>
        </is>
      </c>
      <c r="R280" s="46" t="inlineStr">
        <is>
          <t xml:space="preserve">75201</t>
        </is>
      </c>
      <c r="S280" s="48" t="inlineStr">
        <is>
          <t xml:space="preserve">Tier 2 - Coastal wind (1-25 miles)</t>
        </is>
      </c>
      <c r="T280" s="36">
        <f>IF($A280="","",IF($S280="","",IFERROR(INDEX('[1]natural catastrophe'!$D$6:$D$17,MATCH($S280,'[1]natural catastrophe'!$B$6:$B$17,0)),"?")))</f>
      </c>
      <c r="U280" s="46" t="inlineStr">
        <is>
          <t xml:space="preserve">2% of agreed value, minimum $10,000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5077.52</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CANON-202607-009902</t>
        </is>
      </c>
      <c r="B281" s="30" t="inlineStr">
        <is>
          <t xml:space="preserve">Anouk Bellandi</t>
        </is>
      </c>
      <c r="C281" s="31">
        <v>46224</v>
      </c>
      <c r="D281" s="32" t="inlineStr">
        <is>
          <t xml:space="preserve">Bound - within authority</t>
        </is>
      </c>
      <c r="E281" s="32" t="inlineStr">
        <is>
          <t xml:space="preserve">New business</t>
        </is>
      </c>
      <c r="F281" s="30" t="inlineStr">
        <is>
          <t xml:space="preserve">B1234EXOTIC26</t>
        </is>
      </c>
      <c r="G281" s="33">
        <f>IF($A281="","",IF($C281="","",YEAR($C281)))</f>
      </c>
      <c r="H281" s="34">
        <v>1997</v>
      </c>
      <c r="I281" s="30" t="inlineStr">
        <is>
          <t xml:space="preserve">Porsche</t>
        </is>
      </c>
      <c r="J281" s="30" t="inlineStr">
        <is>
          <t xml:space="preserve">911 Turbo S</t>
        </is>
      </c>
      <c r="K281" s="30" t="inlineStr">
        <is>
          <t xml:space="preserve">4WVBGJLR2D9GMDVDF</t>
        </is>
      </c>
      <c r="L281" s="32" t="inlineStr">
        <is>
          <t xml:space="preserve">02 - Sports / GT</t>
        </is>
      </c>
      <c r="M281" s="35">
        <v>890000</v>
      </c>
      <c r="N281" s="32" t="inlineStr">
        <is>
          <t xml:space="preserve">Personal</t>
        </is>
      </c>
      <c r="O281" s="30" t="inlineStr">
        <is>
          <t xml:space="preserve">Personal - regular use</t>
        </is>
      </c>
      <c r="P281" s="30" t="inlineStr">
        <is>
          <t xml:space="preserve">Under 1,000</t>
        </is>
      </c>
      <c r="Q281" s="30" t="inlineStr">
        <is>
          <t xml:space="preserve">Illinois</t>
        </is>
      </c>
      <c r="R281" s="30" t="inlineStr">
        <is>
          <t xml:space="preserve">60601</t>
        </is>
      </c>
      <c r="S281" s="32" t="inlineStr">
        <is>
          <t xml:space="preserve">Severe convective - hail / tornado (moderate)</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11296.69</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CANON-202607-009904</t>
        </is>
      </c>
      <c r="B282" s="46" t="inlineStr">
        <is>
          <t xml:space="preserve">Marisol Bellandi</t>
        </is>
      </c>
      <c r="C282" s="47">
        <v>46216</v>
      </c>
      <c r="D282" s="48" t="inlineStr">
        <is>
          <t xml:space="preserve">Bound - within authority</t>
        </is>
      </c>
      <c r="E282" s="48" t="inlineStr">
        <is>
          <t xml:space="preserve">New business</t>
        </is>
      </c>
      <c r="F282" s="46" t="inlineStr">
        <is>
          <t xml:space="preserve">B1234EXOTIC26</t>
        </is>
      </c>
      <c r="G282" s="33">
        <f>IF($A282="","",IF($C282="","",YEAR($C282)))</f>
      </c>
      <c r="H282" s="49">
        <v>1966</v>
      </c>
      <c r="I282" s="46" t="inlineStr">
        <is>
          <t xml:space="preserve">BMW</t>
        </is>
      </c>
      <c r="J282" s="46" t="inlineStr">
        <is>
          <t xml:space="preserve">M8 Competition</t>
        </is>
      </c>
      <c r="K282" s="46" t="inlineStr">
        <is>
          <t xml:space="preserve">YACD5M3TTKKJ4RBU4</t>
        </is>
      </c>
      <c r="L282" s="48" t="inlineStr">
        <is>
          <t xml:space="preserve">02 - Sports / GT</t>
        </is>
      </c>
      <c r="M282" s="50">
        <v>520000</v>
      </c>
      <c r="N282" s="48" t="inlineStr">
        <is>
          <t xml:space="preserve">Personal</t>
        </is>
      </c>
      <c r="O282" s="46" t="inlineStr">
        <is>
          <t xml:space="preserve">Personal - regular use</t>
        </is>
      </c>
      <c r="P282" s="46" t="inlineStr">
        <is>
          <t xml:space="preserve">1,000 - 2,500</t>
        </is>
      </c>
      <c r="Q282" s="46" t="inlineStr">
        <is>
          <t xml:space="preserve">Texas</t>
        </is>
      </c>
      <c r="R282" s="46" t="inlineStr">
        <is>
          <t xml:space="preserve">75201</t>
        </is>
      </c>
      <c r="S282" s="48" t="inlineStr">
        <is>
          <t xml:space="preserve">Tier 2 - Coastal wind (1-25 miles)</t>
        </is>
      </c>
      <c r="T282" s="36">
        <f>IF($A282="","",IF($S282="","",IFERROR(INDEX('[1]natural catastrophe'!$D$6:$D$17,MATCH($S282,'[1]natural catastrophe'!$B$6:$B$17,0)),"?")))</f>
      </c>
      <c r="U282" s="46" t="inlineStr">
        <is>
          <t xml:space="preserve">2% of agreed value, minimum $10,000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5581.14</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CANON-202607-009905</t>
        </is>
      </c>
      <c r="B283" s="30" t="inlineStr">
        <is>
          <t xml:space="preserve">Everett Okonkwo</t>
        </is>
      </c>
      <c r="C283" s="31">
        <v>46208</v>
      </c>
      <c r="D283" s="32" t="inlineStr">
        <is>
          <t xml:space="preserve">Bound - within authority</t>
        </is>
      </c>
      <c r="E283" s="32" t="inlineStr">
        <is>
          <t xml:space="preserve">New business</t>
        </is>
      </c>
      <c r="F283" s="30" t="inlineStr">
        <is>
          <t xml:space="preserve">B1234EXOTIC26</t>
        </is>
      </c>
      <c r="G283" s="33">
        <f>IF($A283="","",IF($C283="","",YEAR($C283)))</f>
      </c>
      <c r="H283" s="34">
        <v>1977</v>
      </c>
      <c r="I283" s="30" t="inlineStr">
        <is>
          <t xml:space="preserve">Lamborghini</t>
        </is>
      </c>
      <c r="J283" s="30" t="inlineStr">
        <is>
          <t xml:space="preserve">Huracan EVO</t>
        </is>
      </c>
      <c r="K283" s="30" t="inlineStr">
        <is>
          <t xml:space="preserve">6BFP3LU0BCMN8X1KK</t>
        </is>
      </c>
      <c r="L283" s="32" t="inlineStr">
        <is>
          <t xml:space="preserve">03 - Supercar</t>
        </is>
      </c>
      <c r="M283" s="35">
        <v>620000</v>
      </c>
      <c r="N283" s="32" t="inlineStr">
        <is>
          <t xml:space="preserve">Personal</t>
        </is>
      </c>
      <c r="O283" s="30" t="inlineStr">
        <is>
          <t xml:space="preserve">Personal - regular use</t>
        </is>
      </c>
      <c r="P283" s="30" t="inlineStr">
        <is>
          <t xml:space="preserve">1,000 - 2,500</t>
        </is>
      </c>
      <c r="Q283" s="30" t="inlineStr">
        <is>
          <t xml:space="preserve">Montana</t>
        </is>
      </c>
      <c r="R283" s="30" t="inlineStr">
        <is>
          <t xml:space="preserve">59601</t>
        </is>
      </c>
      <c r="S283" s="32" t="inlineStr">
        <is>
          <t xml:space="preserve">Wildfire - WUI high hazard</t>
        </is>
      </c>
      <c r="T283" s="36">
        <f>IF($A283="","",IF($S283="","",IFERROR(INDEX('[1]natural catastrophe'!$D$6:$D$17,MATCH($S283,'[1]natural catastrophe'!$B$6:$B$17,0)),"?")))</f>
      </c>
      <c r="U283" s="30" t="inlineStr">
        <is>
          <t xml:space="preserve">$5,000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7865.15</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CANON-202607-009908</t>
        </is>
      </c>
      <c r="B284" s="46" t="inlineStr">
        <is>
          <t xml:space="preserve">Ottilie Blackwood</t>
        </is>
      </c>
      <c r="C284" s="47">
        <v>46217</v>
      </c>
      <c r="D284" s="48" t="inlineStr">
        <is>
          <t xml:space="preserve">Bound - within authority</t>
        </is>
      </c>
      <c r="E284" s="48" t="inlineStr">
        <is>
          <t xml:space="preserve">New business</t>
        </is>
      </c>
      <c r="F284" s="46" t="inlineStr">
        <is>
          <t xml:space="preserve">B1234EXOTIC26</t>
        </is>
      </c>
      <c r="G284" s="33">
        <f>IF($A284="","",IF($C284="","",YEAR($C284)))</f>
      </c>
      <c r="H284" s="49">
        <v>1996</v>
      </c>
      <c r="I284" s="46" t="inlineStr">
        <is>
          <t xml:space="preserve">Ferrari</t>
        </is>
      </c>
      <c r="J284" s="46" t="inlineStr">
        <is>
          <t xml:space="preserve">SF90 Stradale</t>
        </is>
      </c>
      <c r="K284" s="46" t="inlineStr">
        <is>
          <t xml:space="preserve">ATZCS5YTHHVVXC3MF</t>
        </is>
      </c>
      <c r="L284" s="48" t="inlineStr">
        <is>
          <t xml:space="preserve">03 - Supercar</t>
        </is>
      </c>
      <c r="M284" s="50">
        <v>360000</v>
      </c>
      <c r="N284" s="48" t="inlineStr">
        <is>
          <t xml:space="preserve">Personal</t>
        </is>
      </c>
      <c r="O284" s="46" t="inlineStr">
        <is>
          <t xml:space="preserve">Personal - regular use</t>
        </is>
      </c>
      <c r="P284" s="46" t="inlineStr">
        <is>
          <t xml:space="preserve">Under 1,000</t>
        </is>
      </c>
      <c r="Q284" s="46" t="inlineStr">
        <is>
          <t xml:space="preserve">California</t>
        </is>
      </c>
      <c r="R284" s="46" t="inlineStr">
        <is>
          <t xml:space="preserve">90012</t>
        </is>
      </c>
      <c r="S284" s="48" t="inlineStr">
        <is>
          <t xml:space="preserve">Earthquake - high (CA, Cascadia, New Madrid)</t>
        </is>
      </c>
      <c r="T284" s="36">
        <f>IF($A284="","",IF($S284="","",IFERROR(INDEX('[1]natural catastrophe'!$D$6:$D$17,MATCH($S284,'[1]natural catastrophe'!$B$6:$B$17,0)),"?")))</f>
      </c>
      <c r="U284" s="46" t="inlineStr">
        <is>
          <t xml:space="preserve">$5,000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8024.96</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CANON-202607-009910</t>
        </is>
      </c>
      <c r="B285" s="30" t="inlineStr">
        <is>
          <t xml:space="preserve">Sunniva Nakashima</t>
        </is>
      </c>
      <c r="C285" s="31">
        <v>46232</v>
      </c>
      <c r="D285" s="32" t="inlineStr">
        <is>
          <t xml:space="preserve">Bound - within authority</t>
        </is>
      </c>
      <c r="E285" s="32" t="inlineStr">
        <is>
          <t xml:space="preserve">New business</t>
        </is>
      </c>
      <c r="F285" s="30" t="inlineStr">
        <is>
          <t xml:space="preserve">B1234EXOTIC26</t>
        </is>
      </c>
      <c r="G285" s="33">
        <f>IF($A285="","",IF($C285="","",YEAR($C285)))</f>
      </c>
      <c r="H285" s="34">
        <v>2010</v>
      </c>
      <c r="I285" s="30" t="inlineStr">
        <is>
          <t xml:space="preserve">Porsche</t>
        </is>
      </c>
      <c r="J285" s="30" t="inlineStr">
        <is>
          <t xml:space="preserve">911 Turbo S</t>
        </is>
      </c>
      <c r="K285" s="30" t="inlineStr">
        <is>
          <t xml:space="preserve">HHCHDJDLL4FZSWVXT</t>
        </is>
      </c>
      <c r="L285" s="32" t="inlineStr">
        <is>
          <t xml:space="preserve">02 - Sports / GT</t>
        </is>
      </c>
      <c r="M285" s="35">
        <v>305000</v>
      </c>
      <c r="N285" s="32" t="inlineStr">
        <is>
          <t xml:space="preserve">Personal</t>
        </is>
      </c>
      <c r="O285" s="30" t="inlineStr">
        <is>
          <t xml:space="preserve">Personal - regular use</t>
        </is>
      </c>
      <c r="P285" s="30" t="inlineStr">
        <is>
          <t xml:space="preserve">Under 1,000</t>
        </is>
      </c>
      <c r="Q285" s="30" t="inlineStr">
        <is>
          <t xml:space="preserve">California</t>
        </is>
      </c>
      <c r="R285" s="30" t="inlineStr">
        <is>
          <t xml:space="preserve">90012</t>
        </is>
      </c>
      <c r="S285" s="32" t="inlineStr">
        <is>
          <t xml:space="preserve">Earthquake - high (CA, Cascadia, New Madrid)</t>
        </is>
      </c>
      <c r="T285" s="36">
        <f>IF($A285="","",IF($S285="","",IFERROR(INDEX('[1]natural catastrophe'!$D$6:$D$17,MATCH($S285,'[1]natural catastrophe'!$B$6:$B$17,0)),"?")))</f>
      </c>
      <c r="U285" s="30" t="inlineStr">
        <is>
          <t xml:space="preserve">$5,000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4434.08</v>
      </c>
      <c r="AC285" s="37">
        <v>0</v>
      </c>
      <c r="AD285" s="38">
        <f>IF(ISNUMBER($AB285),$AB285*(1+N($AC285)),"")</f>
      </c>
      <c r="AE285" s="35">
        <v>350</v>
      </c>
      <c r="AF285" s="35">
        <v>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CANON-202607-009911</t>
        </is>
      </c>
      <c r="B286" s="46" t="inlineStr">
        <is>
          <t xml:space="preserve">Delphine Vandermeer</t>
        </is>
      </c>
      <c r="C286" s="47">
        <v>46220</v>
      </c>
      <c r="D286" s="48" t="inlineStr">
        <is>
          <t xml:space="preserve">Bound - within authority</t>
        </is>
      </c>
      <c r="E286" s="48" t="inlineStr">
        <is>
          <t xml:space="preserve">New business</t>
        </is>
      </c>
      <c r="F286" s="46" t="inlineStr">
        <is>
          <t xml:space="preserve">B1234EXOTIC26</t>
        </is>
      </c>
      <c r="G286" s="33">
        <f>IF($A286="","",IF($C286="","",YEAR($C286)))</f>
      </c>
      <c r="H286" s="49">
        <v>1970</v>
      </c>
      <c r="I286" s="46" t="inlineStr">
        <is>
          <t xml:space="preserve">Ferrari</t>
        </is>
      </c>
      <c r="J286" s="46" t="inlineStr">
        <is>
          <t xml:space="preserve">SF90 Stradale</t>
        </is>
      </c>
      <c r="K286" s="46" t="inlineStr">
        <is>
          <t xml:space="preserve">J0LYJXW5XXGZ2NK8M</t>
        </is>
      </c>
      <c r="L286" s="48" t="inlineStr">
        <is>
          <t xml:space="preserve">03 - Supercar</t>
        </is>
      </c>
      <c r="M286" s="50">
        <v>265000</v>
      </c>
      <c r="N286" s="48" t="inlineStr">
        <is>
          <t xml:space="preserve">Personal</t>
        </is>
      </c>
      <c r="O286" s="46" t="inlineStr">
        <is>
          <t xml:space="preserve">Personal - regular use</t>
        </is>
      </c>
      <c r="P286" s="46" t="inlineStr">
        <is>
          <t xml:space="preserve">1,000 - 2,500</t>
        </is>
      </c>
      <c r="Q286" s="46" t="inlineStr">
        <is>
          <t xml:space="preserve">Wyoming</t>
        </is>
      </c>
      <c r="R286" s="46" t="inlineStr">
        <is>
          <t xml:space="preserve">82001</t>
        </is>
      </c>
      <c r="S286" s="48" t="inlineStr">
        <is>
          <t xml:space="preserve">Severe convective - hail alley (high)</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4682.05</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CANON-202607-009913</t>
        </is>
      </c>
      <c r="B287" s="30" t="inlineStr">
        <is>
          <t xml:space="preserve">Anouk Kingsford</t>
        </is>
      </c>
      <c r="C287" s="31">
        <v>46221</v>
      </c>
      <c r="D287" s="32" t="inlineStr">
        <is>
          <t xml:space="preserve">Bound - within authority</t>
        </is>
      </c>
      <c r="E287" s="32" t="inlineStr">
        <is>
          <t xml:space="preserve">New business</t>
        </is>
      </c>
      <c r="F287" s="30" t="inlineStr">
        <is>
          <t xml:space="preserve">B1234EXOTIC26</t>
        </is>
      </c>
      <c r="G287" s="33">
        <f>IF($A287="","",IF($C287="","",YEAR($C287)))</f>
      </c>
      <c r="H287" s="34">
        <v>1978</v>
      </c>
      <c r="I287" s="30" t="inlineStr">
        <is>
          <t xml:space="preserve">Aston Martin</t>
        </is>
      </c>
      <c r="J287" s="30" t="inlineStr">
        <is>
          <t xml:space="preserve">DB12</t>
        </is>
      </c>
      <c r="K287" s="30" t="inlineStr">
        <is>
          <t xml:space="preserve">333NGFCNCLS4ZJR8F</t>
        </is>
      </c>
      <c r="L287" s="32" t="inlineStr">
        <is>
          <t xml:space="preserve">02 - Sports / GT</t>
        </is>
      </c>
      <c r="M287" s="35">
        <v>1230000</v>
      </c>
      <c r="N287" s="32" t="inlineStr">
        <is>
          <t xml:space="preserve">Personal</t>
        </is>
      </c>
      <c r="O287" s="30" t="inlineStr">
        <is>
          <t xml:space="preserve">Personal - regular use</t>
        </is>
      </c>
      <c r="P287" s="30" t="inlineStr">
        <is>
          <t xml:space="preserve">Under 1,000</t>
        </is>
      </c>
      <c r="Q287" s="30" t="inlineStr">
        <is>
          <t xml:space="preserve">Nebraska</t>
        </is>
      </c>
      <c r="R287" s="30" t="inlineStr">
        <is>
          <t xml:space="preserve">68102</t>
        </is>
      </c>
      <c r="S287" s="32" t="inlineStr">
        <is>
          <t xml:space="preserve">Severe convective - hail alley (high)</t>
        </is>
      </c>
      <c r="T287" s="36">
        <f>IF($A287="","",IF($S287="","",IFERROR(INDEX('[1]natural catastrophe'!$D$6:$D$17,MATCH($S287,'[1]natural catastrophe'!$B$6:$B$17,0)),"?")))</f>
      </c>
      <c r="U287" s="30" t="inlineStr">
        <is>
          <t xml:space="preserve">$5,000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12627.58</v>
      </c>
      <c r="AC287" s="37">
        <v>0</v>
      </c>
      <c r="AD287" s="38">
        <f>IF(ISNUMBER($AB287),$AB287*(1+N($AC287)),"")</f>
      </c>
      <c r="AE287" s="35">
        <v>350</v>
      </c>
      <c r="AF287" s="35">
        <v>250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CANON-202607-009914</t>
        </is>
      </c>
      <c r="B288" s="46" t="inlineStr">
        <is>
          <t xml:space="preserve">Ingrid Whitlock</t>
        </is>
      </c>
      <c r="C288" s="47">
        <v>46214</v>
      </c>
      <c r="D288" s="48" t="inlineStr">
        <is>
          <t xml:space="preserve">Bound - within authority</t>
        </is>
      </c>
      <c r="E288" s="48" t="inlineStr">
        <is>
          <t xml:space="preserve">New business</t>
        </is>
      </c>
      <c r="F288" s="46" t="inlineStr">
        <is>
          <t xml:space="preserve">B1234EXOTIC26</t>
        </is>
      </c>
      <c r="G288" s="33">
        <f>IF($A288="","",IF($C288="","",YEAR($C288)))</f>
      </c>
      <c r="H288" s="49">
        <v>2012</v>
      </c>
      <c r="I288" s="46" t="inlineStr">
        <is>
          <t xml:space="preserve">Ferrari</t>
        </is>
      </c>
      <c r="J288" s="46" t="inlineStr">
        <is>
          <t xml:space="preserve">SF90 Stradale</t>
        </is>
      </c>
      <c r="K288" s="46" t="inlineStr">
        <is>
          <t xml:space="preserve">1ZLAL8VXTNVFF5JNK</t>
        </is>
      </c>
      <c r="L288" s="48" t="inlineStr">
        <is>
          <t xml:space="preserve">03 - Supercar</t>
        </is>
      </c>
      <c r="M288" s="50">
        <v>410000</v>
      </c>
      <c r="N288" s="48" t="inlineStr">
        <is>
          <t xml:space="preserve">Personal</t>
        </is>
      </c>
      <c r="O288" s="46" t="inlineStr">
        <is>
          <t xml:space="preserve">Personal - regular use</t>
        </is>
      </c>
      <c r="P288" s="46" t="inlineStr">
        <is>
          <t xml:space="preserve">1,000 - 2,500</t>
        </is>
      </c>
      <c r="Q288" s="46" t="inlineStr">
        <is>
          <t xml:space="preserve">Illinois</t>
        </is>
      </c>
      <c r="R288" s="46" t="inlineStr">
        <is>
          <t xml:space="preserve">60601</t>
        </is>
      </c>
      <c r="S288" s="48" t="inlineStr">
        <is>
          <t xml:space="preserve">Severe convective - hail / tornado (moderate)</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9207.24</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CANON-202607-009915</t>
        </is>
      </c>
      <c r="B289" s="30" t="inlineStr">
        <is>
          <t xml:space="preserve">Thaddeus Bellandi</t>
        </is>
      </c>
      <c r="C289" s="31">
        <v>46205</v>
      </c>
      <c r="D289" s="32" t="inlineStr">
        <is>
          <t xml:space="preserve">Bound - within authority</t>
        </is>
      </c>
      <c r="E289" s="32" t="inlineStr">
        <is>
          <t xml:space="preserve">New business</t>
        </is>
      </c>
      <c r="F289" s="30" t="inlineStr">
        <is>
          <t xml:space="preserve">B1234EXOTIC26</t>
        </is>
      </c>
      <c r="G289" s="33">
        <f>IF($A289="","",IF($C289="","",YEAR($C289)))</f>
      </c>
      <c r="H289" s="34">
        <v>2009</v>
      </c>
      <c r="I289" s="30" t="inlineStr">
        <is>
          <t xml:space="preserve">Porsche</t>
        </is>
      </c>
      <c r="J289" s="30" t="inlineStr">
        <is>
          <t xml:space="preserve">911 Turbo S</t>
        </is>
      </c>
      <c r="K289" s="30" t="inlineStr">
        <is>
          <t xml:space="preserve">YZULTBZ634NW6062J</t>
        </is>
      </c>
      <c r="L289" s="32" t="inlineStr">
        <is>
          <t xml:space="preserve">02 - Sports / GT</t>
        </is>
      </c>
      <c r="M289" s="35">
        <v>755000</v>
      </c>
      <c r="N289" s="32" t="inlineStr">
        <is>
          <t xml:space="preserve">Personal</t>
        </is>
      </c>
      <c r="O289" s="30" t="inlineStr">
        <is>
          <t xml:space="preserve">Personal - regular use</t>
        </is>
      </c>
      <c r="P289" s="30" t="inlineStr">
        <is>
          <t xml:space="preserve">Under 1,000</t>
        </is>
      </c>
      <c r="Q289" s="30" t="inlineStr">
        <is>
          <t xml:space="preserve">South Dakota</t>
        </is>
      </c>
      <c r="R289" s="30" t="inlineStr">
        <is>
          <t xml:space="preserve">57501</t>
        </is>
      </c>
      <c r="S289" s="32" t="inlineStr">
        <is>
          <t xml:space="preserve">Severe convective - hail alley (high)</t>
        </is>
      </c>
      <c r="T289" s="36">
        <f>IF($A289="","",IF($S289="","",IFERROR(INDEX('[1]natural catastrophe'!$D$6:$D$17,MATCH($S289,'[1]natural catastrophe'!$B$6:$B$17,0)),"?")))</f>
      </c>
      <c r="U289" s="30" t="inlineStr">
        <is>
          <t xml:space="preserve">$5,000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7821.54</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CANON-202607-009916</t>
        </is>
      </c>
      <c r="B290" s="46" t="inlineStr">
        <is>
          <t xml:space="preserve">Noor Chattopadhyay</t>
        </is>
      </c>
      <c r="C290" s="47">
        <v>46213</v>
      </c>
      <c r="D290" s="48" t="inlineStr">
        <is>
          <t xml:space="preserve">Bound - within authority</t>
        </is>
      </c>
      <c r="E290" s="48" t="inlineStr">
        <is>
          <t xml:space="preserve">New business</t>
        </is>
      </c>
      <c r="F290" s="46" t="inlineStr">
        <is>
          <t xml:space="preserve">B1234EXOTIC26</t>
        </is>
      </c>
      <c r="G290" s="33">
        <f>IF($A290="","",IF($C290="","",YEAR($C290)))</f>
      </c>
      <c r="H290" s="49">
        <v>1969</v>
      </c>
      <c r="I290" s="46" t="inlineStr">
        <is>
          <t xml:space="preserve">Maserati</t>
        </is>
      </c>
      <c r="J290" s="46" t="inlineStr">
        <is>
          <t xml:space="preserve">GranTurismo</t>
        </is>
      </c>
      <c r="K290" s="46" t="inlineStr">
        <is>
          <t xml:space="preserve">ZNJK5Y38UZF71VVFY</t>
        </is>
      </c>
      <c r="L290" s="48" t="inlineStr">
        <is>
          <t xml:space="preserve">02 - Sports / GT</t>
        </is>
      </c>
      <c r="M290" s="50">
        <v>1950000</v>
      </c>
      <c r="N290" s="48" t="inlineStr">
        <is>
          <t xml:space="preserve">Personal</t>
        </is>
      </c>
      <c r="O290" s="46" t="inlineStr">
        <is>
          <t xml:space="preserve">Personal - regular use</t>
        </is>
      </c>
      <c r="P290" s="46" t="inlineStr">
        <is>
          <t xml:space="preserve">2,500 - 5,000</t>
        </is>
      </c>
      <c r="Q290" s="46" t="inlineStr">
        <is>
          <t xml:space="preserve">Arkansas</t>
        </is>
      </c>
      <c r="R290" s="46" t="inlineStr">
        <is>
          <t xml:space="preserve">72201</t>
        </is>
      </c>
      <c r="S290" s="48" t="inlineStr">
        <is>
          <t xml:space="preserve">Severe convective - hail / tornado (moderate)</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21251.28</v>
      </c>
      <c r="AC290" s="51">
        <v>0</v>
      </c>
      <c r="AD290" s="38">
        <f>IF(ISNUMBER($AB290),$AB290*(1+N($AC290)),"")</f>
      </c>
      <c r="AE290" s="50">
        <v>350</v>
      </c>
      <c r="AF290" s="50">
        <v>250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CANON-202607-009918</t>
        </is>
      </c>
      <c r="B291" s="30" t="inlineStr">
        <is>
          <t xml:space="preserve">Marisol Rourke</t>
        </is>
      </c>
      <c r="C291" s="31">
        <v>46232</v>
      </c>
      <c r="D291" s="32" t="inlineStr">
        <is>
          <t xml:space="preserve">Bound - within authority</t>
        </is>
      </c>
      <c r="E291" s="32" t="inlineStr">
        <is>
          <t xml:space="preserve">New business</t>
        </is>
      </c>
      <c r="F291" s="30" t="inlineStr">
        <is>
          <t xml:space="preserve">B1234EXOTIC26</t>
        </is>
      </c>
      <c r="G291" s="33">
        <f>IF($A291="","",IF($C291="","",YEAR($C291)))</f>
      </c>
      <c r="H291" s="34">
        <v>1958</v>
      </c>
      <c r="I291" s="30" t="inlineStr">
        <is>
          <t xml:space="preserve">Mercedes-Benz</t>
        </is>
      </c>
      <c r="J291" s="30" t="inlineStr">
        <is>
          <t xml:space="preserve">AMG GT</t>
        </is>
      </c>
      <c r="K291" s="30" t="inlineStr">
        <is>
          <t xml:space="preserve">AA9WWF4ECTMWX5RJ0</t>
        </is>
      </c>
      <c r="L291" s="32" t="inlineStr">
        <is>
          <t xml:space="preserve">02 - Sports / GT</t>
        </is>
      </c>
      <c r="M291" s="35">
        <v>355000</v>
      </c>
      <c r="N291" s="32" t="inlineStr">
        <is>
          <t xml:space="preserve">Personal</t>
        </is>
      </c>
      <c r="O291" s="30" t="inlineStr">
        <is>
          <t xml:space="preserve">Personal - regular use</t>
        </is>
      </c>
      <c r="P291" s="30" t="inlineStr">
        <is>
          <t xml:space="preserve">1,000 - 2,500</t>
        </is>
      </c>
      <c r="Q291" s="30" t="inlineStr">
        <is>
          <t xml:space="preserve">Minnesota</t>
        </is>
      </c>
      <c r="R291" s="30" t="inlineStr">
        <is>
          <t xml:space="preserve">55401</t>
        </is>
      </c>
      <c r="S291" s="32" t="inlineStr">
        <is>
          <t xml:space="preserve">Severe convective - hail / tornado (moderate)</t>
        </is>
      </c>
      <c r="T291" s="36">
        <f>IF($A291="","",IF($S291="","",IFERROR(INDEX('[1]natural catastrophe'!$D$6:$D$17,MATCH($S291,'[1]natural catastrophe'!$B$6:$B$17,0)),"?")))</f>
      </c>
      <c r="U291" s="30" t="inlineStr">
        <is>
          <t xml:space="preserve">$5,000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5046.29</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CANON-202607-009919</t>
        </is>
      </c>
      <c r="B292" s="46" t="inlineStr">
        <is>
          <t xml:space="preserve">Fenwick Chattopadhyay</t>
        </is>
      </c>
      <c r="C292" s="47">
        <v>46222</v>
      </c>
      <c r="D292" s="48" t="inlineStr">
        <is>
          <t xml:space="preserve">Bound - within authority</t>
        </is>
      </c>
      <c r="E292" s="48" t="inlineStr">
        <is>
          <t xml:space="preserve">New business</t>
        </is>
      </c>
      <c r="F292" s="46" t="inlineStr">
        <is>
          <t xml:space="preserve">B1234EXOTIC26</t>
        </is>
      </c>
      <c r="G292" s="33">
        <f>IF($A292="","",IF($C292="","",YEAR($C292)))</f>
      </c>
      <c r="H292" s="49">
        <v>2024</v>
      </c>
      <c r="I292" s="46" t="inlineStr">
        <is>
          <t xml:space="preserve">Bentley</t>
        </is>
      </c>
      <c r="J292" s="46" t="inlineStr">
        <is>
          <t xml:space="preserve">Continental GT</t>
        </is>
      </c>
      <c r="K292" s="46" t="inlineStr">
        <is>
          <t xml:space="preserve">N3S3F9SRV3C30YSX2</t>
        </is>
      </c>
      <c r="L292" s="48" t="inlineStr">
        <is>
          <t xml:space="preserve">02 - Sports / GT</t>
        </is>
      </c>
      <c r="M292" s="50">
        <v>135000</v>
      </c>
      <c r="N292" s="48" t="inlineStr">
        <is>
          <t xml:space="preserve">Personal</t>
        </is>
      </c>
      <c r="O292" s="46" t="inlineStr">
        <is>
          <t xml:space="preserve">Personal - regular use</t>
        </is>
      </c>
      <c r="P292" s="46" t="inlineStr">
        <is>
          <t xml:space="preserve">1,000 - 2,500</t>
        </is>
      </c>
      <c r="Q292" s="46" t="inlineStr">
        <is>
          <t xml:space="preserve">New York</t>
        </is>
      </c>
      <c r="R292" s="46" t="inlineStr">
        <is>
          <t xml:space="preserve">10022</t>
        </is>
      </c>
      <c r="S292" s="48" t="inlineStr">
        <is>
          <t xml:space="preserve">Tier 3 - Coastal wind (25-100 miles)</t>
        </is>
      </c>
      <c r="T292" s="36">
        <f>IF($A292="","",IF($S292="","",IFERROR(INDEX('[1]natural catastrophe'!$D$6:$D$17,MATCH($S292,'[1]natural catastrophe'!$B$6:$B$17,0)),"?")))</f>
      </c>
      <c r="U292" s="46" t="inlineStr">
        <is>
          <t xml:space="preserve">2% of agreed value, minimum $10,000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2282.66</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CANON-202607-009920</t>
        </is>
      </c>
      <c r="B293" s="30" t="inlineStr">
        <is>
          <t xml:space="preserve">Noor Okonkwo</t>
        </is>
      </c>
      <c r="C293" s="31">
        <v>46219</v>
      </c>
      <c r="D293" s="32" t="inlineStr">
        <is>
          <t xml:space="preserve">Bound - within authority</t>
        </is>
      </c>
      <c r="E293" s="32" t="inlineStr">
        <is>
          <t xml:space="preserve">New business</t>
        </is>
      </c>
      <c r="F293" s="30" t="inlineStr">
        <is>
          <t xml:space="preserve">B1234EXOTIC26</t>
        </is>
      </c>
      <c r="G293" s="33">
        <f>IF($A293="","",IF($C293="","",YEAR($C293)))</f>
      </c>
      <c r="H293" s="34">
        <v>1995</v>
      </c>
      <c r="I293" s="30" t="inlineStr">
        <is>
          <t xml:space="preserve">Ferrari</t>
        </is>
      </c>
      <c r="J293" s="30" t="inlineStr">
        <is>
          <t xml:space="preserve">296 GTB</t>
        </is>
      </c>
      <c r="K293" s="30" t="inlineStr">
        <is>
          <t xml:space="preserve">M0LJ1WE4BRMZ1B83B</t>
        </is>
      </c>
      <c r="L293" s="32" t="inlineStr">
        <is>
          <t xml:space="preserve">03 - Supercar</t>
        </is>
      </c>
      <c r="M293" s="35">
        <v>820000</v>
      </c>
      <c r="N293" s="32" t="inlineStr">
        <is>
          <t xml:space="preserve">Personal</t>
        </is>
      </c>
      <c r="O293" s="30" t="inlineStr">
        <is>
          <t xml:space="preserve">Personal - regular use</t>
        </is>
      </c>
      <c r="P293" s="30" t="inlineStr">
        <is>
          <t xml:space="preserve">2,500 - 5,000</t>
        </is>
      </c>
      <c r="Q293" s="30" t="inlineStr">
        <is>
          <t xml:space="preserve">Wisconsin</t>
        </is>
      </c>
      <c r="R293" s="30" t="inlineStr">
        <is>
          <t xml:space="preserve">53202</t>
        </is>
      </c>
      <c r="S293" s="32" t="inlineStr">
        <is>
          <t xml:space="preserve">Severe convective - hail / tornado (moderate)</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13422.32</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CANON-202607-009921</t>
        </is>
      </c>
      <c r="B294" s="46" t="inlineStr">
        <is>
          <t xml:space="preserve">Aurelio Nakashima</t>
        </is>
      </c>
      <c r="C294" s="47">
        <v>46226</v>
      </c>
      <c r="D294" s="48" t="inlineStr">
        <is>
          <t xml:space="preserve">Bound - within authority</t>
        </is>
      </c>
      <c r="E294" s="48" t="inlineStr">
        <is>
          <t xml:space="preserve">New business</t>
        </is>
      </c>
      <c r="F294" s="46" t="inlineStr">
        <is>
          <t xml:space="preserve">B1234EXOTIC26</t>
        </is>
      </c>
      <c r="G294" s="33">
        <f>IF($A294="","",IF($C294="","",YEAR($C294)))</f>
      </c>
      <c r="H294" s="49">
        <v>1995</v>
      </c>
      <c r="I294" s="46" t="inlineStr">
        <is>
          <t xml:space="preserve">Ferrari</t>
        </is>
      </c>
      <c r="J294" s="46" t="inlineStr">
        <is>
          <t xml:space="preserve">275 GTB/4</t>
        </is>
      </c>
      <c r="K294" s="46" t="inlineStr">
        <is>
          <t xml:space="preserve">P58ME79LU0N0ZYTPW</t>
        </is>
      </c>
      <c r="L294" s="48" t="inlineStr">
        <is>
          <t xml:space="preserve">08 - Modern Classic (1973-1999)</t>
        </is>
      </c>
      <c r="M294" s="50">
        <v>405000</v>
      </c>
      <c r="N294" s="48" t="inlineStr">
        <is>
          <t xml:space="preserve">Personal</t>
        </is>
      </c>
      <c r="O294" s="46" t="inlineStr">
        <is>
          <t xml:space="preserve">Personal - regular use</t>
        </is>
      </c>
      <c r="P294" s="46" t="inlineStr">
        <is>
          <t xml:space="preserve">1,000 - 2,500</t>
        </is>
      </c>
      <c r="Q294" s="46" t="inlineStr">
        <is>
          <t xml:space="preserve">New York</t>
        </is>
      </c>
      <c r="R294" s="46" t="inlineStr">
        <is>
          <t xml:space="preserve">10022</t>
        </is>
      </c>
      <c r="S294" s="48" t="inlineStr">
        <is>
          <t xml:space="preserve">Tier 3 - Coastal wind (25-100 miles)</t>
        </is>
      </c>
      <c r="T294" s="36">
        <f>IF($A294="","",IF($S294="","",IFERROR(INDEX('[1]natural catastrophe'!$D$6:$D$17,MATCH($S294,'[1]natural catastrophe'!$B$6:$B$17,0)),"?")))</f>
      </c>
      <c r="U294" s="46" t="inlineStr">
        <is>
          <t xml:space="preserve">2% of agreed value, minimum $10,000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3572.85</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CANON-202607-009922</t>
        </is>
      </c>
      <c r="B295" s="30" t="inlineStr">
        <is>
          <t xml:space="preserve">Fitzgerald Bellandi</t>
        </is>
      </c>
      <c r="C295" s="31">
        <v>46205</v>
      </c>
      <c r="D295" s="32" t="inlineStr">
        <is>
          <t xml:space="preserve">Bound - within authority</t>
        </is>
      </c>
      <c r="E295" s="32" t="inlineStr">
        <is>
          <t xml:space="preserve">New business</t>
        </is>
      </c>
      <c r="F295" s="30" t="inlineStr">
        <is>
          <t xml:space="preserve">B1234EXOTIC26</t>
        </is>
      </c>
      <c r="G295" s="33">
        <f>IF($A295="","",IF($C295="","",YEAR($C295)))</f>
      </c>
      <c r="H295" s="34">
        <v>1996</v>
      </c>
      <c r="I295" s="30" t="inlineStr">
        <is>
          <t xml:space="preserve">Mercedes-Benz</t>
        </is>
      </c>
      <c r="J295" s="30" t="inlineStr">
        <is>
          <t xml:space="preserve">AMG GT</t>
        </is>
      </c>
      <c r="K295" s="30" t="inlineStr">
        <is>
          <t xml:space="preserve">72H8VFY8MK3M0AGXE</t>
        </is>
      </c>
      <c r="L295" s="32" t="inlineStr">
        <is>
          <t xml:space="preserve">02 - Sports / GT</t>
        </is>
      </c>
      <c r="M295" s="35">
        <v>720000</v>
      </c>
      <c r="N295" s="32" t="inlineStr">
        <is>
          <t xml:space="preserve">Personal</t>
        </is>
      </c>
      <c r="O295" s="30" t="inlineStr">
        <is>
          <t xml:space="preserve">Personal - regular use</t>
        </is>
      </c>
      <c r="P295" s="30" t="inlineStr">
        <is>
          <t xml:space="preserve">1,000 - 2,500</t>
        </is>
      </c>
      <c r="Q295" s="30" t="inlineStr">
        <is>
          <t xml:space="preserve">Colorado</t>
        </is>
      </c>
      <c r="R295" s="30" t="inlineStr">
        <is>
          <t xml:space="preserve">80202</t>
        </is>
      </c>
      <c r="S295" s="32" t="inlineStr">
        <is>
          <t xml:space="preserve">Severe convective - hail alley (high)</t>
        </is>
      </c>
      <c r="T295" s="36">
        <f>IF($A295="","",IF($S295="","",IFERROR(INDEX('[1]natural catastrophe'!$D$6:$D$17,MATCH($S295,'[1]natural catastrophe'!$B$6:$B$17,0)),"?")))</f>
      </c>
      <c r="U295" s="30" t="inlineStr">
        <is>
          <t xml:space="preserve">$5,000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7391.75</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CANON-202607-009923</t>
        </is>
      </c>
      <c r="B296" s="46" t="inlineStr">
        <is>
          <t xml:space="preserve">Desmond Fairweather</t>
        </is>
      </c>
      <c r="C296" s="47">
        <v>46208</v>
      </c>
      <c r="D296" s="48" t="inlineStr">
        <is>
          <t xml:space="preserve">Bound - within authority</t>
        </is>
      </c>
      <c r="E296" s="48" t="inlineStr">
        <is>
          <t xml:space="preserve">New business</t>
        </is>
      </c>
      <c r="F296" s="46" t="inlineStr">
        <is>
          <t xml:space="preserve">B1234EXOTIC26</t>
        </is>
      </c>
      <c r="G296" s="33">
        <f>IF($A296="","",IF($C296="","",YEAR($C296)))</f>
      </c>
      <c r="H296" s="49">
        <v>1998</v>
      </c>
      <c r="I296" s="46" t="inlineStr">
        <is>
          <t xml:space="preserve">Maserati</t>
        </is>
      </c>
      <c r="J296" s="46" t="inlineStr">
        <is>
          <t xml:space="preserve">GranTurismo</t>
        </is>
      </c>
      <c r="K296" s="46" t="inlineStr">
        <is>
          <t xml:space="preserve">NYUJK6Z4BCYUHMZ1Y</t>
        </is>
      </c>
      <c r="L296" s="48" t="inlineStr">
        <is>
          <t xml:space="preserve">02 - Sports / GT</t>
        </is>
      </c>
      <c r="M296" s="50">
        <v>715000</v>
      </c>
      <c r="N296" s="48" t="inlineStr">
        <is>
          <t xml:space="preserve">Personal</t>
        </is>
      </c>
      <c r="O296" s="46" t="inlineStr">
        <is>
          <t xml:space="preserve">Personal - regular use</t>
        </is>
      </c>
      <c r="P296" s="46" t="inlineStr">
        <is>
          <t xml:space="preserve">2,500 - 5,000</t>
        </is>
      </c>
      <c r="Q296" s="46" t="inlineStr">
        <is>
          <t xml:space="preserve">Pennsylvania</t>
        </is>
      </c>
      <c r="R296" s="46" t="inlineStr">
        <is>
          <t xml:space="preserve">19103</t>
        </is>
      </c>
      <c r="S296" s="48" t="inlineStr">
        <is>
          <t xml:space="preserve">Low hazard - inland benign</t>
        </is>
      </c>
      <c r="T296" s="36">
        <f>IF($A296="","",IF($S296="","",IFERROR(INDEX('[1]natural catastrophe'!$D$6:$D$17,MATCH($S296,'[1]natural catastrophe'!$B$6:$B$17,0)),"?")))</f>
      </c>
      <c r="U296" s="46" t="inlineStr">
        <is>
          <t xml:space="preserve">$5,000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6673.11</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CANON-202607-009924</t>
        </is>
      </c>
      <c r="B297" s="30" t="inlineStr">
        <is>
          <t xml:space="preserve">Anouk Pennington</t>
        </is>
      </c>
      <c r="C297" s="31">
        <v>46205</v>
      </c>
      <c r="D297" s="32" t="inlineStr">
        <is>
          <t xml:space="preserve">Bound - within authority</t>
        </is>
      </c>
      <c r="E297" s="32" t="inlineStr">
        <is>
          <t xml:space="preserve">New business</t>
        </is>
      </c>
      <c r="F297" s="30" t="inlineStr">
        <is>
          <t xml:space="preserve">B1234EXOTIC26</t>
        </is>
      </c>
      <c r="G297" s="33">
        <f>IF($A297="","",IF($C297="","",YEAR($C297)))</f>
      </c>
      <c r="H297" s="34">
        <v>2017</v>
      </c>
      <c r="I297" s="30" t="inlineStr">
        <is>
          <t xml:space="preserve">Ferrari</t>
        </is>
      </c>
      <c r="J297" s="30" t="inlineStr">
        <is>
          <t xml:space="preserve">275 GTB/4</t>
        </is>
      </c>
      <c r="K297" s="30" t="inlineStr">
        <is>
          <t xml:space="preserve">PSSM49EFPVM7YDYD8</t>
        </is>
      </c>
      <c r="L297" s="32" t="inlineStr">
        <is>
          <t xml:space="preserve">02 - Sports / GT</t>
        </is>
      </c>
      <c r="M297" s="35">
        <v>445000</v>
      </c>
      <c r="N297" s="32" t="inlineStr">
        <is>
          <t xml:space="preserve">Personal</t>
        </is>
      </c>
      <c r="O297" s="30" t="inlineStr">
        <is>
          <t xml:space="preserve">Personal - regular use</t>
        </is>
      </c>
      <c r="P297" s="30" t="inlineStr">
        <is>
          <t xml:space="preserve">1,000 - 2,500</t>
        </is>
      </c>
      <c r="Q297" s="30" t="inlineStr">
        <is>
          <t xml:space="preserve">Ohio</t>
        </is>
      </c>
      <c r="R297" s="30" t="inlineStr">
        <is>
          <t xml:space="preserve">43215</t>
        </is>
      </c>
      <c r="S297" s="32" t="inlineStr">
        <is>
          <t xml:space="preserve">Severe convective - hail / tornado (moderate)</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4263.09</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CANON-202607-009926</t>
        </is>
      </c>
      <c r="B298" s="46" t="inlineStr">
        <is>
          <t xml:space="preserve">Thaddeus Underwood</t>
        </is>
      </c>
      <c r="C298" s="47">
        <v>46207</v>
      </c>
      <c r="D298" s="48" t="inlineStr">
        <is>
          <t xml:space="preserve">Bound - within authority</t>
        </is>
      </c>
      <c r="E298" s="48" t="inlineStr">
        <is>
          <t xml:space="preserve">New business</t>
        </is>
      </c>
      <c r="F298" s="46" t="inlineStr">
        <is>
          <t xml:space="preserve">B1234EXOTIC26</t>
        </is>
      </c>
      <c r="G298" s="33">
        <f>IF($A298="","",IF($C298="","",YEAR($C298)))</f>
      </c>
      <c r="H298" s="49">
        <v>1960</v>
      </c>
      <c r="I298" s="46" t="inlineStr">
        <is>
          <t xml:space="preserve">Ferrari</t>
        </is>
      </c>
      <c r="J298" s="46" t="inlineStr">
        <is>
          <t xml:space="preserve">SF90 Stradale</t>
        </is>
      </c>
      <c r="K298" s="46" t="inlineStr">
        <is>
          <t xml:space="preserve">1CJ86T8BB0FEP1UZ1</t>
        </is>
      </c>
      <c r="L298" s="48" t="inlineStr">
        <is>
          <t xml:space="preserve">03 - Supercar</t>
        </is>
      </c>
      <c r="M298" s="50">
        <v>435000</v>
      </c>
      <c r="N298" s="48" t="inlineStr">
        <is>
          <t xml:space="preserve">Personal</t>
        </is>
      </c>
      <c r="O298" s="46" t="inlineStr">
        <is>
          <t xml:space="preserve">Personal - regular use</t>
        </is>
      </c>
      <c r="P298" s="46" t="inlineStr">
        <is>
          <t xml:space="preserve">2,500 - 5,000</t>
        </is>
      </c>
      <c r="Q298" s="46" t="inlineStr">
        <is>
          <t xml:space="preserve">Michigan</t>
        </is>
      </c>
      <c r="R298" s="46" t="inlineStr">
        <is>
          <t xml:space="preserve">48226</t>
        </is>
      </c>
      <c r="S298" s="48" t="inlineStr">
        <is>
          <t xml:space="preserve">Severe convective - hail / tornado (moderate)</t>
        </is>
      </c>
      <c r="T298" s="36">
        <f>IF($A298="","",IF($S298="","",IFERROR(INDEX('[1]natural catastrophe'!$D$6:$D$17,MATCH($S298,'[1]natural catastrophe'!$B$6:$B$17,0)),"?")))</f>
      </c>
      <c r="U298" s="46" t="inlineStr">
        <is>
          <t xml:space="preserve">$5,000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11133.39</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CANON-202607-009929</t>
        </is>
      </c>
      <c r="B299" s="30" t="inlineStr">
        <is>
          <t xml:space="preserve">Noor Whitlock</t>
        </is>
      </c>
      <c r="C299" s="31">
        <v>46224</v>
      </c>
      <c r="D299" s="32" t="inlineStr">
        <is>
          <t xml:space="preserve">Bound - within authority</t>
        </is>
      </c>
      <c r="E299" s="32" t="inlineStr">
        <is>
          <t xml:space="preserve">New business</t>
        </is>
      </c>
      <c r="F299" s="30" t="inlineStr">
        <is>
          <t xml:space="preserve">B1234EXOTIC26</t>
        </is>
      </c>
      <c r="G299" s="33">
        <f>IF($A299="","",IF($C299="","",YEAR($C299)))</f>
      </c>
      <c r="H299" s="34">
        <v>1974</v>
      </c>
      <c r="I299" s="30" t="inlineStr">
        <is>
          <t xml:space="preserve">Lamborghini</t>
        </is>
      </c>
      <c r="J299" s="30" t="inlineStr">
        <is>
          <t xml:space="preserve">Huracan EVO</t>
        </is>
      </c>
      <c r="K299" s="30" t="inlineStr">
        <is>
          <t xml:space="preserve">AJ68EH8073C50GUML</t>
        </is>
      </c>
      <c r="L299" s="32" t="inlineStr">
        <is>
          <t xml:space="preserve">03 - Supercar</t>
        </is>
      </c>
      <c r="M299" s="35">
        <v>535000</v>
      </c>
      <c r="N299" s="32" t="inlineStr">
        <is>
          <t xml:space="preserve">Personal</t>
        </is>
      </c>
      <c r="O299" s="30" t="inlineStr">
        <is>
          <t xml:space="preserve">Personal - regular use</t>
        </is>
      </c>
      <c r="P299" s="30" t="inlineStr">
        <is>
          <t xml:space="preserve">1,000 - 2,500</t>
        </is>
      </c>
      <c r="Q299" s="30" t="inlineStr">
        <is>
          <t xml:space="preserve">Arkansas</t>
        </is>
      </c>
      <c r="R299" s="30" t="inlineStr">
        <is>
          <t xml:space="preserve">72201</t>
        </is>
      </c>
      <c r="S299" s="32" t="inlineStr">
        <is>
          <t xml:space="preserve">Severe convective - hail / tornado (moderate)</t>
        </is>
      </c>
      <c r="T299" s="36">
        <f>IF($A299="","",IF($S299="","",IFERROR(INDEX('[1]natural catastrophe'!$D$6:$D$17,MATCH($S299,'[1]natural catastrophe'!$B$6:$B$17,0)),"?")))</f>
      </c>
      <c r="U299" s="30" t="inlineStr">
        <is>
          <t xml:space="preserve">$5,000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10070.83</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CANON-202607-009930</t>
        </is>
      </c>
      <c r="B300" s="46" t="inlineStr">
        <is>
          <t xml:space="preserve">Beatrix Okonkwo</t>
        </is>
      </c>
      <c r="C300" s="47">
        <v>46210</v>
      </c>
      <c r="D300" s="48" t="inlineStr">
        <is>
          <t xml:space="preserve">Bound - within authority</t>
        </is>
      </c>
      <c r="E300" s="48" t="inlineStr">
        <is>
          <t xml:space="preserve">New business</t>
        </is>
      </c>
      <c r="F300" s="46" t="inlineStr">
        <is>
          <t xml:space="preserve">B1234EXOTIC26</t>
        </is>
      </c>
      <c r="G300" s="33">
        <f>IF($A300="","",IF($C300="","",YEAR($C300)))</f>
      </c>
      <c r="H300" s="49">
        <v>1962</v>
      </c>
      <c r="I300" s="46" t="inlineStr">
        <is>
          <t xml:space="preserve">Jaguar</t>
        </is>
      </c>
      <c r="J300" s="46" t="inlineStr">
        <is>
          <t xml:space="preserve">E-Type Series 1</t>
        </is>
      </c>
      <c r="K300" s="46" t="inlineStr">
        <is>
          <t xml:space="preserve">PLYSGU1E9M0KTLS70</t>
        </is>
      </c>
      <c r="L300" s="48" t="inlineStr">
        <is>
          <t xml:space="preserve">07 - Post-War Classic (1946-1972)</t>
        </is>
      </c>
      <c r="M300" s="50">
        <v>235000</v>
      </c>
      <c r="N300" s="48" t="inlineStr">
        <is>
          <t xml:space="preserve">Personal</t>
        </is>
      </c>
      <c r="O300" s="46" t="inlineStr">
        <is>
          <t xml:space="preserve">Personal - regular use</t>
        </is>
      </c>
      <c r="P300" s="46" t="inlineStr">
        <is>
          <t xml:space="preserve">2,500 - 5,000</t>
        </is>
      </c>
      <c r="Q300" s="46" t="inlineStr">
        <is>
          <t xml:space="preserve">Michigan</t>
        </is>
      </c>
      <c r="R300" s="46" t="inlineStr">
        <is>
          <t xml:space="preserve">48226</t>
        </is>
      </c>
      <c r="S300" s="48" t="inlineStr">
        <is>
          <t xml:space="preserve">Severe convective - hail / tornado (moderate)</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2981.15</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CANON-202607-009931</t>
        </is>
      </c>
      <c r="B301" s="30" t="inlineStr">
        <is>
          <t xml:space="preserve">Noor Rourke</t>
        </is>
      </c>
      <c r="C301" s="31">
        <v>46212</v>
      </c>
      <c r="D301" s="32" t="inlineStr">
        <is>
          <t xml:space="preserve">Bound - within authority</t>
        </is>
      </c>
      <c r="E301" s="32" t="inlineStr">
        <is>
          <t xml:space="preserve">New business</t>
        </is>
      </c>
      <c r="F301" s="30" t="inlineStr">
        <is>
          <t xml:space="preserve">B1234EXOTIC26</t>
        </is>
      </c>
      <c r="G301" s="33">
        <f>IF($A301="","",IF($C301="","",YEAR($C301)))</f>
      </c>
      <c r="H301" s="34">
        <v>1975</v>
      </c>
      <c r="I301" s="30" t="inlineStr">
        <is>
          <t xml:space="preserve">Aston Martin</t>
        </is>
      </c>
      <c r="J301" s="30" t="inlineStr">
        <is>
          <t xml:space="preserve">DB5</t>
        </is>
      </c>
      <c r="K301" s="30" t="inlineStr">
        <is>
          <t xml:space="preserve">XEFZJC1D4EPJCFF40</t>
        </is>
      </c>
      <c r="L301" s="32" t="inlineStr">
        <is>
          <t xml:space="preserve">08 - Modern Classic (1973-1999)</t>
        </is>
      </c>
      <c r="M301" s="35">
        <v>990000</v>
      </c>
      <c r="N301" s="32" t="inlineStr">
        <is>
          <t xml:space="preserve">Personal</t>
        </is>
      </c>
      <c r="O301" s="30" t="inlineStr">
        <is>
          <t xml:space="preserve">Personal - regular use</t>
        </is>
      </c>
      <c r="P301" s="30" t="inlineStr">
        <is>
          <t xml:space="preserve">1,000 - 2,500</t>
        </is>
      </c>
      <c r="Q301" s="30" t="inlineStr">
        <is>
          <t xml:space="preserve">Montana</t>
        </is>
      </c>
      <c r="R301" s="30" t="inlineStr">
        <is>
          <t xml:space="preserve">59601</t>
        </is>
      </c>
      <c r="S301" s="32" t="inlineStr">
        <is>
          <t xml:space="preserve">Wildfire - WUI high hazard</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5684.54</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CANON-202607-009932</t>
        </is>
      </c>
      <c r="B302" s="46" t="inlineStr">
        <is>
          <t xml:space="preserve">Emiliano Thistlewood</t>
        </is>
      </c>
      <c r="C302" s="47">
        <v>46221</v>
      </c>
      <c r="D302" s="48" t="inlineStr">
        <is>
          <t xml:space="preserve">Bound - within authority</t>
        </is>
      </c>
      <c r="E302" s="48" t="inlineStr">
        <is>
          <t xml:space="preserve">New business</t>
        </is>
      </c>
      <c r="F302" s="46" t="inlineStr">
        <is>
          <t xml:space="preserve">B1234EXOTIC26</t>
        </is>
      </c>
      <c r="G302" s="33">
        <f>IF($A302="","",IF($C302="","",YEAR($C302)))</f>
      </c>
      <c r="H302" s="49">
        <v>1996</v>
      </c>
      <c r="I302" s="46" t="inlineStr">
        <is>
          <t xml:space="preserve">Bentley</t>
        </is>
      </c>
      <c r="J302" s="46" t="inlineStr">
        <is>
          <t xml:space="preserve">Continental GT</t>
        </is>
      </c>
      <c r="K302" s="46" t="inlineStr">
        <is>
          <t xml:space="preserve">ELLJZRCJVE7L7NV12</t>
        </is>
      </c>
      <c r="L302" s="48" t="inlineStr">
        <is>
          <t xml:space="preserve">02 - Sports / GT</t>
        </is>
      </c>
      <c r="M302" s="50">
        <v>330000</v>
      </c>
      <c r="N302" s="48" t="inlineStr">
        <is>
          <t xml:space="preserve">Personal</t>
        </is>
      </c>
      <c r="O302" s="46" t="inlineStr">
        <is>
          <t xml:space="preserve">Personal - regular use</t>
        </is>
      </c>
      <c r="P302" s="46" t="inlineStr">
        <is>
          <t xml:space="preserve">1,000 - 2,500</t>
        </is>
      </c>
      <c r="Q302" s="46" t="inlineStr">
        <is>
          <t xml:space="preserve">New York</t>
        </is>
      </c>
      <c r="R302" s="46" t="inlineStr">
        <is>
          <t xml:space="preserve">10022</t>
        </is>
      </c>
      <c r="S302" s="48" t="inlineStr">
        <is>
          <t xml:space="preserve">Tier 3 - Coastal wind (25-100 miles)</t>
        </is>
      </c>
      <c r="T302" s="36">
        <f>IF($A302="","",IF($S302="","",IFERROR(INDEX('[1]natural catastrophe'!$D$6:$D$17,MATCH($S302,'[1]natural catastrophe'!$B$6:$B$17,0)),"?")))</f>
      </c>
      <c r="U302" s="46" t="inlineStr">
        <is>
          <t xml:space="preserve">2% of agreed value, minimum $10,000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4548.77</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CANON-202607-009933</t>
        </is>
      </c>
      <c r="B303" s="30" t="inlineStr">
        <is>
          <t xml:space="preserve">Fitzgerald Chattopadhyay</t>
        </is>
      </c>
      <c r="C303" s="31">
        <v>46210</v>
      </c>
      <c r="D303" s="32" t="inlineStr">
        <is>
          <t xml:space="preserve">Bound - within authority</t>
        </is>
      </c>
      <c r="E303" s="32" t="inlineStr">
        <is>
          <t xml:space="preserve">New business</t>
        </is>
      </c>
      <c r="F303" s="30" t="inlineStr">
        <is>
          <t xml:space="preserve">B1234EXOTIC26</t>
        </is>
      </c>
      <c r="G303" s="33">
        <f>IF($A303="","",IF($C303="","",YEAR($C303)))</f>
      </c>
      <c r="H303" s="34">
        <v>1978</v>
      </c>
      <c r="I303" s="30" t="inlineStr">
        <is>
          <t xml:space="preserve">Aston Martin</t>
        </is>
      </c>
      <c r="J303" s="30" t="inlineStr">
        <is>
          <t xml:space="preserve">DB12</t>
        </is>
      </c>
      <c r="K303" s="30" t="inlineStr">
        <is>
          <t xml:space="preserve">NTTK37091CW75KMWK</t>
        </is>
      </c>
      <c r="L303" s="32" t="inlineStr">
        <is>
          <t xml:space="preserve">02 - Sports / GT</t>
        </is>
      </c>
      <c r="M303" s="35">
        <v>970000</v>
      </c>
      <c r="N303" s="32" t="inlineStr">
        <is>
          <t xml:space="preserve">Personal</t>
        </is>
      </c>
      <c r="O303" s="30" t="inlineStr">
        <is>
          <t xml:space="preserve">Personal - regular use</t>
        </is>
      </c>
      <c r="P303" s="30" t="inlineStr">
        <is>
          <t xml:space="preserve">1,000 - 2,500</t>
        </is>
      </c>
      <c r="Q303" s="30" t="inlineStr">
        <is>
          <t xml:space="preserve">California</t>
        </is>
      </c>
      <c r="R303" s="30" t="inlineStr">
        <is>
          <t xml:space="preserve">90012</t>
        </is>
      </c>
      <c r="S303" s="32" t="inlineStr">
        <is>
          <t xml:space="preserve">Earthquake - high (CA, Cascadia, New Madrid)</t>
        </is>
      </c>
      <c r="T303" s="36">
        <f>IF($A303="","",IF($S303="","",IFERROR(INDEX('[1]natural catastrophe'!$D$6:$D$17,MATCH($S303,'[1]natural catastrophe'!$B$6:$B$17,0)),"?")))</f>
      </c>
      <c r="U303" s="30" t="inlineStr">
        <is>
          <t xml:space="preserve">$5,000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12221.59</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CANON-202607-009934</t>
        </is>
      </c>
      <c r="B304" s="46" t="inlineStr">
        <is>
          <t xml:space="preserve">Anouk Thistlewood</t>
        </is>
      </c>
      <c r="C304" s="47">
        <v>46212</v>
      </c>
      <c r="D304" s="48" t="inlineStr">
        <is>
          <t xml:space="preserve">Bound - within authority</t>
        </is>
      </c>
      <c r="E304" s="48" t="inlineStr">
        <is>
          <t xml:space="preserve">New business</t>
        </is>
      </c>
      <c r="F304" s="46" t="inlineStr">
        <is>
          <t xml:space="preserve">B1234EXOTIC26</t>
        </is>
      </c>
      <c r="G304" s="33">
        <f>IF($A304="","",IF($C304="","",YEAR($C304)))</f>
      </c>
      <c r="H304" s="49">
        <v>1964</v>
      </c>
      <c r="I304" s="46" t="inlineStr">
        <is>
          <t xml:space="preserve">Mercedes-Benz</t>
        </is>
      </c>
      <c r="J304" s="46" t="inlineStr">
        <is>
          <t xml:space="preserve">280SL Pagoda</t>
        </is>
      </c>
      <c r="K304" s="46" t="inlineStr">
        <is>
          <t xml:space="preserve">RMXMEJZRUTG0WYWDD</t>
        </is>
      </c>
      <c r="L304" s="48" t="inlineStr">
        <is>
          <t xml:space="preserve">07 - Post-War Classic (1946-1972)</t>
        </is>
      </c>
      <c r="M304" s="50">
        <v>235000</v>
      </c>
      <c r="N304" s="48" t="inlineStr">
        <is>
          <t xml:space="preserve">Personal</t>
        </is>
      </c>
      <c r="O304" s="46" t="inlineStr">
        <is>
          <t xml:space="preserve">Personal - regular use</t>
        </is>
      </c>
      <c r="P304" s="46" t="inlineStr">
        <is>
          <t xml:space="preserve">1,000 - 2,500</t>
        </is>
      </c>
      <c r="Q304" s="46" t="inlineStr">
        <is>
          <t xml:space="preserve">Mississippi</t>
        </is>
      </c>
      <c r="R304" s="46" t="inlineStr">
        <is>
          <t xml:space="preserve">39201</t>
        </is>
      </c>
      <c r="S304" s="48" t="inlineStr">
        <is>
          <t xml:space="preserve">Tier 2 - Coastal wind (1-25 miles)</t>
        </is>
      </c>
      <c r="T304" s="36">
        <f>IF($A304="","",IF($S304="","",IFERROR(INDEX('[1]natural catastrophe'!$D$6:$D$17,MATCH($S304,'[1]natural catastrophe'!$B$6:$B$17,0)),"?")))</f>
      </c>
      <c r="U304" s="46" t="inlineStr">
        <is>
          <t xml:space="preserve">2% of agreed value, minimum $10,000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2288.75</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CANON-202607-009936</t>
        </is>
      </c>
      <c r="B305" s="30" t="inlineStr">
        <is>
          <t xml:space="preserve">Saoirse Delacroix</t>
        </is>
      </c>
      <c r="C305" s="31">
        <v>46221</v>
      </c>
      <c r="D305" s="32" t="inlineStr">
        <is>
          <t xml:space="preserve">Bound - within authority</t>
        </is>
      </c>
      <c r="E305" s="32" t="inlineStr">
        <is>
          <t xml:space="preserve">New business</t>
        </is>
      </c>
      <c r="F305" s="30" t="inlineStr">
        <is>
          <t xml:space="preserve">B1234EXOTIC26</t>
        </is>
      </c>
      <c r="G305" s="33">
        <f>IF($A305="","",IF($C305="","",YEAR($C305)))</f>
      </c>
      <c r="H305" s="34">
        <v>1966</v>
      </c>
      <c r="I305" s="30" t="inlineStr">
        <is>
          <t xml:space="preserve">Mercedes-Benz</t>
        </is>
      </c>
      <c r="J305" s="30" t="inlineStr">
        <is>
          <t xml:space="preserve">AMG GT</t>
        </is>
      </c>
      <c r="K305" s="30" t="inlineStr">
        <is>
          <t xml:space="preserve">ZXHDACSYPKGB9NJUU</t>
        </is>
      </c>
      <c r="L305" s="32" t="inlineStr">
        <is>
          <t xml:space="preserve">02 - Sports / GT</t>
        </is>
      </c>
      <c r="M305" s="35">
        <v>1050000</v>
      </c>
      <c r="N305" s="32" t="inlineStr">
        <is>
          <t xml:space="preserve">Personal</t>
        </is>
      </c>
      <c r="O305" s="30" t="inlineStr">
        <is>
          <t xml:space="preserve">Personal - regular use</t>
        </is>
      </c>
      <c r="P305" s="30" t="inlineStr">
        <is>
          <t xml:space="preserve">2,500 - 5,000</t>
        </is>
      </c>
      <c r="Q305" s="30" t="inlineStr">
        <is>
          <t xml:space="preserve">Utah</t>
        </is>
      </c>
      <c r="R305" s="30" t="inlineStr">
        <is>
          <t xml:space="preserve">84101</t>
        </is>
      </c>
      <c r="S305" s="32" t="inlineStr">
        <is>
          <t xml:space="preserve">Wildfire - WUI high hazard</t>
        </is>
      </c>
      <c r="T305" s="36">
        <f>IF($A305="","",IF($S305="","",IFERROR(INDEX('[1]natural catastrophe'!$D$6:$D$17,MATCH($S305,'[1]natural catastrophe'!$B$6:$B$17,0)),"?")))</f>
      </c>
      <c r="U305" s="30" t="inlineStr">
        <is>
          <t xml:space="preserve">$5,000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11194.24</v>
      </c>
      <c r="AC305" s="37">
        <v>0</v>
      </c>
      <c r="AD305" s="38">
        <f>IF(ISNUMBER($AB305),$AB305*(1+N($AC305)),"")</f>
      </c>
      <c r="AE305" s="35">
        <v>350</v>
      </c>
      <c r="AF305" s="35">
        <v>250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CANON-202607-009938</t>
        </is>
      </c>
      <c r="B306" s="46" t="inlineStr">
        <is>
          <t xml:space="preserve">Ottilie Bellandi</t>
        </is>
      </c>
      <c r="C306" s="47">
        <v>46205</v>
      </c>
      <c r="D306" s="48" t="inlineStr">
        <is>
          <t xml:space="preserve">Bound - within authority</t>
        </is>
      </c>
      <c r="E306" s="48" t="inlineStr">
        <is>
          <t xml:space="preserve">New business</t>
        </is>
      </c>
      <c r="F306" s="46" t="inlineStr">
        <is>
          <t xml:space="preserve">B1234EXOTIC26</t>
        </is>
      </c>
      <c r="G306" s="33">
        <f>IF($A306="","",IF($C306="","",YEAR($C306)))</f>
      </c>
      <c r="H306" s="49">
        <v>1967</v>
      </c>
      <c r="I306" s="46" t="inlineStr">
        <is>
          <t xml:space="preserve">Bentley</t>
        </is>
      </c>
      <c r="J306" s="46" t="inlineStr">
        <is>
          <t xml:space="preserve">Continental GT</t>
        </is>
      </c>
      <c r="K306" s="46" t="inlineStr">
        <is>
          <t xml:space="preserve">P0PA0NM5FP7RYWJ8L</t>
        </is>
      </c>
      <c r="L306" s="48" t="inlineStr">
        <is>
          <t xml:space="preserve">02 - Sports / GT</t>
        </is>
      </c>
      <c r="M306" s="50">
        <v>485000</v>
      </c>
      <c r="N306" s="48" t="inlineStr">
        <is>
          <t xml:space="preserve">Personal</t>
        </is>
      </c>
      <c r="O306" s="46" t="inlineStr">
        <is>
          <t xml:space="preserve">Personal - regular use</t>
        </is>
      </c>
      <c r="P306" s="46" t="inlineStr">
        <is>
          <t xml:space="preserve">2,500 - 5,000</t>
        </is>
      </c>
      <c r="Q306" s="46" t="inlineStr">
        <is>
          <t xml:space="preserve">Tennessee</t>
        </is>
      </c>
      <c r="R306" s="46" t="inlineStr">
        <is>
          <t xml:space="preserve">37203</t>
        </is>
      </c>
      <c r="S306" s="48" t="inlineStr">
        <is>
          <t xml:space="preserve">Severe convective - hail / tornado (moderate)</t>
        </is>
      </c>
      <c r="T306" s="36">
        <f>IF($A306="","",IF($S306="","",IFERROR(INDEX('[1]natural catastrophe'!$D$6:$D$17,MATCH($S306,'[1]natural catastrophe'!$B$6:$B$17,0)),"?")))</f>
      </c>
      <c r="U306" s="46" t="inlineStr">
        <is>
          <t xml:space="preserve">$5,000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5118.44</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CANON-202607-009940</t>
        </is>
      </c>
      <c r="B307" s="30" t="inlineStr">
        <is>
          <t xml:space="preserve">Marisol Farkas</t>
        </is>
      </c>
      <c r="C307" s="31">
        <v>46220</v>
      </c>
      <c r="D307" s="32" t="inlineStr">
        <is>
          <t xml:space="preserve">Bound - within authority</t>
        </is>
      </c>
      <c r="E307" s="32" t="inlineStr">
        <is>
          <t xml:space="preserve">New business</t>
        </is>
      </c>
      <c r="F307" s="30" t="inlineStr">
        <is>
          <t xml:space="preserve">B1234EXOTIC26</t>
        </is>
      </c>
      <c r="G307" s="33">
        <f>IF($A307="","",IF($C307="","",YEAR($C307)))</f>
      </c>
      <c r="H307" s="34">
        <v>1983</v>
      </c>
      <c r="I307" s="30" t="inlineStr">
        <is>
          <t xml:space="preserve">BMW</t>
        </is>
      </c>
      <c r="J307" s="30" t="inlineStr">
        <is>
          <t xml:space="preserve">M8 Competition</t>
        </is>
      </c>
      <c r="K307" s="30" t="inlineStr">
        <is>
          <t xml:space="preserve">NDHM6SSG9U6AEPFWH</t>
        </is>
      </c>
      <c r="L307" s="32" t="inlineStr">
        <is>
          <t xml:space="preserve">02 - Sports / GT</t>
        </is>
      </c>
      <c r="M307" s="35">
        <v>395000</v>
      </c>
      <c r="N307" s="32" t="inlineStr">
        <is>
          <t xml:space="preserve">Personal</t>
        </is>
      </c>
      <c r="O307" s="30" t="inlineStr">
        <is>
          <t xml:space="preserve">Personal - regular use</t>
        </is>
      </c>
      <c r="P307" s="30" t="inlineStr">
        <is>
          <t xml:space="preserve">2,500 - 5,000</t>
        </is>
      </c>
      <c r="Q307" s="30" t="inlineStr">
        <is>
          <t xml:space="preserve">Wisconsin</t>
        </is>
      </c>
      <c r="R307" s="30" t="inlineStr">
        <is>
          <t xml:space="preserve">53202</t>
        </is>
      </c>
      <c r="S307" s="32" t="inlineStr">
        <is>
          <t xml:space="preserve">Severe convective - hail / tornado (moderate)</t>
        </is>
      </c>
      <c r="T307" s="36">
        <f>IF($A307="","",IF($S307="","",IFERROR(INDEX('[1]natural catastrophe'!$D$6:$D$17,MATCH($S307,'[1]natural catastrophe'!$B$6:$B$17,0)),"?")))</f>
      </c>
      <c r="U307" s="30" t="inlineStr">
        <is>
          <t xml:space="preserve">$5,000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5104.45</v>
      </c>
      <c r="AC307" s="37">
        <v>0</v>
      </c>
      <c r="AD307" s="38">
        <f>IF(ISNUMBER($AB307),$AB307*(1+N($AC307)),"")</f>
      </c>
      <c r="AE307" s="35">
        <v>350</v>
      </c>
      <c r="AF307" s="35">
        <v>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CANON-202607-009941</t>
        </is>
      </c>
      <c r="B308" s="46" t="inlineStr">
        <is>
          <t xml:space="preserve">Everett Farkas</t>
        </is>
      </c>
      <c r="C308" s="47">
        <v>46212</v>
      </c>
      <c r="D308" s="48" t="inlineStr">
        <is>
          <t xml:space="preserve">Bound - within authority</t>
        </is>
      </c>
      <c r="E308" s="48" t="inlineStr">
        <is>
          <t xml:space="preserve">New business</t>
        </is>
      </c>
      <c r="F308" s="46" t="inlineStr">
        <is>
          <t xml:space="preserve">B1234EXOTIC26</t>
        </is>
      </c>
      <c r="G308" s="33">
        <f>IF($A308="","",IF($C308="","",YEAR($C308)))</f>
      </c>
      <c r="H308" s="49">
        <v>1974</v>
      </c>
      <c r="I308" s="46" t="inlineStr">
        <is>
          <t xml:space="preserve">Mercedes-Benz</t>
        </is>
      </c>
      <c r="J308" s="46" t="inlineStr">
        <is>
          <t xml:space="preserve">280SL Pagoda</t>
        </is>
      </c>
      <c r="K308" s="46" t="inlineStr">
        <is>
          <t xml:space="preserve">U1MS8T6237R471SMU</t>
        </is>
      </c>
      <c r="L308" s="48" t="inlineStr">
        <is>
          <t xml:space="preserve">08 - Modern Classic (1973-1999)</t>
        </is>
      </c>
      <c r="M308" s="50">
        <v>1460000</v>
      </c>
      <c r="N308" s="48" t="inlineStr">
        <is>
          <t xml:space="preserve">Personal</t>
        </is>
      </c>
      <c r="O308" s="46" t="inlineStr">
        <is>
          <t xml:space="preserve">Personal - regular use</t>
        </is>
      </c>
      <c r="P308" s="46" t="inlineStr">
        <is>
          <t xml:space="preserve">1,000 - 2,500</t>
        </is>
      </c>
      <c r="Q308" s="46" t="inlineStr">
        <is>
          <t xml:space="preserve">Oklahoma</t>
        </is>
      </c>
      <c r="R308" s="46" t="inlineStr">
        <is>
          <t xml:space="preserve">73102</t>
        </is>
      </c>
      <c r="S308" s="48" t="inlineStr">
        <is>
          <t xml:space="preserve">Severe convective - hail alley (high)</t>
        </is>
      </c>
      <c r="T308" s="36">
        <f>IF($A308="","",IF($S308="","",IFERROR(INDEX('[1]natural catastrophe'!$D$6:$D$17,MATCH($S308,'[1]natural catastrophe'!$B$6:$B$17,0)),"?")))</f>
      </c>
      <c r="U308" s="46" t="inlineStr">
        <is>
          <t xml:space="preserve">$5,000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10037.27</v>
      </c>
      <c r="AC308" s="51">
        <v>0</v>
      </c>
      <c r="AD308" s="38">
        <f>IF(ISNUMBER($AB308),$AB308*(1+N($AC308)),"")</f>
      </c>
      <c r="AE308" s="50">
        <v>350</v>
      </c>
      <c r="AF308" s="50">
        <v>250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CANON-202607-009942</t>
        </is>
      </c>
      <c r="B309" s="30" t="inlineStr">
        <is>
          <t xml:space="preserve">Delphine Farkas</t>
        </is>
      </c>
      <c r="C309" s="31">
        <v>46211</v>
      </c>
      <c r="D309" s="32" t="inlineStr">
        <is>
          <t xml:space="preserve">Bound - within authority</t>
        </is>
      </c>
      <c r="E309" s="32" t="inlineStr">
        <is>
          <t xml:space="preserve">New business</t>
        </is>
      </c>
      <c r="F309" s="30" t="inlineStr">
        <is>
          <t xml:space="preserve">B1234EXOTIC26</t>
        </is>
      </c>
      <c r="G309" s="33">
        <f>IF($A309="","",IF($C309="","",YEAR($C309)))</f>
      </c>
      <c r="H309" s="34">
        <v>2016</v>
      </c>
      <c r="I309" s="30" t="inlineStr">
        <is>
          <t xml:space="preserve">Mercedes-Benz</t>
        </is>
      </c>
      <c r="J309" s="30" t="inlineStr">
        <is>
          <t xml:space="preserve">AMG GT</t>
        </is>
      </c>
      <c r="K309" s="30" t="inlineStr">
        <is>
          <t xml:space="preserve">CGKBWRC94ZYVGV40Z</t>
        </is>
      </c>
      <c r="L309" s="32" t="inlineStr">
        <is>
          <t xml:space="preserve">02 - Sports / GT</t>
        </is>
      </c>
      <c r="M309" s="35">
        <v>315000</v>
      </c>
      <c r="N309" s="32" t="inlineStr">
        <is>
          <t xml:space="preserve">Personal</t>
        </is>
      </c>
      <c r="O309" s="30" t="inlineStr">
        <is>
          <t xml:space="preserve">Personal - regular use</t>
        </is>
      </c>
      <c r="P309" s="30" t="inlineStr">
        <is>
          <t xml:space="preserve">Under 1,000</t>
        </is>
      </c>
      <c r="Q309" s="30" t="inlineStr">
        <is>
          <t xml:space="preserve">Virginia</t>
        </is>
      </c>
      <c r="R309" s="30" t="inlineStr">
        <is>
          <t xml:space="preserve">23219</t>
        </is>
      </c>
      <c r="S309" s="32" t="inlineStr">
        <is>
          <t xml:space="preserve">Tier 3 - Coastal wind (25-100 miles)</t>
        </is>
      </c>
      <c r="T309" s="36">
        <f>IF($A309="","",IF($S309="","",IFERROR(INDEX('[1]natural catastrophe'!$D$6:$D$17,MATCH($S309,'[1]natural catastrophe'!$B$6:$B$17,0)),"?")))</f>
      </c>
      <c r="U309" s="30" t="inlineStr">
        <is>
          <t xml:space="preserve">2% of agreed value, minimum $10,000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3697.49</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CANON-202607-009945</t>
        </is>
      </c>
      <c r="B310" s="46" t="inlineStr">
        <is>
          <t xml:space="preserve">Noor Underwood</t>
        </is>
      </c>
      <c r="C310" s="47">
        <v>46215</v>
      </c>
      <c r="D310" s="48" t="inlineStr">
        <is>
          <t xml:space="preserve">Bound - within authority</t>
        </is>
      </c>
      <c r="E310" s="48" t="inlineStr">
        <is>
          <t xml:space="preserve">New business</t>
        </is>
      </c>
      <c r="F310" s="46" t="inlineStr">
        <is>
          <t xml:space="preserve">B1234EXOTIC26</t>
        </is>
      </c>
      <c r="G310" s="33">
        <f>IF($A310="","",IF($C310="","",YEAR($C310)))</f>
      </c>
      <c r="H310" s="49">
        <v>2004</v>
      </c>
      <c r="I310" s="46" t="inlineStr">
        <is>
          <t xml:space="preserve">Aston Martin</t>
        </is>
      </c>
      <c r="J310" s="46" t="inlineStr">
        <is>
          <t xml:space="preserve">DB12</t>
        </is>
      </c>
      <c r="K310" s="46" t="inlineStr">
        <is>
          <t xml:space="preserve">EBJG92KH6H1PST2AA</t>
        </is>
      </c>
      <c r="L310" s="48" t="inlineStr">
        <is>
          <t xml:space="preserve">02 - Sports / GT</t>
        </is>
      </c>
      <c r="M310" s="50">
        <v>905000</v>
      </c>
      <c r="N310" s="48" t="inlineStr">
        <is>
          <t xml:space="preserve">Personal</t>
        </is>
      </c>
      <c r="O310" s="46" t="inlineStr">
        <is>
          <t xml:space="preserve">Personal - regular use</t>
        </is>
      </c>
      <c r="P310" s="46" t="inlineStr">
        <is>
          <t xml:space="preserve">1,000 - 2,500</t>
        </is>
      </c>
      <c r="Q310" s="46" t="inlineStr">
        <is>
          <t xml:space="preserve">New Hampshire</t>
        </is>
      </c>
      <c r="R310" s="46" t="inlineStr">
        <is>
          <t xml:space="preserve">03301</t>
        </is>
      </c>
      <c r="S310" s="48" t="inlineStr">
        <is>
          <t xml:space="preserve">Tier 3 - Coastal wind (25-100 miles)</t>
        </is>
      </c>
      <c r="T310" s="36">
        <f>IF($A310="","",IF($S310="","",IFERROR(INDEX('[1]natural catastrophe'!$D$6:$D$17,MATCH($S310,'[1]natural catastrophe'!$B$6:$B$17,0)),"?")))</f>
      </c>
      <c r="U310" s="46" t="inlineStr">
        <is>
          <t xml:space="preserve">2% of agreed value, minimum $10,000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8784.24</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CANON-202607-009946</t>
        </is>
      </c>
      <c r="B311" s="30" t="inlineStr">
        <is>
          <t xml:space="preserve">Everett Vasquez</t>
        </is>
      </c>
      <c r="C311" s="31">
        <v>46232</v>
      </c>
      <c r="D311" s="32" t="inlineStr">
        <is>
          <t xml:space="preserve">Bound - within authority</t>
        </is>
      </c>
      <c r="E311" s="32" t="inlineStr">
        <is>
          <t xml:space="preserve">New business</t>
        </is>
      </c>
      <c r="F311" s="30" t="inlineStr">
        <is>
          <t xml:space="preserve">B1234EXOTIC26</t>
        </is>
      </c>
      <c r="G311" s="33">
        <f>IF($A311="","",IF($C311="","",YEAR($C311)))</f>
      </c>
      <c r="H311" s="34">
        <v>1991</v>
      </c>
      <c r="I311" s="30" t="inlineStr">
        <is>
          <t xml:space="preserve">Bentley</t>
        </is>
      </c>
      <c r="J311" s="30" t="inlineStr">
        <is>
          <t xml:space="preserve">Continental GT</t>
        </is>
      </c>
      <c r="K311" s="30" t="inlineStr">
        <is>
          <t xml:space="preserve">3LLSADVL13DFF4NV9</t>
        </is>
      </c>
      <c r="L311" s="32" t="inlineStr">
        <is>
          <t xml:space="preserve">02 - Sports / GT</t>
        </is>
      </c>
      <c r="M311" s="35">
        <v>415000</v>
      </c>
      <c r="N311" s="32" t="inlineStr">
        <is>
          <t xml:space="preserve">Personal</t>
        </is>
      </c>
      <c r="O311" s="30" t="inlineStr">
        <is>
          <t xml:space="preserve">Personal - regular use</t>
        </is>
      </c>
      <c r="P311" s="30" t="inlineStr">
        <is>
          <t xml:space="preserve">1,000 - 2,500</t>
        </is>
      </c>
      <c r="Q311" s="30" t="inlineStr">
        <is>
          <t xml:space="preserve">California</t>
        </is>
      </c>
      <c r="R311" s="30" t="inlineStr">
        <is>
          <t xml:space="preserve">90012</t>
        </is>
      </c>
      <c r="S311" s="32" t="inlineStr">
        <is>
          <t xml:space="preserve">Earthquake - high (CA, Cascadia, New Madrid)</t>
        </is>
      </c>
      <c r="T311" s="36">
        <f>IF($A311="","",IF($S311="","",IFERROR(INDEX('[1]natural catastrophe'!$D$6:$D$17,MATCH($S311,'[1]natural catastrophe'!$B$6:$B$17,0)),"?")))</f>
      </c>
      <c r="U311" s="30" t="inlineStr">
        <is>
          <t xml:space="preserve">$5,000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6033.26</v>
      </c>
      <c r="AC311" s="37">
        <v>0</v>
      </c>
      <c r="AD311" s="38">
        <f>IF(ISNUMBER($AB311),$AB311*(1+N($AC311)),"")</f>
      </c>
      <c r="AE311" s="35">
        <v>350</v>
      </c>
      <c r="AF311" s="35">
        <v>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CANON-202607-009947</t>
        </is>
      </c>
      <c r="B312" s="46" t="inlineStr">
        <is>
          <t xml:space="preserve">Emiliano Farkas</t>
        </is>
      </c>
      <c r="C312" s="47">
        <v>46232</v>
      </c>
      <c r="D312" s="48" t="inlineStr">
        <is>
          <t xml:space="preserve">Bound - within authority</t>
        </is>
      </c>
      <c r="E312" s="48" t="inlineStr">
        <is>
          <t xml:space="preserve">New business</t>
        </is>
      </c>
      <c r="F312" s="46" t="inlineStr">
        <is>
          <t xml:space="preserve">B1234EXOTIC26</t>
        </is>
      </c>
      <c r="G312" s="33">
        <f>IF($A312="","",IF($C312="","",YEAR($C312)))</f>
      </c>
      <c r="H312" s="49">
        <v>2004</v>
      </c>
      <c r="I312" s="46" t="inlineStr">
        <is>
          <t xml:space="preserve">Aston Martin</t>
        </is>
      </c>
      <c r="J312" s="46" t="inlineStr">
        <is>
          <t xml:space="preserve">DB12</t>
        </is>
      </c>
      <c r="K312" s="46" t="inlineStr">
        <is>
          <t xml:space="preserve">H4R55U6BKNVKZZV12</t>
        </is>
      </c>
      <c r="L312" s="48" t="inlineStr">
        <is>
          <t xml:space="preserve">02 - Sports / GT</t>
        </is>
      </c>
      <c r="M312" s="50">
        <v>675000</v>
      </c>
      <c r="N312" s="48" t="inlineStr">
        <is>
          <t xml:space="preserve">Personal</t>
        </is>
      </c>
      <c r="O312" s="46" t="inlineStr">
        <is>
          <t xml:space="preserve">Personal - regular use</t>
        </is>
      </c>
      <c r="P312" s="46" t="inlineStr">
        <is>
          <t xml:space="preserve">1,000 - 2,500</t>
        </is>
      </c>
      <c r="Q312" s="46" t="inlineStr">
        <is>
          <t xml:space="preserve">Hawaii</t>
        </is>
      </c>
      <c r="R312" s="46" t="inlineStr">
        <is>
          <t xml:space="preserve">96813</t>
        </is>
      </c>
      <c r="S312" s="48" t="inlineStr">
        <is>
          <t xml:space="preserve">Earthquake - high (CA, Cascadia, New Madrid)</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8189.72</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CANON-202607-009948</t>
        </is>
      </c>
      <c r="B313" s="30" t="inlineStr">
        <is>
          <t xml:space="preserve">Noor Underwood</t>
        </is>
      </c>
      <c r="C313" s="31">
        <v>46227</v>
      </c>
      <c r="D313" s="32" t="inlineStr">
        <is>
          <t xml:space="preserve">Bound - within authority</t>
        </is>
      </c>
      <c r="E313" s="32" t="inlineStr">
        <is>
          <t xml:space="preserve">New business</t>
        </is>
      </c>
      <c r="F313" s="30" t="inlineStr">
        <is>
          <t xml:space="preserve">B1234EXOTIC26</t>
        </is>
      </c>
      <c r="G313" s="33">
        <f>IF($A313="","",IF($C313="","",YEAR($C313)))</f>
      </c>
      <c r="H313" s="34">
        <v>1973</v>
      </c>
      <c r="I313" s="30" t="inlineStr">
        <is>
          <t xml:space="preserve">Ferrari</t>
        </is>
      </c>
      <c r="J313" s="30" t="inlineStr">
        <is>
          <t xml:space="preserve">296 GTB</t>
        </is>
      </c>
      <c r="K313" s="30" t="inlineStr">
        <is>
          <t xml:space="preserve">PM3WGWZXC1CTJHLNC</t>
        </is>
      </c>
      <c r="L313" s="32" t="inlineStr">
        <is>
          <t xml:space="preserve">03 - Supercar</t>
        </is>
      </c>
      <c r="M313" s="35">
        <v>1250000</v>
      </c>
      <c r="N313" s="32" t="inlineStr">
        <is>
          <t xml:space="preserve">Personal</t>
        </is>
      </c>
      <c r="O313" s="30" t="inlineStr">
        <is>
          <t xml:space="preserve">Personal - regular use</t>
        </is>
      </c>
      <c r="P313" s="30" t="inlineStr">
        <is>
          <t xml:space="preserve">1,000 - 2,500</t>
        </is>
      </c>
      <c r="Q313" s="30" t="inlineStr">
        <is>
          <t xml:space="preserve">New York</t>
        </is>
      </c>
      <c r="R313" s="30" t="inlineStr">
        <is>
          <t xml:space="preserve">10022</t>
        </is>
      </c>
      <c r="S313" s="32" t="inlineStr">
        <is>
          <t xml:space="preserve">Tier 3 - Coastal wind (25-100 miles)</t>
        </is>
      </c>
      <c r="T313" s="36">
        <f>IF($A313="","",IF($S313="","",IFERROR(INDEX('[1]natural catastrophe'!$D$6:$D$17,MATCH($S313,'[1]natural catastrophe'!$B$6:$B$17,0)),"?")))</f>
      </c>
      <c r="U313" s="30" t="inlineStr">
        <is>
          <t xml:space="preserve">2% of agreed value, minimum $10,000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18378.87</v>
      </c>
      <c r="AC313" s="37">
        <v>0</v>
      </c>
      <c r="AD313" s="38">
        <f>IF(ISNUMBER($AB313),$AB313*(1+N($AC313)),"")</f>
      </c>
      <c r="AE313" s="35">
        <v>350</v>
      </c>
      <c r="AF313" s="35">
        <v>250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CANON-202607-009949</t>
        </is>
      </c>
      <c r="B314" s="46" t="inlineStr">
        <is>
          <t xml:space="preserve">Delphine Fairweather</t>
        </is>
      </c>
      <c r="C314" s="47">
        <v>46229</v>
      </c>
      <c r="D314" s="48" t="inlineStr">
        <is>
          <t xml:space="preserve">Bound - within authority</t>
        </is>
      </c>
      <c r="E314" s="48" t="inlineStr">
        <is>
          <t xml:space="preserve">New business</t>
        </is>
      </c>
      <c r="F314" s="46" t="inlineStr">
        <is>
          <t xml:space="preserve">B1234EXOTIC26</t>
        </is>
      </c>
      <c r="G314" s="33">
        <f>IF($A314="","",IF($C314="","",YEAR($C314)))</f>
      </c>
      <c r="H314" s="49">
        <v>1958</v>
      </c>
      <c r="I314" s="46" t="inlineStr">
        <is>
          <t xml:space="preserve">Bentley</t>
        </is>
      </c>
      <c r="J314" s="46" t="inlineStr">
        <is>
          <t xml:space="preserve">Continental GT</t>
        </is>
      </c>
      <c r="K314" s="46" t="inlineStr">
        <is>
          <t xml:space="preserve">2NT0LRN6LB179VJMV</t>
        </is>
      </c>
      <c r="L314" s="48" t="inlineStr">
        <is>
          <t xml:space="preserve">02 - Sports / GT</t>
        </is>
      </c>
      <c r="M314" s="50">
        <v>390000</v>
      </c>
      <c r="N314" s="48" t="inlineStr">
        <is>
          <t xml:space="preserve">Personal</t>
        </is>
      </c>
      <c r="O314" s="46" t="inlineStr">
        <is>
          <t xml:space="preserve">Personal - regular use</t>
        </is>
      </c>
      <c r="P314" s="46" t="inlineStr">
        <is>
          <t xml:space="preserve">Under 1,000</t>
        </is>
      </c>
      <c r="Q314" s="46" t="inlineStr">
        <is>
          <t xml:space="preserve">North Dakota</t>
        </is>
      </c>
      <c r="R314" s="46" t="inlineStr">
        <is>
          <t xml:space="preserve">58501</t>
        </is>
      </c>
      <c r="S314" s="48" t="inlineStr">
        <is>
          <t xml:space="preserve">Severe convective - hail alley (high)</t>
        </is>
      </c>
      <c r="T314" s="36">
        <f>IF($A314="","",IF($S314="","",IFERROR(INDEX('[1]natural catastrophe'!$D$6:$D$17,MATCH($S314,'[1]natural catastrophe'!$B$6:$B$17,0)),"?")))</f>
      </c>
      <c r="U314" s="46" t="inlineStr">
        <is>
          <t xml:space="preserve">$5,000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4283.86</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CANON-202607-009954</t>
        </is>
      </c>
      <c r="B315" s="30" t="inlineStr">
        <is>
          <t xml:space="preserve">Mireille Nakashima</t>
        </is>
      </c>
      <c r="C315" s="31">
        <v>46208</v>
      </c>
      <c r="D315" s="32" t="inlineStr">
        <is>
          <t xml:space="preserve">Bound - within authority</t>
        </is>
      </c>
      <c r="E315" s="32" t="inlineStr">
        <is>
          <t xml:space="preserve">New business</t>
        </is>
      </c>
      <c r="F315" s="30" t="inlineStr">
        <is>
          <t xml:space="preserve">B1234EXOTIC26</t>
        </is>
      </c>
      <c r="G315" s="33">
        <f>IF($A315="","",IF($C315="","",YEAR($C315)))</f>
      </c>
      <c r="H315" s="34">
        <v>1969</v>
      </c>
      <c r="I315" s="30" t="inlineStr">
        <is>
          <t xml:space="preserve">Aston Martin</t>
        </is>
      </c>
      <c r="J315" s="30" t="inlineStr">
        <is>
          <t xml:space="preserve">DB12</t>
        </is>
      </c>
      <c r="K315" s="30" t="inlineStr">
        <is>
          <t xml:space="preserve">09B730F5R0TJE242S</t>
        </is>
      </c>
      <c r="L315" s="32" t="inlineStr">
        <is>
          <t xml:space="preserve">02 - Sports / GT</t>
        </is>
      </c>
      <c r="M315" s="35">
        <v>690000</v>
      </c>
      <c r="N315" s="32" t="inlineStr">
        <is>
          <t xml:space="preserve">Personal</t>
        </is>
      </c>
      <c r="O315" s="30" t="inlineStr">
        <is>
          <t xml:space="preserve">Personal - regular use</t>
        </is>
      </c>
      <c r="P315" s="30" t="inlineStr">
        <is>
          <t xml:space="preserve">2,500 - 5,000</t>
        </is>
      </c>
      <c r="Q315" s="30" t="inlineStr">
        <is>
          <t xml:space="preserve">Ohio</t>
        </is>
      </c>
      <c r="R315" s="30" t="inlineStr">
        <is>
          <t xml:space="preserve">43215</t>
        </is>
      </c>
      <c r="S315" s="32" t="inlineStr">
        <is>
          <t xml:space="preserve">Severe convective - hail / tornado (moderate)</t>
        </is>
      </c>
      <c r="T315" s="36">
        <f>IF($A315="","",IF($S315="","",IFERROR(INDEX('[1]natural catastrophe'!$D$6:$D$17,MATCH($S315,'[1]natural catastrophe'!$B$6:$B$17,0)),"?")))</f>
      </c>
      <c r="U315" s="30" t="inlineStr">
        <is>
          <t xml:space="preserve">$5,000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8951.3</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CANON-202607-009956</t>
        </is>
      </c>
      <c r="B316" s="46" t="inlineStr">
        <is>
          <t xml:space="preserve">Horace Farkas</t>
        </is>
      </c>
      <c r="C316" s="47">
        <v>46232</v>
      </c>
      <c r="D316" s="48" t="inlineStr">
        <is>
          <t xml:space="preserve">Bound - within authority</t>
        </is>
      </c>
      <c r="E316" s="48" t="inlineStr">
        <is>
          <t xml:space="preserve">New business</t>
        </is>
      </c>
      <c r="F316" s="46" t="inlineStr">
        <is>
          <t xml:space="preserve">B1234EXOTIC26</t>
        </is>
      </c>
      <c r="G316" s="33">
        <f>IF($A316="","",IF($C316="","",YEAR($C316)))</f>
      </c>
      <c r="H316" s="49">
        <v>1968</v>
      </c>
      <c r="I316" s="46" t="inlineStr">
        <is>
          <t xml:space="preserve">McLaren</t>
        </is>
      </c>
      <c r="J316" s="46" t="inlineStr">
        <is>
          <t xml:space="preserve">750S</t>
        </is>
      </c>
      <c r="K316" s="46" t="inlineStr">
        <is>
          <t xml:space="preserve">T0CUG9P8B90FM7MMV</t>
        </is>
      </c>
      <c r="L316" s="48" t="inlineStr">
        <is>
          <t xml:space="preserve">03 - Supercar</t>
        </is>
      </c>
      <c r="M316" s="50">
        <v>735000</v>
      </c>
      <c r="N316" s="48" t="inlineStr">
        <is>
          <t xml:space="preserve">Personal</t>
        </is>
      </c>
      <c r="O316" s="46" t="inlineStr">
        <is>
          <t xml:space="preserve">Personal - regular use</t>
        </is>
      </c>
      <c r="P316" s="46" t="inlineStr">
        <is>
          <t xml:space="preserve">Under 1,000</t>
        </is>
      </c>
      <c r="Q316" s="46" t="inlineStr">
        <is>
          <t xml:space="preserve">Michigan</t>
        </is>
      </c>
      <c r="R316" s="46" t="inlineStr">
        <is>
          <t xml:space="preserve">48226</t>
        </is>
      </c>
      <c r="S316" s="48" t="inlineStr">
        <is>
          <t xml:space="preserve">Severe convective - hail / tornado (moderate)</t>
        </is>
      </c>
      <c r="T316" s="36">
        <f>IF($A316="","",IF($S316="","",IFERROR(INDEX('[1]natural catastrophe'!$D$6:$D$17,MATCH($S316,'[1]natural catastrophe'!$B$6:$B$17,0)),"?")))</f>
      </c>
      <c r="U316" s="46" t="inlineStr">
        <is>
          <t xml:space="preserve">$5,000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15540.02</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CANON-202607-009957</t>
        </is>
      </c>
      <c r="B317" s="30" t="inlineStr">
        <is>
          <t xml:space="preserve">Leopold Harrington</t>
        </is>
      </c>
      <c r="C317" s="31">
        <v>46219</v>
      </c>
      <c r="D317" s="32" t="inlineStr">
        <is>
          <t xml:space="preserve">Bound - within authority</t>
        </is>
      </c>
      <c r="E317" s="32" t="inlineStr">
        <is>
          <t xml:space="preserve">New business</t>
        </is>
      </c>
      <c r="F317" s="30" t="inlineStr">
        <is>
          <t xml:space="preserve">B1234EXOTIC26</t>
        </is>
      </c>
      <c r="G317" s="33">
        <f>IF($A317="","",IF($C317="","",YEAR($C317)))</f>
      </c>
      <c r="H317" s="34">
        <v>1996</v>
      </c>
      <c r="I317" s="30" t="inlineStr">
        <is>
          <t xml:space="preserve">Ferrari</t>
        </is>
      </c>
      <c r="J317" s="30" t="inlineStr">
        <is>
          <t xml:space="preserve">SF90 Stradale</t>
        </is>
      </c>
      <c r="K317" s="30" t="inlineStr">
        <is>
          <t xml:space="preserve">YCBKT3N1AA39BVLWM</t>
        </is>
      </c>
      <c r="L317" s="32" t="inlineStr">
        <is>
          <t xml:space="preserve">03 - Supercar</t>
        </is>
      </c>
      <c r="M317" s="35">
        <v>925000</v>
      </c>
      <c r="N317" s="32" t="inlineStr">
        <is>
          <t xml:space="preserve">Personal</t>
        </is>
      </c>
      <c r="O317" s="30" t="inlineStr">
        <is>
          <t xml:space="preserve">Personal - regular use</t>
        </is>
      </c>
      <c r="P317" s="30" t="inlineStr">
        <is>
          <t xml:space="preserve">2,500 - 5,000</t>
        </is>
      </c>
      <c r="Q317" s="30" t="inlineStr">
        <is>
          <t xml:space="preserve">New Hampshire</t>
        </is>
      </c>
      <c r="R317" s="30" t="inlineStr">
        <is>
          <t xml:space="preserve">03301</t>
        </is>
      </c>
      <c r="S317" s="32" t="inlineStr">
        <is>
          <t xml:space="preserve">Tier 3 - Coastal wind (25-100 miles)</t>
        </is>
      </c>
      <c r="T317" s="36">
        <f>IF($A317="","",IF($S317="","",IFERROR(INDEX('[1]natural catastrophe'!$D$6:$D$17,MATCH($S317,'[1]natural catastrophe'!$B$6:$B$17,0)),"?")))</f>
      </c>
      <c r="U317" s="30" t="inlineStr">
        <is>
          <t xml:space="preserve">2% of agreed value, minimum $10,000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13122.23</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CANON-202607-009958</t>
        </is>
      </c>
      <c r="B318" s="46" t="inlineStr">
        <is>
          <t xml:space="preserve">Noor Bellandi</t>
        </is>
      </c>
      <c r="C318" s="47">
        <v>46205</v>
      </c>
      <c r="D318" s="48" t="inlineStr">
        <is>
          <t xml:space="preserve">Bound - within authority</t>
        </is>
      </c>
      <c r="E318" s="48" t="inlineStr">
        <is>
          <t xml:space="preserve">New business</t>
        </is>
      </c>
      <c r="F318" s="46" t="inlineStr">
        <is>
          <t xml:space="preserve">B1234EXOTIC26</t>
        </is>
      </c>
      <c r="G318" s="33">
        <f>IF($A318="","",IF($C318="","",YEAR($C318)))</f>
      </c>
      <c r="H318" s="49">
        <v>2011</v>
      </c>
      <c r="I318" s="46" t="inlineStr">
        <is>
          <t xml:space="preserve">Aston Martin</t>
        </is>
      </c>
      <c r="J318" s="46" t="inlineStr">
        <is>
          <t xml:space="preserve">DB12</t>
        </is>
      </c>
      <c r="K318" s="46" t="inlineStr">
        <is>
          <t xml:space="preserve">XF5W3TMDE2XKME3GG</t>
        </is>
      </c>
      <c r="L318" s="48" t="inlineStr">
        <is>
          <t xml:space="preserve">02 - Sports / GT</t>
        </is>
      </c>
      <c r="M318" s="50">
        <v>620000</v>
      </c>
      <c r="N318" s="48" t="inlineStr">
        <is>
          <t xml:space="preserve">Personal</t>
        </is>
      </c>
      <c r="O318" s="46" t="inlineStr">
        <is>
          <t xml:space="preserve">Personal - regular use</t>
        </is>
      </c>
      <c r="P318" s="46" t="inlineStr">
        <is>
          <t xml:space="preserve">Under 1,000</t>
        </is>
      </c>
      <c r="Q318" s="46" t="inlineStr">
        <is>
          <t xml:space="preserve">Colorado</t>
        </is>
      </c>
      <c r="R318" s="46" t="inlineStr">
        <is>
          <t xml:space="preserve">80202</t>
        </is>
      </c>
      <c r="S318" s="48" t="inlineStr">
        <is>
          <t xml:space="preserve">Severe convective - hail alley (high)</t>
        </is>
      </c>
      <c r="T318" s="36">
        <f>IF($A318="","",IF($S318="","",IFERROR(INDEX('[1]natural catastrophe'!$D$6:$D$17,MATCH($S318,'[1]natural catastrophe'!$B$6:$B$17,0)),"?")))</f>
      </c>
      <c r="U318" s="46" t="inlineStr">
        <is>
          <t xml:space="preserve">$5,000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6365.12</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CANON-202607-009959</t>
        </is>
      </c>
      <c r="B319" s="30" t="inlineStr">
        <is>
          <t xml:space="preserve">Desmond Thistlewood</t>
        </is>
      </c>
      <c r="C319" s="31">
        <v>46209</v>
      </c>
      <c r="D319" s="32" t="inlineStr">
        <is>
          <t xml:space="preserve">Bound - within authority</t>
        </is>
      </c>
      <c r="E319" s="32" t="inlineStr">
        <is>
          <t xml:space="preserve">New business</t>
        </is>
      </c>
      <c r="F319" s="30" t="inlineStr">
        <is>
          <t xml:space="preserve">B1234EXOTIC26</t>
        </is>
      </c>
      <c r="G319" s="33">
        <f>IF($A319="","",IF($C319="","",YEAR($C319)))</f>
      </c>
      <c r="H319" s="34">
        <v>1979</v>
      </c>
      <c r="I319" s="30" t="inlineStr">
        <is>
          <t xml:space="preserve">Maserati</t>
        </is>
      </c>
      <c r="J319" s="30" t="inlineStr">
        <is>
          <t xml:space="preserve">GranTurismo</t>
        </is>
      </c>
      <c r="K319" s="30" t="inlineStr">
        <is>
          <t xml:space="preserve">D6XJRNH59PZPCPZB6</t>
        </is>
      </c>
      <c r="L319" s="32" t="inlineStr">
        <is>
          <t xml:space="preserve">02 - Sports / GT</t>
        </is>
      </c>
      <c r="M319" s="35">
        <v>380000</v>
      </c>
      <c r="N319" s="32" t="inlineStr">
        <is>
          <t xml:space="preserve">Personal</t>
        </is>
      </c>
      <c r="O319" s="30" t="inlineStr">
        <is>
          <t xml:space="preserve">Personal - regular use</t>
        </is>
      </c>
      <c r="P319" s="30" t="inlineStr">
        <is>
          <t xml:space="preserve">Under 1,000</t>
        </is>
      </c>
      <c r="Q319" s="30" t="inlineStr">
        <is>
          <t xml:space="preserve">Virginia</t>
        </is>
      </c>
      <c r="R319" s="30" t="inlineStr">
        <is>
          <t xml:space="preserve">23219</t>
        </is>
      </c>
      <c r="S319" s="32" t="inlineStr">
        <is>
          <t xml:space="preserve">Tier 3 - Coastal wind (25-100 miles)</t>
        </is>
      </c>
      <c r="T319" s="36">
        <f>IF($A319="","",IF($S319="","",IFERROR(INDEX('[1]natural catastrophe'!$D$6:$D$17,MATCH($S319,'[1]natural catastrophe'!$B$6:$B$17,0)),"?")))</f>
      </c>
      <c r="U319" s="30" t="inlineStr">
        <is>
          <t xml:space="preserve">2% of agreed value, minimum $10,000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4460.46</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CANON-202607-009960</t>
        </is>
      </c>
      <c r="B320" s="46" t="inlineStr">
        <is>
          <t xml:space="preserve">Beatrix Fairweather</t>
        </is>
      </c>
      <c r="C320" s="47">
        <v>46209</v>
      </c>
      <c r="D320" s="48" t="inlineStr">
        <is>
          <t xml:space="preserve">Bound - within authority</t>
        </is>
      </c>
      <c r="E320" s="48" t="inlineStr">
        <is>
          <t xml:space="preserve">New business</t>
        </is>
      </c>
      <c r="F320" s="46" t="inlineStr">
        <is>
          <t xml:space="preserve">B1234EXOTIC26</t>
        </is>
      </c>
      <c r="G320" s="33">
        <f>IF($A320="","",IF($C320="","",YEAR($C320)))</f>
      </c>
      <c r="H320" s="49">
        <v>1967</v>
      </c>
      <c r="I320" s="46" t="inlineStr">
        <is>
          <t xml:space="preserve">BMW</t>
        </is>
      </c>
      <c r="J320" s="46" t="inlineStr">
        <is>
          <t xml:space="preserve">M8 Competition</t>
        </is>
      </c>
      <c r="K320" s="46" t="inlineStr">
        <is>
          <t xml:space="preserve">9SRHR44UJWZX425XJ</t>
        </is>
      </c>
      <c r="L320" s="48" t="inlineStr">
        <is>
          <t xml:space="preserve">02 - Sports / GT</t>
        </is>
      </c>
      <c r="M320" s="50">
        <v>590000</v>
      </c>
      <c r="N320" s="48" t="inlineStr">
        <is>
          <t xml:space="preserve">Personal</t>
        </is>
      </c>
      <c r="O320" s="46" t="inlineStr">
        <is>
          <t xml:space="preserve">Personal - regular use</t>
        </is>
      </c>
      <c r="P320" s="46" t="inlineStr">
        <is>
          <t xml:space="preserve">2,500 - 5,000</t>
        </is>
      </c>
      <c r="Q320" s="46" t="inlineStr">
        <is>
          <t xml:space="preserve">Indiana</t>
        </is>
      </c>
      <c r="R320" s="46" t="inlineStr">
        <is>
          <t xml:space="preserve">46204</t>
        </is>
      </c>
      <c r="S320" s="48" t="inlineStr">
        <is>
          <t xml:space="preserve">Severe convective - hail / tornado (moderate)</t>
        </is>
      </c>
      <c r="T320" s="36">
        <f>IF($A320="","",IF($S320="","",IFERROR(INDEX('[1]natural catastrophe'!$D$6:$D$17,MATCH($S320,'[1]natural catastrophe'!$B$6:$B$17,0)),"?")))</f>
      </c>
      <c r="U320" s="46" t="inlineStr">
        <is>
          <t xml:space="preserve">$5,000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6772.97</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CANON-202607-009961</t>
        </is>
      </c>
      <c r="B321" s="30" t="inlineStr">
        <is>
          <t xml:space="preserve">Emiliano Rourke</t>
        </is>
      </c>
      <c r="C321" s="31">
        <v>46230</v>
      </c>
      <c r="D321" s="32" t="inlineStr">
        <is>
          <t xml:space="preserve">Bound - within authority</t>
        </is>
      </c>
      <c r="E321" s="32" t="inlineStr">
        <is>
          <t xml:space="preserve">New business</t>
        </is>
      </c>
      <c r="F321" s="30" t="inlineStr">
        <is>
          <t xml:space="preserve">B1234EXOTIC26</t>
        </is>
      </c>
      <c r="G321" s="33">
        <f>IF($A321="","",IF($C321="","",YEAR($C321)))</f>
      </c>
      <c r="H321" s="34">
        <v>1971</v>
      </c>
      <c r="I321" s="30" t="inlineStr">
        <is>
          <t xml:space="preserve">Porsche</t>
        </is>
      </c>
      <c r="J321" s="30" t="inlineStr">
        <is>
          <t xml:space="preserve">911 Turbo S</t>
        </is>
      </c>
      <c r="K321" s="30" t="inlineStr">
        <is>
          <t xml:space="preserve">KP45M0ZTLRN9MN313</t>
        </is>
      </c>
      <c r="L321" s="32" t="inlineStr">
        <is>
          <t xml:space="preserve">02 - Sports / GT</t>
        </is>
      </c>
      <c r="M321" s="35">
        <v>385000</v>
      </c>
      <c r="N321" s="32" t="inlineStr">
        <is>
          <t xml:space="preserve">Personal</t>
        </is>
      </c>
      <c r="O321" s="30" t="inlineStr">
        <is>
          <t xml:space="preserve">Personal - regular use</t>
        </is>
      </c>
      <c r="P321" s="30" t="inlineStr">
        <is>
          <t xml:space="preserve">1,000 - 2,500</t>
        </is>
      </c>
      <c r="Q321" s="30" t="inlineStr">
        <is>
          <t xml:space="preserve">Virginia</t>
        </is>
      </c>
      <c r="R321" s="30" t="inlineStr">
        <is>
          <t xml:space="preserve">23219</t>
        </is>
      </c>
      <c r="S321" s="32" t="inlineStr">
        <is>
          <t xml:space="preserve">Tier 3 - Coastal wind (25-100 miles)</t>
        </is>
      </c>
      <c r="T321" s="36">
        <f>IF($A321="","",IF($S321="","",IFERROR(INDEX('[1]natural catastrophe'!$D$6:$D$17,MATCH($S321,'[1]natural catastrophe'!$B$6:$B$17,0)),"?")))</f>
      </c>
      <c r="U321" s="30" t="inlineStr">
        <is>
          <t xml:space="preserve">2% of agreed value, minimum $10,000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4519.15</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CANON-202607-009962</t>
        </is>
      </c>
      <c r="B322" s="46" t="inlineStr">
        <is>
          <t xml:space="preserve">Ramona Kingsford</t>
        </is>
      </c>
      <c r="C322" s="47">
        <v>46205</v>
      </c>
      <c r="D322" s="48" t="inlineStr">
        <is>
          <t xml:space="preserve">Bound - within authority</t>
        </is>
      </c>
      <c r="E322" s="48" t="inlineStr">
        <is>
          <t xml:space="preserve">New business</t>
        </is>
      </c>
      <c r="F322" s="46" t="inlineStr">
        <is>
          <t xml:space="preserve">B1234EXOTIC26</t>
        </is>
      </c>
      <c r="G322" s="33">
        <f>IF($A322="","",IF($C322="","",YEAR($C322)))</f>
      </c>
      <c r="H322" s="49">
        <v>1994</v>
      </c>
      <c r="I322" s="46" t="inlineStr">
        <is>
          <t xml:space="preserve">Porsche</t>
        </is>
      </c>
      <c r="J322" s="46" t="inlineStr">
        <is>
          <t xml:space="preserve">911 Turbo S</t>
        </is>
      </c>
      <c r="K322" s="46" t="inlineStr">
        <is>
          <t xml:space="preserve">01YPCTNF8Z8N5ULVH</t>
        </is>
      </c>
      <c r="L322" s="48" t="inlineStr">
        <is>
          <t xml:space="preserve">02 - Sports / GT</t>
        </is>
      </c>
      <c r="M322" s="50">
        <v>370000</v>
      </c>
      <c r="N322" s="48" t="inlineStr">
        <is>
          <t xml:space="preserve">Personal</t>
        </is>
      </c>
      <c r="O322" s="46" t="inlineStr">
        <is>
          <t xml:space="preserve">Personal - regular use</t>
        </is>
      </c>
      <c r="P322" s="46" t="inlineStr">
        <is>
          <t xml:space="preserve">1,000 - 2,500</t>
        </is>
      </c>
      <c r="Q322" s="46" t="inlineStr">
        <is>
          <t xml:space="preserve">Oklahoma</t>
        </is>
      </c>
      <c r="R322" s="46" t="inlineStr">
        <is>
          <t xml:space="preserve">73102</t>
        </is>
      </c>
      <c r="S322" s="48" t="inlineStr">
        <is>
          <t xml:space="preserve">Severe convective - hail alley (high)</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5020.45</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CANON-202607-009963</t>
        </is>
      </c>
      <c r="B323" s="30" t="inlineStr">
        <is>
          <t xml:space="preserve">Anouk Larsson</t>
        </is>
      </c>
      <c r="C323" s="31">
        <v>46220</v>
      </c>
      <c r="D323" s="32" t="inlineStr">
        <is>
          <t xml:space="preserve">Bound - within authority</t>
        </is>
      </c>
      <c r="E323" s="32" t="inlineStr">
        <is>
          <t xml:space="preserve">New business</t>
        </is>
      </c>
      <c r="F323" s="30" t="inlineStr">
        <is>
          <t xml:space="preserve">B1234EXOTIC26</t>
        </is>
      </c>
      <c r="G323" s="33">
        <f>IF($A323="","",IF($C323="","",YEAR($C323)))</f>
      </c>
      <c r="H323" s="34">
        <v>2010</v>
      </c>
      <c r="I323" s="30" t="inlineStr">
        <is>
          <t xml:space="preserve">BMW</t>
        </is>
      </c>
      <c r="J323" s="30" t="inlineStr">
        <is>
          <t xml:space="preserve">M8 Competition</t>
        </is>
      </c>
      <c r="K323" s="30" t="inlineStr">
        <is>
          <t xml:space="preserve">1HKY99V25A2SSN53S</t>
        </is>
      </c>
      <c r="L323" s="32" t="inlineStr">
        <is>
          <t xml:space="preserve">02 - Sports / GT</t>
        </is>
      </c>
      <c r="M323" s="35">
        <v>725000</v>
      </c>
      <c r="N323" s="32" t="inlineStr">
        <is>
          <t xml:space="preserve">Personal</t>
        </is>
      </c>
      <c r="O323" s="30" t="inlineStr">
        <is>
          <t xml:space="preserve">Personal - regular use</t>
        </is>
      </c>
      <c r="P323" s="30" t="inlineStr">
        <is>
          <t xml:space="preserve">1,000 - 2,500</t>
        </is>
      </c>
      <c r="Q323" s="30" t="inlineStr">
        <is>
          <t xml:space="preserve">South Dakota</t>
        </is>
      </c>
      <c r="R323" s="30" t="inlineStr">
        <is>
          <t xml:space="preserve">57501</t>
        </is>
      </c>
      <c r="S323" s="32" t="inlineStr">
        <is>
          <t xml:space="preserve">Severe convective - hail alley (high)</t>
        </is>
      </c>
      <c r="T323" s="36">
        <f>IF($A323="","",IF($S323="","",IFERROR(INDEX('[1]natural catastrophe'!$D$6:$D$17,MATCH($S323,'[1]natural catastrophe'!$B$6:$B$17,0)),"?")))</f>
      </c>
      <c r="U323" s="30" t="inlineStr">
        <is>
          <t xml:space="preserve">$5,000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7510.75</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CANON-202607-009965</t>
        </is>
      </c>
      <c r="B324" s="46" t="inlineStr">
        <is>
          <t xml:space="preserve">Saoirse Vasquez</t>
        </is>
      </c>
      <c r="C324" s="47">
        <v>46220</v>
      </c>
      <c r="D324" s="48" t="inlineStr">
        <is>
          <t xml:space="preserve">Bound - within authority</t>
        </is>
      </c>
      <c r="E324" s="48" t="inlineStr">
        <is>
          <t xml:space="preserve">New business</t>
        </is>
      </c>
      <c r="F324" s="46" t="inlineStr">
        <is>
          <t xml:space="preserve">B1234EXOTIC26</t>
        </is>
      </c>
      <c r="G324" s="33">
        <f>IF($A324="","",IF($C324="","",YEAR($C324)))</f>
      </c>
      <c r="H324" s="49">
        <v>2009</v>
      </c>
      <c r="I324" s="46" t="inlineStr">
        <is>
          <t xml:space="preserve">Mercedes-Benz</t>
        </is>
      </c>
      <c r="J324" s="46" t="inlineStr">
        <is>
          <t xml:space="preserve">AMG GT</t>
        </is>
      </c>
      <c r="K324" s="46" t="inlineStr">
        <is>
          <t xml:space="preserve">LE07KS6R605Y28TJG</t>
        </is>
      </c>
      <c r="L324" s="48" t="inlineStr">
        <is>
          <t xml:space="preserve">02 - Sports / GT</t>
        </is>
      </c>
      <c r="M324" s="50">
        <v>475000</v>
      </c>
      <c r="N324" s="48" t="inlineStr">
        <is>
          <t xml:space="preserve">Personal</t>
        </is>
      </c>
      <c r="O324" s="46" t="inlineStr">
        <is>
          <t xml:space="preserve">Personal - regular use</t>
        </is>
      </c>
      <c r="P324" s="46" t="inlineStr">
        <is>
          <t xml:space="preserve">Under 1,000</t>
        </is>
      </c>
      <c r="Q324" s="46" t="inlineStr">
        <is>
          <t xml:space="preserve">North Dakota</t>
        </is>
      </c>
      <c r="R324" s="46" t="inlineStr">
        <is>
          <t xml:space="preserve">58501</t>
        </is>
      </c>
      <c r="S324" s="48" t="inlineStr">
        <is>
          <t xml:space="preserve">Severe convective - hail alley (high)</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5217.51</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CANON-202607-009966</t>
        </is>
      </c>
      <c r="B325" s="30" t="inlineStr">
        <is>
          <t xml:space="preserve">Cassius Harrington</t>
        </is>
      </c>
      <c r="C325" s="31">
        <v>46205</v>
      </c>
      <c r="D325" s="32" t="inlineStr">
        <is>
          <t xml:space="preserve">Bound - within authority</t>
        </is>
      </c>
      <c r="E325" s="32" t="inlineStr">
        <is>
          <t xml:space="preserve">New business</t>
        </is>
      </c>
      <c r="F325" s="30" t="inlineStr">
        <is>
          <t xml:space="preserve">B1234EXOTIC26</t>
        </is>
      </c>
      <c r="G325" s="33">
        <f>IF($A325="","",IF($C325="","",YEAR($C325)))</f>
      </c>
      <c r="H325" s="34">
        <v>1968</v>
      </c>
      <c r="I325" s="30" t="inlineStr">
        <is>
          <t xml:space="preserve">Bentley</t>
        </is>
      </c>
      <c r="J325" s="30" t="inlineStr">
        <is>
          <t xml:space="preserve">Continental GT</t>
        </is>
      </c>
      <c r="K325" s="30" t="inlineStr">
        <is>
          <t xml:space="preserve">DAZH51Z2GSSGFVJXZ</t>
        </is>
      </c>
      <c r="L325" s="32" t="inlineStr">
        <is>
          <t xml:space="preserve">02 - Sports / GT</t>
        </is>
      </c>
      <c r="M325" s="35">
        <v>565000</v>
      </c>
      <c r="N325" s="32" t="inlineStr">
        <is>
          <t xml:space="preserve">Personal</t>
        </is>
      </c>
      <c r="O325" s="30" t="inlineStr">
        <is>
          <t xml:space="preserve">Personal - regular use</t>
        </is>
      </c>
      <c r="P325" s="30" t="inlineStr">
        <is>
          <t xml:space="preserve">2,500 - 5,000</t>
        </is>
      </c>
      <c r="Q325" s="30" t="inlineStr">
        <is>
          <t xml:space="preserve">California</t>
        </is>
      </c>
      <c r="R325" s="30" t="inlineStr">
        <is>
          <t xml:space="preserve">90012</t>
        </is>
      </c>
      <c r="S325" s="32" t="inlineStr">
        <is>
          <t xml:space="preserve">Earthquake - high (CA, Cascadia, New Madrid)</t>
        </is>
      </c>
      <c r="T325" s="36">
        <f>IF($A325="","",IF($S325="","",IFERROR(INDEX('[1]natural catastrophe'!$D$6:$D$17,MATCH($S325,'[1]natural catastrophe'!$B$6:$B$17,0)),"?")))</f>
      </c>
      <c r="U325" s="30" t="inlineStr">
        <is>
          <t xml:space="preserve">$5,000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7118.76</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CANON-202607-009967</t>
        </is>
      </c>
      <c r="B326" s="46" t="inlineStr">
        <is>
          <t xml:space="preserve">Noor Fairweather</t>
        </is>
      </c>
      <c r="C326" s="47">
        <v>46204</v>
      </c>
      <c r="D326" s="48" t="inlineStr">
        <is>
          <t xml:space="preserve">Bound - within authority</t>
        </is>
      </c>
      <c r="E326" s="48" t="inlineStr">
        <is>
          <t xml:space="preserve">New business</t>
        </is>
      </c>
      <c r="F326" s="46" t="inlineStr">
        <is>
          <t xml:space="preserve">B1234EXOTIC26</t>
        </is>
      </c>
      <c r="G326" s="33">
        <f>IF($A326="","",IF($C326="","",YEAR($C326)))</f>
      </c>
      <c r="H326" s="49">
        <v>1979</v>
      </c>
      <c r="I326" s="46" t="inlineStr">
        <is>
          <t xml:space="preserve">Aston Martin</t>
        </is>
      </c>
      <c r="J326" s="46" t="inlineStr">
        <is>
          <t xml:space="preserve">DB12</t>
        </is>
      </c>
      <c r="K326" s="46" t="inlineStr">
        <is>
          <t xml:space="preserve">K0SZTP6HKW8FRFUXS</t>
        </is>
      </c>
      <c r="L326" s="48" t="inlineStr">
        <is>
          <t xml:space="preserve">02 - Sports / GT</t>
        </is>
      </c>
      <c r="M326" s="50">
        <v>320000</v>
      </c>
      <c r="N326" s="48" t="inlineStr">
        <is>
          <t xml:space="preserve">Personal</t>
        </is>
      </c>
      <c r="O326" s="46" t="inlineStr">
        <is>
          <t xml:space="preserve">Personal - regular use</t>
        </is>
      </c>
      <c r="P326" s="46" t="inlineStr">
        <is>
          <t xml:space="preserve">1,000 - 2,500</t>
        </is>
      </c>
      <c r="Q326" s="46" t="inlineStr">
        <is>
          <t xml:space="preserve">New Jersey</t>
        </is>
      </c>
      <c r="R326" s="46" t="inlineStr">
        <is>
          <t xml:space="preserve">07102</t>
        </is>
      </c>
      <c r="S326" s="48" t="inlineStr">
        <is>
          <t xml:space="preserve">Tier 3 - Coastal wind (25-100 miles)</t>
        </is>
      </c>
      <c r="T326" s="36">
        <f>IF($A326="","",IF($S326="","",IFERROR(INDEX('[1]natural catastrophe'!$D$6:$D$17,MATCH($S326,'[1]natural catastrophe'!$B$6:$B$17,0)),"?")))</f>
      </c>
      <c r="U326" s="46" t="inlineStr">
        <is>
          <t xml:space="preserve">2% of agreed value, minimum $10,000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3135.89</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CANON-202607-009968</t>
        </is>
      </c>
      <c r="B327" s="30" t="inlineStr">
        <is>
          <t xml:space="preserve">Thaddeus Ashcombe</t>
        </is>
      </c>
      <c r="C327" s="31">
        <v>46224</v>
      </c>
      <c r="D327" s="32" t="inlineStr">
        <is>
          <t xml:space="preserve">Bound - within authority</t>
        </is>
      </c>
      <c r="E327" s="32" t="inlineStr">
        <is>
          <t xml:space="preserve">New business</t>
        </is>
      </c>
      <c r="F327" s="30" t="inlineStr">
        <is>
          <t xml:space="preserve">B1234EXOTIC26</t>
        </is>
      </c>
      <c r="G327" s="33">
        <f>IF($A327="","",IF($C327="","",YEAR($C327)))</f>
      </c>
      <c r="H327" s="34">
        <v>1990</v>
      </c>
      <c r="I327" s="30" t="inlineStr">
        <is>
          <t xml:space="preserve">Ferrari</t>
        </is>
      </c>
      <c r="J327" s="30" t="inlineStr">
        <is>
          <t xml:space="preserve">SF90 Stradale</t>
        </is>
      </c>
      <c r="K327" s="30" t="inlineStr">
        <is>
          <t xml:space="preserve">W3EGP0ZARLEPGX1KA</t>
        </is>
      </c>
      <c r="L327" s="32" t="inlineStr">
        <is>
          <t xml:space="preserve">03 - Supercar</t>
        </is>
      </c>
      <c r="M327" s="35">
        <v>415000</v>
      </c>
      <c r="N327" s="32" t="inlineStr">
        <is>
          <t xml:space="preserve">Personal</t>
        </is>
      </c>
      <c r="O327" s="30" t="inlineStr">
        <is>
          <t xml:space="preserve">Personal - regular use</t>
        </is>
      </c>
      <c r="P327" s="30" t="inlineStr">
        <is>
          <t xml:space="preserve">1,000 - 2,500</t>
        </is>
      </c>
      <c r="Q327" s="30" t="inlineStr">
        <is>
          <t xml:space="preserve">Colorado</t>
        </is>
      </c>
      <c r="R327" s="30" t="inlineStr">
        <is>
          <t xml:space="preserve">80202</t>
        </is>
      </c>
      <c r="S327" s="32" t="inlineStr">
        <is>
          <t xml:space="preserve">Severe convective - hail alley (high)</t>
        </is>
      </c>
      <c r="T327" s="36">
        <f>IF($A327="","",IF($S327="","",IFERROR(INDEX('[1]natural catastrophe'!$D$6:$D$17,MATCH($S327,'[1]natural catastrophe'!$B$6:$B$17,0)),"?")))</f>
      </c>
      <c r="U327" s="30" t="inlineStr">
        <is>
          <t xml:space="preserve">$5,000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7537.85</v>
      </c>
      <c r="AC327" s="37">
        <v>0</v>
      </c>
      <c r="AD327" s="38">
        <f>IF(ISNUMBER($AB327),$AB327*(1+N($AC327)),"")</f>
      </c>
      <c r="AE327" s="35">
        <v>350</v>
      </c>
      <c r="AF327" s="35">
        <v>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CANON-202607-009969</t>
        </is>
      </c>
      <c r="B328" s="46" t="inlineStr">
        <is>
          <t xml:space="preserve">Anouk Whitlock</t>
        </is>
      </c>
      <c r="C328" s="47">
        <v>46204</v>
      </c>
      <c r="D328" s="48" t="inlineStr">
        <is>
          <t xml:space="preserve">Bound - within authority</t>
        </is>
      </c>
      <c r="E328" s="48" t="inlineStr">
        <is>
          <t xml:space="preserve">New business</t>
        </is>
      </c>
      <c r="F328" s="46" t="inlineStr">
        <is>
          <t xml:space="preserve">B1234EXOTIC26</t>
        </is>
      </c>
      <c r="G328" s="33">
        <f>IF($A328="","",IF($C328="","",YEAR($C328)))</f>
      </c>
      <c r="H328" s="49">
        <v>2016</v>
      </c>
      <c r="I328" s="46" t="inlineStr">
        <is>
          <t xml:space="preserve">BMW</t>
        </is>
      </c>
      <c r="J328" s="46" t="inlineStr">
        <is>
          <t xml:space="preserve">M8 Competition</t>
        </is>
      </c>
      <c r="K328" s="46" t="inlineStr">
        <is>
          <t xml:space="preserve">21SH3L66XDGFMDEG3</t>
        </is>
      </c>
      <c r="L328" s="48" t="inlineStr">
        <is>
          <t xml:space="preserve">02 - Sports / GT</t>
        </is>
      </c>
      <c r="M328" s="50">
        <v>500000</v>
      </c>
      <c r="N328" s="48" t="inlineStr">
        <is>
          <t xml:space="preserve">Personal</t>
        </is>
      </c>
      <c r="O328" s="46" t="inlineStr">
        <is>
          <t xml:space="preserve">Personal - regular use</t>
        </is>
      </c>
      <c r="P328" s="46" t="inlineStr">
        <is>
          <t xml:space="preserve">1,000 - 2,500</t>
        </is>
      </c>
      <c r="Q328" s="46" t="inlineStr">
        <is>
          <t xml:space="preserve">North Carolina</t>
        </is>
      </c>
      <c r="R328" s="46" t="inlineStr">
        <is>
          <t xml:space="preserve">28202</t>
        </is>
      </c>
      <c r="S328" s="48" t="inlineStr">
        <is>
          <t xml:space="preserve">Tier 2 - Coastal wind (1-25 miles)</t>
        </is>
      </c>
      <c r="T328" s="36">
        <f>IF($A328="","",IF($S328="","",IFERROR(INDEX('[1]natural catastrophe'!$D$6:$D$17,MATCH($S328,'[1]natural catastrophe'!$B$6:$B$17,0)),"?")))</f>
      </c>
      <c r="U328" s="46" t="inlineStr">
        <is>
          <t xml:space="preserve">2% of agreed value, minimum $10,000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5366.49</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CANON-202607-009970</t>
        </is>
      </c>
      <c r="B329" s="30" t="inlineStr">
        <is>
          <t xml:space="preserve">Mireille Underwood</t>
        </is>
      </c>
      <c r="C329" s="31">
        <v>46213</v>
      </c>
      <c r="D329" s="32" t="inlineStr">
        <is>
          <t xml:space="preserve">Bound - within authority</t>
        </is>
      </c>
      <c r="E329" s="32" t="inlineStr">
        <is>
          <t xml:space="preserve">New business</t>
        </is>
      </c>
      <c r="F329" s="30" t="inlineStr">
        <is>
          <t xml:space="preserve">B1234EXOTIC26</t>
        </is>
      </c>
      <c r="G329" s="33">
        <f>IF($A329="","",IF($C329="","",YEAR($C329)))</f>
      </c>
      <c r="H329" s="34">
        <v>2004</v>
      </c>
      <c r="I329" s="30" t="inlineStr">
        <is>
          <t xml:space="preserve">Ferrari</t>
        </is>
      </c>
      <c r="J329" s="30" t="inlineStr">
        <is>
          <t xml:space="preserve">SF90 Stradale</t>
        </is>
      </c>
      <c r="K329" s="30" t="inlineStr">
        <is>
          <t xml:space="preserve">SBMBEXS7E8JV2ZHNF</t>
        </is>
      </c>
      <c r="L329" s="32" t="inlineStr">
        <is>
          <t xml:space="preserve">03 - Supercar</t>
        </is>
      </c>
      <c r="M329" s="35">
        <v>755000</v>
      </c>
      <c r="N329" s="32" t="inlineStr">
        <is>
          <t xml:space="preserve">Personal</t>
        </is>
      </c>
      <c r="O329" s="30" t="inlineStr">
        <is>
          <t xml:space="preserve">Personal - regular use</t>
        </is>
      </c>
      <c r="P329" s="30" t="inlineStr">
        <is>
          <t xml:space="preserve">1,000 - 2,500</t>
        </is>
      </c>
      <c r="Q329" s="30" t="inlineStr">
        <is>
          <t xml:space="preserve">Texas</t>
        </is>
      </c>
      <c r="R329" s="30" t="inlineStr">
        <is>
          <t xml:space="preserve">75201</t>
        </is>
      </c>
      <c r="S329" s="32" t="inlineStr">
        <is>
          <t xml:space="preserve">Tier 2 - Coastal wind (1-25 miles)</t>
        </is>
      </c>
      <c r="T329" s="36">
        <f>IF($A329="","",IF($S329="","",IFERROR(INDEX('[1]natural catastrophe'!$D$6:$D$17,MATCH($S329,'[1]natural catastrophe'!$B$6:$B$17,0)),"?")))</f>
      </c>
      <c r="U329" s="30" t="inlineStr">
        <is>
          <t xml:space="preserve">2% of agreed value, minimum $10,000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11843.42</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CANON-202607-009971</t>
        </is>
      </c>
      <c r="B330" s="46" t="inlineStr">
        <is>
          <t xml:space="preserve">Ingrid Harrington</t>
        </is>
      </c>
      <c r="C330" s="47">
        <v>46218</v>
      </c>
      <c r="D330" s="48" t="inlineStr">
        <is>
          <t xml:space="preserve">Bound - within authority</t>
        </is>
      </c>
      <c r="E330" s="48" t="inlineStr">
        <is>
          <t xml:space="preserve">New business</t>
        </is>
      </c>
      <c r="F330" s="46" t="inlineStr">
        <is>
          <t xml:space="preserve">B1234EXOTIC26</t>
        </is>
      </c>
      <c r="G330" s="33">
        <f>IF($A330="","",IF($C330="","",YEAR($C330)))</f>
      </c>
      <c r="H330" s="49">
        <v>1993</v>
      </c>
      <c r="I330" s="46" t="inlineStr">
        <is>
          <t xml:space="preserve">Aston Martin</t>
        </is>
      </c>
      <c r="J330" s="46" t="inlineStr">
        <is>
          <t xml:space="preserve">DB5</t>
        </is>
      </c>
      <c r="K330" s="46" t="inlineStr">
        <is>
          <t xml:space="preserve">NVYPEMSVUWF4E75C3</t>
        </is>
      </c>
      <c r="L330" s="48" t="inlineStr">
        <is>
          <t xml:space="preserve">08 - Modern Classic (1973-1999)</t>
        </is>
      </c>
      <c r="M330" s="50">
        <v>1015000</v>
      </c>
      <c r="N330" s="48" t="inlineStr">
        <is>
          <t xml:space="preserve">Personal</t>
        </is>
      </c>
      <c r="O330" s="46" t="inlineStr">
        <is>
          <t xml:space="preserve">Personal - regular use</t>
        </is>
      </c>
      <c r="P330" s="46" t="inlineStr">
        <is>
          <t xml:space="preserve">1,000 - 2,500</t>
        </is>
      </c>
      <c r="Q330" s="46" t="inlineStr">
        <is>
          <t xml:space="preserve">Alaska</t>
        </is>
      </c>
      <c r="R330" s="46" t="inlineStr">
        <is>
          <t xml:space="preserve">99501</t>
        </is>
      </c>
      <c r="S330" s="48" t="inlineStr">
        <is>
          <t xml:space="preserve">Earthquake - high (CA, Cascadia, New Madrid)</t>
        </is>
      </c>
      <c r="T330" s="36">
        <f>IF($A330="","",IF($S330="","",IFERROR(INDEX('[1]natural catastrophe'!$D$6:$D$17,MATCH($S330,'[1]natural catastrophe'!$B$6:$B$17,0)),"?")))</f>
      </c>
      <c r="U330" s="46" t="inlineStr">
        <is>
          <t xml:space="preserve">$5,000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6313.4</v>
      </c>
      <c r="AC330" s="51">
        <v>0</v>
      </c>
      <c r="AD330" s="38">
        <f>IF(ISNUMBER($AB330),$AB330*(1+N($AC330)),"")</f>
      </c>
      <c r="AE330" s="50">
        <v>350</v>
      </c>
      <c r="AF330" s="50">
        <v>250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CANON-202607-009972</t>
        </is>
      </c>
      <c r="B331" s="30" t="inlineStr">
        <is>
          <t xml:space="preserve">Lorenzo Bellandi</t>
        </is>
      </c>
      <c r="C331" s="31">
        <v>46216</v>
      </c>
      <c r="D331" s="32" t="inlineStr">
        <is>
          <t xml:space="preserve">Bound - within authority</t>
        </is>
      </c>
      <c r="E331" s="32" t="inlineStr">
        <is>
          <t xml:space="preserve">New business</t>
        </is>
      </c>
      <c r="F331" s="30" t="inlineStr">
        <is>
          <t xml:space="preserve">B1234EXOTIC26</t>
        </is>
      </c>
      <c r="G331" s="33">
        <f>IF($A331="","",IF($C331="","",YEAR($C331)))</f>
      </c>
      <c r="H331" s="34">
        <v>2008</v>
      </c>
      <c r="I331" s="30" t="inlineStr">
        <is>
          <t xml:space="preserve">Maserati</t>
        </is>
      </c>
      <c r="J331" s="30" t="inlineStr">
        <is>
          <t xml:space="preserve">GranTurismo</t>
        </is>
      </c>
      <c r="K331" s="30" t="inlineStr">
        <is>
          <t xml:space="preserve">CMLBYH6VFVVC518K1</t>
        </is>
      </c>
      <c r="L331" s="32" t="inlineStr">
        <is>
          <t xml:space="preserve">02 - Sports / GT</t>
        </is>
      </c>
      <c r="M331" s="35">
        <v>175000</v>
      </c>
      <c r="N331" s="32" t="inlineStr">
        <is>
          <t xml:space="preserve">Personal</t>
        </is>
      </c>
      <c r="O331" s="30" t="inlineStr">
        <is>
          <t xml:space="preserve">Personal - regular use</t>
        </is>
      </c>
      <c r="P331" s="30" t="inlineStr">
        <is>
          <t xml:space="preserve">2,500 - 5,000</t>
        </is>
      </c>
      <c r="Q331" s="30" t="inlineStr">
        <is>
          <t xml:space="preserve">New Mexico</t>
        </is>
      </c>
      <c r="R331" s="30" t="inlineStr">
        <is>
          <t xml:space="preserve">87501</t>
        </is>
      </c>
      <c r="S331" s="32" t="inlineStr">
        <is>
          <t xml:space="preserve">Wildfire - WUI high hazard</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2959</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CANON-202607-009973</t>
        </is>
      </c>
      <c r="B332" s="46" t="inlineStr">
        <is>
          <t xml:space="preserve">Sunniva Kingsford</t>
        </is>
      </c>
      <c r="C332" s="47">
        <v>46215</v>
      </c>
      <c r="D332" s="48" t="inlineStr">
        <is>
          <t xml:space="preserve">Bound - within authority</t>
        </is>
      </c>
      <c r="E332" s="48" t="inlineStr">
        <is>
          <t xml:space="preserve">New business</t>
        </is>
      </c>
      <c r="F332" s="46" t="inlineStr">
        <is>
          <t xml:space="preserve">B1234EXOTIC26</t>
        </is>
      </c>
      <c r="G332" s="33">
        <f>IF($A332="","",IF($C332="","",YEAR($C332)))</f>
      </c>
      <c r="H332" s="49">
        <v>1975</v>
      </c>
      <c r="I332" s="46" t="inlineStr">
        <is>
          <t xml:space="preserve">Bentley</t>
        </is>
      </c>
      <c r="J332" s="46" t="inlineStr">
        <is>
          <t xml:space="preserve">Continental GT</t>
        </is>
      </c>
      <c r="K332" s="46" t="inlineStr">
        <is>
          <t xml:space="preserve">8VDLFT71AZY9DNMTP</t>
        </is>
      </c>
      <c r="L332" s="48" t="inlineStr">
        <is>
          <t xml:space="preserve">02 - Sports / GT</t>
        </is>
      </c>
      <c r="M332" s="50">
        <v>185000</v>
      </c>
      <c r="N332" s="48" t="inlineStr">
        <is>
          <t xml:space="preserve">Personal</t>
        </is>
      </c>
      <c r="O332" s="46" t="inlineStr">
        <is>
          <t xml:space="preserve">Personal - regular use</t>
        </is>
      </c>
      <c r="P332" s="46" t="inlineStr">
        <is>
          <t xml:space="preserve">Under 1,000</t>
        </is>
      </c>
      <c r="Q332" s="46" t="inlineStr">
        <is>
          <t xml:space="preserve">Nebraska</t>
        </is>
      </c>
      <c r="R332" s="46" t="inlineStr">
        <is>
          <t xml:space="preserve">68102</t>
        </is>
      </c>
      <c r="S332" s="48" t="inlineStr">
        <is>
          <t xml:space="preserve">Severe convective - hail alley (high)</t>
        </is>
      </c>
      <c r="T332" s="36">
        <f>IF($A332="","",IF($S332="","",IFERROR(INDEX('[1]natural catastrophe'!$D$6:$D$17,MATCH($S332,'[1]natural catastrophe'!$B$6:$B$17,0)),"?")))</f>
      </c>
      <c r="U332" s="46" t="inlineStr">
        <is>
          <t xml:space="preserve">$5,000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3176.96</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CANON-202607-009974</t>
        </is>
      </c>
      <c r="B333" s="30" t="inlineStr">
        <is>
          <t xml:space="preserve">Horace Underwood</t>
        </is>
      </c>
      <c r="C333" s="31">
        <v>46232</v>
      </c>
      <c r="D333" s="32" t="inlineStr">
        <is>
          <t xml:space="preserve">Bound - within authority</t>
        </is>
      </c>
      <c r="E333" s="32" t="inlineStr">
        <is>
          <t xml:space="preserve">New business</t>
        </is>
      </c>
      <c r="F333" s="30" t="inlineStr">
        <is>
          <t xml:space="preserve">B1234EXOTIC26</t>
        </is>
      </c>
      <c r="G333" s="33">
        <f>IF($A333="","",IF($C333="","",YEAR($C333)))</f>
      </c>
      <c r="H333" s="34">
        <v>2017</v>
      </c>
      <c r="I333" s="30" t="inlineStr">
        <is>
          <t xml:space="preserve">Ferrari</t>
        </is>
      </c>
      <c r="J333" s="30" t="inlineStr">
        <is>
          <t xml:space="preserve">296 GTB</t>
        </is>
      </c>
      <c r="K333" s="30" t="inlineStr">
        <is>
          <t xml:space="preserve">HEH1PM2N5RBZNFKHW</t>
        </is>
      </c>
      <c r="L333" s="32" t="inlineStr">
        <is>
          <t xml:space="preserve">03 - Supercar</t>
        </is>
      </c>
      <c r="M333" s="35">
        <v>1580000</v>
      </c>
      <c r="N333" s="32" t="inlineStr">
        <is>
          <t xml:space="preserve">Personal</t>
        </is>
      </c>
      <c r="O333" s="30" t="inlineStr">
        <is>
          <t xml:space="preserve">Personal - regular use</t>
        </is>
      </c>
      <c r="P333" s="30" t="inlineStr">
        <is>
          <t xml:space="preserve">2,500 - 5,000</t>
        </is>
      </c>
      <c r="Q333" s="30" t="inlineStr">
        <is>
          <t xml:space="preserve">Montana</t>
        </is>
      </c>
      <c r="R333" s="30" t="inlineStr">
        <is>
          <t xml:space="preserve">59601</t>
        </is>
      </c>
      <c r="S333" s="32" t="inlineStr">
        <is>
          <t xml:space="preserve">Wildfire - WUI high hazard</t>
        </is>
      </c>
      <c r="T333" s="36">
        <f>IF($A333="","",IF($S333="","",IFERROR(INDEX('[1]natural catastrophe'!$D$6:$D$17,MATCH($S333,'[1]natural catastrophe'!$B$6:$B$17,0)),"?")))</f>
      </c>
      <c r="U333" s="30" t="inlineStr">
        <is>
          <t xml:space="preserve">$5,000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16878.69</v>
      </c>
      <c r="AC333" s="37">
        <v>0</v>
      </c>
      <c r="AD333" s="38">
        <f>IF(ISNUMBER($AB333),$AB333*(1+N($AC333)),"")</f>
      </c>
      <c r="AE333" s="35">
        <v>350</v>
      </c>
      <c r="AF333" s="35">
        <v>250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CANON-202607-009975</t>
        </is>
      </c>
      <c r="B334" s="46" t="inlineStr">
        <is>
          <t xml:space="preserve">Noor Nakashima</t>
        </is>
      </c>
      <c r="C334" s="47">
        <v>46232</v>
      </c>
      <c r="D334" s="48" t="inlineStr">
        <is>
          <t xml:space="preserve">Bound - within authority</t>
        </is>
      </c>
      <c r="E334" s="48" t="inlineStr">
        <is>
          <t xml:space="preserve">New business</t>
        </is>
      </c>
      <c r="F334" s="46" t="inlineStr">
        <is>
          <t xml:space="preserve">B1234EXOTIC26</t>
        </is>
      </c>
      <c r="G334" s="33">
        <f>IF($A334="","",IF($C334="","",YEAR($C334)))</f>
      </c>
      <c r="H334" s="49">
        <v>1962</v>
      </c>
      <c r="I334" s="46" t="inlineStr">
        <is>
          <t xml:space="preserve">Bugatti</t>
        </is>
      </c>
      <c r="J334" s="46" t="inlineStr">
        <is>
          <t xml:space="preserve">Type 57</t>
        </is>
      </c>
      <c r="K334" s="46" t="inlineStr">
        <is>
          <t xml:space="preserve">YSZETPUTTALX9A9DD</t>
        </is>
      </c>
      <c r="L334" s="48" t="inlineStr">
        <is>
          <t xml:space="preserve">07 - Post-War Classic (1946-1972)</t>
        </is>
      </c>
      <c r="M334" s="50">
        <v>1045000</v>
      </c>
      <c r="N334" s="48" t="inlineStr">
        <is>
          <t xml:space="preserve">Personal</t>
        </is>
      </c>
      <c r="O334" s="46" t="inlineStr">
        <is>
          <t xml:space="preserve">Personal - regular use</t>
        </is>
      </c>
      <c r="P334" s="46" t="inlineStr">
        <is>
          <t xml:space="preserve">1,000 - 2,500</t>
        </is>
      </c>
      <c r="Q334" s="46" t="inlineStr">
        <is>
          <t xml:space="preserve">Delaware</t>
        </is>
      </c>
      <c r="R334" s="46" t="inlineStr">
        <is>
          <t xml:space="preserve">19801</t>
        </is>
      </c>
      <c r="S334" s="48" t="inlineStr">
        <is>
          <t xml:space="preserve">Tier 3 - Coastal wind (25-100 miles)</t>
        </is>
      </c>
      <c r="T334" s="36">
        <f>IF($A334="","",IF($S334="","",IFERROR(INDEX('[1]natural catastrophe'!$D$6:$D$17,MATCH($S334,'[1]natural catastrophe'!$B$6:$B$17,0)),"?")))</f>
      </c>
      <c r="U334" s="46" t="inlineStr">
        <is>
          <t xml:space="preserve">2% of agreed value, minimum $10,000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6376.97</v>
      </c>
      <c r="AC334" s="51">
        <v>0</v>
      </c>
      <c r="AD334" s="38">
        <f>IF(ISNUMBER($AB334),$AB334*(1+N($AC334)),"")</f>
      </c>
      <c r="AE334" s="50">
        <v>350</v>
      </c>
      <c r="AF334" s="50">
        <v>250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CANON-202607-009976</t>
        </is>
      </c>
      <c r="B335" s="30" t="inlineStr">
        <is>
          <t xml:space="preserve">Thaddeus Vasquez</t>
        </is>
      </c>
      <c r="C335" s="31">
        <v>46218</v>
      </c>
      <c r="D335" s="32" t="inlineStr">
        <is>
          <t xml:space="preserve">Bound - within authority</t>
        </is>
      </c>
      <c r="E335" s="32" t="inlineStr">
        <is>
          <t xml:space="preserve">New business</t>
        </is>
      </c>
      <c r="F335" s="30" t="inlineStr">
        <is>
          <t xml:space="preserve">B1234EXOTIC26</t>
        </is>
      </c>
      <c r="G335" s="33">
        <f>IF($A335="","",IF($C335="","",YEAR($C335)))</f>
      </c>
      <c r="H335" s="34">
        <v>1984</v>
      </c>
      <c r="I335" s="30" t="inlineStr">
        <is>
          <t xml:space="preserve">Ferrari</t>
        </is>
      </c>
      <c r="J335" s="30" t="inlineStr">
        <is>
          <t xml:space="preserve">SF90 Stradale</t>
        </is>
      </c>
      <c r="K335" s="30" t="inlineStr">
        <is>
          <t xml:space="preserve">9D8UJTKRJ64PJVY2T</t>
        </is>
      </c>
      <c r="L335" s="32" t="inlineStr">
        <is>
          <t xml:space="preserve">03 - Supercar</t>
        </is>
      </c>
      <c r="M335" s="35">
        <v>1835000</v>
      </c>
      <c r="N335" s="32" t="inlineStr">
        <is>
          <t xml:space="preserve">Personal</t>
        </is>
      </c>
      <c r="O335" s="30" t="inlineStr">
        <is>
          <t xml:space="preserve">Personal - regular use</t>
        </is>
      </c>
      <c r="P335" s="30" t="inlineStr">
        <is>
          <t xml:space="preserve">2,500 - 5,000</t>
        </is>
      </c>
      <c r="Q335" s="30" t="inlineStr">
        <is>
          <t xml:space="preserve">Georgia</t>
        </is>
      </c>
      <c r="R335" s="30" t="inlineStr">
        <is>
          <t xml:space="preserve">30303</t>
        </is>
      </c>
      <c r="S335" s="32" t="inlineStr">
        <is>
          <t xml:space="preserve">Tier 2 - Coastal wind (1-25 miles)</t>
        </is>
      </c>
      <c r="T335" s="36">
        <f>IF($A335="","",IF($S335="","",IFERROR(INDEX('[1]natural catastrophe'!$D$6:$D$17,MATCH($S335,'[1]natural catastrophe'!$B$6:$B$17,0)),"?")))</f>
      </c>
      <c r="U335" s="30" t="inlineStr">
        <is>
          <t xml:space="preserve">2% of agreed value, minimum $10,000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23607.66</v>
      </c>
      <c r="AC335" s="37">
        <v>0</v>
      </c>
      <c r="AD335" s="38">
        <f>IF(ISNUMBER($AB335),$AB335*(1+N($AC335)),"")</f>
      </c>
      <c r="AE335" s="35">
        <v>350</v>
      </c>
      <c r="AF335" s="35">
        <v>250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CANON-202607-009977</t>
        </is>
      </c>
      <c r="B336" s="46" t="inlineStr">
        <is>
          <t xml:space="preserve">Ingrid Castellanos</t>
        </is>
      </c>
      <c r="C336" s="47">
        <v>46213</v>
      </c>
      <c r="D336" s="48" t="inlineStr">
        <is>
          <t xml:space="preserve">Bound - within authority</t>
        </is>
      </c>
      <c r="E336" s="48" t="inlineStr">
        <is>
          <t xml:space="preserve">New business</t>
        </is>
      </c>
      <c r="F336" s="46" t="inlineStr">
        <is>
          <t xml:space="preserve">B1234EXOTIC26</t>
        </is>
      </c>
      <c r="G336" s="33">
        <f>IF($A336="","",IF($C336="","",YEAR($C336)))</f>
      </c>
      <c r="H336" s="49">
        <v>1970</v>
      </c>
      <c r="I336" s="46" t="inlineStr">
        <is>
          <t xml:space="preserve">Ferrari</t>
        </is>
      </c>
      <c r="J336" s="46" t="inlineStr">
        <is>
          <t xml:space="preserve">275 GTB/4</t>
        </is>
      </c>
      <c r="K336" s="46" t="inlineStr">
        <is>
          <t xml:space="preserve">8RHAKYXUZKZWU9XFD</t>
        </is>
      </c>
      <c r="L336" s="48" t="inlineStr">
        <is>
          <t xml:space="preserve">07 - Post-War Classic (1946-1972)</t>
        </is>
      </c>
      <c r="M336" s="50">
        <v>555000</v>
      </c>
      <c r="N336" s="48" t="inlineStr">
        <is>
          <t xml:space="preserve">Personal</t>
        </is>
      </c>
      <c r="O336" s="46" t="inlineStr">
        <is>
          <t xml:space="preserve">Personal - regular use</t>
        </is>
      </c>
      <c r="P336" s="46" t="inlineStr">
        <is>
          <t xml:space="preserve">Under 1,000</t>
        </is>
      </c>
      <c r="Q336" s="46" t="inlineStr">
        <is>
          <t xml:space="preserve">California</t>
        </is>
      </c>
      <c r="R336" s="46" t="inlineStr">
        <is>
          <t xml:space="preserve">90012</t>
        </is>
      </c>
      <c r="S336" s="48" t="inlineStr">
        <is>
          <t xml:space="preserve">Earthquake - high (CA, Cascadia, New Madrid)</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4625.98</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CANON-202607-009978</t>
        </is>
      </c>
      <c r="B337" s="30" t="inlineStr">
        <is>
          <t xml:space="preserve">Fitzgerald Ashcombe</t>
        </is>
      </c>
      <c r="C337" s="31">
        <v>46219</v>
      </c>
      <c r="D337" s="32" t="inlineStr">
        <is>
          <t xml:space="preserve">Bound - within authority</t>
        </is>
      </c>
      <c r="E337" s="32" t="inlineStr">
        <is>
          <t xml:space="preserve">New business</t>
        </is>
      </c>
      <c r="F337" s="30" t="inlineStr">
        <is>
          <t xml:space="preserve">B1234EXOTIC26</t>
        </is>
      </c>
      <c r="G337" s="33">
        <f>IF($A337="","",IF($C337="","",YEAR($C337)))</f>
      </c>
      <c r="H337" s="34">
        <v>1973</v>
      </c>
      <c r="I337" s="30" t="inlineStr">
        <is>
          <t xml:space="preserve">Aston Martin</t>
        </is>
      </c>
      <c r="J337" s="30" t="inlineStr">
        <is>
          <t xml:space="preserve">DB12</t>
        </is>
      </c>
      <c r="K337" s="30" t="inlineStr">
        <is>
          <t xml:space="preserve">SZVB0F507DJ1M2EYH</t>
        </is>
      </c>
      <c r="L337" s="32" t="inlineStr">
        <is>
          <t xml:space="preserve">02 - Sports / GT</t>
        </is>
      </c>
      <c r="M337" s="35">
        <v>215000</v>
      </c>
      <c r="N337" s="32" t="inlineStr">
        <is>
          <t xml:space="preserve">Personal</t>
        </is>
      </c>
      <c r="O337" s="30" t="inlineStr">
        <is>
          <t xml:space="preserve">Personal - regular use</t>
        </is>
      </c>
      <c r="P337" s="30" t="inlineStr">
        <is>
          <t xml:space="preserve">Under 1,000</t>
        </is>
      </c>
      <c r="Q337" s="30" t="inlineStr">
        <is>
          <t xml:space="preserve">Mississippi</t>
        </is>
      </c>
      <c r="R337" s="30" t="inlineStr">
        <is>
          <t xml:space="preserve">39201</t>
        </is>
      </c>
      <c r="S337" s="32" t="inlineStr">
        <is>
          <t xml:space="preserve">Tier 2 - Coastal wind (1-25 miles)</t>
        </is>
      </c>
      <c r="T337" s="36">
        <f>IF($A337="","",IF($S337="","",IFERROR(INDEX('[1]natural catastrophe'!$D$6:$D$17,MATCH($S337,'[1]natural catastrophe'!$B$6:$B$17,0)),"?")))</f>
      </c>
      <c r="U337" s="30" t="inlineStr">
        <is>
          <t xml:space="preserve">2% of agreed value, minimum $10,000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3379.73</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CANON-202607-009980</t>
        </is>
      </c>
      <c r="B338" s="46" t="inlineStr">
        <is>
          <t xml:space="preserve">Leopold Vandermeer</t>
        </is>
      </c>
      <c r="C338" s="47">
        <v>46216</v>
      </c>
      <c r="D338" s="48" t="inlineStr">
        <is>
          <t xml:space="preserve">Bound - within authority</t>
        </is>
      </c>
      <c r="E338" s="48" t="inlineStr">
        <is>
          <t xml:space="preserve">New business</t>
        </is>
      </c>
      <c r="F338" s="46" t="inlineStr">
        <is>
          <t xml:space="preserve">B1234EXOTIC26</t>
        </is>
      </c>
      <c r="G338" s="33">
        <f>IF($A338="","",IF($C338="","",YEAR($C338)))</f>
      </c>
      <c r="H338" s="49">
        <v>1985</v>
      </c>
      <c r="I338" s="46" t="inlineStr">
        <is>
          <t xml:space="preserve">Aston Martin</t>
        </is>
      </c>
      <c r="J338" s="46" t="inlineStr">
        <is>
          <t xml:space="preserve">DB12</t>
        </is>
      </c>
      <c r="K338" s="46" t="inlineStr">
        <is>
          <t xml:space="preserve">B3ERAYH3ZX75S7RAJ</t>
        </is>
      </c>
      <c r="L338" s="48" t="inlineStr">
        <is>
          <t xml:space="preserve">02 - Sports / GT</t>
        </is>
      </c>
      <c r="M338" s="50">
        <v>375000</v>
      </c>
      <c r="N338" s="48" t="inlineStr">
        <is>
          <t xml:space="preserve">Personal</t>
        </is>
      </c>
      <c r="O338" s="46" t="inlineStr">
        <is>
          <t xml:space="preserve">Personal - regular use</t>
        </is>
      </c>
      <c r="P338" s="46" t="inlineStr">
        <is>
          <t xml:space="preserve">1,000 - 2,500</t>
        </is>
      </c>
      <c r="Q338" s="46" t="inlineStr">
        <is>
          <t xml:space="preserve">West Virginia</t>
        </is>
      </c>
      <c r="R338" s="46" t="inlineStr">
        <is>
          <t xml:space="preserve">25301</t>
        </is>
      </c>
      <c r="S338" s="48" t="inlineStr">
        <is>
          <t xml:space="preserve">Low hazard - inland benign</t>
        </is>
      </c>
      <c r="T338" s="36">
        <f>IF($A338="","",IF($S338="","",IFERROR(INDEX('[1]natural catastrophe'!$D$6:$D$17,MATCH($S338,'[1]natural catastrophe'!$B$6:$B$17,0)),"?")))</f>
      </c>
      <c r="U338" s="46" t="inlineStr">
        <is>
          <t xml:space="preserve">$5,000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5370.97</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CANON-202607-009982</t>
        </is>
      </c>
      <c r="B339" s="30" t="inlineStr">
        <is>
          <t xml:space="preserve">Marisol Ashcombe</t>
        </is>
      </c>
      <c r="C339" s="31">
        <v>46232</v>
      </c>
      <c r="D339" s="32" t="inlineStr">
        <is>
          <t xml:space="preserve">Bound - within authority</t>
        </is>
      </c>
      <c r="E339" s="32" t="inlineStr">
        <is>
          <t xml:space="preserve">New business</t>
        </is>
      </c>
      <c r="F339" s="30" t="inlineStr">
        <is>
          <t xml:space="preserve">B1234EXOTIC26</t>
        </is>
      </c>
      <c r="G339" s="33">
        <f>IF($A339="","",IF($C339="","",YEAR($C339)))</f>
      </c>
      <c r="H339" s="34">
        <v>2013</v>
      </c>
      <c r="I339" s="30" t="inlineStr">
        <is>
          <t xml:space="preserve">Lamborghini</t>
        </is>
      </c>
      <c r="J339" s="30" t="inlineStr">
        <is>
          <t xml:space="preserve">Huracan EVO</t>
        </is>
      </c>
      <c r="K339" s="30" t="inlineStr">
        <is>
          <t xml:space="preserve">R87NRXC619EEAY20Z</t>
        </is>
      </c>
      <c r="L339" s="32" t="inlineStr">
        <is>
          <t xml:space="preserve">03 - Supercar</t>
        </is>
      </c>
      <c r="M339" s="35">
        <v>1170000</v>
      </c>
      <c r="N339" s="32" t="inlineStr">
        <is>
          <t xml:space="preserve">Personal</t>
        </is>
      </c>
      <c r="O339" s="30" t="inlineStr">
        <is>
          <t xml:space="preserve">Personal - regular use</t>
        </is>
      </c>
      <c r="P339" s="30" t="inlineStr">
        <is>
          <t xml:space="preserve">Under 1,000</t>
        </is>
      </c>
      <c r="Q339" s="30" t="inlineStr">
        <is>
          <t xml:space="preserve">North Carolina</t>
        </is>
      </c>
      <c r="R339" s="30" t="inlineStr">
        <is>
          <t xml:space="preserve">28202</t>
        </is>
      </c>
      <c r="S339" s="32" t="inlineStr">
        <is>
          <t xml:space="preserve">Tier 2 - Coastal wind (1-25 miles)</t>
        </is>
      </c>
      <c r="T339" s="36">
        <f>IF($A339="","",IF($S339="","",IFERROR(INDEX('[1]natural catastrophe'!$D$6:$D$17,MATCH($S339,'[1]natural catastrophe'!$B$6:$B$17,0)),"?")))</f>
      </c>
      <c r="U339" s="30" t="inlineStr">
        <is>
          <t xml:space="preserve">2% of agreed value, minimum $10,000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15455.48</v>
      </c>
      <c r="AC339" s="37">
        <v>0</v>
      </c>
      <c r="AD339" s="38">
        <f>IF(ISNUMBER($AB339),$AB339*(1+N($AC339)),"")</f>
      </c>
      <c r="AE339" s="35">
        <v>350</v>
      </c>
      <c r="AF339" s="35">
        <v>250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CANON-202607-009983</t>
        </is>
      </c>
      <c r="B340" s="46" t="inlineStr">
        <is>
          <t xml:space="preserve">Emiliano Ashcombe</t>
        </is>
      </c>
      <c r="C340" s="47">
        <v>46224</v>
      </c>
      <c r="D340" s="48" t="inlineStr">
        <is>
          <t xml:space="preserve">Bound - within authority</t>
        </is>
      </c>
      <c r="E340" s="48" t="inlineStr">
        <is>
          <t xml:space="preserve">New business</t>
        </is>
      </c>
      <c r="F340" s="46" t="inlineStr">
        <is>
          <t xml:space="preserve">B1234EXOTIC26</t>
        </is>
      </c>
      <c r="G340" s="33">
        <f>IF($A340="","",IF($C340="","",YEAR($C340)))</f>
      </c>
      <c r="H340" s="49">
        <v>1977</v>
      </c>
      <c r="I340" s="46" t="inlineStr">
        <is>
          <t xml:space="preserve">Ferrari</t>
        </is>
      </c>
      <c r="J340" s="46" t="inlineStr">
        <is>
          <t xml:space="preserve">275 GTB/4</t>
        </is>
      </c>
      <c r="K340" s="46" t="inlineStr">
        <is>
          <t xml:space="preserve">5AK0HGS7617KWZL32</t>
        </is>
      </c>
      <c r="L340" s="48" t="inlineStr">
        <is>
          <t xml:space="preserve">08 - Modern Classic (1973-1999)</t>
        </is>
      </c>
      <c r="M340" s="50">
        <v>1950000</v>
      </c>
      <c r="N340" s="48" t="inlineStr">
        <is>
          <t xml:space="preserve">Personal</t>
        </is>
      </c>
      <c r="O340" s="46" t="inlineStr">
        <is>
          <t xml:space="preserve">Personal - regular use</t>
        </is>
      </c>
      <c r="P340" s="46" t="inlineStr">
        <is>
          <t xml:space="preserve">2,500 - 5,000</t>
        </is>
      </c>
      <c r="Q340" s="46" t="inlineStr">
        <is>
          <t xml:space="preserve">Nebraska</t>
        </is>
      </c>
      <c r="R340" s="46" t="inlineStr">
        <is>
          <t xml:space="preserve">68102</t>
        </is>
      </c>
      <c r="S340" s="48" t="inlineStr">
        <is>
          <t xml:space="preserve">Severe convective - hail alley (high)</t>
        </is>
      </c>
      <c r="T340" s="36">
        <f>IF($A340="","",IF($S340="","",IFERROR(INDEX('[1]natural catastrophe'!$D$6:$D$17,MATCH($S340,'[1]natural catastrophe'!$B$6:$B$17,0)),"?")))</f>
      </c>
      <c r="U340" s="46" t="inlineStr">
        <is>
          <t xml:space="preserve">$5,000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13831.53</v>
      </c>
      <c r="AC340" s="51">
        <v>0</v>
      </c>
      <c r="AD340" s="38">
        <f>IF(ISNUMBER($AB340),$AB340*(1+N($AC340)),"")</f>
      </c>
      <c r="AE340" s="50">
        <v>350</v>
      </c>
      <c r="AF340" s="50">
        <v>250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CANON-202607-009985</t>
        </is>
      </c>
      <c r="B341" s="30" t="inlineStr">
        <is>
          <t xml:space="preserve">Mireille Nakashima</t>
        </is>
      </c>
      <c r="C341" s="31">
        <v>46229</v>
      </c>
      <c r="D341" s="32" t="inlineStr">
        <is>
          <t xml:space="preserve">Bound - within authority</t>
        </is>
      </c>
      <c r="E341" s="32" t="inlineStr">
        <is>
          <t xml:space="preserve">New business</t>
        </is>
      </c>
      <c r="F341" s="30" t="inlineStr">
        <is>
          <t xml:space="preserve">B1234EXOTIC26</t>
        </is>
      </c>
      <c r="G341" s="33">
        <f>IF($A341="","",IF($C341="","",YEAR($C341)))</f>
      </c>
      <c r="H341" s="34">
        <v>1989</v>
      </c>
      <c r="I341" s="30" t="inlineStr">
        <is>
          <t xml:space="preserve">Maserati</t>
        </is>
      </c>
      <c r="J341" s="30" t="inlineStr">
        <is>
          <t xml:space="preserve">GranTurismo</t>
        </is>
      </c>
      <c r="K341" s="30" t="inlineStr">
        <is>
          <t xml:space="preserve">LEDG6R5UD4RLG2YYJ</t>
        </is>
      </c>
      <c r="L341" s="32" t="inlineStr">
        <is>
          <t xml:space="preserve">02 - Sports / GT</t>
        </is>
      </c>
      <c r="M341" s="35">
        <v>1105000</v>
      </c>
      <c r="N341" s="32" t="inlineStr">
        <is>
          <t xml:space="preserve">Personal</t>
        </is>
      </c>
      <c r="O341" s="30" t="inlineStr">
        <is>
          <t xml:space="preserve">Personal - regular use</t>
        </is>
      </c>
      <c r="P341" s="30" t="inlineStr">
        <is>
          <t xml:space="preserve">1,000 - 2,500</t>
        </is>
      </c>
      <c r="Q341" s="30" t="inlineStr">
        <is>
          <t xml:space="preserve">North Carolina</t>
        </is>
      </c>
      <c r="R341" s="30" t="inlineStr">
        <is>
          <t xml:space="preserve">28202</t>
        </is>
      </c>
      <c r="S341" s="32" t="inlineStr">
        <is>
          <t xml:space="preserve">Tier 2 - Coastal wind (1-25 miles)</t>
        </is>
      </c>
      <c r="T341" s="36">
        <f>IF($A341="","",IF($S341="","",IFERROR(INDEX('[1]natural catastrophe'!$D$6:$D$17,MATCH($S341,'[1]natural catastrophe'!$B$6:$B$17,0)),"?")))</f>
      </c>
      <c r="U341" s="30" t="inlineStr">
        <is>
          <t xml:space="preserve">2% of agreed value, minimum $10,000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10035.33</v>
      </c>
      <c r="AC341" s="37">
        <v>0</v>
      </c>
      <c r="AD341" s="38">
        <f>IF(ISNUMBER($AB341),$AB341*(1+N($AC341)),"")</f>
      </c>
      <c r="AE341" s="35">
        <v>350</v>
      </c>
      <c r="AF341" s="35">
        <v>250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CANON-202607-009986</t>
        </is>
      </c>
      <c r="B342" s="46" t="inlineStr">
        <is>
          <t xml:space="preserve">Saoirse Pennington</t>
        </is>
      </c>
      <c r="C342" s="47">
        <v>46213</v>
      </c>
      <c r="D342" s="48" t="inlineStr">
        <is>
          <t xml:space="preserve">Bound - within authority</t>
        </is>
      </c>
      <c r="E342" s="48" t="inlineStr">
        <is>
          <t xml:space="preserve">New business</t>
        </is>
      </c>
      <c r="F342" s="46" t="inlineStr">
        <is>
          <t xml:space="preserve">B1234EXOTIC26</t>
        </is>
      </c>
      <c r="G342" s="33">
        <f>IF($A342="","",IF($C342="","",YEAR($C342)))</f>
      </c>
      <c r="H342" s="49">
        <v>2008</v>
      </c>
      <c r="I342" s="46" t="inlineStr">
        <is>
          <t xml:space="preserve">Jaguar</t>
        </is>
      </c>
      <c r="J342" s="46" t="inlineStr">
        <is>
          <t xml:space="preserve">E-Type Series 1</t>
        </is>
      </c>
      <c r="K342" s="46" t="inlineStr">
        <is>
          <t xml:space="preserve">7VHNJB8HEJZRVD4TR</t>
        </is>
      </c>
      <c r="L342" s="48" t="inlineStr">
        <is>
          <t xml:space="preserve">09 - Youngtimer / Collectible (2000-2010)</t>
        </is>
      </c>
      <c r="M342" s="50">
        <v>945000</v>
      </c>
      <c r="N342" s="48" t="inlineStr">
        <is>
          <t xml:space="preserve">Personal</t>
        </is>
      </c>
      <c r="O342" s="46" t="inlineStr">
        <is>
          <t xml:space="preserve">Personal - regular use</t>
        </is>
      </c>
      <c r="P342" s="46" t="inlineStr">
        <is>
          <t xml:space="preserve">Under 1,000</t>
        </is>
      </c>
      <c r="Q342" s="46" t="inlineStr">
        <is>
          <t xml:space="preserve">Florida</t>
        </is>
      </c>
      <c r="R342" s="46" t="inlineStr">
        <is>
          <t xml:space="preserve">33139</t>
        </is>
      </c>
      <c r="S342" s="48" t="inlineStr">
        <is>
          <t xml:space="preserve">Tier 2 - Coastal wind (1-25 miles)</t>
        </is>
      </c>
      <c r="T342" s="36">
        <f>IF($A342="","",IF($S342="","",IFERROR(INDEX('[1]natural catastrophe'!$D$6:$D$17,MATCH($S342,'[1]natural catastrophe'!$B$6:$B$17,0)),"?")))</f>
      </c>
      <c r="U342" s="46" t="inlineStr">
        <is>
          <t xml:space="preserve">2% of agreed value, minimum $10,000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8285.09</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CANON-202607-009987</t>
        </is>
      </c>
      <c r="B343" s="30" t="inlineStr">
        <is>
          <t xml:space="preserve">Noor Farkas</t>
        </is>
      </c>
      <c r="C343" s="31">
        <v>46219</v>
      </c>
      <c r="D343" s="32" t="inlineStr">
        <is>
          <t xml:space="preserve">Bound - within authority</t>
        </is>
      </c>
      <c r="E343" s="32" t="inlineStr">
        <is>
          <t xml:space="preserve">New business</t>
        </is>
      </c>
      <c r="F343" s="30" t="inlineStr">
        <is>
          <t xml:space="preserve">B1234EXOTIC26</t>
        </is>
      </c>
      <c r="G343" s="33">
        <f>IF($A343="","",IF($C343="","",YEAR($C343)))</f>
      </c>
      <c r="H343" s="34">
        <v>1993</v>
      </c>
      <c r="I343" s="30" t="inlineStr">
        <is>
          <t xml:space="preserve">Mercedes-Benz</t>
        </is>
      </c>
      <c r="J343" s="30" t="inlineStr">
        <is>
          <t xml:space="preserve">AMG GT</t>
        </is>
      </c>
      <c r="K343" s="30" t="inlineStr">
        <is>
          <t xml:space="preserve">PJVCKT2VR2J1KL53C</t>
        </is>
      </c>
      <c r="L343" s="32" t="inlineStr">
        <is>
          <t xml:space="preserve">02 - Sports / GT</t>
        </is>
      </c>
      <c r="M343" s="35">
        <v>375000</v>
      </c>
      <c r="N343" s="32" t="inlineStr">
        <is>
          <t xml:space="preserve">Personal</t>
        </is>
      </c>
      <c r="O343" s="30" t="inlineStr">
        <is>
          <t xml:space="preserve">Personal - regular use</t>
        </is>
      </c>
      <c r="P343" s="30" t="inlineStr">
        <is>
          <t xml:space="preserve">2,500 - 5,000</t>
        </is>
      </c>
      <c r="Q343" s="30" t="inlineStr">
        <is>
          <t xml:space="preserve">Connecticut</t>
        </is>
      </c>
      <c r="R343" s="30" t="inlineStr">
        <is>
          <t xml:space="preserve">06103</t>
        </is>
      </c>
      <c r="S343" s="32" t="inlineStr">
        <is>
          <t xml:space="preserve">Tier 3 - Coastal wind (25-100 miles)</t>
        </is>
      </c>
      <c r="T343" s="36">
        <f>IF($A343="","",IF($S343="","",IFERROR(INDEX('[1]natural catastrophe'!$D$6:$D$17,MATCH($S343,'[1]natural catastrophe'!$B$6:$B$17,0)),"?")))</f>
      </c>
      <c r="U343" s="30" t="inlineStr">
        <is>
          <t xml:space="preserve">2% of agreed value, minimum $10,000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4522.93</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CANON-202607-009989</t>
        </is>
      </c>
      <c r="B344" s="46" t="inlineStr">
        <is>
          <t xml:space="preserve">Emiliano Vandermeer</t>
        </is>
      </c>
      <c r="C344" s="47">
        <v>46226</v>
      </c>
      <c r="D344" s="48" t="inlineStr">
        <is>
          <t xml:space="preserve">Bound - within authority</t>
        </is>
      </c>
      <c r="E344" s="48" t="inlineStr">
        <is>
          <t xml:space="preserve">New business</t>
        </is>
      </c>
      <c r="F344" s="46" t="inlineStr">
        <is>
          <t xml:space="preserve">B1234EXOTIC26</t>
        </is>
      </c>
      <c r="G344" s="33">
        <f>IF($A344="","",IF($C344="","",YEAR($C344)))</f>
      </c>
      <c r="H344" s="49">
        <v>1986</v>
      </c>
      <c r="I344" s="46" t="inlineStr">
        <is>
          <t xml:space="preserve">Aston Martin</t>
        </is>
      </c>
      <c r="J344" s="46" t="inlineStr">
        <is>
          <t xml:space="preserve">DB12</t>
        </is>
      </c>
      <c r="K344" s="46" t="inlineStr">
        <is>
          <t xml:space="preserve">ZC73TD857TKSCJ624</t>
        </is>
      </c>
      <c r="L344" s="48" t="inlineStr">
        <is>
          <t xml:space="preserve">02 - Sports / GT</t>
        </is>
      </c>
      <c r="M344" s="50">
        <v>365000</v>
      </c>
      <c r="N344" s="48" t="inlineStr">
        <is>
          <t xml:space="preserve">Personal</t>
        </is>
      </c>
      <c r="O344" s="46" t="inlineStr">
        <is>
          <t xml:space="preserve">Personal - regular use</t>
        </is>
      </c>
      <c r="P344" s="46" t="inlineStr">
        <is>
          <t xml:space="preserve">Under 1,000</t>
        </is>
      </c>
      <c r="Q344" s="46" t="inlineStr">
        <is>
          <t xml:space="preserve">Utah</t>
        </is>
      </c>
      <c r="R344" s="46" t="inlineStr">
        <is>
          <t xml:space="preserve">84101</t>
        </is>
      </c>
      <c r="S344" s="48" t="inlineStr">
        <is>
          <t xml:space="preserve">Wildfire - WUI high hazard</t>
        </is>
      </c>
      <c r="T344" s="36">
        <f>IF($A344="","",IF($S344="","",IFERROR(INDEX('[1]natural catastrophe'!$D$6:$D$17,MATCH($S344,'[1]natural catastrophe'!$B$6:$B$17,0)),"?")))</f>
      </c>
      <c r="U344" s="46" t="inlineStr">
        <is>
          <t xml:space="preserve">$5,000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5306.36</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CANON-202607-009991</t>
        </is>
      </c>
      <c r="B345" s="30" t="inlineStr">
        <is>
          <t xml:space="preserve">Marisol Larsson</t>
        </is>
      </c>
      <c r="C345" s="31">
        <v>46226</v>
      </c>
      <c r="D345" s="32" t="inlineStr">
        <is>
          <t xml:space="preserve">Bound - within authority</t>
        </is>
      </c>
      <c r="E345" s="32" t="inlineStr">
        <is>
          <t xml:space="preserve">New business</t>
        </is>
      </c>
      <c r="F345" s="30" t="inlineStr">
        <is>
          <t xml:space="preserve">B1234EXOTIC26</t>
        </is>
      </c>
      <c r="G345" s="33">
        <f>IF($A345="","",IF($C345="","",YEAR($C345)))</f>
      </c>
      <c r="H345" s="34">
        <v>1986</v>
      </c>
      <c r="I345" s="30" t="inlineStr">
        <is>
          <t xml:space="preserve">Aston Martin</t>
        </is>
      </c>
      <c r="J345" s="30" t="inlineStr">
        <is>
          <t xml:space="preserve">DB5</t>
        </is>
      </c>
      <c r="K345" s="30" t="inlineStr">
        <is>
          <t xml:space="preserve">0UXDYUNZW6FDT5CM8</t>
        </is>
      </c>
      <c r="L345" s="32" t="inlineStr">
        <is>
          <t xml:space="preserve">08 - Modern Classic (1973-1999)</t>
        </is>
      </c>
      <c r="M345" s="35">
        <v>500000</v>
      </c>
      <c r="N345" s="32" t="inlineStr">
        <is>
          <t xml:space="preserve">Personal</t>
        </is>
      </c>
      <c r="O345" s="30" t="inlineStr">
        <is>
          <t xml:space="preserve">Personal - regular use</t>
        </is>
      </c>
      <c r="P345" s="30" t="inlineStr">
        <is>
          <t xml:space="preserve">2,500 - 5,000</t>
        </is>
      </c>
      <c r="Q345" s="30" t="inlineStr">
        <is>
          <t xml:space="preserve">Missouri</t>
        </is>
      </c>
      <c r="R345" s="30" t="inlineStr">
        <is>
          <t xml:space="preserve">63101</t>
        </is>
      </c>
      <c r="S345" s="32" t="inlineStr">
        <is>
          <t xml:space="preserve">Severe convective - hail / tornado (moderate)</t>
        </is>
      </c>
      <c r="T345" s="36">
        <f>IF($A345="","",IF($S345="","",IFERROR(INDEX('[1]natural catastrophe'!$D$6:$D$17,MATCH($S345,'[1]natural catastrophe'!$B$6:$B$17,0)),"?")))</f>
      </c>
      <c r="U345" s="30" t="inlineStr">
        <is>
          <t xml:space="preserve">$5,000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3272.3</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CANON-202607-009992</t>
        </is>
      </c>
      <c r="B346" s="46" t="inlineStr">
        <is>
          <t xml:space="preserve">Thaddeus Vasquez</t>
        </is>
      </c>
      <c r="C346" s="47">
        <v>46204</v>
      </c>
      <c r="D346" s="48" t="inlineStr">
        <is>
          <t xml:space="preserve">Bound - within authority</t>
        </is>
      </c>
      <c r="E346" s="48" t="inlineStr">
        <is>
          <t xml:space="preserve">New business</t>
        </is>
      </c>
      <c r="F346" s="46" t="inlineStr">
        <is>
          <t xml:space="preserve">B1234EXOTIC26</t>
        </is>
      </c>
      <c r="G346" s="33">
        <f>IF($A346="","",IF($C346="","",YEAR($C346)))</f>
      </c>
      <c r="H346" s="49">
        <v>2018</v>
      </c>
      <c r="I346" s="46" t="inlineStr">
        <is>
          <t xml:space="preserve">McLaren</t>
        </is>
      </c>
      <c r="J346" s="46" t="inlineStr">
        <is>
          <t xml:space="preserve">750S</t>
        </is>
      </c>
      <c r="K346" s="46" t="inlineStr">
        <is>
          <t xml:space="preserve">26V9DS36D1RD78EF7</t>
        </is>
      </c>
      <c r="L346" s="48" t="inlineStr">
        <is>
          <t xml:space="preserve">03 - Supercar</t>
        </is>
      </c>
      <c r="M346" s="50">
        <v>535000</v>
      </c>
      <c r="N346" s="48" t="inlineStr">
        <is>
          <t xml:space="preserve">Personal</t>
        </is>
      </c>
      <c r="O346" s="46" t="inlineStr">
        <is>
          <t xml:space="preserve">Personal - regular use</t>
        </is>
      </c>
      <c r="P346" s="46" t="inlineStr">
        <is>
          <t xml:space="preserve">1,000 - 2,500</t>
        </is>
      </c>
      <c r="Q346" s="46" t="inlineStr">
        <is>
          <t xml:space="preserve">South Carolina</t>
        </is>
      </c>
      <c r="R346" s="46" t="inlineStr">
        <is>
          <t xml:space="preserve">29401</t>
        </is>
      </c>
      <c r="S346" s="48" t="inlineStr">
        <is>
          <t xml:space="preserve">Tier 2 - Coastal wind (1-25 miles)</t>
        </is>
      </c>
      <c r="T346" s="36">
        <f>IF($A346="","",IF($S346="","",IFERROR(INDEX('[1]natural catastrophe'!$D$6:$D$17,MATCH($S346,'[1]natural catastrophe'!$B$6:$B$17,0)),"?")))</f>
      </c>
      <c r="U346" s="46" t="inlineStr">
        <is>
          <t xml:space="preserve">2% of agreed value, minimum $10,000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9049.15</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CANON-202607-009993</t>
        </is>
      </c>
      <c r="B347" s="30" t="inlineStr">
        <is>
          <t xml:space="preserve">Priya Okonkwo</t>
        </is>
      </c>
      <c r="C347" s="31">
        <v>46224</v>
      </c>
      <c r="D347" s="32" t="inlineStr">
        <is>
          <t xml:space="preserve">Bound - within authority</t>
        </is>
      </c>
      <c r="E347" s="32" t="inlineStr">
        <is>
          <t xml:space="preserve">New business</t>
        </is>
      </c>
      <c r="F347" s="30" t="inlineStr">
        <is>
          <t xml:space="preserve">B1234EXOTIC26</t>
        </is>
      </c>
      <c r="G347" s="33">
        <f>IF($A347="","",IF($C347="","",YEAR($C347)))</f>
      </c>
      <c r="H347" s="34">
        <v>1994</v>
      </c>
      <c r="I347" s="30" t="inlineStr">
        <is>
          <t xml:space="preserve">Bentley</t>
        </is>
      </c>
      <c r="J347" s="30" t="inlineStr">
        <is>
          <t xml:space="preserve">Continental GT</t>
        </is>
      </c>
      <c r="K347" s="30" t="inlineStr">
        <is>
          <t xml:space="preserve">YKYFK7S56HDMCBYNH</t>
        </is>
      </c>
      <c r="L347" s="32" t="inlineStr">
        <is>
          <t xml:space="preserve">02 - Sports / GT</t>
        </is>
      </c>
      <c r="M347" s="35">
        <v>305000</v>
      </c>
      <c r="N347" s="32" t="inlineStr">
        <is>
          <t xml:space="preserve">Personal</t>
        </is>
      </c>
      <c r="O347" s="30" t="inlineStr">
        <is>
          <t xml:space="preserve">Personal - regular use</t>
        </is>
      </c>
      <c r="P347" s="30" t="inlineStr">
        <is>
          <t xml:space="preserve">1,000 - 2,500</t>
        </is>
      </c>
      <c r="Q347" s="30" t="inlineStr">
        <is>
          <t xml:space="preserve">Illinois</t>
        </is>
      </c>
      <c r="R347" s="30" t="inlineStr">
        <is>
          <t xml:space="preserve">60601</t>
        </is>
      </c>
      <c r="S347" s="32" t="inlineStr">
        <is>
          <t xml:space="preserve">Severe convective - hail / tornado (moderate)</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4466.93</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CANON-202607-009994</t>
        </is>
      </c>
      <c r="B348" s="46" t="inlineStr">
        <is>
          <t xml:space="preserve">Thaddeus Chattopadhyay</t>
        </is>
      </c>
      <c r="C348" s="47">
        <v>46234</v>
      </c>
      <c r="D348" s="48" t="inlineStr">
        <is>
          <t xml:space="preserve">Bound - within authority</t>
        </is>
      </c>
      <c r="E348" s="48" t="inlineStr">
        <is>
          <t xml:space="preserve">New business</t>
        </is>
      </c>
      <c r="F348" s="46" t="inlineStr">
        <is>
          <t xml:space="preserve">B1234EXOTIC26</t>
        </is>
      </c>
      <c r="G348" s="33">
        <f>IF($A348="","",IF($C348="","",YEAR($C348)))</f>
      </c>
      <c r="H348" s="49">
        <v>1971</v>
      </c>
      <c r="I348" s="46" t="inlineStr">
        <is>
          <t xml:space="preserve">Aston Martin</t>
        </is>
      </c>
      <c r="J348" s="46" t="inlineStr">
        <is>
          <t xml:space="preserve">DB12</t>
        </is>
      </c>
      <c r="K348" s="46" t="inlineStr">
        <is>
          <t xml:space="preserve">KMRPNCCLEYYF4KY1A</t>
        </is>
      </c>
      <c r="L348" s="48" t="inlineStr">
        <is>
          <t xml:space="preserve">02 - Sports / GT</t>
        </is>
      </c>
      <c r="M348" s="50">
        <v>770000</v>
      </c>
      <c r="N348" s="48" t="inlineStr">
        <is>
          <t xml:space="preserve">Personal</t>
        </is>
      </c>
      <c r="O348" s="46" t="inlineStr">
        <is>
          <t xml:space="preserve">Personal - regular use</t>
        </is>
      </c>
      <c r="P348" s="46" t="inlineStr">
        <is>
          <t xml:space="preserve">1,000 - 2,500</t>
        </is>
      </c>
      <c r="Q348" s="46" t="inlineStr">
        <is>
          <t xml:space="preserve">Florida</t>
        </is>
      </c>
      <c r="R348" s="46" t="inlineStr">
        <is>
          <t xml:space="preserve">33139</t>
        </is>
      </c>
      <c r="S348" s="48" t="inlineStr">
        <is>
          <t xml:space="preserve">Tier 2 - Coastal wind (1-25 miles)</t>
        </is>
      </c>
      <c r="T348" s="36">
        <f>IF($A348="","",IF($S348="","",IFERROR(INDEX('[1]natural catastrophe'!$D$6:$D$17,MATCH($S348,'[1]natural catastrophe'!$B$6:$B$17,0)),"?")))</f>
      </c>
      <c r="U348" s="46" t="inlineStr">
        <is>
          <t xml:space="preserve">2% of agreed value, minimum $10,000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10204.72</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CANON-202607-009995</t>
        </is>
      </c>
      <c r="B349" s="30" t="inlineStr">
        <is>
          <t xml:space="preserve">Delphine Underwood</t>
        </is>
      </c>
      <c r="C349" s="31">
        <v>46234</v>
      </c>
      <c r="D349" s="32" t="inlineStr">
        <is>
          <t xml:space="preserve">Bound - within authority</t>
        </is>
      </c>
      <c r="E349" s="32" t="inlineStr">
        <is>
          <t xml:space="preserve">New business</t>
        </is>
      </c>
      <c r="F349" s="30" t="inlineStr">
        <is>
          <t xml:space="preserve">B1234EXOTIC26</t>
        </is>
      </c>
      <c r="G349" s="33">
        <f>IF($A349="","",IF($C349="","",YEAR($C349)))</f>
      </c>
      <c r="H349" s="34">
        <v>1986</v>
      </c>
      <c r="I349" s="30" t="inlineStr">
        <is>
          <t xml:space="preserve">Maserati</t>
        </is>
      </c>
      <c r="J349" s="30" t="inlineStr">
        <is>
          <t xml:space="preserve">GranTurismo</t>
        </is>
      </c>
      <c r="K349" s="30" t="inlineStr">
        <is>
          <t xml:space="preserve">9D3227LNHEMHXBGDP</t>
        </is>
      </c>
      <c r="L349" s="32" t="inlineStr">
        <is>
          <t xml:space="preserve">02 - Sports / GT</t>
        </is>
      </c>
      <c r="M349" s="35">
        <v>410000</v>
      </c>
      <c r="N349" s="32" t="inlineStr">
        <is>
          <t xml:space="preserve">Personal</t>
        </is>
      </c>
      <c r="O349" s="30" t="inlineStr">
        <is>
          <t xml:space="preserve">Personal - regular use</t>
        </is>
      </c>
      <c r="P349" s="30" t="inlineStr">
        <is>
          <t xml:space="preserve">2,500 - 5,000</t>
        </is>
      </c>
      <c r="Q349" s="30" t="inlineStr">
        <is>
          <t xml:space="preserve">Illinois</t>
        </is>
      </c>
      <c r="R349" s="30" t="inlineStr">
        <is>
          <t xml:space="preserve">60601</t>
        </is>
      </c>
      <c r="S349" s="32" t="inlineStr">
        <is>
          <t xml:space="preserve">Severe convective - hail / tornado (moderate)</t>
        </is>
      </c>
      <c r="T349" s="36">
        <f>IF($A349="","",IF($S349="","",IFERROR(INDEX('[1]natural catastrophe'!$D$6:$D$17,MATCH($S349,'[1]natural catastrophe'!$B$6:$B$17,0)),"?")))</f>
      </c>
      <c r="U349" s="30" t="inlineStr">
        <is>
          <t xml:space="preserve">$5,000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6004.72</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CANON-202607-009997</t>
        </is>
      </c>
      <c r="B350" s="46" t="inlineStr">
        <is>
          <t xml:space="preserve">Sunniva Underwood</t>
        </is>
      </c>
      <c r="C350" s="47">
        <v>46234</v>
      </c>
      <c r="D350" s="48" t="inlineStr">
        <is>
          <t xml:space="preserve">Bound - within authority</t>
        </is>
      </c>
      <c r="E350" s="48" t="inlineStr">
        <is>
          <t xml:space="preserve">New business</t>
        </is>
      </c>
      <c r="F350" s="46" t="inlineStr">
        <is>
          <t xml:space="preserve">B1234EXOTIC26</t>
        </is>
      </c>
      <c r="G350" s="33">
        <f>IF($A350="","",IF($C350="","",YEAR($C350)))</f>
      </c>
      <c r="H350" s="49">
        <v>1967</v>
      </c>
      <c r="I350" s="46" t="inlineStr">
        <is>
          <t xml:space="preserve">Mercedes-Benz</t>
        </is>
      </c>
      <c r="J350" s="46" t="inlineStr">
        <is>
          <t xml:space="preserve">AMG GT</t>
        </is>
      </c>
      <c r="K350" s="46" t="inlineStr">
        <is>
          <t xml:space="preserve">YYRLKWA4CESAAJ3MZ</t>
        </is>
      </c>
      <c r="L350" s="48" t="inlineStr">
        <is>
          <t xml:space="preserve">02 - Sports / GT</t>
        </is>
      </c>
      <c r="M350" s="50">
        <v>800000</v>
      </c>
      <c r="N350" s="48" t="inlineStr">
        <is>
          <t xml:space="preserve">Personal</t>
        </is>
      </c>
      <c r="O350" s="46" t="inlineStr">
        <is>
          <t xml:space="preserve">Personal - regular use</t>
        </is>
      </c>
      <c r="P350" s="46" t="inlineStr">
        <is>
          <t xml:space="preserve">1,000 - 2,500</t>
        </is>
      </c>
      <c r="Q350" s="46" t="inlineStr">
        <is>
          <t xml:space="preserve">Nebraska</t>
        </is>
      </c>
      <c r="R350" s="46" t="inlineStr">
        <is>
          <t xml:space="preserve">68102</t>
        </is>
      </c>
      <c r="S350" s="48" t="inlineStr">
        <is>
          <t xml:space="preserve">Severe convective - hail alley (high)</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9706.34</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CANON-202607-009998</t>
        </is>
      </c>
      <c r="B351" s="30" t="inlineStr">
        <is>
          <t xml:space="preserve">Emiliano Okonkwo</t>
        </is>
      </c>
      <c r="C351" s="31">
        <v>46209</v>
      </c>
      <c r="D351" s="32" t="inlineStr">
        <is>
          <t xml:space="preserve">Bound - within authority</t>
        </is>
      </c>
      <c r="E351" s="32" t="inlineStr">
        <is>
          <t xml:space="preserve">New business</t>
        </is>
      </c>
      <c r="F351" s="30" t="inlineStr">
        <is>
          <t xml:space="preserve">B1234EXOTIC26</t>
        </is>
      </c>
      <c r="G351" s="33">
        <f>IF($A351="","",IF($C351="","",YEAR($C351)))</f>
      </c>
      <c r="H351" s="34">
        <v>2009</v>
      </c>
      <c r="I351" s="30" t="inlineStr">
        <is>
          <t xml:space="preserve">BMW</t>
        </is>
      </c>
      <c r="J351" s="30" t="inlineStr">
        <is>
          <t xml:space="preserve">M8 Competition</t>
        </is>
      </c>
      <c r="K351" s="30" t="inlineStr">
        <is>
          <t xml:space="preserve">WSF7639Z9NDZ15LC3</t>
        </is>
      </c>
      <c r="L351" s="32" t="inlineStr">
        <is>
          <t xml:space="preserve">02 - Sports / GT</t>
        </is>
      </c>
      <c r="M351" s="35">
        <v>310000</v>
      </c>
      <c r="N351" s="32" t="inlineStr">
        <is>
          <t xml:space="preserve">Personal</t>
        </is>
      </c>
      <c r="O351" s="30" t="inlineStr">
        <is>
          <t xml:space="preserve">Personal - regular use</t>
        </is>
      </c>
      <c r="P351" s="30" t="inlineStr">
        <is>
          <t xml:space="preserve">1,000 - 2,500</t>
        </is>
      </c>
      <c r="Q351" s="30" t="inlineStr">
        <is>
          <t xml:space="preserve">California</t>
        </is>
      </c>
      <c r="R351" s="30" t="inlineStr">
        <is>
          <t xml:space="preserve">90012</t>
        </is>
      </c>
      <c r="S351" s="32" t="inlineStr">
        <is>
          <t xml:space="preserve">Earthquake - high (CA, Cascadia, New Madrid)</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4506.77</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CANON-202607-010000</t>
        </is>
      </c>
      <c r="B352" s="46" t="inlineStr">
        <is>
          <t xml:space="preserve">Lorenzo Pennington</t>
        </is>
      </c>
      <c r="C352" s="47">
        <v>46221</v>
      </c>
      <c r="D352" s="48" t="inlineStr">
        <is>
          <t xml:space="preserve">Bound - within authority</t>
        </is>
      </c>
      <c r="E352" s="48" t="inlineStr">
        <is>
          <t xml:space="preserve">New business</t>
        </is>
      </c>
      <c r="F352" s="46" t="inlineStr">
        <is>
          <t xml:space="preserve">B1234EXOTIC26</t>
        </is>
      </c>
      <c r="G352" s="33">
        <f>IF($A352="","",IF($C352="","",YEAR($C352)))</f>
      </c>
      <c r="H352" s="49">
        <v>2010</v>
      </c>
      <c r="I352" s="46" t="inlineStr">
        <is>
          <t xml:space="preserve">Aston Martin</t>
        </is>
      </c>
      <c r="J352" s="46" t="inlineStr">
        <is>
          <t xml:space="preserve">DB12</t>
        </is>
      </c>
      <c r="K352" s="46" t="inlineStr">
        <is>
          <t xml:space="preserve">ZHD6Z9B15MG6LG1K1</t>
        </is>
      </c>
      <c r="L352" s="48" t="inlineStr">
        <is>
          <t xml:space="preserve">02 - Sports / GT</t>
        </is>
      </c>
      <c r="M352" s="50">
        <v>505000</v>
      </c>
      <c r="N352" s="48" t="inlineStr">
        <is>
          <t xml:space="preserve">Personal</t>
        </is>
      </c>
      <c r="O352" s="46" t="inlineStr">
        <is>
          <t xml:space="preserve">Personal - regular use</t>
        </is>
      </c>
      <c r="P352" s="46" t="inlineStr">
        <is>
          <t xml:space="preserve">Under 1,000</t>
        </is>
      </c>
      <c r="Q352" s="46" t="inlineStr">
        <is>
          <t xml:space="preserve">Louisiana</t>
        </is>
      </c>
      <c r="R352" s="46" t="inlineStr">
        <is>
          <t xml:space="preserve">70112</t>
        </is>
      </c>
      <c r="S352" s="48" t="inlineStr">
        <is>
          <t xml:space="preserve">Tier 2 - Coastal wind (1-25 miles)</t>
        </is>
      </c>
      <c r="T352" s="36">
        <f>IF($A352="","",IF($S352="","",IFERROR(INDEX('[1]natural catastrophe'!$D$6:$D$17,MATCH($S352,'[1]natural catastrophe'!$B$6:$B$17,0)),"?")))</f>
      </c>
      <c r="U352" s="46" t="inlineStr">
        <is>
          <t xml:space="preserve">2% of agreed value, minimum $10,000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5702.94</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CANON-202607-010001</t>
        </is>
      </c>
      <c r="B353" s="30" t="inlineStr">
        <is>
          <t xml:space="preserve">Leopold Whitlock</t>
        </is>
      </c>
      <c r="C353" s="31">
        <v>46206</v>
      </c>
      <c r="D353" s="32" t="inlineStr">
        <is>
          <t xml:space="preserve">Bound - within authority</t>
        </is>
      </c>
      <c r="E353" s="32" t="inlineStr">
        <is>
          <t xml:space="preserve">New business</t>
        </is>
      </c>
      <c r="F353" s="30" t="inlineStr">
        <is>
          <t xml:space="preserve">B1234EXOTIC26</t>
        </is>
      </c>
      <c r="G353" s="33">
        <f>IF($A353="","",IF($C353="","",YEAR($C353)))</f>
      </c>
      <c r="H353" s="34">
        <v>1987</v>
      </c>
      <c r="I353" s="30" t="inlineStr">
        <is>
          <t xml:space="preserve">McLaren</t>
        </is>
      </c>
      <c r="J353" s="30" t="inlineStr">
        <is>
          <t xml:space="preserve">750S</t>
        </is>
      </c>
      <c r="K353" s="30" t="inlineStr">
        <is>
          <t xml:space="preserve">JZ7J0DCY7S6TZNXA6</t>
        </is>
      </c>
      <c r="L353" s="32" t="inlineStr">
        <is>
          <t xml:space="preserve">03 - Supercar</t>
        </is>
      </c>
      <c r="M353" s="35">
        <v>630000</v>
      </c>
      <c r="N353" s="32" t="inlineStr">
        <is>
          <t xml:space="preserve">Personal</t>
        </is>
      </c>
      <c r="O353" s="30" t="inlineStr">
        <is>
          <t xml:space="preserve">Personal - regular use</t>
        </is>
      </c>
      <c r="P353" s="30" t="inlineStr">
        <is>
          <t xml:space="preserve">Under 1,000</t>
        </is>
      </c>
      <c r="Q353" s="30" t="inlineStr">
        <is>
          <t xml:space="preserve">Georgia</t>
        </is>
      </c>
      <c r="R353" s="30" t="inlineStr">
        <is>
          <t xml:space="preserve">30303</t>
        </is>
      </c>
      <c r="S353" s="32" t="inlineStr">
        <is>
          <t xml:space="preserve">Tier 2 - Coastal wind (1-25 miles)</t>
        </is>
      </c>
      <c r="T353" s="36">
        <f>IF($A353="","",IF($S353="","",IFERROR(INDEX('[1]natural catastrophe'!$D$6:$D$17,MATCH($S353,'[1]natural catastrophe'!$B$6:$B$17,0)),"?")))</f>
      </c>
      <c r="U353" s="30" t="inlineStr">
        <is>
          <t xml:space="preserve">2% of agreed value, minimum $10,000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9624.79</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CANON-202607-010003</t>
        </is>
      </c>
      <c r="B354" s="46" t="inlineStr">
        <is>
          <t xml:space="preserve">Leopold Chattopadhyay</t>
        </is>
      </c>
      <c r="C354" s="47">
        <v>46206</v>
      </c>
      <c r="D354" s="48" t="inlineStr">
        <is>
          <t xml:space="preserve">Bound - within authority</t>
        </is>
      </c>
      <c r="E354" s="48" t="inlineStr">
        <is>
          <t xml:space="preserve">New business</t>
        </is>
      </c>
      <c r="F354" s="46" t="inlineStr">
        <is>
          <t xml:space="preserve">B1234EXOTIC26</t>
        </is>
      </c>
      <c r="G354" s="33">
        <f>IF($A354="","",IF($C354="","",YEAR($C354)))</f>
      </c>
      <c r="H354" s="49">
        <v>1956</v>
      </c>
      <c r="I354" s="46" t="inlineStr">
        <is>
          <t xml:space="preserve">Aston Martin</t>
        </is>
      </c>
      <c r="J354" s="46" t="inlineStr">
        <is>
          <t xml:space="preserve">DB5</t>
        </is>
      </c>
      <c r="K354" s="46" t="inlineStr">
        <is>
          <t xml:space="preserve">1YU1954VAF5ALZ2SL</t>
        </is>
      </c>
      <c r="L354" s="48" t="inlineStr">
        <is>
          <t xml:space="preserve">07 - Post-War Classic (1946-1972)</t>
        </is>
      </c>
      <c r="M354" s="50">
        <v>1280000</v>
      </c>
      <c r="N354" s="48" t="inlineStr">
        <is>
          <t xml:space="preserve">Personal</t>
        </is>
      </c>
      <c r="O354" s="46" t="inlineStr">
        <is>
          <t xml:space="preserve">Personal - regular use</t>
        </is>
      </c>
      <c r="P354" s="46" t="inlineStr">
        <is>
          <t xml:space="preserve">1,000 - 2,500</t>
        </is>
      </c>
      <c r="Q354" s="46" t="inlineStr">
        <is>
          <t xml:space="preserve">Colorado</t>
        </is>
      </c>
      <c r="R354" s="46" t="inlineStr">
        <is>
          <t xml:space="preserve">80202</t>
        </is>
      </c>
      <c r="S354" s="48" t="inlineStr">
        <is>
          <t xml:space="preserve">Severe convective - hail alley (high)</t>
        </is>
      </c>
      <c r="T354" s="36">
        <f>IF($A354="","",IF($S354="","",IFERROR(INDEX('[1]natural catastrophe'!$D$6:$D$17,MATCH($S354,'[1]natural catastrophe'!$B$6:$B$17,0)),"?")))</f>
      </c>
      <c r="U354" s="46" t="inlineStr">
        <is>
          <t xml:space="preserve">$5,000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7682.36</v>
      </c>
      <c r="AC354" s="51">
        <v>0</v>
      </c>
      <c r="AD354" s="38">
        <f>IF(ISNUMBER($AB354),$AB354*(1+N($AC354)),"")</f>
      </c>
      <c r="AE354" s="50">
        <v>350</v>
      </c>
      <c r="AF354" s="50">
        <v>250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CANON-202607-010005</t>
        </is>
      </c>
      <c r="B355" s="30" t="inlineStr">
        <is>
          <t xml:space="preserve">Saoirse Blackwood</t>
        </is>
      </c>
      <c r="C355" s="31">
        <v>46228</v>
      </c>
      <c r="D355" s="32" t="inlineStr">
        <is>
          <t xml:space="preserve">Bound - within authority</t>
        </is>
      </c>
      <c r="E355" s="32" t="inlineStr">
        <is>
          <t xml:space="preserve">New business</t>
        </is>
      </c>
      <c r="F355" s="30" t="inlineStr">
        <is>
          <t xml:space="preserve">B1234EXOTIC26</t>
        </is>
      </c>
      <c r="G355" s="33">
        <f>IF($A355="","",IF($C355="","",YEAR($C355)))</f>
      </c>
      <c r="H355" s="34">
        <v>1968</v>
      </c>
      <c r="I355" s="30" t="inlineStr">
        <is>
          <t xml:space="preserve">Jaguar</t>
        </is>
      </c>
      <c r="J355" s="30" t="inlineStr">
        <is>
          <t xml:space="preserve">E-Type Series 1</t>
        </is>
      </c>
      <c r="K355" s="30" t="inlineStr">
        <is>
          <t xml:space="preserve">VCT087L80TUDF94P8</t>
        </is>
      </c>
      <c r="L355" s="32" t="inlineStr">
        <is>
          <t xml:space="preserve">07 - Post-War Classic (1946-1972)</t>
        </is>
      </c>
      <c r="M355" s="35">
        <v>1355000</v>
      </c>
      <c r="N355" s="32" t="inlineStr">
        <is>
          <t xml:space="preserve">Personal</t>
        </is>
      </c>
      <c r="O355" s="30" t="inlineStr">
        <is>
          <t xml:space="preserve">Personal - regular use</t>
        </is>
      </c>
      <c r="P355" s="30" t="inlineStr">
        <is>
          <t xml:space="preserve">Under 1,000</t>
        </is>
      </c>
      <c r="Q355" s="30" t="inlineStr">
        <is>
          <t xml:space="preserve">Washington</t>
        </is>
      </c>
      <c r="R355" s="30" t="inlineStr">
        <is>
          <t xml:space="preserve">98101</t>
        </is>
      </c>
      <c r="S355" s="32" t="inlineStr">
        <is>
          <t xml:space="preserve">Earthquake - high (CA, Cascadia, New Madrid)</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7097.46</v>
      </c>
      <c r="AC355" s="37">
        <v>0</v>
      </c>
      <c r="AD355" s="38">
        <f>IF(ISNUMBER($AB355),$AB355*(1+N($AC355)),"")</f>
      </c>
      <c r="AE355" s="35">
        <v>350</v>
      </c>
      <c r="AF355" s="35">
        <v>250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CANON-202607-010006</t>
        </is>
      </c>
      <c r="B356" s="46" t="inlineStr">
        <is>
          <t xml:space="preserve">Wilhelmina Thistlewood</t>
        </is>
      </c>
      <c r="C356" s="47">
        <v>46230</v>
      </c>
      <c r="D356" s="48" t="inlineStr">
        <is>
          <t xml:space="preserve">Bound - within authority</t>
        </is>
      </c>
      <c r="E356" s="48" t="inlineStr">
        <is>
          <t xml:space="preserve">New business</t>
        </is>
      </c>
      <c r="F356" s="46" t="inlineStr">
        <is>
          <t xml:space="preserve">B1234EXOTIC26</t>
        </is>
      </c>
      <c r="G356" s="33">
        <f>IF($A356="","",IF($C356="","",YEAR($C356)))</f>
      </c>
      <c r="H356" s="49">
        <v>1964</v>
      </c>
      <c r="I356" s="46" t="inlineStr">
        <is>
          <t xml:space="preserve">Bentley</t>
        </is>
      </c>
      <c r="J356" s="46" t="inlineStr">
        <is>
          <t xml:space="preserve">Continental GT</t>
        </is>
      </c>
      <c r="K356" s="46" t="inlineStr">
        <is>
          <t xml:space="preserve">BSGTY4CVV3CJ82X4T</t>
        </is>
      </c>
      <c r="L356" s="48" t="inlineStr">
        <is>
          <t xml:space="preserve">02 - Sports / GT</t>
        </is>
      </c>
      <c r="M356" s="50">
        <v>845000</v>
      </c>
      <c r="N356" s="48" t="inlineStr">
        <is>
          <t xml:space="preserve">Personal</t>
        </is>
      </c>
      <c r="O356" s="46" t="inlineStr">
        <is>
          <t xml:space="preserve">Personal - regular use</t>
        </is>
      </c>
      <c r="P356" s="46" t="inlineStr">
        <is>
          <t xml:space="preserve">Under 1,000</t>
        </is>
      </c>
      <c r="Q356" s="46" t="inlineStr">
        <is>
          <t xml:space="preserve">Maine</t>
        </is>
      </c>
      <c r="R356" s="46" t="inlineStr">
        <is>
          <t xml:space="preserve">04101</t>
        </is>
      </c>
      <c r="S356" s="48" t="inlineStr">
        <is>
          <t xml:space="preserve">Tier 3 - Coastal wind (25-100 miles)</t>
        </is>
      </c>
      <c r="T356" s="36">
        <f>IF($A356="","",IF($S356="","",IFERROR(INDEX('[1]natural catastrophe'!$D$6:$D$17,MATCH($S356,'[1]natural catastrophe'!$B$6:$B$17,0)),"?")))</f>
      </c>
      <c r="U356" s="46" t="inlineStr">
        <is>
          <t xml:space="preserve">2% of agreed value, minimum $10,000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8517.31</v>
      </c>
      <c r="AC356" s="51">
        <v>0</v>
      </c>
      <c r="AD356" s="38">
        <f>IF(ISNUMBER($AB356),$AB356*(1+N($AC356)),"")</f>
      </c>
      <c r="AE356" s="50">
        <v>350</v>
      </c>
      <c r="AF356" s="50">
        <v>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CANON-202607-010007</t>
        </is>
      </c>
      <c r="B357" s="30" t="inlineStr">
        <is>
          <t xml:space="preserve">Sunniva Montoya</t>
        </is>
      </c>
      <c r="C357" s="31">
        <v>46216</v>
      </c>
      <c r="D357" s="32" t="inlineStr">
        <is>
          <t xml:space="preserve">Bound - within authority</t>
        </is>
      </c>
      <c r="E357" s="32" t="inlineStr">
        <is>
          <t xml:space="preserve">New business</t>
        </is>
      </c>
      <c r="F357" s="30" t="inlineStr">
        <is>
          <t xml:space="preserve">B1234EXOTIC26</t>
        </is>
      </c>
      <c r="G357" s="33">
        <f>IF($A357="","",IF($C357="","",YEAR($C357)))</f>
      </c>
      <c r="H357" s="34">
        <v>2005</v>
      </c>
      <c r="I357" s="30" t="inlineStr">
        <is>
          <t xml:space="preserve">Aston Martin</t>
        </is>
      </c>
      <c r="J357" s="30" t="inlineStr">
        <is>
          <t xml:space="preserve">DB12</t>
        </is>
      </c>
      <c r="K357" s="30" t="inlineStr">
        <is>
          <t xml:space="preserve">WMXDT9GK3H7KUR1CU</t>
        </is>
      </c>
      <c r="L357" s="32" t="inlineStr">
        <is>
          <t xml:space="preserve">02 - Sports / GT</t>
        </is>
      </c>
      <c r="M357" s="35">
        <v>715000</v>
      </c>
      <c r="N357" s="32" t="inlineStr">
        <is>
          <t xml:space="preserve">Personal</t>
        </is>
      </c>
      <c r="O357" s="30" t="inlineStr">
        <is>
          <t xml:space="preserve">Personal - regular use</t>
        </is>
      </c>
      <c r="P357" s="30" t="inlineStr">
        <is>
          <t xml:space="preserve">Under 1,000</t>
        </is>
      </c>
      <c r="Q357" s="30" t="inlineStr">
        <is>
          <t xml:space="preserve">Nevada</t>
        </is>
      </c>
      <c r="R357" s="30" t="inlineStr">
        <is>
          <t xml:space="preserve">89101</t>
        </is>
      </c>
      <c r="S357" s="32" t="inlineStr">
        <is>
          <t xml:space="preserve">Wildfire - WUI high hazard</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7807.54</v>
      </c>
      <c r="AC357" s="37">
        <v>0</v>
      </c>
      <c r="AD357" s="38">
        <f>IF(ISNUMBER($AB357),$AB357*(1+N($AC357)),"")</f>
      </c>
      <c r="AE357" s="35">
        <v>350</v>
      </c>
      <c r="AF357" s="35">
        <v>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CANON-202607-010008</t>
        </is>
      </c>
      <c r="B358" s="46" t="inlineStr">
        <is>
          <t xml:space="preserve">Fitzgerald Pennington</t>
        </is>
      </c>
      <c r="C358" s="47">
        <v>46206</v>
      </c>
      <c r="D358" s="48" t="inlineStr">
        <is>
          <t xml:space="preserve">Bound - within authority</t>
        </is>
      </c>
      <c r="E358" s="48" t="inlineStr">
        <is>
          <t xml:space="preserve">New business</t>
        </is>
      </c>
      <c r="F358" s="46" t="inlineStr">
        <is>
          <t xml:space="preserve">B1234EXOTIC26</t>
        </is>
      </c>
      <c r="G358" s="33">
        <f>IF($A358="","",IF($C358="","",YEAR($C358)))</f>
      </c>
      <c r="H358" s="49">
        <v>1966</v>
      </c>
      <c r="I358" s="46" t="inlineStr">
        <is>
          <t xml:space="preserve">Aston Martin</t>
        </is>
      </c>
      <c r="J358" s="46" t="inlineStr">
        <is>
          <t xml:space="preserve">DB5</t>
        </is>
      </c>
      <c r="K358" s="46" t="inlineStr">
        <is>
          <t xml:space="preserve">1V5LJ7MTTAHJSVNXC</t>
        </is>
      </c>
      <c r="L358" s="48" t="inlineStr">
        <is>
          <t xml:space="preserve">07 - Post-War Classic (1946-1972)</t>
        </is>
      </c>
      <c r="M358" s="50">
        <v>505000</v>
      </c>
      <c r="N358" s="48" t="inlineStr">
        <is>
          <t xml:space="preserve">Personal</t>
        </is>
      </c>
      <c r="O358" s="46" t="inlineStr">
        <is>
          <t xml:space="preserve">Personal - regular use</t>
        </is>
      </c>
      <c r="P358" s="46" t="inlineStr">
        <is>
          <t xml:space="preserve">Under 1,000</t>
        </is>
      </c>
      <c r="Q358" s="46" t="inlineStr">
        <is>
          <t xml:space="preserve">Nevada</t>
        </is>
      </c>
      <c r="R358" s="46" t="inlineStr">
        <is>
          <t xml:space="preserve">89101</t>
        </is>
      </c>
      <c r="S358" s="48" t="inlineStr">
        <is>
          <t xml:space="preserve">Wildfire - WUI high hazard</t>
        </is>
      </c>
      <c r="T358" s="36">
        <f>IF($A358="","",IF($S358="","",IFERROR(INDEX('[1]natural catastrophe'!$D$6:$D$17,MATCH($S358,'[1]natural catastrophe'!$B$6:$B$17,0)),"?")))</f>
      </c>
      <c r="U358" s="46" t="inlineStr">
        <is>
          <t xml:space="preserve">$5,000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3648</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CANON-202607-010010</t>
        </is>
      </c>
      <c r="B359" s="30" t="inlineStr">
        <is>
          <t xml:space="preserve">Beatrix Vandermeer</t>
        </is>
      </c>
      <c r="C359" s="31">
        <v>46207</v>
      </c>
      <c r="D359" s="32" t="inlineStr">
        <is>
          <t xml:space="preserve">Bound - within authority</t>
        </is>
      </c>
      <c r="E359" s="32" t="inlineStr">
        <is>
          <t xml:space="preserve">New business</t>
        </is>
      </c>
      <c r="F359" s="30" t="inlineStr">
        <is>
          <t xml:space="preserve">B1234EXOTIC26</t>
        </is>
      </c>
      <c r="G359" s="33">
        <f>IF($A359="","",IF($C359="","",YEAR($C359)))</f>
      </c>
      <c r="H359" s="34">
        <v>1960</v>
      </c>
      <c r="I359" s="30" t="inlineStr">
        <is>
          <t xml:space="preserve">Porsche</t>
        </is>
      </c>
      <c r="J359" s="30" t="inlineStr">
        <is>
          <t xml:space="preserve">911 Turbo S</t>
        </is>
      </c>
      <c r="K359" s="30" t="inlineStr">
        <is>
          <t xml:space="preserve">61T2VPCH07GWPPJSH</t>
        </is>
      </c>
      <c r="L359" s="32" t="inlineStr">
        <is>
          <t xml:space="preserve">02 - Sports / GT</t>
        </is>
      </c>
      <c r="M359" s="35">
        <v>395000</v>
      </c>
      <c r="N359" s="32" t="inlineStr">
        <is>
          <t xml:space="preserve">Personal</t>
        </is>
      </c>
      <c r="O359" s="30" t="inlineStr">
        <is>
          <t xml:space="preserve">Personal - regular use</t>
        </is>
      </c>
      <c r="P359" s="30" t="inlineStr">
        <is>
          <t xml:space="preserve">1,000 - 2,500</t>
        </is>
      </c>
      <c r="Q359" s="30" t="inlineStr">
        <is>
          <t xml:space="preserve">Alaska</t>
        </is>
      </c>
      <c r="R359" s="30" t="inlineStr">
        <is>
          <t xml:space="preserve">99501</t>
        </is>
      </c>
      <c r="S359" s="32" t="inlineStr">
        <is>
          <t xml:space="preserve">Earthquake - high (CA, Cascadia, New Madrid)</t>
        </is>
      </c>
      <c r="T359" s="36">
        <f>IF($A359="","",IF($S359="","",IFERROR(INDEX('[1]natural catastrophe'!$D$6:$D$17,MATCH($S359,'[1]natural catastrophe'!$B$6:$B$17,0)),"?")))</f>
      </c>
      <c r="U359" s="30" t="inlineStr">
        <is>
          <t xml:space="preserve">$5,000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4849.22</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CANON-202607-010012</t>
        </is>
      </c>
      <c r="B360" s="46" t="inlineStr">
        <is>
          <t xml:space="preserve">Fenwick Whitlock</t>
        </is>
      </c>
      <c r="C360" s="47">
        <v>46221</v>
      </c>
      <c r="D360" s="48" t="inlineStr">
        <is>
          <t xml:space="preserve">Bound - within authority</t>
        </is>
      </c>
      <c r="E360" s="48" t="inlineStr">
        <is>
          <t xml:space="preserve">New business</t>
        </is>
      </c>
      <c r="F360" s="46" t="inlineStr">
        <is>
          <t xml:space="preserve">B1234EXOTIC26</t>
        </is>
      </c>
      <c r="G360" s="33">
        <f>IF($A360="","",IF($C360="","",YEAR($C360)))</f>
      </c>
      <c r="H360" s="49">
        <v>1987</v>
      </c>
      <c r="I360" s="46" t="inlineStr">
        <is>
          <t xml:space="preserve">Porsche</t>
        </is>
      </c>
      <c r="J360" s="46" t="inlineStr">
        <is>
          <t xml:space="preserve">911 Turbo S</t>
        </is>
      </c>
      <c r="K360" s="46" t="inlineStr">
        <is>
          <t xml:space="preserve">4K8U7YHVR9L3A58G8</t>
        </is>
      </c>
      <c r="L360" s="48" t="inlineStr">
        <is>
          <t xml:space="preserve">02 - Sports / GT</t>
        </is>
      </c>
      <c r="M360" s="50">
        <v>735000</v>
      </c>
      <c r="N360" s="48" t="inlineStr">
        <is>
          <t xml:space="preserve">Personal</t>
        </is>
      </c>
      <c r="O360" s="46" t="inlineStr">
        <is>
          <t xml:space="preserve">Personal - regular use</t>
        </is>
      </c>
      <c r="P360" s="46" t="inlineStr">
        <is>
          <t xml:space="preserve">2,500 - 5,000</t>
        </is>
      </c>
      <c r="Q360" s="46" t="inlineStr">
        <is>
          <t xml:space="preserve">Virginia</t>
        </is>
      </c>
      <c r="R360" s="46" t="inlineStr">
        <is>
          <t xml:space="preserve">23219</t>
        </is>
      </c>
      <c r="S360" s="48" t="inlineStr">
        <is>
          <t xml:space="preserve">Tier 3 - Coastal wind (25-100 miles)</t>
        </is>
      </c>
      <c r="T360" s="36">
        <f>IF($A360="","",IF($S360="","",IFERROR(INDEX('[1]natural catastrophe'!$D$6:$D$17,MATCH($S360,'[1]natural catastrophe'!$B$6:$B$17,0)),"?")))</f>
      </c>
      <c r="U360" s="46" t="inlineStr">
        <is>
          <t xml:space="preserve">2% of agreed value, minimum $10,000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7477.14</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CANON-202607-010013</t>
        </is>
      </c>
      <c r="B361" s="30" t="inlineStr">
        <is>
          <t xml:space="preserve">Beatrix Delacroix</t>
        </is>
      </c>
      <c r="C361" s="31">
        <v>46223</v>
      </c>
      <c r="D361" s="32" t="inlineStr">
        <is>
          <t xml:space="preserve">Bound - within authority</t>
        </is>
      </c>
      <c r="E361" s="32" t="inlineStr">
        <is>
          <t xml:space="preserve">New business</t>
        </is>
      </c>
      <c r="F361" s="30" t="inlineStr">
        <is>
          <t xml:space="preserve">B1234EXOTIC26</t>
        </is>
      </c>
      <c r="G361" s="33">
        <f>IF($A361="","",IF($C361="","",YEAR($C361)))</f>
      </c>
      <c r="H361" s="34">
        <v>1971</v>
      </c>
      <c r="I361" s="30" t="inlineStr">
        <is>
          <t xml:space="preserve">BMW</t>
        </is>
      </c>
      <c r="J361" s="30" t="inlineStr">
        <is>
          <t xml:space="preserve">M8 Competition</t>
        </is>
      </c>
      <c r="K361" s="30" t="inlineStr">
        <is>
          <t xml:space="preserve">T2XTF7MPFDA4C5R0A</t>
        </is>
      </c>
      <c r="L361" s="32" t="inlineStr">
        <is>
          <t xml:space="preserve">02 - Sports / GT</t>
        </is>
      </c>
      <c r="M361" s="35">
        <v>555000</v>
      </c>
      <c r="N361" s="32" t="inlineStr">
        <is>
          <t xml:space="preserve">Personal</t>
        </is>
      </c>
      <c r="O361" s="30" t="inlineStr">
        <is>
          <t xml:space="preserve">Personal - regular use</t>
        </is>
      </c>
      <c r="P361" s="30" t="inlineStr">
        <is>
          <t xml:space="preserve">2,500 - 5,000</t>
        </is>
      </c>
      <c r="Q361" s="30" t="inlineStr">
        <is>
          <t xml:space="preserve">Delaware</t>
        </is>
      </c>
      <c r="R361" s="30" t="inlineStr">
        <is>
          <t xml:space="preserve">19801</t>
        </is>
      </c>
      <c r="S361" s="32" t="inlineStr">
        <is>
          <t xml:space="preserve">Tier 3 - Coastal wind (25-100 miles)</t>
        </is>
      </c>
      <c r="T361" s="36">
        <f>IF($A361="","",IF($S361="","",IFERROR(INDEX('[1]natural catastrophe'!$D$6:$D$17,MATCH($S361,'[1]natural catastrophe'!$B$6:$B$17,0)),"?")))</f>
      </c>
      <c r="U361" s="30" t="inlineStr">
        <is>
          <t xml:space="preserve">2% of agreed value, minimum $10,000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6474.78</v>
      </c>
      <c r="AC361" s="37">
        <v>0</v>
      </c>
      <c r="AD361" s="38">
        <f>IF(ISNUMBER($AB361),$AB361*(1+N($AC361)),"")</f>
      </c>
      <c r="AE361" s="35">
        <v>350</v>
      </c>
      <c r="AF361" s="35">
        <v>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CANON-202607-010017</t>
        </is>
      </c>
      <c r="B362" s="46" t="inlineStr">
        <is>
          <t xml:space="preserve">Thaddeus Underwood</t>
        </is>
      </c>
      <c r="C362" s="47">
        <v>46225</v>
      </c>
      <c r="D362" s="48" t="inlineStr">
        <is>
          <t xml:space="preserve">Bound - within authority</t>
        </is>
      </c>
      <c r="E362" s="48" t="inlineStr">
        <is>
          <t xml:space="preserve">New business</t>
        </is>
      </c>
      <c r="F362" s="46" t="inlineStr">
        <is>
          <t xml:space="preserve">B1234EXOTIC26</t>
        </is>
      </c>
      <c r="G362" s="33">
        <f>IF($A362="","",IF($C362="","",YEAR($C362)))</f>
      </c>
      <c r="H362" s="49">
        <v>1965</v>
      </c>
      <c r="I362" s="46" t="inlineStr">
        <is>
          <t xml:space="preserve">Bentley</t>
        </is>
      </c>
      <c r="J362" s="46" t="inlineStr">
        <is>
          <t xml:space="preserve">Continental GT</t>
        </is>
      </c>
      <c r="K362" s="46" t="inlineStr">
        <is>
          <t xml:space="preserve">JAZWTHHB0WF9KA29F</t>
        </is>
      </c>
      <c r="L362" s="48" t="inlineStr">
        <is>
          <t xml:space="preserve">02 - Sports / GT</t>
        </is>
      </c>
      <c r="M362" s="50">
        <v>515000</v>
      </c>
      <c r="N362" s="48" t="inlineStr">
        <is>
          <t xml:space="preserve">Personal</t>
        </is>
      </c>
      <c r="O362" s="46" t="inlineStr">
        <is>
          <t xml:space="preserve">Personal - regular use</t>
        </is>
      </c>
      <c r="P362" s="46" t="inlineStr">
        <is>
          <t xml:space="preserve">Under 1,000</t>
        </is>
      </c>
      <c r="Q362" s="46" t="inlineStr">
        <is>
          <t xml:space="preserve">California</t>
        </is>
      </c>
      <c r="R362" s="46" t="inlineStr">
        <is>
          <t xml:space="preserve">90012</t>
        </is>
      </c>
      <c r="S362" s="48" t="inlineStr">
        <is>
          <t xml:space="preserve">Earthquake - high (CA, Cascadia, New Madrid)</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6488.78</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CANON-202607-010018</t>
        </is>
      </c>
      <c r="B363" s="30" t="inlineStr">
        <is>
          <t xml:space="preserve">Callum Whitlock</t>
        </is>
      </c>
      <c r="C363" s="31">
        <v>46232</v>
      </c>
      <c r="D363" s="32" t="inlineStr">
        <is>
          <t xml:space="preserve">Bound - within authority</t>
        </is>
      </c>
      <c r="E363" s="32" t="inlineStr">
        <is>
          <t xml:space="preserve">New business</t>
        </is>
      </c>
      <c r="F363" s="30" t="inlineStr">
        <is>
          <t xml:space="preserve">B1234EXOTIC26</t>
        </is>
      </c>
      <c r="G363" s="33">
        <f>IF($A363="","",IF($C363="","",YEAR($C363)))</f>
      </c>
      <c r="H363" s="34">
        <v>1971</v>
      </c>
      <c r="I363" s="30" t="inlineStr">
        <is>
          <t xml:space="preserve">Maserati</t>
        </is>
      </c>
      <c r="J363" s="30" t="inlineStr">
        <is>
          <t xml:space="preserve">GranTurismo</t>
        </is>
      </c>
      <c r="K363" s="30" t="inlineStr">
        <is>
          <t xml:space="preserve">J3RRWFBL0ZMUKFH30</t>
        </is>
      </c>
      <c r="L363" s="32" t="inlineStr">
        <is>
          <t xml:space="preserve">02 - Sports / GT</t>
        </is>
      </c>
      <c r="M363" s="35">
        <v>465000</v>
      </c>
      <c r="N363" s="32" t="inlineStr">
        <is>
          <t xml:space="preserve">Personal</t>
        </is>
      </c>
      <c r="O363" s="30" t="inlineStr">
        <is>
          <t xml:space="preserve">Personal - regular use</t>
        </is>
      </c>
      <c r="P363" s="30" t="inlineStr">
        <is>
          <t xml:space="preserve">1,000 - 2,500</t>
        </is>
      </c>
      <c r="Q363" s="30" t="inlineStr">
        <is>
          <t xml:space="preserve">Hawaii</t>
        </is>
      </c>
      <c r="R363" s="30" t="inlineStr">
        <is>
          <t xml:space="preserve">96813</t>
        </is>
      </c>
      <c r="S363" s="32" t="inlineStr">
        <is>
          <t xml:space="preserve">Earthquake - high (CA, Cascadia, New Madrid)</t>
        </is>
      </c>
      <c r="T363" s="36">
        <f>IF($A363="","",IF($S363="","",IFERROR(INDEX('[1]natural catastrophe'!$D$6:$D$17,MATCH($S363,'[1]natural catastrophe'!$B$6:$B$17,0)),"?")))</f>
      </c>
      <c r="U363" s="30" t="inlineStr">
        <is>
          <t xml:space="preserve">$5,000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6509.78</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CANON-202607-010020</t>
        </is>
      </c>
      <c r="B364" s="46" t="inlineStr">
        <is>
          <t xml:space="preserve">Delphine Kingsford</t>
        </is>
      </c>
      <c r="C364" s="47">
        <v>46223</v>
      </c>
      <c r="D364" s="48" t="inlineStr">
        <is>
          <t xml:space="preserve">Bound - within authority</t>
        </is>
      </c>
      <c r="E364" s="48" t="inlineStr">
        <is>
          <t xml:space="preserve">New business</t>
        </is>
      </c>
      <c r="F364" s="46" t="inlineStr">
        <is>
          <t xml:space="preserve">B1234EXOTIC26</t>
        </is>
      </c>
      <c r="G364" s="33">
        <f>IF($A364="","",IF($C364="","",YEAR($C364)))</f>
      </c>
      <c r="H364" s="49">
        <v>2019</v>
      </c>
      <c r="I364" s="46" t="inlineStr">
        <is>
          <t xml:space="preserve">Mercedes-Benz</t>
        </is>
      </c>
      <c r="J364" s="46" t="inlineStr">
        <is>
          <t xml:space="preserve">280SL Pagoda</t>
        </is>
      </c>
      <c r="K364" s="46" t="inlineStr">
        <is>
          <t xml:space="preserve">VD4C2ML7YB436NW1G</t>
        </is>
      </c>
      <c r="L364" s="48" t="inlineStr">
        <is>
          <t xml:space="preserve">02 - Sports / GT</t>
        </is>
      </c>
      <c r="M364" s="50">
        <v>600000</v>
      </c>
      <c r="N364" s="48" t="inlineStr">
        <is>
          <t xml:space="preserve">Personal</t>
        </is>
      </c>
      <c r="O364" s="46" t="inlineStr">
        <is>
          <t xml:space="preserve">Personal - regular use</t>
        </is>
      </c>
      <c r="P364" s="46" t="inlineStr">
        <is>
          <t xml:space="preserve">Under 1,000</t>
        </is>
      </c>
      <c r="Q364" s="46" t="inlineStr">
        <is>
          <t xml:space="preserve">Kansas</t>
        </is>
      </c>
      <c r="R364" s="46" t="inlineStr">
        <is>
          <t xml:space="preserve">66603</t>
        </is>
      </c>
      <c r="S364" s="48" t="inlineStr">
        <is>
          <t xml:space="preserve">Severe convective - hail alley (high)</t>
        </is>
      </c>
      <c r="T364" s="36">
        <f>IF($A364="","",IF($S364="","",IFERROR(INDEX('[1]natural catastrophe'!$D$6:$D$17,MATCH($S364,'[1]natural catastrophe'!$B$6:$B$17,0)),"?")))</f>
      </c>
      <c r="U364" s="46" t="inlineStr">
        <is>
          <t xml:space="preserve">$5,000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3593.36</v>
      </c>
      <c r="AC364" s="51">
        <v>0</v>
      </c>
      <c r="AD364" s="38">
        <f>IF(ISNUMBER($AB364),$AB364*(1+N($AC364)),"")</f>
      </c>
      <c r="AE364" s="50">
        <v>350</v>
      </c>
      <c r="AF364" s="50">
        <v>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CANON-202607-010021</t>
        </is>
      </c>
      <c r="B365" s="30" t="inlineStr">
        <is>
          <t xml:space="preserve">Priya Chattopadhyay</t>
        </is>
      </c>
      <c r="C365" s="31">
        <v>46217</v>
      </c>
      <c r="D365" s="32" t="inlineStr">
        <is>
          <t xml:space="preserve">Bound - within authority</t>
        </is>
      </c>
      <c r="E365" s="32" t="inlineStr">
        <is>
          <t xml:space="preserve">New business</t>
        </is>
      </c>
      <c r="F365" s="30" t="inlineStr">
        <is>
          <t xml:space="preserve">B1234EXOTIC26</t>
        </is>
      </c>
      <c r="G365" s="33">
        <f>IF($A365="","",IF($C365="","",YEAR($C365)))</f>
      </c>
      <c r="H365" s="34">
        <v>1985</v>
      </c>
      <c r="I365" s="30" t="inlineStr">
        <is>
          <t xml:space="preserve">Jaguar</t>
        </is>
      </c>
      <c r="J365" s="30" t="inlineStr">
        <is>
          <t xml:space="preserve">E-Type Series 1</t>
        </is>
      </c>
      <c r="K365" s="30" t="inlineStr">
        <is>
          <t xml:space="preserve">LPZ3ESTN5AMT4C7J0</t>
        </is>
      </c>
      <c r="L365" s="32" t="inlineStr">
        <is>
          <t xml:space="preserve">08 - Modern Classic (1973-1999)</t>
        </is>
      </c>
      <c r="M365" s="35">
        <v>1950000</v>
      </c>
      <c r="N365" s="32" t="inlineStr">
        <is>
          <t xml:space="preserve">Personal</t>
        </is>
      </c>
      <c r="O365" s="30" t="inlineStr">
        <is>
          <t xml:space="preserve">Personal - regular use</t>
        </is>
      </c>
      <c r="P365" s="30" t="inlineStr">
        <is>
          <t xml:space="preserve">1,000 - 2,500</t>
        </is>
      </c>
      <c r="Q365" s="30" t="inlineStr">
        <is>
          <t xml:space="preserve">Minnesota</t>
        </is>
      </c>
      <c r="R365" s="30" t="inlineStr">
        <is>
          <t xml:space="preserve">55401</t>
        </is>
      </c>
      <c r="S365" s="32" t="inlineStr">
        <is>
          <t xml:space="preserve">Severe convective - hail / tornado (moderate)</t>
        </is>
      </c>
      <c r="T365" s="36">
        <f>IF($A365="","",IF($S365="","",IFERROR(INDEX('[1]natural catastrophe'!$D$6:$D$17,MATCH($S365,'[1]natural catastrophe'!$B$6:$B$17,0)),"?")))</f>
      </c>
      <c r="U365" s="30" t="inlineStr">
        <is>
          <t xml:space="preserve">$5,000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14044.32</v>
      </c>
      <c r="AC365" s="37">
        <v>0</v>
      </c>
      <c r="AD365" s="38">
        <f>IF(ISNUMBER($AB365),$AB365*(1+N($AC365)),"")</f>
      </c>
      <c r="AE365" s="35">
        <v>350</v>
      </c>
      <c r="AF365" s="35">
        <v>250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CANON-202607-010022</t>
        </is>
      </c>
      <c r="B366" s="46" t="inlineStr">
        <is>
          <t xml:space="preserve">Callum Castellanos</t>
        </is>
      </c>
      <c r="C366" s="47">
        <v>46208</v>
      </c>
      <c r="D366" s="48" t="inlineStr">
        <is>
          <t xml:space="preserve">Bound - within authority</t>
        </is>
      </c>
      <c r="E366" s="48" t="inlineStr">
        <is>
          <t xml:space="preserve">New business</t>
        </is>
      </c>
      <c r="F366" s="46" t="inlineStr">
        <is>
          <t xml:space="preserve">B1234EXOTIC26</t>
        </is>
      </c>
      <c r="G366" s="33">
        <f>IF($A366="","",IF($C366="","",YEAR($C366)))</f>
      </c>
      <c r="H366" s="49">
        <v>2007</v>
      </c>
      <c r="I366" s="46" t="inlineStr">
        <is>
          <t xml:space="preserve">BMW</t>
        </is>
      </c>
      <c r="J366" s="46" t="inlineStr">
        <is>
          <t xml:space="preserve">M8 Competition</t>
        </is>
      </c>
      <c r="K366" s="46" t="inlineStr">
        <is>
          <t xml:space="preserve">EW0S7GA3DUNAR1ZT4</t>
        </is>
      </c>
      <c r="L366" s="48" t="inlineStr">
        <is>
          <t xml:space="preserve">02 - Sports / GT</t>
        </is>
      </c>
      <c r="M366" s="50">
        <v>665000</v>
      </c>
      <c r="N366" s="48" t="inlineStr">
        <is>
          <t xml:space="preserve">Personal</t>
        </is>
      </c>
      <c r="O366" s="46" t="inlineStr">
        <is>
          <t xml:space="preserve">Personal - regular use</t>
        </is>
      </c>
      <c r="P366" s="46" t="inlineStr">
        <is>
          <t xml:space="preserve">Under 1,000</t>
        </is>
      </c>
      <c r="Q366" s="46" t="inlineStr">
        <is>
          <t xml:space="preserve">Connecticut</t>
        </is>
      </c>
      <c r="R366" s="46" t="inlineStr">
        <is>
          <t xml:space="preserve">06103</t>
        </is>
      </c>
      <c r="S366" s="48" t="inlineStr">
        <is>
          <t xml:space="preserve">Tier 3 - Coastal wind (25-100 miles)</t>
        </is>
      </c>
      <c r="T366" s="36">
        <f>IF($A366="","",IF($S366="","",IFERROR(INDEX('[1]natural catastrophe'!$D$6:$D$17,MATCH($S366,'[1]natural catastrophe'!$B$6:$B$17,0)),"?")))</f>
      </c>
      <c r="U366" s="46" t="inlineStr">
        <is>
          <t xml:space="preserve">2% of agreed value, minimum $10,000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6951.23</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CANON-202607-010023</t>
        </is>
      </c>
      <c r="B367" s="30" t="inlineStr">
        <is>
          <t xml:space="preserve">Cassius Castellanos</t>
        </is>
      </c>
      <c r="C367" s="31">
        <v>46204</v>
      </c>
      <c r="D367" s="32" t="inlineStr">
        <is>
          <t xml:space="preserve">Bound - within authority</t>
        </is>
      </c>
      <c r="E367" s="32" t="inlineStr">
        <is>
          <t xml:space="preserve">New business</t>
        </is>
      </c>
      <c r="F367" s="30" t="inlineStr">
        <is>
          <t xml:space="preserve">B1234EXOTIC26</t>
        </is>
      </c>
      <c r="G367" s="33">
        <f>IF($A367="","",IF($C367="","",YEAR($C367)))</f>
      </c>
      <c r="H367" s="34">
        <v>1998</v>
      </c>
      <c r="I367" s="30" t="inlineStr">
        <is>
          <t xml:space="preserve">Singer</t>
        </is>
      </c>
      <c r="J367" s="30" t="inlineStr">
        <is>
          <t xml:space="preserve">911 Reimagined</t>
        </is>
      </c>
      <c r="K367" s="30" t="inlineStr">
        <is>
          <t xml:space="preserve">VPUWH0ZPZG19A9MN5</t>
        </is>
      </c>
      <c r="L367" s="32" t="inlineStr">
        <is>
          <t xml:space="preserve">11 - Restomod / Coachbuilt / Bespoke</t>
        </is>
      </c>
      <c r="M367" s="35">
        <v>365000</v>
      </c>
      <c r="N367" s="32" t="inlineStr">
        <is>
          <t xml:space="preserve">Personal</t>
        </is>
      </c>
      <c r="O367" s="30" t="inlineStr">
        <is>
          <t xml:space="preserve">Personal - regular use</t>
        </is>
      </c>
      <c r="P367" s="30" t="inlineStr">
        <is>
          <t xml:space="preserve">1,000 - 2,500</t>
        </is>
      </c>
      <c r="Q367" s="30" t="inlineStr">
        <is>
          <t xml:space="preserve">Rhode Island</t>
        </is>
      </c>
      <c r="R367" s="30" t="inlineStr">
        <is>
          <t xml:space="preserve">02903</t>
        </is>
      </c>
      <c r="S367" s="32" t="inlineStr">
        <is>
          <t xml:space="preserve">Tier 3 - Coastal wind (25-100 miles)</t>
        </is>
      </c>
      <c r="T367" s="36">
        <f>IF($A367="","",IF($S367="","",IFERROR(INDEX('[1]natural catastrophe'!$D$6:$D$17,MATCH($S367,'[1]natural catastrophe'!$B$6:$B$17,0)),"?")))</f>
      </c>
      <c r="U367" s="30" t="inlineStr">
        <is>
          <t xml:space="preserve">2% of agreed value, minimum $10,000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6318.37</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CANON-202607-010024</t>
        </is>
      </c>
      <c r="B368" s="46" t="inlineStr">
        <is>
          <t xml:space="preserve">Fitzgerald Chattopadhyay</t>
        </is>
      </c>
      <c r="C368" s="47">
        <v>46204</v>
      </c>
      <c r="D368" s="48" t="inlineStr">
        <is>
          <t xml:space="preserve">Bound - within authority</t>
        </is>
      </c>
      <c r="E368" s="48" t="inlineStr">
        <is>
          <t xml:space="preserve">New business</t>
        </is>
      </c>
      <c r="F368" s="46" t="inlineStr">
        <is>
          <t xml:space="preserve">B1234EXOTIC26</t>
        </is>
      </c>
      <c r="G368" s="33">
        <f>IF($A368="","",IF($C368="","",YEAR($C368)))</f>
      </c>
      <c r="H368" s="49">
        <v>1990</v>
      </c>
      <c r="I368" s="46" t="inlineStr">
        <is>
          <t xml:space="preserve">Porsche</t>
        </is>
      </c>
      <c r="J368" s="46" t="inlineStr">
        <is>
          <t xml:space="preserve">911 Turbo S</t>
        </is>
      </c>
      <c r="K368" s="46" t="inlineStr">
        <is>
          <t xml:space="preserve">AT5BLNTGBPDREJHDD</t>
        </is>
      </c>
      <c r="L368" s="48" t="inlineStr">
        <is>
          <t xml:space="preserve">02 - Sports / GT</t>
        </is>
      </c>
      <c r="M368" s="50">
        <v>365000</v>
      </c>
      <c r="N368" s="48" t="inlineStr">
        <is>
          <t xml:space="preserve">Personal</t>
        </is>
      </c>
      <c r="O368" s="46" t="inlineStr">
        <is>
          <t xml:space="preserve">Personal - regular use</t>
        </is>
      </c>
      <c r="P368" s="46" t="inlineStr">
        <is>
          <t xml:space="preserve">Under 1,000</t>
        </is>
      </c>
      <c r="Q368" s="46" t="inlineStr">
        <is>
          <t xml:space="preserve">Pennsylvania</t>
        </is>
      </c>
      <c r="R368" s="46" t="inlineStr">
        <is>
          <t xml:space="preserve">19103</t>
        </is>
      </c>
      <c r="S368" s="48" t="inlineStr">
        <is>
          <t xml:space="preserve">Low hazard - inland benign</t>
        </is>
      </c>
      <c r="T368" s="36">
        <f>IF($A368="","",IF($S368="","",IFERROR(INDEX('[1]natural catastrophe'!$D$6:$D$17,MATCH($S368,'[1]natural catastrophe'!$B$6:$B$17,0)),"?")))</f>
      </c>
      <c r="U368" s="46" t="inlineStr">
        <is>
          <t xml:space="preserve">$5,000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3930.63</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CANON-202607-010026</t>
        </is>
      </c>
      <c r="B369" s="30" t="inlineStr">
        <is>
          <t xml:space="preserve">Noor Montoya</t>
        </is>
      </c>
      <c r="C369" s="31">
        <v>46231</v>
      </c>
      <c r="D369" s="32" t="inlineStr">
        <is>
          <t xml:space="preserve">Bound - within authority</t>
        </is>
      </c>
      <c r="E369" s="32" t="inlineStr">
        <is>
          <t xml:space="preserve">New business</t>
        </is>
      </c>
      <c r="F369" s="30" t="inlineStr">
        <is>
          <t xml:space="preserve">B1234EXOTIC26</t>
        </is>
      </c>
      <c r="G369" s="33">
        <f>IF($A369="","",IF($C369="","",YEAR($C369)))</f>
      </c>
      <c r="H369" s="34">
        <v>1981</v>
      </c>
      <c r="I369" s="30" t="inlineStr">
        <is>
          <t xml:space="preserve">Ferrari</t>
        </is>
      </c>
      <c r="J369" s="30" t="inlineStr">
        <is>
          <t xml:space="preserve">296 GTB</t>
        </is>
      </c>
      <c r="K369" s="30" t="inlineStr">
        <is>
          <t xml:space="preserve">4KR9RRXXVRMN70E74</t>
        </is>
      </c>
      <c r="L369" s="32" t="inlineStr">
        <is>
          <t xml:space="preserve">03 - Supercar</t>
        </is>
      </c>
      <c r="M369" s="35">
        <v>175000</v>
      </c>
      <c r="N369" s="32" t="inlineStr">
        <is>
          <t xml:space="preserve">Personal</t>
        </is>
      </c>
      <c r="O369" s="30" t="inlineStr">
        <is>
          <t xml:space="preserve">Personal - regular use</t>
        </is>
      </c>
      <c r="P369" s="30" t="inlineStr">
        <is>
          <t xml:space="preserve">2,500 - 5,000</t>
        </is>
      </c>
      <c r="Q369" s="30" t="inlineStr">
        <is>
          <t xml:space="preserve">Texas</t>
        </is>
      </c>
      <c r="R369" s="30" t="inlineStr">
        <is>
          <t xml:space="preserve">75201</t>
        </is>
      </c>
      <c r="S369" s="32" t="inlineStr">
        <is>
          <t xml:space="preserve">Tier 2 - Coastal wind (1-25 miles)</t>
        </is>
      </c>
      <c r="T369" s="36">
        <f>IF($A369="","",IF($S369="","",IFERROR(INDEX('[1]natural catastrophe'!$D$6:$D$17,MATCH($S369,'[1]natural catastrophe'!$B$6:$B$17,0)),"?")))</f>
      </c>
      <c r="U369" s="30" t="inlineStr">
        <is>
          <t xml:space="preserve">2% of agreed value, minimum $10,000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4103.3</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CANON-202607-010027</t>
        </is>
      </c>
      <c r="B370" s="46" t="inlineStr">
        <is>
          <t xml:space="preserve">Beatrix Nakashima</t>
        </is>
      </c>
      <c r="C370" s="47">
        <v>46225</v>
      </c>
      <c r="D370" s="48" t="inlineStr">
        <is>
          <t xml:space="preserve">Bound - within authority</t>
        </is>
      </c>
      <c r="E370" s="48" t="inlineStr">
        <is>
          <t xml:space="preserve">New business</t>
        </is>
      </c>
      <c r="F370" s="46" t="inlineStr">
        <is>
          <t xml:space="preserve">B1234EXOTIC26</t>
        </is>
      </c>
      <c r="G370" s="33">
        <f>IF($A370="","",IF($C370="","",YEAR($C370)))</f>
      </c>
      <c r="H370" s="49">
        <v>1957</v>
      </c>
      <c r="I370" s="46" t="inlineStr">
        <is>
          <t xml:space="preserve">Maserati</t>
        </is>
      </c>
      <c r="J370" s="46" t="inlineStr">
        <is>
          <t xml:space="preserve">GranTurismo</t>
        </is>
      </c>
      <c r="K370" s="46" t="inlineStr">
        <is>
          <t xml:space="preserve">JB455ERSNTPBEZUYW</t>
        </is>
      </c>
      <c r="L370" s="48" t="inlineStr">
        <is>
          <t xml:space="preserve">02 - Sports / GT</t>
        </is>
      </c>
      <c r="M370" s="50">
        <v>420000</v>
      </c>
      <c r="N370" s="48" t="inlineStr">
        <is>
          <t xml:space="preserve">Personal</t>
        </is>
      </c>
      <c r="O370" s="46" t="inlineStr">
        <is>
          <t xml:space="preserve">Personal - regular use</t>
        </is>
      </c>
      <c r="P370" s="46" t="inlineStr">
        <is>
          <t xml:space="preserve">Under 1,000</t>
        </is>
      </c>
      <c r="Q370" s="46" t="inlineStr">
        <is>
          <t xml:space="preserve">Michigan</t>
        </is>
      </c>
      <c r="R370" s="46" t="inlineStr">
        <is>
          <t xml:space="preserve">48226</t>
        </is>
      </c>
      <c r="S370" s="48" t="inlineStr">
        <is>
          <t xml:space="preserve">Severe convective - hail / tornado (moderate)</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7010.53</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CANON-202607-010028</t>
        </is>
      </c>
      <c r="B371" s="30" t="inlineStr">
        <is>
          <t xml:space="preserve">Leopold Vandermeer</t>
        </is>
      </c>
      <c r="C371" s="31">
        <v>46226</v>
      </c>
      <c r="D371" s="32" t="inlineStr">
        <is>
          <t xml:space="preserve">Bound - within authority</t>
        </is>
      </c>
      <c r="E371" s="32" t="inlineStr">
        <is>
          <t xml:space="preserve">New business</t>
        </is>
      </c>
      <c r="F371" s="30" t="inlineStr">
        <is>
          <t xml:space="preserve">B1234EXOTIC26</t>
        </is>
      </c>
      <c r="G371" s="33">
        <f>IF($A371="","",IF($C371="","",YEAR($C371)))</f>
      </c>
      <c r="H371" s="34">
        <v>1976</v>
      </c>
      <c r="I371" s="30" t="inlineStr">
        <is>
          <t xml:space="preserve">Bentley</t>
        </is>
      </c>
      <c r="J371" s="30" t="inlineStr">
        <is>
          <t xml:space="preserve">Continental GT</t>
        </is>
      </c>
      <c r="K371" s="30" t="inlineStr">
        <is>
          <t xml:space="preserve">19HDTXDN3XNXKTZY0</t>
        </is>
      </c>
      <c r="L371" s="32" t="inlineStr">
        <is>
          <t xml:space="preserve">02 - Sports / GT</t>
        </is>
      </c>
      <c r="M371" s="35">
        <v>550000</v>
      </c>
      <c r="N371" s="32" t="inlineStr">
        <is>
          <t xml:space="preserve">Personal</t>
        </is>
      </c>
      <c r="O371" s="30" t="inlineStr">
        <is>
          <t xml:space="preserve">Personal - regular use</t>
        </is>
      </c>
      <c r="P371" s="30" t="inlineStr">
        <is>
          <t xml:space="preserve">Under 1,000</t>
        </is>
      </c>
      <c r="Q371" s="30" t="inlineStr">
        <is>
          <t xml:space="preserve">New York</t>
        </is>
      </c>
      <c r="R371" s="30" t="inlineStr">
        <is>
          <t xml:space="preserve">10022</t>
        </is>
      </c>
      <c r="S371" s="32" t="inlineStr">
        <is>
          <t xml:space="preserve">Tier 3 - Coastal wind (25-100 miles)</t>
        </is>
      </c>
      <c r="T371" s="36">
        <f>IF($A371="","",IF($S371="","",IFERROR(INDEX('[1]natural catastrophe'!$D$6:$D$17,MATCH($S371,'[1]natural catastrophe'!$B$6:$B$17,0)),"?")))</f>
      </c>
      <c r="U371" s="30" t="inlineStr">
        <is>
          <t xml:space="preserve">2% of agreed value, minimum $10,000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6570.44</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CANON-202607-010031</t>
        </is>
      </c>
      <c r="B372" s="46" t="inlineStr">
        <is>
          <t xml:space="preserve">Cassius Underwood</t>
        </is>
      </c>
      <c r="C372" s="47">
        <v>46224</v>
      </c>
      <c r="D372" s="48" t="inlineStr">
        <is>
          <t xml:space="preserve">Bound - within authority</t>
        </is>
      </c>
      <c r="E372" s="48" t="inlineStr">
        <is>
          <t xml:space="preserve">New business</t>
        </is>
      </c>
      <c r="F372" s="46" t="inlineStr">
        <is>
          <t xml:space="preserve">B1234EXOTIC26</t>
        </is>
      </c>
      <c r="G372" s="33">
        <f>IF($A372="","",IF($C372="","",YEAR($C372)))</f>
      </c>
      <c r="H372" s="49">
        <v>1977</v>
      </c>
      <c r="I372" s="46" t="inlineStr">
        <is>
          <t xml:space="preserve">BMW</t>
        </is>
      </c>
      <c r="J372" s="46" t="inlineStr">
        <is>
          <t xml:space="preserve">M8 Competition</t>
        </is>
      </c>
      <c r="K372" s="46" t="inlineStr">
        <is>
          <t xml:space="preserve">2EZSAJXX6XBGMBHGC</t>
        </is>
      </c>
      <c r="L372" s="48" t="inlineStr">
        <is>
          <t xml:space="preserve">02 - Sports / GT</t>
        </is>
      </c>
      <c r="M372" s="50">
        <v>410000</v>
      </c>
      <c r="N372" s="48" t="inlineStr">
        <is>
          <t xml:space="preserve">Personal</t>
        </is>
      </c>
      <c r="O372" s="46" t="inlineStr">
        <is>
          <t xml:space="preserve">Personal - regular use</t>
        </is>
      </c>
      <c r="P372" s="46" t="inlineStr">
        <is>
          <t xml:space="preserve">1,000 - 2,500</t>
        </is>
      </c>
      <c r="Q372" s="46" t="inlineStr">
        <is>
          <t xml:space="preserve">Georgia</t>
        </is>
      </c>
      <c r="R372" s="46" t="inlineStr">
        <is>
          <t xml:space="preserve">30303</t>
        </is>
      </c>
      <c r="S372" s="48" t="inlineStr">
        <is>
          <t xml:space="preserve">Tier 2 - Coastal wind (1-25 miles)</t>
        </is>
      </c>
      <c r="T372" s="36">
        <f>IF($A372="","",IF($S372="","",IFERROR(INDEX('[1]natural catastrophe'!$D$6:$D$17,MATCH($S372,'[1]natural catastrophe'!$B$6:$B$17,0)),"?")))</f>
      </c>
      <c r="U372" s="46" t="inlineStr">
        <is>
          <t xml:space="preserve">2% of agreed value, minimum $10,000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4945.06</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CANON-202607-010032</t>
        </is>
      </c>
      <c r="B373" s="30" t="inlineStr">
        <is>
          <t xml:space="preserve">Priya Bellandi</t>
        </is>
      </c>
      <c r="C373" s="31">
        <v>46230</v>
      </c>
      <c r="D373" s="32" t="inlineStr">
        <is>
          <t xml:space="preserve">Bound - within authority</t>
        </is>
      </c>
      <c r="E373" s="32" t="inlineStr">
        <is>
          <t xml:space="preserve">New business</t>
        </is>
      </c>
      <c r="F373" s="30" t="inlineStr">
        <is>
          <t xml:space="preserve">B1234EXOTIC26</t>
        </is>
      </c>
      <c r="G373" s="33">
        <f>IF($A373="","",IF($C373="","",YEAR($C373)))</f>
      </c>
      <c r="H373" s="34">
        <v>1972</v>
      </c>
      <c r="I373" s="30" t="inlineStr">
        <is>
          <t xml:space="preserve">Alfa Romeo</t>
        </is>
      </c>
      <c r="J373" s="30" t="inlineStr">
        <is>
          <t xml:space="preserve">8C 2900</t>
        </is>
      </c>
      <c r="K373" s="30" t="inlineStr">
        <is>
          <t xml:space="preserve">EH2L079NSJ8UJ3TVK</t>
        </is>
      </c>
      <c r="L373" s="32" t="inlineStr">
        <is>
          <t xml:space="preserve">07 - Post-War Classic (1946-1972)</t>
        </is>
      </c>
      <c r="M373" s="35">
        <v>405000</v>
      </c>
      <c r="N373" s="32" t="inlineStr">
        <is>
          <t xml:space="preserve">Personal</t>
        </is>
      </c>
      <c r="O373" s="30" t="inlineStr">
        <is>
          <t xml:space="preserve">Personal - regular use</t>
        </is>
      </c>
      <c r="P373" s="30" t="inlineStr">
        <is>
          <t xml:space="preserve">1,000 - 2,500</t>
        </is>
      </c>
      <c r="Q373" s="30" t="inlineStr">
        <is>
          <t xml:space="preserve">South Carolina</t>
        </is>
      </c>
      <c r="R373" s="30" t="inlineStr">
        <is>
          <t xml:space="preserve">29401</t>
        </is>
      </c>
      <c r="S373" s="32" t="inlineStr">
        <is>
          <t xml:space="preserve">Tier 2 - Coastal wind (1-25 miles)</t>
        </is>
      </c>
      <c r="T373" s="36">
        <f>IF($A373="","",IF($S373="","",IFERROR(INDEX('[1]natural catastrophe'!$D$6:$D$17,MATCH($S373,'[1]natural catastrophe'!$B$6:$B$17,0)),"?")))</f>
      </c>
      <c r="U373" s="30" t="inlineStr">
        <is>
          <t xml:space="preserve">2% of agreed value, minimum $10,000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3028.55</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CANON-202607-010033</t>
        </is>
      </c>
      <c r="B374" s="46" t="inlineStr">
        <is>
          <t xml:space="preserve">Fenwick Okonkwo</t>
        </is>
      </c>
      <c r="C374" s="47">
        <v>46207</v>
      </c>
      <c r="D374" s="48" t="inlineStr">
        <is>
          <t xml:space="preserve">Bound - within authority</t>
        </is>
      </c>
      <c r="E374" s="48" t="inlineStr">
        <is>
          <t xml:space="preserve">New business</t>
        </is>
      </c>
      <c r="F374" s="46" t="inlineStr">
        <is>
          <t xml:space="preserve">B1234EXOTIC26</t>
        </is>
      </c>
      <c r="G374" s="33">
        <f>IF($A374="","",IF($C374="","",YEAR($C374)))</f>
      </c>
      <c r="H374" s="49">
        <v>1982</v>
      </c>
      <c r="I374" s="46" t="inlineStr">
        <is>
          <t xml:space="preserve">Maserati</t>
        </is>
      </c>
      <c r="J374" s="46" t="inlineStr">
        <is>
          <t xml:space="preserve">GranTurismo</t>
        </is>
      </c>
      <c r="K374" s="46" t="inlineStr">
        <is>
          <t xml:space="preserve">1SKG7PBV6T5WYVLJ4</t>
        </is>
      </c>
      <c r="L374" s="48" t="inlineStr">
        <is>
          <t xml:space="preserve">02 - Sports / GT</t>
        </is>
      </c>
      <c r="M374" s="50">
        <v>880000</v>
      </c>
      <c r="N374" s="48" t="inlineStr">
        <is>
          <t xml:space="preserve">Personal</t>
        </is>
      </c>
      <c r="O374" s="46" t="inlineStr">
        <is>
          <t xml:space="preserve">Personal - regular use</t>
        </is>
      </c>
      <c r="P374" s="46" t="inlineStr">
        <is>
          <t xml:space="preserve">2,500 - 5,000</t>
        </is>
      </c>
      <c r="Q374" s="46" t="inlineStr">
        <is>
          <t xml:space="preserve">Virginia</t>
        </is>
      </c>
      <c r="R374" s="46" t="inlineStr">
        <is>
          <t xml:space="preserve">23219</t>
        </is>
      </c>
      <c r="S374" s="48" t="inlineStr">
        <is>
          <t xml:space="preserve">Tier 3 - Coastal wind (25-100 miles)</t>
        </is>
      </c>
      <c r="T374" s="36">
        <f>IF($A374="","",IF($S374="","",IFERROR(INDEX('[1]natural catastrophe'!$D$6:$D$17,MATCH($S374,'[1]natural catastrophe'!$B$6:$B$17,0)),"?")))</f>
      </c>
      <c r="U374" s="46" t="inlineStr">
        <is>
          <t xml:space="preserve">2% of agreed value, minimum $10,000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8952.23</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CANON-202607-010034</t>
        </is>
      </c>
      <c r="B375" s="30" t="inlineStr">
        <is>
          <t xml:space="preserve">Wilhelmina Ashcombe</t>
        </is>
      </c>
      <c r="C375" s="31">
        <v>46212</v>
      </c>
      <c r="D375" s="32" t="inlineStr">
        <is>
          <t xml:space="preserve">Bound - within authority</t>
        </is>
      </c>
      <c r="E375" s="32" t="inlineStr">
        <is>
          <t xml:space="preserve">New business</t>
        </is>
      </c>
      <c r="F375" s="30" t="inlineStr">
        <is>
          <t xml:space="preserve">B1234EXOTIC26</t>
        </is>
      </c>
      <c r="G375" s="33">
        <f>IF($A375="","",IF($C375="","",YEAR($C375)))</f>
      </c>
      <c r="H375" s="34">
        <v>2017</v>
      </c>
      <c r="I375" s="30" t="inlineStr">
        <is>
          <t xml:space="preserve">Ferrari</t>
        </is>
      </c>
      <c r="J375" s="30" t="inlineStr">
        <is>
          <t xml:space="preserve">296 GTB</t>
        </is>
      </c>
      <c r="K375" s="30" t="inlineStr">
        <is>
          <t xml:space="preserve">C3GL7U01KW4V5PWF2</t>
        </is>
      </c>
      <c r="L375" s="32" t="inlineStr">
        <is>
          <t xml:space="preserve">03 - Supercar</t>
        </is>
      </c>
      <c r="M375" s="35">
        <v>1805000</v>
      </c>
      <c r="N375" s="32" t="inlineStr">
        <is>
          <t xml:space="preserve">Personal</t>
        </is>
      </c>
      <c r="O375" s="30" t="inlineStr">
        <is>
          <t xml:space="preserve">Personal - regular use</t>
        </is>
      </c>
      <c r="P375" s="30" t="inlineStr">
        <is>
          <t xml:space="preserve">Under 1,000</t>
        </is>
      </c>
      <c r="Q375" s="30" t="inlineStr">
        <is>
          <t xml:space="preserve">Nevada</t>
        </is>
      </c>
      <c r="R375" s="30" t="inlineStr">
        <is>
          <t xml:space="preserve">89101</t>
        </is>
      </c>
      <c r="S375" s="32" t="inlineStr">
        <is>
          <t xml:space="preserve">Wildfire - WUI high hazard</t>
        </is>
      </c>
      <c r="T375" s="36">
        <f>IF($A375="","",IF($S375="","",IFERROR(INDEX('[1]natural catastrophe'!$D$6:$D$17,MATCH($S375,'[1]natural catastrophe'!$B$6:$B$17,0)),"?")))</f>
      </c>
      <c r="U375" s="30" t="inlineStr">
        <is>
          <t xml:space="preserve">$5,000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24258.38</v>
      </c>
      <c r="AC375" s="37">
        <v>0</v>
      </c>
      <c r="AD375" s="38">
        <f>IF(ISNUMBER($AB375),$AB375*(1+N($AC375)),"")</f>
      </c>
      <c r="AE375" s="35">
        <v>350</v>
      </c>
      <c r="AF375" s="35">
        <v>250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CANON-202607-010036</t>
        </is>
      </c>
      <c r="B376" s="46" t="inlineStr">
        <is>
          <t xml:space="preserve">Lorenzo Pennington</t>
        </is>
      </c>
      <c r="C376" s="47">
        <v>46234</v>
      </c>
      <c r="D376" s="48" t="inlineStr">
        <is>
          <t xml:space="preserve">Bound - within authority</t>
        </is>
      </c>
      <c r="E376" s="48" t="inlineStr">
        <is>
          <t xml:space="preserve">New business</t>
        </is>
      </c>
      <c r="F376" s="46" t="inlineStr">
        <is>
          <t xml:space="preserve">B1234EXOTIC26</t>
        </is>
      </c>
      <c r="G376" s="33">
        <f>IF($A376="","",IF($C376="","",YEAR($C376)))</f>
      </c>
      <c r="H376" s="49">
        <v>2005</v>
      </c>
      <c r="I376" s="46" t="inlineStr">
        <is>
          <t xml:space="preserve">Bugatti</t>
        </is>
      </c>
      <c r="J376" s="46" t="inlineStr">
        <is>
          <t xml:space="preserve">Type 57</t>
        </is>
      </c>
      <c r="K376" s="46" t="inlineStr">
        <is>
          <t xml:space="preserve">2L4JF7ZG4XMUTEX0X</t>
        </is>
      </c>
      <c r="L376" s="48" t="inlineStr">
        <is>
          <t xml:space="preserve">09 - Youngtimer / Collectible (2000-2010)</t>
        </is>
      </c>
      <c r="M376" s="50">
        <v>705000</v>
      </c>
      <c r="N376" s="48" t="inlineStr">
        <is>
          <t xml:space="preserve">Personal</t>
        </is>
      </c>
      <c r="O376" s="46" t="inlineStr">
        <is>
          <t xml:space="preserve">Personal - regular use</t>
        </is>
      </c>
      <c r="P376" s="46" t="inlineStr">
        <is>
          <t xml:space="preserve">2,500 - 5,000</t>
        </is>
      </c>
      <c r="Q376" s="46" t="inlineStr">
        <is>
          <t xml:space="preserve">Missouri</t>
        </is>
      </c>
      <c r="R376" s="46" t="inlineStr">
        <is>
          <t xml:space="preserve">63101</t>
        </is>
      </c>
      <c r="S376" s="48" t="inlineStr">
        <is>
          <t xml:space="preserve">Severe convective - hail / tornado (moderate)</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4077.44</v>
      </c>
      <c r="AC376" s="51">
        <v>0</v>
      </c>
      <c r="AD376" s="38">
        <f>IF(ISNUMBER($AB376),$AB376*(1+N($AC376)),"")</f>
      </c>
      <c r="AE376" s="50">
        <v>350</v>
      </c>
      <c r="AF376" s="50">
        <v>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CANON-202607-010037</t>
        </is>
      </c>
      <c r="B377" s="30" t="inlineStr">
        <is>
          <t xml:space="preserve">Delphine Thistlewood</t>
        </is>
      </c>
      <c r="C377" s="31">
        <v>46232</v>
      </c>
      <c r="D377" s="32" t="inlineStr">
        <is>
          <t xml:space="preserve">Bound - within authority</t>
        </is>
      </c>
      <c r="E377" s="32" t="inlineStr">
        <is>
          <t xml:space="preserve">New business</t>
        </is>
      </c>
      <c r="F377" s="30" t="inlineStr">
        <is>
          <t xml:space="preserve">B1234EXOTIC26</t>
        </is>
      </c>
      <c r="G377" s="33">
        <f>IF($A377="","",IF($C377="","",YEAR($C377)))</f>
      </c>
      <c r="H377" s="34">
        <v>2006</v>
      </c>
      <c r="I377" s="30" t="inlineStr">
        <is>
          <t xml:space="preserve">Mercedes-Benz</t>
        </is>
      </c>
      <c r="J377" s="30" t="inlineStr">
        <is>
          <t xml:space="preserve">AMG GT</t>
        </is>
      </c>
      <c r="K377" s="30" t="inlineStr">
        <is>
          <t xml:space="preserve">SV54061H4XNU397DG</t>
        </is>
      </c>
      <c r="L377" s="32" t="inlineStr">
        <is>
          <t xml:space="preserve">02 - Sports / GT</t>
        </is>
      </c>
      <c r="M377" s="35">
        <v>1095000</v>
      </c>
      <c r="N377" s="32" t="inlineStr">
        <is>
          <t xml:space="preserve">Personal</t>
        </is>
      </c>
      <c r="O377" s="30" t="inlineStr">
        <is>
          <t xml:space="preserve">Personal - regular use</t>
        </is>
      </c>
      <c r="P377" s="30" t="inlineStr">
        <is>
          <t xml:space="preserve">1,000 - 2,500</t>
        </is>
      </c>
      <c r="Q377" s="30" t="inlineStr">
        <is>
          <t xml:space="preserve">Arizona</t>
        </is>
      </c>
      <c r="R377" s="30" t="inlineStr">
        <is>
          <t xml:space="preserve">85001</t>
        </is>
      </c>
      <c r="S377" s="32" t="inlineStr">
        <is>
          <t xml:space="preserve">Wildfire - WUI high hazard</t>
        </is>
      </c>
      <c r="T377" s="36">
        <f>IF($A377="","",IF($S377="","",IFERROR(INDEX('[1]natural catastrophe'!$D$6:$D$17,MATCH($S377,'[1]natural catastrophe'!$B$6:$B$17,0)),"?")))</f>
      </c>
      <c r="U377" s="30" t="inlineStr">
        <is>
          <t xml:space="preserve">$5,000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8733.88</v>
      </c>
      <c r="AC377" s="37">
        <v>0</v>
      </c>
      <c r="AD377" s="38">
        <f>IF(ISNUMBER($AB377),$AB377*(1+N($AC377)),"")</f>
      </c>
      <c r="AE377" s="35">
        <v>350</v>
      </c>
      <c r="AF377" s="35">
        <v>250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CANON-202607-010038</t>
        </is>
      </c>
      <c r="B378" s="46" t="inlineStr">
        <is>
          <t xml:space="preserve">Anouk Chattopadhyay</t>
        </is>
      </c>
      <c r="C378" s="47">
        <v>46218</v>
      </c>
      <c r="D378" s="48" t="inlineStr">
        <is>
          <t xml:space="preserve">Bound - within authority</t>
        </is>
      </c>
      <c r="E378" s="48" t="inlineStr">
        <is>
          <t xml:space="preserve">New business</t>
        </is>
      </c>
      <c r="F378" s="46" t="inlineStr">
        <is>
          <t xml:space="preserve">B1234EXOTIC26</t>
        </is>
      </c>
      <c r="G378" s="33">
        <f>IF($A378="","",IF($C378="","",YEAR($C378)))</f>
      </c>
      <c r="H378" s="49">
        <v>1961</v>
      </c>
      <c r="I378" s="46" t="inlineStr">
        <is>
          <t xml:space="preserve">Maserati</t>
        </is>
      </c>
      <c r="J378" s="46" t="inlineStr">
        <is>
          <t xml:space="preserve">GranTurismo</t>
        </is>
      </c>
      <c r="K378" s="46" t="inlineStr">
        <is>
          <t xml:space="preserve">J1PRBGUADTXKE10E9</t>
        </is>
      </c>
      <c r="L378" s="48" t="inlineStr">
        <is>
          <t xml:space="preserve">02 - Sports / GT</t>
        </is>
      </c>
      <c r="M378" s="50">
        <v>670000</v>
      </c>
      <c r="N378" s="48" t="inlineStr">
        <is>
          <t xml:space="preserve">Personal</t>
        </is>
      </c>
      <c r="O378" s="46" t="inlineStr">
        <is>
          <t xml:space="preserve">Personal - regular use</t>
        </is>
      </c>
      <c r="P378" s="46" t="inlineStr">
        <is>
          <t xml:space="preserve">2,500 - 5,000</t>
        </is>
      </c>
      <c r="Q378" s="46" t="inlineStr">
        <is>
          <t xml:space="preserve">Alaska</t>
        </is>
      </c>
      <c r="R378" s="46" t="inlineStr">
        <is>
          <t xml:space="preserve">99501</t>
        </is>
      </c>
      <c r="S378" s="48" t="inlineStr">
        <is>
          <t xml:space="preserve">Earthquake - high (CA, Cascadia, New Madrid)</t>
        </is>
      </c>
      <c r="T378" s="36">
        <f>IF($A378="","",IF($S378="","",IFERROR(INDEX('[1]natural catastrophe'!$D$6:$D$17,MATCH($S378,'[1]natural catastrophe'!$B$6:$B$17,0)),"?")))</f>
      </c>
      <c r="U378" s="46" t="inlineStr">
        <is>
          <t xml:space="preserve">$5,000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7128.56</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CANON-202607-010039</t>
        </is>
      </c>
      <c r="B379" s="30" t="inlineStr">
        <is>
          <t xml:space="preserve">Wilhelmina Kingsford</t>
        </is>
      </c>
      <c r="C379" s="31">
        <v>46215</v>
      </c>
      <c r="D379" s="32" t="inlineStr">
        <is>
          <t xml:space="preserve">Bound - within authority</t>
        </is>
      </c>
      <c r="E379" s="32" t="inlineStr">
        <is>
          <t xml:space="preserve">New business</t>
        </is>
      </c>
      <c r="F379" s="30" t="inlineStr">
        <is>
          <t xml:space="preserve">B1234EXOTIC26</t>
        </is>
      </c>
      <c r="G379" s="33">
        <f>IF($A379="","",IF($C379="","",YEAR($C379)))</f>
      </c>
      <c r="H379" s="34">
        <v>2006</v>
      </c>
      <c r="I379" s="30" t="inlineStr">
        <is>
          <t xml:space="preserve">Jaguar</t>
        </is>
      </c>
      <c r="J379" s="30" t="inlineStr">
        <is>
          <t xml:space="preserve">E-Type Series 1</t>
        </is>
      </c>
      <c r="K379" s="30" t="inlineStr">
        <is>
          <t xml:space="preserve">RGV37VJGBP9NWFSGA</t>
        </is>
      </c>
      <c r="L379" s="32" t="inlineStr">
        <is>
          <t xml:space="preserve">09 - Youngtimer / Collectible (2000-2010)</t>
        </is>
      </c>
      <c r="M379" s="35">
        <v>905000</v>
      </c>
      <c r="N379" s="32" t="inlineStr">
        <is>
          <t xml:space="preserve">Personal</t>
        </is>
      </c>
      <c r="O379" s="30" t="inlineStr">
        <is>
          <t xml:space="preserve">Personal - regular use</t>
        </is>
      </c>
      <c r="P379" s="30" t="inlineStr">
        <is>
          <t xml:space="preserve">Under 1,000</t>
        </is>
      </c>
      <c r="Q379" s="30" t="inlineStr">
        <is>
          <t xml:space="preserve">Tennessee</t>
        </is>
      </c>
      <c r="R379" s="30" t="inlineStr">
        <is>
          <t xml:space="preserve">37203</t>
        </is>
      </c>
      <c r="S379" s="32" t="inlineStr">
        <is>
          <t xml:space="preserve">Severe convective - hail / tornado (moderate)</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5475.85</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CANON-202607-010040</t>
        </is>
      </c>
      <c r="B380" s="46" t="inlineStr">
        <is>
          <t xml:space="preserve">Saoirse Vasquez</t>
        </is>
      </c>
      <c r="C380" s="47">
        <v>46233</v>
      </c>
      <c r="D380" s="48" t="inlineStr">
        <is>
          <t xml:space="preserve">Bound - within authority</t>
        </is>
      </c>
      <c r="E380" s="48" t="inlineStr">
        <is>
          <t xml:space="preserve">New business</t>
        </is>
      </c>
      <c r="F380" s="46" t="inlineStr">
        <is>
          <t xml:space="preserve">B1234EXOTIC26</t>
        </is>
      </c>
      <c r="G380" s="33">
        <f>IF($A380="","",IF($C380="","",YEAR($C380)))</f>
      </c>
      <c r="H380" s="49">
        <v>1989</v>
      </c>
      <c r="I380" s="46" t="inlineStr">
        <is>
          <t xml:space="preserve">Maserati</t>
        </is>
      </c>
      <c r="J380" s="46" t="inlineStr">
        <is>
          <t xml:space="preserve">GranTurismo</t>
        </is>
      </c>
      <c r="K380" s="46" t="inlineStr">
        <is>
          <t xml:space="preserve">KR2EX10UJML4T27CU</t>
        </is>
      </c>
      <c r="L380" s="48" t="inlineStr">
        <is>
          <t xml:space="preserve">02 - Sports / GT</t>
        </is>
      </c>
      <c r="M380" s="50">
        <v>575000</v>
      </c>
      <c r="N380" s="48" t="inlineStr">
        <is>
          <t xml:space="preserve">Personal</t>
        </is>
      </c>
      <c r="O380" s="46" t="inlineStr">
        <is>
          <t xml:space="preserve">Personal - regular use</t>
        </is>
      </c>
      <c r="P380" s="46" t="inlineStr">
        <is>
          <t xml:space="preserve">Under 1,000</t>
        </is>
      </c>
      <c r="Q380" s="46" t="inlineStr">
        <is>
          <t xml:space="preserve">Georgia</t>
        </is>
      </c>
      <c r="R380" s="46" t="inlineStr">
        <is>
          <t xml:space="preserve">30303</t>
        </is>
      </c>
      <c r="S380" s="48" t="inlineStr">
        <is>
          <t xml:space="preserve">Tier 2 - Coastal wind (1-25 miles)</t>
        </is>
      </c>
      <c r="T380" s="36">
        <f>IF($A380="","",IF($S380="","",IFERROR(INDEX('[1]natural catastrophe'!$D$6:$D$17,MATCH($S380,'[1]natural catastrophe'!$B$6:$B$17,0)),"?")))</f>
      </c>
      <c r="U380" s="46" t="inlineStr">
        <is>
          <t xml:space="preserve">2% of agreed value, minimum $10,000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6010.46</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CANON-202607-010041</t>
        </is>
      </c>
      <c r="B381" s="30" t="inlineStr">
        <is>
          <t xml:space="preserve">Callum Fairweather</t>
        </is>
      </c>
      <c r="C381" s="31">
        <v>46216</v>
      </c>
      <c r="D381" s="32" t="inlineStr">
        <is>
          <t xml:space="preserve">Bound - within authority</t>
        </is>
      </c>
      <c r="E381" s="32" t="inlineStr">
        <is>
          <t xml:space="preserve">New business</t>
        </is>
      </c>
      <c r="F381" s="30" t="inlineStr">
        <is>
          <t xml:space="preserve">B1234EXOTIC26</t>
        </is>
      </c>
      <c r="G381" s="33">
        <f>IF($A381="","",IF($C381="","",YEAR($C381)))</f>
      </c>
      <c r="H381" s="34">
        <v>1993</v>
      </c>
      <c r="I381" s="30" t="inlineStr">
        <is>
          <t xml:space="preserve">Maserati</t>
        </is>
      </c>
      <c r="J381" s="30" t="inlineStr">
        <is>
          <t xml:space="preserve">GranTurismo</t>
        </is>
      </c>
      <c r="K381" s="30" t="inlineStr">
        <is>
          <t xml:space="preserve">FVUJ73PC98AT22LM9</t>
        </is>
      </c>
      <c r="L381" s="32" t="inlineStr">
        <is>
          <t xml:space="preserve">02 - Sports / GT</t>
        </is>
      </c>
      <c r="M381" s="35">
        <v>285000</v>
      </c>
      <c r="N381" s="32" t="inlineStr">
        <is>
          <t xml:space="preserve">Personal</t>
        </is>
      </c>
      <c r="O381" s="30" t="inlineStr">
        <is>
          <t xml:space="preserve">Personal - regular use</t>
        </is>
      </c>
      <c r="P381" s="30" t="inlineStr">
        <is>
          <t xml:space="preserve">Under 1,000</t>
        </is>
      </c>
      <c r="Q381" s="30" t="inlineStr">
        <is>
          <t xml:space="preserve">Rhode Island</t>
        </is>
      </c>
      <c r="R381" s="30" t="inlineStr">
        <is>
          <t xml:space="preserve">02903</t>
        </is>
      </c>
      <c r="S381" s="32" t="inlineStr">
        <is>
          <t xml:space="preserve">Tier 3 - Coastal wind (25-100 miles)</t>
        </is>
      </c>
      <c r="T381" s="36">
        <f>IF($A381="","",IF($S381="","",IFERROR(INDEX('[1]natural catastrophe'!$D$6:$D$17,MATCH($S381,'[1]natural catastrophe'!$B$6:$B$17,0)),"?")))</f>
      </c>
      <c r="U381" s="30" t="inlineStr">
        <is>
          <t xml:space="preserve">2% of agreed value, minimum $10,000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4204.71</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CANON-202607-010042</t>
        </is>
      </c>
      <c r="B382" s="46" t="inlineStr">
        <is>
          <t xml:space="preserve">Leopold Blackwood</t>
        </is>
      </c>
      <c r="C382" s="47">
        <v>46210</v>
      </c>
      <c r="D382" s="48" t="inlineStr">
        <is>
          <t xml:space="preserve">Bound - within authority</t>
        </is>
      </c>
      <c r="E382" s="48" t="inlineStr">
        <is>
          <t xml:space="preserve">New business</t>
        </is>
      </c>
      <c r="F382" s="46" t="inlineStr">
        <is>
          <t xml:space="preserve">B1234EXOTIC26</t>
        </is>
      </c>
      <c r="G382" s="33">
        <f>IF($A382="","",IF($C382="","",YEAR($C382)))</f>
      </c>
      <c r="H382" s="49">
        <v>2014</v>
      </c>
      <c r="I382" s="46" t="inlineStr">
        <is>
          <t xml:space="preserve">Lamborghini</t>
        </is>
      </c>
      <c r="J382" s="46" t="inlineStr">
        <is>
          <t xml:space="preserve">Huracan EVO</t>
        </is>
      </c>
      <c r="K382" s="46" t="inlineStr">
        <is>
          <t xml:space="preserve">S8XUFJFKR226BLW8J</t>
        </is>
      </c>
      <c r="L382" s="48" t="inlineStr">
        <is>
          <t xml:space="preserve">03 - Supercar</t>
        </is>
      </c>
      <c r="M382" s="50">
        <v>705000</v>
      </c>
      <c r="N382" s="48" t="inlineStr">
        <is>
          <t xml:space="preserve">Personal</t>
        </is>
      </c>
      <c r="O382" s="46" t="inlineStr">
        <is>
          <t xml:space="preserve">Personal - regular use</t>
        </is>
      </c>
      <c r="P382" s="46" t="inlineStr">
        <is>
          <t xml:space="preserve">Under 1,000</t>
        </is>
      </c>
      <c r="Q382" s="46" t="inlineStr">
        <is>
          <t xml:space="preserve">Nevada</t>
        </is>
      </c>
      <c r="R382" s="46" t="inlineStr">
        <is>
          <t xml:space="preserve">89101</t>
        </is>
      </c>
      <c r="S382" s="48" t="inlineStr">
        <is>
          <t xml:space="preserve">Wildfire - WUI high hazard</t>
        </is>
      </c>
      <c r="T382" s="36">
        <f>IF($A382="","",IF($S382="","",IFERROR(INDEX('[1]natural catastrophe'!$D$6:$D$17,MATCH($S382,'[1]natural catastrophe'!$B$6:$B$17,0)),"?")))</f>
      </c>
      <c r="U382" s="46" t="inlineStr">
        <is>
          <t xml:space="preserve">$5,000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11251.42</v>
      </c>
      <c r="AC382" s="51">
        <v>0</v>
      </c>
      <c r="AD382" s="38">
        <f>IF(ISNUMBER($AB382),$AB382*(1+N($AC382)),"")</f>
      </c>
      <c r="AE382" s="50">
        <v>350</v>
      </c>
      <c r="AF382" s="50">
        <v>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CANON-202607-010044</t>
        </is>
      </c>
      <c r="B383" s="30" t="inlineStr">
        <is>
          <t xml:space="preserve">Mireille Castellanos</t>
        </is>
      </c>
      <c r="C383" s="31">
        <v>46218</v>
      </c>
      <c r="D383" s="32" t="inlineStr">
        <is>
          <t xml:space="preserve">Bound - within authority</t>
        </is>
      </c>
      <c r="E383" s="32" t="inlineStr">
        <is>
          <t xml:space="preserve">New business</t>
        </is>
      </c>
      <c r="F383" s="30" t="inlineStr">
        <is>
          <t xml:space="preserve">B1234EXOTIC26</t>
        </is>
      </c>
      <c r="G383" s="33">
        <f>IF($A383="","",IF($C383="","",YEAR($C383)))</f>
      </c>
      <c r="H383" s="34">
        <v>1996</v>
      </c>
      <c r="I383" s="30" t="inlineStr">
        <is>
          <t xml:space="preserve">Lamborghini</t>
        </is>
      </c>
      <c r="J383" s="30" t="inlineStr">
        <is>
          <t xml:space="preserve">Huracan EVO</t>
        </is>
      </c>
      <c r="K383" s="30" t="inlineStr">
        <is>
          <t xml:space="preserve">YPS8BEBR34V2YX8T6</t>
        </is>
      </c>
      <c r="L383" s="32" t="inlineStr">
        <is>
          <t xml:space="preserve">03 - Supercar</t>
        </is>
      </c>
      <c r="M383" s="35">
        <v>1175000</v>
      </c>
      <c r="N383" s="32" t="inlineStr">
        <is>
          <t xml:space="preserve">Personal</t>
        </is>
      </c>
      <c r="O383" s="30" t="inlineStr">
        <is>
          <t xml:space="preserve">Personal - regular use</t>
        </is>
      </c>
      <c r="P383" s="30" t="inlineStr">
        <is>
          <t xml:space="preserve">Under 1,000</t>
        </is>
      </c>
      <c r="Q383" s="30" t="inlineStr">
        <is>
          <t xml:space="preserve">California</t>
        </is>
      </c>
      <c r="R383" s="30" t="inlineStr">
        <is>
          <t xml:space="preserve">90012</t>
        </is>
      </c>
      <c r="S383" s="32" t="inlineStr">
        <is>
          <t xml:space="preserve">Earthquake - high (CA, Cascadia, New Madrid)</t>
        </is>
      </c>
      <c r="T383" s="36">
        <f>IF($A383="","",IF($S383="","",IFERROR(INDEX('[1]natural catastrophe'!$D$6:$D$17,MATCH($S383,'[1]natural catastrophe'!$B$6:$B$17,0)),"?")))</f>
      </c>
      <c r="U383" s="30" t="inlineStr">
        <is>
          <t xml:space="preserve">$5,000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18220.93</v>
      </c>
      <c r="AC383" s="37">
        <v>0</v>
      </c>
      <c r="AD383" s="38">
        <f>IF(ISNUMBER($AB383),$AB383*(1+N($AC383)),"")</f>
      </c>
      <c r="AE383" s="35">
        <v>350</v>
      </c>
      <c r="AF383" s="35">
        <v>250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CANON-202607-010045</t>
        </is>
      </c>
      <c r="B384" s="46" t="inlineStr">
        <is>
          <t xml:space="preserve">Fenwick Harrington</t>
        </is>
      </c>
      <c r="C384" s="47">
        <v>46230</v>
      </c>
      <c r="D384" s="48" t="inlineStr">
        <is>
          <t xml:space="preserve">Bound - within authority</t>
        </is>
      </c>
      <c r="E384" s="48" t="inlineStr">
        <is>
          <t xml:space="preserve">New business</t>
        </is>
      </c>
      <c r="F384" s="46" t="inlineStr">
        <is>
          <t xml:space="preserve">B1234EXOTIC26</t>
        </is>
      </c>
      <c r="G384" s="33">
        <f>IF($A384="","",IF($C384="","",YEAR($C384)))</f>
      </c>
      <c r="H384" s="49">
        <v>1992</v>
      </c>
      <c r="I384" s="46" t="inlineStr">
        <is>
          <t xml:space="preserve">McLaren</t>
        </is>
      </c>
      <c r="J384" s="46" t="inlineStr">
        <is>
          <t xml:space="preserve">750S</t>
        </is>
      </c>
      <c r="K384" s="46" t="inlineStr">
        <is>
          <t xml:space="preserve">N3P5PMWCKGLA2FAU1</t>
        </is>
      </c>
      <c r="L384" s="48" t="inlineStr">
        <is>
          <t xml:space="preserve">03 - Supercar</t>
        </is>
      </c>
      <c r="M384" s="50">
        <v>920000</v>
      </c>
      <c r="N384" s="48" t="inlineStr">
        <is>
          <t xml:space="preserve">Personal</t>
        </is>
      </c>
      <c r="O384" s="46" t="inlineStr">
        <is>
          <t xml:space="preserve">Personal - regular use</t>
        </is>
      </c>
      <c r="P384" s="46" t="inlineStr">
        <is>
          <t xml:space="preserve">Under 1,000</t>
        </is>
      </c>
      <c r="Q384" s="46" t="inlineStr">
        <is>
          <t xml:space="preserve">Colorado</t>
        </is>
      </c>
      <c r="R384" s="46" t="inlineStr">
        <is>
          <t xml:space="preserve">80202</t>
        </is>
      </c>
      <c r="S384" s="48" t="inlineStr">
        <is>
          <t xml:space="preserve">Severe convective - hail alley (high)</t>
        </is>
      </c>
      <c r="T384" s="36">
        <f>IF($A384="","",IF($S384="","",IFERROR(INDEX('[1]natural catastrophe'!$D$6:$D$17,MATCH($S384,'[1]natural catastrophe'!$B$6:$B$17,0)),"?")))</f>
      </c>
      <c r="U384" s="46" t="inlineStr">
        <is>
          <t xml:space="preserve">$5,000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13804.25</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CANON-202607-010046</t>
        </is>
      </c>
      <c r="B385" s="30" t="inlineStr">
        <is>
          <t xml:space="preserve">Aurelio Chattopadhyay</t>
        </is>
      </c>
      <c r="C385" s="31">
        <v>46206</v>
      </c>
      <c r="D385" s="32" t="inlineStr">
        <is>
          <t xml:space="preserve">Bound - within authority</t>
        </is>
      </c>
      <c r="E385" s="32" t="inlineStr">
        <is>
          <t xml:space="preserve">New business</t>
        </is>
      </c>
      <c r="F385" s="30" t="inlineStr">
        <is>
          <t xml:space="preserve">B1234EXOTIC26</t>
        </is>
      </c>
      <c r="G385" s="33">
        <f>IF($A385="","",IF($C385="","",YEAR($C385)))</f>
      </c>
      <c r="H385" s="34">
        <v>1957</v>
      </c>
      <c r="I385" s="30" t="inlineStr">
        <is>
          <t xml:space="preserve">McLaren</t>
        </is>
      </c>
      <c r="J385" s="30" t="inlineStr">
        <is>
          <t xml:space="preserve">750S</t>
        </is>
      </c>
      <c r="K385" s="30" t="inlineStr">
        <is>
          <t xml:space="preserve">3N27UHLYW4NMTRG9B</t>
        </is>
      </c>
      <c r="L385" s="32" t="inlineStr">
        <is>
          <t xml:space="preserve">03 - Supercar</t>
        </is>
      </c>
      <c r="M385" s="35">
        <v>375000</v>
      </c>
      <c r="N385" s="32" t="inlineStr">
        <is>
          <t xml:space="preserve">Personal</t>
        </is>
      </c>
      <c r="O385" s="30" t="inlineStr">
        <is>
          <t xml:space="preserve">Personal - regular use</t>
        </is>
      </c>
      <c r="P385" s="30" t="inlineStr">
        <is>
          <t xml:space="preserve">2,500 - 5,000</t>
        </is>
      </c>
      <c r="Q385" s="30" t="inlineStr">
        <is>
          <t xml:space="preserve">South Dakota</t>
        </is>
      </c>
      <c r="R385" s="30" t="inlineStr">
        <is>
          <t xml:space="preserve">57501</t>
        </is>
      </c>
      <c r="S385" s="32" t="inlineStr">
        <is>
          <t xml:space="preserve">Severe convective - hail alley (high)</t>
        </is>
      </c>
      <c r="T385" s="36">
        <f>IF($A385="","",IF($S385="","",IFERROR(INDEX('[1]natural catastrophe'!$D$6:$D$17,MATCH($S385,'[1]natural catastrophe'!$B$6:$B$17,0)),"?")))</f>
      </c>
      <c r="U385" s="30" t="inlineStr">
        <is>
          <t xml:space="preserve">$5,000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6873.23</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CANON-202607-010047</t>
        </is>
      </c>
      <c r="B386" s="46" t="inlineStr">
        <is>
          <t xml:space="preserve">Noor Blackwood</t>
        </is>
      </c>
      <c r="C386" s="47">
        <v>46209</v>
      </c>
      <c r="D386" s="48" t="inlineStr">
        <is>
          <t xml:space="preserve">Bound - within authority</t>
        </is>
      </c>
      <c r="E386" s="48" t="inlineStr">
        <is>
          <t xml:space="preserve">New business</t>
        </is>
      </c>
      <c r="F386" s="46" t="inlineStr">
        <is>
          <t xml:space="preserve">B1234EXOTIC26</t>
        </is>
      </c>
      <c r="G386" s="33">
        <f>IF($A386="","",IF($C386="","",YEAR($C386)))</f>
      </c>
      <c r="H386" s="49">
        <v>1971</v>
      </c>
      <c r="I386" s="46" t="inlineStr">
        <is>
          <t xml:space="preserve">Mercedes-Benz</t>
        </is>
      </c>
      <c r="J386" s="46" t="inlineStr">
        <is>
          <t xml:space="preserve">AMG GT</t>
        </is>
      </c>
      <c r="K386" s="46" t="inlineStr">
        <is>
          <t xml:space="preserve">2GS2E0XWEWSRDDDSH</t>
        </is>
      </c>
      <c r="L386" s="48" t="inlineStr">
        <is>
          <t xml:space="preserve">02 - Sports / GT</t>
        </is>
      </c>
      <c r="M386" s="50">
        <v>515000</v>
      </c>
      <c r="N386" s="48" t="inlineStr">
        <is>
          <t xml:space="preserve">Personal</t>
        </is>
      </c>
      <c r="O386" s="46" t="inlineStr">
        <is>
          <t xml:space="preserve">Personal - regular use</t>
        </is>
      </c>
      <c r="P386" s="46" t="inlineStr">
        <is>
          <t xml:space="preserve">Under 1,000</t>
        </is>
      </c>
      <c r="Q386" s="46" t="inlineStr">
        <is>
          <t xml:space="preserve">California</t>
        </is>
      </c>
      <c r="R386" s="46" t="inlineStr">
        <is>
          <t xml:space="preserve">90012</t>
        </is>
      </c>
      <c r="S386" s="48" t="inlineStr">
        <is>
          <t xml:space="preserve">Earthquake - high (CA, Cascadia, New Madrid)</t>
        </is>
      </c>
      <c r="T386" s="36">
        <f>IF($A386="","",IF($S386="","",IFERROR(INDEX('[1]natural catastrophe'!$D$6:$D$17,MATCH($S386,'[1]natural catastrophe'!$B$6:$B$17,0)),"?")))</f>
      </c>
      <c r="U386" s="46" t="inlineStr">
        <is>
          <t xml:space="preserve">$5,000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6488.78</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CANON-202607-010050</t>
        </is>
      </c>
      <c r="B387" s="30" t="inlineStr">
        <is>
          <t xml:space="preserve">Callum Delacroix</t>
        </is>
      </c>
      <c r="C387" s="31">
        <v>46229</v>
      </c>
      <c r="D387" s="32" t="inlineStr">
        <is>
          <t xml:space="preserve">Bound - within authority</t>
        </is>
      </c>
      <c r="E387" s="32" t="inlineStr">
        <is>
          <t xml:space="preserve">New business</t>
        </is>
      </c>
      <c r="F387" s="30" t="inlineStr">
        <is>
          <t xml:space="preserve">B1234EXOTIC26</t>
        </is>
      </c>
      <c r="G387" s="33">
        <f>IF($A387="","",IF($C387="","",YEAR($C387)))</f>
      </c>
      <c r="H387" s="34">
        <v>1955</v>
      </c>
      <c r="I387" s="30" t="inlineStr">
        <is>
          <t xml:space="preserve">Aston Martin</t>
        </is>
      </c>
      <c r="J387" s="30" t="inlineStr">
        <is>
          <t xml:space="preserve">DB12</t>
        </is>
      </c>
      <c r="K387" s="30" t="inlineStr">
        <is>
          <t xml:space="preserve">V23T2XL98C1CPHLSG</t>
        </is>
      </c>
      <c r="L387" s="32" t="inlineStr">
        <is>
          <t xml:space="preserve">02 - Sports / GT</t>
        </is>
      </c>
      <c r="M387" s="35">
        <v>775000</v>
      </c>
      <c r="N387" s="32" t="inlineStr">
        <is>
          <t xml:space="preserve">Personal</t>
        </is>
      </c>
      <c r="O387" s="30" t="inlineStr">
        <is>
          <t xml:space="preserve">Personal - regular use</t>
        </is>
      </c>
      <c r="P387" s="30" t="inlineStr">
        <is>
          <t xml:space="preserve">Under 1,000</t>
        </is>
      </c>
      <c r="Q387" s="30" t="inlineStr">
        <is>
          <t xml:space="preserve">Delaware</t>
        </is>
      </c>
      <c r="R387" s="30" t="inlineStr">
        <is>
          <t xml:space="preserve">19801</t>
        </is>
      </c>
      <c r="S387" s="32" t="inlineStr">
        <is>
          <t xml:space="preserve">Tier 3 - Coastal wind (25-100 miles)</t>
        </is>
      </c>
      <c r="T387" s="36">
        <f>IF($A387="","",IF($S387="","",IFERROR(INDEX('[1]natural catastrophe'!$D$6:$D$17,MATCH($S387,'[1]natural catastrophe'!$B$6:$B$17,0)),"?")))</f>
      </c>
      <c r="U387" s="30" t="inlineStr">
        <is>
          <t xml:space="preserve">2% of agreed value, minimum $10,000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9041.36</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CANON-202607-010051</t>
        </is>
      </c>
      <c r="B388" s="46" t="inlineStr">
        <is>
          <t xml:space="preserve">Beatrix Montoya</t>
        </is>
      </c>
      <c r="C388" s="47">
        <v>46229</v>
      </c>
      <c r="D388" s="48" t="inlineStr">
        <is>
          <t xml:space="preserve">Bound - within authority</t>
        </is>
      </c>
      <c r="E388" s="48" t="inlineStr">
        <is>
          <t xml:space="preserve">New business</t>
        </is>
      </c>
      <c r="F388" s="46" t="inlineStr">
        <is>
          <t xml:space="preserve">B1234EXOTIC26</t>
        </is>
      </c>
      <c r="G388" s="33">
        <f>IF($A388="","",IF($C388="","",YEAR($C388)))</f>
      </c>
      <c r="H388" s="49">
        <v>2004</v>
      </c>
      <c r="I388" s="46" t="inlineStr">
        <is>
          <t xml:space="preserve">BMW</t>
        </is>
      </c>
      <c r="J388" s="46" t="inlineStr">
        <is>
          <t xml:space="preserve">M8 Competition</t>
        </is>
      </c>
      <c r="K388" s="46" t="inlineStr">
        <is>
          <t xml:space="preserve">J151MH1TV98B0M1DC</t>
        </is>
      </c>
      <c r="L388" s="48" t="inlineStr">
        <is>
          <t xml:space="preserve">02 - Sports / GT</t>
        </is>
      </c>
      <c r="M388" s="50">
        <v>325000</v>
      </c>
      <c r="N388" s="48" t="inlineStr">
        <is>
          <t xml:space="preserve">Personal</t>
        </is>
      </c>
      <c r="O388" s="46" t="inlineStr">
        <is>
          <t xml:space="preserve">Personal - regular use</t>
        </is>
      </c>
      <c r="P388" s="46" t="inlineStr">
        <is>
          <t xml:space="preserve">Under 1,000</t>
        </is>
      </c>
      <c r="Q388" s="46" t="inlineStr">
        <is>
          <t xml:space="preserve">West Virginia</t>
        </is>
      </c>
      <c r="R388" s="46" t="inlineStr">
        <is>
          <t xml:space="preserve">25301</t>
        </is>
      </c>
      <c r="S388" s="48" t="inlineStr">
        <is>
          <t xml:space="preserve">Low hazard - inland benign</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4654.85</v>
      </c>
      <c r="AC388" s="51">
        <v>0</v>
      </c>
      <c r="AD388" s="38">
        <f>IF(ISNUMBER($AB388),$AB388*(1+N($AC388)),"")</f>
      </c>
      <c r="AE388" s="50">
        <v>350</v>
      </c>
      <c r="AF388" s="50">
        <v>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CANON-202607-010053</t>
        </is>
      </c>
      <c r="B389" s="30" t="inlineStr">
        <is>
          <t xml:space="preserve">Emiliano Pennington</t>
        </is>
      </c>
      <c r="C389" s="31">
        <v>46232</v>
      </c>
      <c r="D389" s="32" t="inlineStr">
        <is>
          <t xml:space="preserve">Bound - within authority</t>
        </is>
      </c>
      <c r="E389" s="32" t="inlineStr">
        <is>
          <t xml:space="preserve">New business</t>
        </is>
      </c>
      <c r="F389" s="30" t="inlineStr">
        <is>
          <t xml:space="preserve">B1234EXOTIC26</t>
        </is>
      </c>
      <c r="G389" s="33">
        <f>IF($A389="","",IF($C389="","",YEAR($C389)))</f>
      </c>
      <c r="H389" s="34">
        <v>1956</v>
      </c>
      <c r="I389" s="30" t="inlineStr">
        <is>
          <t xml:space="preserve">BMW</t>
        </is>
      </c>
      <c r="J389" s="30" t="inlineStr">
        <is>
          <t xml:space="preserve">M8 Competition</t>
        </is>
      </c>
      <c r="K389" s="30" t="inlineStr">
        <is>
          <t xml:space="preserve">00ZRLB9FV3NX4UDPL</t>
        </is>
      </c>
      <c r="L389" s="32" t="inlineStr">
        <is>
          <t xml:space="preserve">02 - Sports / GT</t>
        </is>
      </c>
      <c r="M389" s="35">
        <v>630000</v>
      </c>
      <c r="N389" s="32" t="inlineStr">
        <is>
          <t xml:space="preserve">Personal</t>
        </is>
      </c>
      <c r="O389" s="30" t="inlineStr">
        <is>
          <t xml:space="preserve">Personal - regular use</t>
        </is>
      </c>
      <c r="P389" s="30" t="inlineStr">
        <is>
          <t xml:space="preserve">Under 1,000</t>
        </is>
      </c>
      <c r="Q389" s="30" t="inlineStr">
        <is>
          <t xml:space="preserve">Louisiana</t>
        </is>
      </c>
      <c r="R389" s="30" t="inlineStr">
        <is>
          <t xml:space="preserve">70112</t>
        </is>
      </c>
      <c r="S389" s="32" t="inlineStr">
        <is>
          <t xml:space="preserve">Tier 2 - Coastal wind (1-25 miles)</t>
        </is>
      </c>
      <c r="T389" s="36">
        <f>IF($A389="","",IF($S389="","",IFERROR(INDEX('[1]natural catastrophe'!$D$6:$D$17,MATCH($S389,'[1]natural catastrophe'!$B$6:$B$17,0)),"?")))</f>
      </c>
      <c r="U389" s="30" t="inlineStr">
        <is>
          <t xml:space="preserve">2% of agreed value, minimum $10,000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7114.56</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CANON-202607-010056</t>
        </is>
      </c>
      <c r="B390" s="46" t="inlineStr">
        <is>
          <t xml:space="preserve">Callum Whitlock</t>
        </is>
      </c>
      <c r="C390" s="47">
        <v>46214</v>
      </c>
      <c r="D390" s="48" t="inlineStr">
        <is>
          <t xml:space="preserve">Bound - within authority</t>
        </is>
      </c>
      <c r="E390" s="48" t="inlineStr">
        <is>
          <t xml:space="preserve">New business</t>
        </is>
      </c>
      <c r="F390" s="46" t="inlineStr">
        <is>
          <t xml:space="preserve">B1234EXOTIC26</t>
        </is>
      </c>
      <c r="G390" s="33">
        <f>IF($A390="","",IF($C390="","",YEAR($C390)))</f>
      </c>
      <c r="H390" s="49">
        <v>1990</v>
      </c>
      <c r="I390" s="46" t="inlineStr">
        <is>
          <t xml:space="preserve">Maserati</t>
        </is>
      </c>
      <c r="J390" s="46" t="inlineStr">
        <is>
          <t xml:space="preserve">GranTurismo</t>
        </is>
      </c>
      <c r="K390" s="46" t="inlineStr">
        <is>
          <t xml:space="preserve">VRYHPNN714ARAXE6B</t>
        </is>
      </c>
      <c r="L390" s="48" t="inlineStr">
        <is>
          <t xml:space="preserve">02 - Sports / GT</t>
        </is>
      </c>
      <c r="M390" s="50">
        <v>525000</v>
      </c>
      <c r="N390" s="48" t="inlineStr">
        <is>
          <t xml:space="preserve">Personal</t>
        </is>
      </c>
      <c r="O390" s="46" t="inlineStr">
        <is>
          <t xml:space="preserve">Personal - regular use</t>
        </is>
      </c>
      <c r="P390" s="46" t="inlineStr">
        <is>
          <t xml:space="preserve">1,000 - 2,500</t>
        </is>
      </c>
      <c r="Q390" s="46" t="inlineStr">
        <is>
          <t xml:space="preserve">Georgia</t>
        </is>
      </c>
      <c r="R390" s="46" t="inlineStr">
        <is>
          <t xml:space="preserve">30303</t>
        </is>
      </c>
      <c r="S390" s="48" t="inlineStr">
        <is>
          <t xml:space="preserve">Tier 2 - Coastal wind (1-25 miles)</t>
        </is>
      </c>
      <c r="T390" s="36">
        <f>IF($A390="","",IF($S390="","",IFERROR(INDEX('[1]natural catastrophe'!$D$6:$D$17,MATCH($S390,'[1]natural catastrophe'!$B$6:$B$17,0)),"?")))</f>
      </c>
      <c r="U390" s="46" t="inlineStr">
        <is>
          <t xml:space="preserve">2% of agreed value, minimum $10,000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5487.81</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CANON-202607-010058</t>
        </is>
      </c>
      <c r="B391" s="30" t="inlineStr">
        <is>
          <t xml:space="preserve">Sunniva Thistlewood</t>
        </is>
      </c>
      <c r="C391" s="31">
        <v>46220</v>
      </c>
      <c r="D391" s="32" t="inlineStr">
        <is>
          <t xml:space="preserve">Bound - within authority</t>
        </is>
      </c>
      <c r="E391" s="32" t="inlineStr">
        <is>
          <t xml:space="preserve">New business</t>
        </is>
      </c>
      <c r="F391" s="30" t="inlineStr">
        <is>
          <t xml:space="preserve">B1234EXOTIC26</t>
        </is>
      </c>
      <c r="G391" s="33">
        <f>IF($A391="","",IF($C391="","",YEAR($C391)))</f>
      </c>
      <c r="H391" s="34">
        <v>2009</v>
      </c>
      <c r="I391" s="30" t="inlineStr">
        <is>
          <t xml:space="preserve">Mercedes-Benz</t>
        </is>
      </c>
      <c r="J391" s="30" t="inlineStr">
        <is>
          <t xml:space="preserve">AMG GT</t>
        </is>
      </c>
      <c r="K391" s="30" t="inlineStr">
        <is>
          <t xml:space="preserve">3P5S3L9SPZKYK65RN</t>
        </is>
      </c>
      <c r="L391" s="32" t="inlineStr">
        <is>
          <t xml:space="preserve">02 - Sports / GT</t>
        </is>
      </c>
      <c r="M391" s="35">
        <v>200000</v>
      </c>
      <c r="N391" s="32" t="inlineStr">
        <is>
          <t xml:space="preserve">Personal</t>
        </is>
      </c>
      <c r="O391" s="30" t="inlineStr">
        <is>
          <t xml:space="preserve">Personal - regular use</t>
        </is>
      </c>
      <c r="P391" s="30" t="inlineStr">
        <is>
          <t xml:space="preserve">2,500 - 5,000</t>
        </is>
      </c>
      <c r="Q391" s="30" t="inlineStr">
        <is>
          <t xml:space="preserve">California</t>
        </is>
      </c>
      <c r="R391" s="30" t="inlineStr">
        <is>
          <t xml:space="preserve">90012</t>
        </is>
      </c>
      <c r="S391" s="32" t="inlineStr">
        <is>
          <t xml:space="preserve">Earthquake - high (CA, Cascadia, New Madrid)</t>
        </is>
      </c>
      <c r="T391" s="36">
        <f>IF($A391="","",IF($S391="","",IFERROR(INDEX('[1]natural catastrophe'!$D$6:$D$17,MATCH($S391,'[1]natural catastrophe'!$B$6:$B$17,0)),"?")))</f>
      </c>
      <c r="U391" s="30" t="inlineStr">
        <is>
          <t xml:space="preserve">$5,000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3566.65</v>
      </c>
      <c r="AC391" s="37">
        <v>0</v>
      </c>
      <c r="AD391" s="38">
        <f>IF(ISNUMBER($AB391),$AB391*(1+N($AC391)),"")</f>
      </c>
      <c r="AE391" s="35">
        <v>350</v>
      </c>
      <c r="AF391" s="35">
        <v>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CANON-202607-010060</t>
        </is>
      </c>
      <c r="B392" s="46" t="inlineStr">
        <is>
          <t xml:space="preserve">Lorenzo Harrington</t>
        </is>
      </c>
      <c r="C392" s="47">
        <v>46204</v>
      </c>
      <c r="D392" s="48" t="inlineStr">
        <is>
          <t xml:space="preserve">Bound - within authority</t>
        </is>
      </c>
      <c r="E392" s="48" t="inlineStr">
        <is>
          <t xml:space="preserve">New business</t>
        </is>
      </c>
      <c r="F392" s="46" t="inlineStr">
        <is>
          <t xml:space="preserve">B1234EXOTIC26</t>
        </is>
      </c>
      <c r="G392" s="33">
        <f>IF($A392="","",IF($C392="","",YEAR($C392)))</f>
      </c>
      <c r="H392" s="49">
        <v>2011</v>
      </c>
      <c r="I392" s="46" t="inlineStr">
        <is>
          <t xml:space="preserve">Icon</t>
        </is>
      </c>
      <c r="J392" s="46" t="inlineStr">
        <is>
          <t xml:space="preserve">Derelict</t>
        </is>
      </c>
      <c r="K392" s="46" t="inlineStr">
        <is>
          <t xml:space="preserve">1LD65VJH71KYDDYSD</t>
        </is>
      </c>
      <c r="L392" s="48" t="inlineStr">
        <is>
          <t xml:space="preserve">11 - Restomod / Coachbuilt / Bespoke</t>
        </is>
      </c>
      <c r="M392" s="50">
        <v>920000</v>
      </c>
      <c r="N392" s="48" t="inlineStr">
        <is>
          <t xml:space="preserve">Personal</t>
        </is>
      </c>
      <c r="O392" s="46" t="inlineStr">
        <is>
          <t xml:space="preserve">Personal - regular use</t>
        </is>
      </c>
      <c r="P392" s="46" t="inlineStr">
        <is>
          <t xml:space="preserve">1,000 - 2,500</t>
        </is>
      </c>
      <c r="Q392" s="46" t="inlineStr">
        <is>
          <t xml:space="preserve">Louisiana</t>
        </is>
      </c>
      <c r="R392" s="46" t="inlineStr">
        <is>
          <t xml:space="preserve">70112</t>
        </is>
      </c>
      <c r="S392" s="48" t="inlineStr">
        <is>
          <t xml:space="preserve">Tier 2 - Coastal wind (1-25 miles)</t>
        </is>
      </c>
      <c r="T392" s="36">
        <f>IF($A392="","",IF($S392="","",IFERROR(INDEX('[1]natural catastrophe'!$D$6:$D$17,MATCH($S392,'[1]natural catastrophe'!$B$6:$B$17,0)),"?")))</f>
      </c>
      <c r="U392" s="46" t="inlineStr">
        <is>
          <t xml:space="preserve">2% of agreed value, minimum $10,000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12467.42</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CANON-202607-010061</t>
        </is>
      </c>
      <c r="B393" s="30" t="inlineStr">
        <is>
          <t xml:space="preserve">Saoirse Okonkwo</t>
        </is>
      </c>
      <c r="C393" s="31">
        <v>46229</v>
      </c>
      <c r="D393" s="32" t="inlineStr">
        <is>
          <t xml:space="preserve">Bound - within authority</t>
        </is>
      </c>
      <c r="E393" s="32" t="inlineStr">
        <is>
          <t xml:space="preserve">New business</t>
        </is>
      </c>
      <c r="F393" s="30" t="inlineStr">
        <is>
          <t xml:space="preserve">B1234EXOTIC26</t>
        </is>
      </c>
      <c r="G393" s="33">
        <f>IF($A393="","",IF($C393="","",YEAR($C393)))</f>
      </c>
      <c r="H393" s="34">
        <v>2014</v>
      </c>
      <c r="I393" s="30" t="inlineStr">
        <is>
          <t xml:space="preserve">Singer</t>
        </is>
      </c>
      <c r="J393" s="30" t="inlineStr">
        <is>
          <t xml:space="preserve">911 Reimagined</t>
        </is>
      </c>
      <c r="K393" s="30" t="inlineStr">
        <is>
          <t xml:space="preserve">46KZWXGLR8EZT5DK0</t>
        </is>
      </c>
      <c r="L393" s="32" t="inlineStr">
        <is>
          <t xml:space="preserve">11 - Restomod / Coachbuilt / Bespoke</t>
        </is>
      </c>
      <c r="M393" s="35">
        <v>445000</v>
      </c>
      <c r="N393" s="32" t="inlineStr">
        <is>
          <t xml:space="preserve">Personal</t>
        </is>
      </c>
      <c r="O393" s="30" t="inlineStr">
        <is>
          <t xml:space="preserve">Personal - regular use</t>
        </is>
      </c>
      <c r="P393" s="30" t="inlineStr">
        <is>
          <t xml:space="preserve">Under 1,000</t>
        </is>
      </c>
      <c r="Q393" s="30" t="inlineStr">
        <is>
          <t xml:space="preserve">Ohio</t>
        </is>
      </c>
      <c r="R393" s="30" t="inlineStr">
        <is>
          <t xml:space="preserve">43215</t>
        </is>
      </c>
      <c r="S393" s="32" t="inlineStr">
        <is>
          <t xml:space="preserve">Severe convective - hail / tornado (moderate)</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7815.67</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CANON-202607-010062</t>
        </is>
      </c>
      <c r="B394" s="46" t="inlineStr">
        <is>
          <t xml:space="preserve">Thaddeus Merriweather</t>
        </is>
      </c>
      <c r="C394" s="47">
        <v>46214</v>
      </c>
      <c r="D394" s="48" t="inlineStr">
        <is>
          <t xml:space="preserve">Bound - within authority</t>
        </is>
      </c>
      <c r="E394" s="48" t="inlineStr">
        <is>
          <t xml:space="preserve">New business</t>
        </is>
      </c>
      <c r="F394" s="46" t="inlineStr">
        <is>
          <t xml:space="preserve">B1234EXOTIC26</t>
        </is>
      </c>
      <c r="G394" s="33">
        <f>IF($A394="","",IF($C394="","",YEAR($C394)))</f>
      </c>
      <c r="H394" s="49">
        <v>1998</v>
      </c>
      <c r="I394" s="46" t="inlineStr">
        <is>
          <t xml:space="preserve">Maserati</t>
        </is>
      </c>
      <c r="J394" s="46" t="inlineStr">
        <is>
          <t xml:space="preserve">GranTurismo</t>
        </is>
      </c>
      <c r="K394" s="46" t="inlineStr">
        <is>
          <t xml:space="preserve">R0T19DJ360624V175</t>
        </is>
      </c>
      <c r="L394" s="48" t="inlineStr">
        <is>
          <t xml:space="preserve">02 - Sports / GT</t>
        </is>
      </c>
      <c r="M394" s="50">
        <v>395000</v>
      </c>
      <c r="N394" s="48" t="inlineStr">
        <is>
          <t xml:space="preserve">Personal</t>
        </is>
      </c>
      <c r="O394" s="46" t="inlineStr">
        <is>
          <t xml:space="preserve">Personal - regular use</t>
        </is>
      </c>
      <c r="P394" s="46" t="inlineStr">
        <is>
          <t xml:space="preserve">1,000 - 2,500</t>
        </is>
      </c>
      <c r="Q394" s="46" t="inlineStr">
        <is>
          <t xml:space="preserve">Colorado</t>
        </is>
      </c>
      <c r="R394" s="46" t="inlineStr">
        <is>
          <t xml:space="preserve">80202</t>
        </is>
      </c>
      <c r="S394" s="48" t="inlineStr">
        <is>
          <t xml:space="preserve">Severe convective - hail alley (high)</t>
        </is>
      </c>
      <c r="T394" s="36">
        <f>IF($A394="","",IF($S394="","",IFERROR(INDEX('[1]natural catastrophe'!$D$6:$D$17,MATCH($S394,'[1]natural catastrophe'!$B$6:$B$17,0)),"?")))</f>
      </c>
      <c r="U394" s="46" t="inlineStr">
        <is>
          <t xml:space="preserve">$5,000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4679.07</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CANON-202607-010063</t>
        </is>
      </c>
      <c r="B395" s="30" t="inlineStr">
        <is>
          <t xml:space="preserve">Everett Okonkwo</t>
        </is>
      </c>
      <c r="C395" s="31">
        <v>46224</v>
      </c>
      <c r="D395" s="32" t="inlineStr">
        <is>
          <t xml:space="preserve">Bound - within authority</t>
        </is>
      </c>
      <c r="E395" s="32" t="inlineStr">
        <is>
          <t xml:space="preserve">New business</t>
        </is>
      </c>
      <c r="F395" s="30" t="inlineStr">
        <is>
          <t xml:space="preserve">B1234EXOTIC26</t>
        </is>
      </c>
      <c r="G395" s="33">
        <f>IF($A395="","",IF($C395="","",YEAR($C395)))</f>
      </c>
      <c r="H395" s="34">
        <v>1958</v>
      </c>
      <c r="I395" s="30" t="inlineStr">
        <is>
          <t xml:space="preserve">Mercedes-Benz</t>
        </is>
      </c>
      <c r="J395" s="30" t="inlineStr">
        <is>
          <t xml:space="preserve">AMG GT</t>
        </is>
      </c>
      <c r="K395" s="30" t="inlineStr">
        <is>
          <t xml:space="preserve">VNPCGC6ZKMV1C0WZZ</t>
        </is>
      </c>
      <c r="L395" s="32" t="inlineStr">
        <is>
          <t xml:space="preserve">02 - Sports / GT</t>
        </is>
      </c>
      <c r="M395" s="35">
        <v>785000</v>
      </c>
      <c r="N395" s="32" t="inlineStr">
        <is>
          <t xml:space="preserve">Personal</t>
        </is>
      </c>
      <c r="O395" s="30" t="inlineStr">
        <is>
          <t xml:space="preserve">Personal - regular use</t>
        </is>
      </c>
      <c r="P395" s="30" t="inlineStr">
        <is>
          <t xml:space="preserve">2,500 - 5,000</t>
        </is>
      </c>
      <c r="Q395" s="30" t="inlineStr">
        <is>
          <t xml:space="preserve">New Hampshire</t>
        </is>
      </c>
      <c r="R395" s="30" t="inlineStr">
        <is>
          <t xml:space="preserve">03301</t>
        </is>
      </c>
      <c r="S395" s="32" t="inlineStr">
        <is>
          <t xml:space="preserve">Tier 3 - Coastal wind (25-100 miles)</t>
        </is>
      </c>
      <c r="T395" s="36">
        <f>IF($A395="","",IF($S395="","",IFERROR(INDEX('[1]natural catastrophe'!$D$6:$D$17,MATCH($S395,'[1]natural catastrophe'!$B$6:$B$17,0)),"?")))</f>
      </c>
      <c r="U395" s="30" t="inlineStr">
        <is>
          <t xml:space="preserve">2% of agreed value, minimum $10,000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7619.47</v>
      </c>
      <c r="AC395" s="37">
        <v>0</v>
      </c>
      <c r="AD395" s="38">
        <f>IF(ISNUMBER($AB395),$AB395*(1+N($AC395)),"")</f>
      </c>
      <c r="AE395" s="35">
        <v>350</v>
      </c>
      <c r="AF395" s="35">
        <v>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CANON-202607-010064</t>
        </is>
      </c>
      <c r="B396" s="46" t="inlineStr">
        <is>
          <t xml:space="preserve">Thaddeus Chattopadhyay</t>
        </is>
      </c>
      <c r="C396" s="47">
        <v>46209</v>
      </c>
      <c r="D396" s="48" t="inlineStr">
        <is>
          <t xml:space="preserve">Bound - within authority</t>
        </is>
      </c>
      <c r="E396" s="48" t="inlineStr">
        <is>
          <t xml:space="preserve">New business</t>
        </is>
      </c>
      <c r="F396" s="46" t="inlineStr">
        <is>
          <t xml:space="preserve">B1234EXOTIC26</t>
        </is>
      </c>
      <c r="G396" s="33">
        <f>IF($A396="","",IF($C396="","",YEAR($C396)))</f>
      </c>
      <c r="H396" s="49">
        <v>1996</v>
      </c>
      <c r="I396" s="46" t="inlineStr">
        <is>
          <t xml:space="preserve">Aston Martin</t>
        </is>
      </c>
      <c r="J396" s="46" t="inlineStr">
        <is>
          <t xml:space="preserve">DB12</t>
        </is>
      </c>
      <c r="K396" s="46" t="inlineStr">
        <is>
          <t xml:space="preserve">6A9T9T51ED5AYK6Z7</t>
        </is>
      </c>
      <c r="L396" s="48" t="inlineStr">
        <is>
          <t xml:space="preserve">02 - Sports / GT</t>
        </is>
      </c>
      <c r="M396" s="50">
        <v>845000</v>
      </c>
      <c r="N396" s="48" t="inlineStr">
        <is>
          <t xml:space="preserve">Personal</t>
        </is>
      </c>
      <c r="O396" s="46" t="inlineStr">
        <is>
          <t xml:space="preserve">Personal - regular use</t>
        </is>
      </c>
      <c r="P396" s="46" t="inlineStr">
        <is>
          <t xml:space="preserve">Under 1,000</t>
        </is>
      </c>
      <c r="Q396" s="46" t="inlineStr">
        <is>
          <t xml:space="preserve">South Dakota</t>
        </is>
      </c>
      <c r="R396" s="46" t="inlineStr">
        <is>
          <t xml:space="preserve">57501</t>
        </is>
      </c>
      <c r="S396" s="48" t="inlineStr">
        <is>
          <t xml:space="preserve">Severe convective - hail alley (high)</t>
        </is>
      </c>
      <c r="T396" s="36">
        <f>IF($A396="","",IF($S396="","",IFERROR(INDEX('[1]natural catastrophe'!$D$6:$D$17,MATCH($S396,'[1]natural catastrophe'!$B$6:$B$17,0)),"?")))</f>
      </c>
      <c r="U396" s="46" t="inlineStr">
        <is>
          <t xml:space="preserve">$5,000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8753.9</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CANON-202607-010065</t>
        </is>
      </c>
      <c r="B397" s="30" t="inlineStr">
        <is>
          <t xml:space="preserve">Desmond Underwood</t>
        </is>
      </c>
      <c r="C397" s="31">
        <v>46210</v>
      </c>
      <c r="D397" s="32" t="inlineStr">
        <is>
          <t xml:space="preserve">Bound - within authority</t>
        </is>
      </c>
      <c r="E397" s="32" t="inlineStr">
        <is>
          <t xml:space="preserve">New business</t>
        </is>
      </c>
      <c r="F397" s="30" t="inlineStr">
        <is>
          <t xml:space="preserve">B1234EXOTIC26</t>
        </is>
      </c>
      <c r="G397" s="33">
        <f>IF($A397="","",IF($C397="","",YEAR($C397)))</f>
      </c>
      <c r="H397" s="34">
        <v>1959</v>
      </c>
      <c r="I397" s="30" t="inlineStr">
        <is>
          <t xml:space="preserve">Aston Martin</t>
        </is>
      </c>
      <c r="J397" s="30" t="inlineStr">
        <is>
          <t xml:space="preserve">DB5</t>
        </is>
      </c>
      <c r="K397" s="30" t="inlineStr">
        <is>
          <t xml:space="preserve">9CLCN9HBDJVDH56BL</t>
        </is>
      </c>
      <c r="L397" s="32" t="inlineStr">
        <is>
          <t xml:space="preserve">07 - Post-War Classic (1946-1972)</t>
        </is>
      </c>
      <c r="M397" s="35">
        <v>1700000</v>
      </c>
      <c r="N397" s="32" t="inlineStr">
        <is>
          <t xml:space="preserve">Personal</t>
        </is>
      </c>
      <c r="O397" s="30" t="inlineStr">
        <is>
          <t xml:space="preserve">Personal - regular use</t>
        </is>
      </c>
      <c r="P397" s="30" t="inlineStr">
        <is>
          <t xml:space="preserve">Under 1,000</t>
        </is>
      </c>
      <c r="Q397" s="30" t="inlineStr">
        <is>
          <t xml:space="preserve">Massachusetts</t>
        </is>
      </c>
      <c r="R397" s="30" t="inlineStr">
        <is>
          <t xml:space="preserve">02108</t>
        </is>
      </c>
      <c r="S397" s="32" t="inlineStr">
        <is>
          <t xml:space="preserve">Tier 3 - Coastal wind (25-100 miles)</t>
        </is>
      </c>
      <c r="T397" s="36">
        <f>IF($A397="","",IF($S397="","",IFERROR(INDEX('[1]natural catastrophe'!$D$6:$D$17,MATCH($S397,'[1]natural catastrophe'!$B$6:$B$17,0)),"?")))</f>
      </c>
      <c r="U397" s="30" t="inlineStr">
        <is>
          <t xml:space="preserve">2% of agreed value, minimum $10,000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11594.48</v>
      </c>
      <c r="AC397" s="37">
        <v>0</v>
      </c>
      <c r="AD397" s="38">
        <f>IF(ISNUMBER($AB397),$AB397*(1+N($AC397)),"")</f>
      </c>
      <c r="AE397" s="35">
        <v>350</v>
      </c>
      <c r="AF397" s="35">
        <v>250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CANON-202607-010066</t>
        </is>
      </c>
      <c r="B398" s="46" t="inlineStr">
        <is>
          <t xml:space="preserve">Saoirse Underwood</t>
        </is>
      </c>
      <c r="C398" s="47">
        <v>46204</v>
      </c>
      <c r="D398" s="48" t="inlineStr">
        <is>
          <t xml:space="preserve">Bound - within authority</t>
        </is>
      </c>
      <c r="E398" s="48" t="inlineStr">
        <is>
          <t xml:space="preserve">New business</t>
        </is>
      </c>
      <c r="F398" s="46" t="inlineStr">
        <is>
          <t xml:space="preserve">B1234EXOTIC26</t>
        </is>
      </c>
      <c r="G398" s="33">
        <f>IF($A398="","",IF($C398="","",YEAR($C398)))</f>
      </c>
      <c r="H398" s="49">
        <v>1981</v>
      </c>
      <c r="I398" s="46" t="inlineStr">
        <is>
          <t xml:space="preserve">BMW</t>
        </is>
      </c>
      <c r="J398" s="46" t="inlineStr">
        <is>
          <t xml:space="preserve">M8 Competition</t>
        </is>
      </c>
      <c r="K398" s="46" t="inlineStr">
        <is>
          <t xml:space="preserve">771VJU25T8VYD1624</t>
        </is>
      </c>
      <c r="L398" s="48" t="inlineStr">
        <is>
          <t xml:space="preserve">02 - Sports / GT</t>
        </is>
      </c>
      <c r="M398" s="50">
        <v>175000</v>
      </c>
      <c r="N398" s="48" t="inlineStr">
        <is>
          <t xml:space="preserve">Personal</t>
        </is>
      </c>
      <c r="O398" s="46" t="inlineStr">
        <is>
          <t xml:space="preserve">Personal - regular use</t>
        </is>
      </c>
      <c r="P398" s="46" t="inlineStr">
        <is>
          <t xml:space="preserve">2,500 - 5,000</t>
        </is>
      </c>
      <c r="Q398" s="46" t="inlineStr">
        <is>
          <t xml:space="preserve">Alabama</t>
        </is>
      </c>
      <c r="R398" s="46" t="inlineStr">
        <is>
          <t xml:space="preserve">35203</t>
        </is>
      </c>
      <c r="S398" s="48" t="inlineStr">
        <is>
          <t xml:space="preserve">Tier 2 - Coastal wind (1-25 miles)</t>
        </is>
      </c>
      <c r="T398" s="36">
        <f>IF($A398="","",IF($S398="","",IFERROR(INDEX('[1]natural catastrophe'!$D$6:$D$17,MATCH($S398,'[1]natural catastrophe'!$B$6:$B$17,0)),"?")))</f>
      </c>
      <c r="U398" s="46" t="inlineStr">
        <is>
          <t xml:space="preserve">2% of agreed value, minimum $10,000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2935.88</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CANON-202607-010067</t>
        </is>
      </c>
      <c r="B399" s="30" t="inlineStr">
        <is>
          <t xml:space="preserve">Leopold Vasquez</t>
        </is>
      </c>
      <c r="C399" s="31">
        <v>46208</v>
      </c>
      <c r="D399" s="32" t="inlineStr">
        <is>
          <t xml:space="preserve">Bound - within authority</t>
        </is>
      </c>
      <c r="E399" s="32" t="inlineStr">
        <is>
          <t xml:space="preserve">New business</t>
        </is>
      </c>
      <c r="F399" s="30" t="inlineStr">
        <is>
          <t xml:space="preserve">B1234EXOTIC26</t>
        </is>
      </c>
      <c r="G399" s="33">
        <f>IF($A399="","",IF($C399="","",YEAR($C399)))</f>
      </c>
      <c r="H399" s="34">
        <v>2004</v>
      </c>
      <c r="I399" s="30" t="inlineStr">
        <is>
          <t xml:space="preserve">Porsche</t>
        </is>
      </c>
      <c r="J399" s="30" t="inlineStr">
        <is>
          <t xml:space="preserve">911 Turbo S</t>
        </is>
      </c>
      <c r="K399" s="30" t="inlineStr">
        <is>
          <t xml:space="preserve">D1BB9NDCRG7UCC759</t>
        </is>
      </c>
      <c r="L399" s="32" t="inlineStr">
        <is>
          <t xml:space="preserve">02 - Sports / GT</t>
        </is>
      </c>
      <c r="M399" s="35">
        <v>290000</v>
      </c>
      <c r="N399" s="32" t="inlineStr">
        <is>
          <t xml:space="preserve">Personal</t>
        </is>
      </c>
      <c r="O399" s="30" t="inlineStr">
        <is>
          <t xml:space="preserve">Personal - regular use</t>
        </is>
      </c>
      <c r="P399" s="30" t="inlineStr">
        <is>
          <t xml:space="preserve">1,000 - 2,500</t>
        </is>
      </c>
      <c r="Q399" s="30" t="inlineStr">
        <is>
          <t xml:space="preserve">Rhode Island</t>
        </is>
      </c>
      <c r="R399" s="30" t="inlineStr">
        <is>
          <t xml:space="preserve">02903</t>
        </is>
      </c>
      <c r="S399" s="32" t="inlineStr">
        <is>
          <t xml:space="preserve">Tier 3 - Coastal wind (25-100 miles)</t>
        </is>
      </c>
      <c r="T399" s="36">
        <f>IF($A399="","",IF($S399="","",IFERROR(INDEX('[1]natural catastrophe'!$D$6:$D$17,MATCH($S399,'[1]natural catastrophe'!$B$6:$B$17,0)),"?")))</f>
      </c>
      <c r="U399" s="30" t="inlineStr">
        <is>
          <t xml:space="preserve">2% of agreed value, minimum $10,000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4278.47</v>
      </c>
      <c r="AC399" s="37">
        <v>0</v>
      </c>
      <c r="AD399" s="38">
        <f>IF(ISNUMBER($AB399),$AB399*(1+N($AC399)),"")</f>
      </c>
      <c r="AE399" s="35">
        <v>350</v>
      </c>
      <c r="AF399" s="35">
        <v>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CANON-202607-010068</t>
        </is>
      </c>
      <c r="B400" s="46" t="inlineStr">
        <is>
          <t xml:space="preserve">Ottilie Thistlewood</t>
        </is>
      </c>
      <c r="C400" s="47">
        <v>46227</v>
      </c>
      <c r="D400" s="48" t="inlineStr">
        <is>
          <t xml:space="preserve">Bound - within authority</t>
        </is>
      </c>
      <c r="E400" s="48" t="inlineStr">
        <is>
          <t xml:space="preserve">New business</t>
        </is>
      </c>
      <c r="F400" s="46" t="inlineStr">
        <is>
          <t xml:space="preserve">B1234EXOTIC26</t>
        </is>
      </c>
      <c r="G400" s="33">
        <f>IF($A400="","",IF($C400="","",YEAR($C400)))</f>
      </c>
      <c r="H400" s="49">
        <v>1975</v>
      </c>
      <c r="I400" s="46" t="inlineStr">
        <is>
          <t xml:space="preserve">Ferrari</t>
        </is>
      </c>
      <c r="J400" s="46" t="inlineStr">
        <is>
          <t xml:space="preserve">296 GTB</t>
        </is>
      </c>
      <c r="K400" s="46" t="inlineStr">
        <is>
          <t xml:space="preserve">NWM2CDR2982BF7GMU</t>
        </is>
      </c>
      <c r="L400" s="48" t="inlineStr">
        <is>
          <t xml:space="preserve">03 - Supercar</t>
        </is>
      </c>
      <c r="M400" s="50">
        <v>1790000</v>
      </c>
      <c r="N400" s="48" t="inlineStr">
        <is>
          <t xml:space="preserve">Personal</t>
        </is>
      </c>
      <c r="O400" s="46" t="inlineStr">
        <is>
          <t xml:space="preserve">Personal - regular use</t>
        </is>
      </c>
      <c r="P400" s="46" t="inlineStr">
        <is>
          <t xml:space="preserve">2,500 - 5,000</t>
        </is>
      </c>
      <c r="Q400" s="46" t="inlineStr">
        <is>
          <t xml:space="preserve">Ohio</t>
        </is>
      </c>
      <c r="R400" s="46" t="inlineStr">
        <is>
          <t xml:space="preserve">43215</t>
        </is>
      </c>
      <c r="S400" s="48" t="inlineStr">
        <is>
          <t xml:space="preserve">Severe convective - hail / tornado (moderate)</t>
        </is>
      </c>
      <c r="T400" s="36">
        <f>IF($A400="","",IF($S400="","",IFERROR(INDEX('[1]natural catastrophe'!$D$6:$D$17,MATCH($S400,'[1]natural catastrophe'!$B$6:$B$17,0)),"?")))</f>
      </c>
      <c r="U400" s="46" t="inlineStr">
        <is>
          <t xml:space="preserve">$5,000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28580.29</v>
      </c>
      <c r="AC400" s="51">
        <v>0</v>
      </c>
      <c r="AD400" s="38">
        <f>IF(ISNUMBER($AB400),$AB400*(1+N($AC400)),"")</f>
      </c>
      <c r="AE400" s="50">
        <v>350</v>
      </c>
      <c r="AF400" s="50">
        <v>250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CANON-202607-010069</t>
        </is>
      </c>
      <c r="B401" s="30" t="inlineStr">
        <is>
          <t xml:space="preserve">Lorenzo Pennington</t>
        </is>
      </c>
      <c r="C401" s="31">
        <v>46209</v>
      </c>
      <c r="D401" s="32" t="inlineStr">
        <is>
          <t xml:space="preserve">Bound - within authority</t>
        </is>
      </c>
      <c r="E401" s="32" t="inlineStr">
        <is>
          <t xml:space="preserve">New business</t>
        </is>
      </c>
      <c r="F401" s="30" t="inlineStr">
        <is>
          <t xml:space="preserve">B1234EXOTIC26</t>
        </is>
      </c>
      <c r="G401" s="33">
        <f>IF($A401="","",IF($C401="","",YEAR($C401)))</f>
      </c>
      <c r="H401" s="34">
        <v>1986</v>
      </c>
      <c r="I401" s="30" t="inlineStr">
        <is>
          <t xml:space="preserve">Aston Martin</t>
        </is>
      </c>
      <c r="J401" s="30" t="inlineStr">
        <is>
          <t xml:space="preserve">DB12</t>
        </is>
      </c>
      <c r="K401" s="30" t="inlineStr">
        <is>
          <t xml:space="preserve">P92ERKDUZ70RE8CZW</t>
        </is>
      </c>
      <c r="L401" s="32" t="inlineStr">
        <is>
          <t xml:space="preserve">02 - Sports / GT</t>
        </is>
      </c>
      <c r="M401" s="35">
        <v>1795000</v>
      </c>
      <c r="N401" s="32" t="inlineStr">
        <is>
          <t xml:space="preserve">Personal</t>
        </is>
      </c>
      <c r="O401" s="30" t="inlineStr">
        <is>
          <t xml:space="preserve">Personal - regular use</t>
        </is>
      </c>
      <c r="P401" s="30" t="inlineStr">
        <is>
          <t xml:space="preserve">Under 1,000</t>
        </is>
      </c>
      <c r="Q401" s="30" t="inlineStr">
        <is>
          <t xml:space="preserve">Texas</t>
        </is>
      </c>
      <c r="R401" s="30" t="inlineStr">
        <is>
          <t xml:space="preserve">75201</t>
        </is>
      </c>
      <c r="S401" s="32" t="inlineStr">
        <is>
          <t xml:space="preserve">Tier 2 - Coastal wind (1-25 miles)</t>
        </is>
      </c>
      <c r="T401" s="36">
        <f>IF($A401="","",IF($S401="","",IFERROR(INDEX('[1]natural catastrophe'!$D$6:$D$17,MATCH($S401,'[1]natural catastrophe'!$B$6:$B$17,0)),"?")))</f>
      </c>
      <c r="U401" s="30" t="inlineStr">
        <is>
          <t xml:space="preserve">2% of agreed value, minimum $10,000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16301.73</v>
      </c>
      <c r="AC401" s="37">
        <v>0</v>
      </c>
      <c r="AD401" s="38">
        <f>IF(ISNUMBER($AB401),$AB401*(1+N($AC401)),"")</f>
      </c>
      <c r="AE401" s="35">
        <v>350</v>
      </c>
      <c r="AF401" s="35">
        <v>250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CANON-202607-010070</t>
        </is>
      </c>
      <c r="B402" s="46" t="inlineStr">
        <is>
          <t xml:space="preserve">Horace Underwood</t>
        </is>
      </c>
      <c r="C402" s="47">
        <v>46216</v>
      </c>
      <c r="D402" s="48" t="inlineStr">
        <is>
          <t xml:space="preserve">Bound - within authority</t>
        </is>
      </c>
      <c r="E402" s="48" t="inlineStr">
        <is>
          <t xml:space="preserve">New business</t>
        </is>
      </c>
      <c r="F402" s="46" t="inlineStr">
        <is>
          <t xml:space="preserve">B1234EXOTIC26</t>
        </is>
      </c>
      <c r="G402" s="33">
        <f>IF($A402="","",IF($C402="","",YEAR($C402)))</f>
      </c>
      <c r="H402" s="49">
        <v>1996</v>
      </c>
      <c r="I402" s="46" t="inlineStr">
        <is>
          <t xml:space="preserve">Aston Martin</t>
        </is>
      </c>
      <c r="J402" s="46" t="inlineStr">
        <is>
          <t xml:space="preserve">DB12</t>
        </is>
      </c>
      <c r="K402" s="46" t="inlineStr">
        <is>
          <t xml:space="preserve">ESE8XNSNKK1AC4A1L</t>
        </is>
      </c>
      <c r="L402" s="48" t="inlineStr">
        <is>
          <t xml:space="preserve">02 - Sports / GT</t>
        </is>
      </c>
      <c r="M402" s="50">
        <v>980000</v>
      </c>
      <c r="N402" s="48" t="inlineStr">
        <is>
          <t xml:space="preserve">Personal</t>
        </is>
      </c>
      <c r="O402" s="46" t="inlineStr">
        <is>
          <t xml:space="preserve">Personal - regular use</t>
        </is>
      </c>
      <c r="P402" s="46" t="inlineStr">
        <is>
          <t xml:space="preserve">1,000 - 2,500</t>
        </is>
      </c>
      <c r="Q402" s="46" t="inlineStr">
        <is>
          <t xml:space="preserve">Kentucky</t>
        </is>
      </c>
      <c r="R402" s="46" t="inlineStr">
        <is>
          <t xml:space="preserve">40202</t>
        </is>
      </c>
      <c r="S402" s="48" t="inlineStr">
        <is>
          <t xml:space="preserve">Severe convective - hail / tornado (moderate)</t>
        </is>
      </c>
      <c r="T402" s="36">
        <f>IF($A402="","",IF($S402="","",IFERROR(INDEX('[1]natural catastrophe'!$D$6:$D$17,MATCH($S402,'[1]natural catastrophe'!$B$6:$B$17,0)),"?")))</f>
      </c>
      <c r="U402" s="46" t="inlineStr">
        <is>
          <t xml:space="preserve">$5,000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12256.12</v>
      </c>
      <c r="AC402" s="51">
        <v>0</v>
      </c>
      <c r="AD402" s="38">
        <f>IF(ISNUMBER($AB402),$AB402*(1+N($AC402)),"")</f>
      </c>
      <c r="AE402" s="50">
        <v>350</v>
      </c>
      <c r="AF402" s="50">
        <v>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CANON-202607-010071</t>
        </is>
      </c>
      <c r="B403" s="30" t="inlineStr">
        <is>
          <t xml:space="preserve">Sunniva Nakashima</t>
        </is>
      </c>
      <c r="C403" s="31">
        <v>46204</v>
      </c>
      <c r="D403" s="32" t="inlineStr">
        <is>
          <t xml:space="preserve">Bound - within authority</t>
        </is>
      </c>
      <c r="E403" s="32" t="inlineStr">
        <is>
          <t xml:space="preserve">New business</t>
        </is>
      </c>
      <c r="F403" s="30" t="inlineStr">
        <is>
          <t xml:space="preserve">B1234EXOTIC26</t>
        </is>
      </c>
      <c r="G403" s="33">
        <f>IF($A403="","",IF($C403="","",YEAR($C403)))</f>
      </c>
      <c r="H403" s="34">
        <v>1998</v>
      </c>
      <c r="I403" s="30" t="inlineStr">
        <is>
          <t xml:space="preserve">Lamborghini</t>
        </is>
      </c>
      <c r="J403" s="30" t="inlineStr">
        <is>
          <t xml:space="preserve">Huracan EVO</t>
        </is>
      </c>
      <c r="K403" s="30" t="inlineStr">
        <is>
          <t xml:space="preserve">V4VWJBFVC2GKLLAPH</t>
        </is>
      </c>
      <c r="L403" s="32" t="inlineStr">
        <is>
          <t xml:space="preserve">03 - Supercar</t>
        </is>
      </c>
      <c r="M403" s="35">
        <v>1360000</v>
      </c>
      <c r="N403" s="32" t="inlineStr">
        <is>
          <t xml:space="preserve">Personal</t>
        </is>
      </c>
      <c r="O403" s="30" t="inlineStr">
        <is>
          <t xml:space="preserve">Personal - regular use</t>
        </is>
      </c>
      <c r="P403" s="30" t="inlineStr">
        <is>
          <t xml:space="preserve">1,000 - 2,500</t>
        </is>
      </c>
      <c r="Q403" s="30" t="inlineStr">
        <is>
          <t xml:space="preserve">Indiana</t>
        </is>
      </c>
      <c r="R403" s="30" t="inlineStr">
        <is>
          <t xml:space="preserve">46204</t>
        </is>
      </c>
      <c r="S403" s="32" t="inlineStr">
        <is>
          <t xml:space="preserve">Severe convective - hail / tornado (moderate)</t>
        </is>
      </c>
      <c r="T403" s="36">
        <f>IF($A403="","",IF($S403="","",IFERROR(INDEX('[1]natural catastrophe'!$D$6:$D$17,MATCH($S403,'[1]natural catastrophe'!$B$6:$B$17,0)),"?")))</f>
      </c>
      <c r="U403" s="30" t="inlineStr">
        <is>
          <t xml:space="preserve">$5,000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19215.11</v>
      </c>
      <c r="AC403" s="37">
        <v>0</v>
      </c>
      <c r="AD403" s="38">
        <f>IF(ISNUMBER($AB403),$AB403*(1+N($AC403)),"")</f>
      </c>
      <c r="AE403" s="35">
        <v>350</v>
      </c>
      <c r="AF403" s="35">
        <v>250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CANON-202607-010072</t>
        </is>
      </c>
      <c r="B404" s="46" t="inlineStr">
        <is>
          <t xml:space="preserve">Emiliano Larsson</t>
        </is>
      </c>
      <c r="C404" s="47">
        <v>46215</v>
      </c>
      <c r="D404" s="48" t="inlineStr">
        <is>
          <t xml:space="preserve">Bound - within authority</t>
        </is>
      </c>
      <c r="E404" s="48" t="inlineStr">
        <is>
          <t xml:space="preserve">New business</t>
        </is>
      </c>
      <c r="F404" s="46" t="inlineStr">
        <is>
          <t xml:space="preserve">B1234EXOTIC26</t>
        </is>
      </c>
      <c r="G404" s="33">
        <f>IF($A404="","",IF($C404="","",YEAR($C404)))</f>
      </c>
      <c r="H404" s="49">
        <v>1997</v>
      </c>
      <c r="I404" s="46" t="inlineStr">
        <is>
          <t xml:space="preserve">McLaren</t>
        </is>
      </c>
      <c r="J404" s="46" t="inlineStr">
        <is>
          <t xml:space="preserve">750S</t>
        </is>
      </c>
      <c r="K404" s="46" t="inlineStr">
        <is>
          <t xml:space="preserve">0PMXB4EVCJULPLCZT</t>
        </is>
      </c>
      <c r="L404" s="48" t="inlineStr">
        <is>
          <t xml:space="preserve">03 - Supercar</t>
        </is>
      </c>
      <c r="M404" s="50">
        <v>1015000</v>
      </c>
      <c r="N404" s="48" t="inlineStr">
        <is>
          <t xml:space="preserve">Personal</t>
        </is>
      </c>
      <c r="O404" s="46" t="inlineStr">
        <is>
          <t xml:space="preserve">Personal - regular use</t>
        </is>
      </c>
      <c r="P404" s="46" t="inlineStr">
        <is>
          <t xml:space="preserve">2,500 - 5,000</t>
        </is>
      </c>
      <c r="Q404" s="46" t="inlineStr">
        <is>
          <t xml:space="preserve">North Carolina</t>
        </is>
      </c>
      <c r="R404" s="46" t="inlineStr">
        <is>
          <t xml:space="preserve">28202</t>
        </is>
      </c>
      <c r="S404" s="48" t="inlineStr">
        <is>
          <t xml:space="preserve">Tier 2 - Coastal wind (1-25 miles)</t>
        </is>
      </c>
      <c r="T404" s="36">
        <f>IF($A404="","",IF($S404="","",IFERROR(INDEX('[1]natural catastrophe'!$D$6:$D$17,MATCH($S404,'[1]natural catastrophe'!$B$6:$B$17,0)),"?")))</f>
      </c>
      <c r="U404" s="46" t="inlineStr">
        <is>
          <t xml:space="preserve">2% of agreed value, minimum $10,000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13407.96</v>
      </c>
      <c r="AC404" s="51">
        <v>0</v>
      </c>
      <c r="AD404" s="38">
        <f>IF(ISNUMBER($AB404),$AB404*(1+N($AC404)),"")</f>
      </c>
      <c r="AE404" s="50">
        <v>350</v>
      </c>
      <c r="AF404" s="50">
        <v>250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CANON-202607-010073</t>
        </is>
      </c>
      <c r="B405" s="30" t="inlineStr">
        <is>
          <t xml:space="preserve">Priya Whitlock</t>
        </is>
      </c>
      <c r="C405" s="31">
        <v>46234</v>
      </c>
      <c r="D405" s="32" t="inlineStr">
        <is>
          <t xml:space="preserve">Bound - within authority</t>
        </is>
      </c>
      <c r="E405" s="32" t="inlineStr">
        <is>
          <t xml:space="preserve">New business</t>
        </is>
      </c>
      <c r="F405" s="30" t="inlineStr">
        <is>
          <t xml:space="preserve">B1234EXOTIC26</t>
        </is>
      </c>
      <c r="G405" s="33">
        <f>IF($A405="","",IF($C405="","",YEAR($C405)))</f>
      </c>
      <c r="H405" s="34">
        <v>2007</v>
      </c>
      <c r="I405" s="30" t="inlineStr">
        <is>
          <t xml:space="preserve">Aston Martin</t>
        </is>
      </c>
      <c r="J405" s="30" t="inlineStr">
        <is>
          <t xml:space="preserve">DB5</t>
        </is>
      </c>
      <c r="K405" s="30" t="inlineStr">
        <is>
          <t xml:space="preserve">GY3X8Y6FK4E0BU1X4</t>
        </is>
      </c>
      <c r="L405" s="32" t="inlineStr">
        <is>
          <t xml:space="preserve">09 - Youngtimer / Collectible (2000-2010)</t>
        </is>
      </c>
      <c r="M405" s="35">
        <v>530000</v>
      </c>
      <c r="N405" s="32" t="inlineStr">
        <is>
          <t xml:space="preserve">Personal</t>
        </is>
      </c>
      <c r="O405" s="30" t="inlineStr">
        <is>
          <t xml:space="preserve">Personal - regular use</t>
        </is>
      </c>
      <c r="P405" s="30" t="inlineStr">
        <is>
          <t xml:space="preserve">1,000 - 2,500</t>
        </is>
      </c>
      <c r="Q405" s="30" t="inlineStr">
        <is>
          <t xml:space="preserve">North Dakota</t>
        </is>
      </c>
      <c r="R405" s="30" t="inlineStr">
        <is>
          <t xml:space="preserve">58501</t>
        </is>
      </c>
      <c r="S405" s="32" t="inlineStr">
        <is>
          <t xml:space="preserve">Severe convective - hail alley (high)</t>
        </is>
      </c>
      <c r="T405" s="36">
        <f>IF($A405="","",IF($S405="","",IFERROR(INDEX('[1]natural catastrophe'!$D$6:$D$17,MATCH($S405,'[1]natural catastrophe'!$B$6:$B$17,0)),"?")))</f>
      </c>
      <c r="U405" s="30" t="inlineStr">
        <is>
          <t xml:space="preserve">$5,000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3337.75</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CANON-202607-010074</t>
        </is>
      </c>
      <c r="B406" s="46" t="inlineStr">
        <is>
          <t xml:space="preserve">Fenwick Bellandi</t>
        </is>
      </c>
      <c r="C406" s="47">
        <v>46222</v>
      </c>
      <c r="D406" s="48" t="inlineStr">
        <is>
          <t xml:space="preserve">Bound - within authority</t>
        </is>
      </c>
      <c r="E406" s="48" t="inlineStr">
        <is>
          <t xml:space="preserve">New business</t>
        </is>
      </c>
      <c r="F406" s="46" t="inlineStr">
        <is>
          <t xml:space="preserve">B1234EXOTIC26</t>
        </is>
      </c>
      <c r="G406" s="33">
        <f>IF($A406="","",IF($C406="","",YEAR($C406)))</f>
      </c>
      <c r="H406" s="49">
        <v>1982</v>
      </c>
      <c r="I406" s="46" t="inlineStr">
        <is>
          <t xml:space="preserve">Ferrari</t>
        </is>
      </c>
      <c r="J406" s="46" t="inlineStr">
        <is>
          <t xml:space="preserve">275 GTB/4</t>
        </is>
      </c>
      <c r="K406" s="46" t="inlineStr">
        <is>
          <t xml:space="preserve">K141Z6C6GFZJJCSC2</t>
        </is>
      </c>
      <c r="L406" s="48" t="inlineStr">
        <is>
          <t xml:space="preserve">08 - Modern Classic (1973-1999)</t>
        </is>
      </c>
      <c r="M406" s="50">
        <v>755000</v>
      </c>
      <c r="N406" s="48" t="inlineStr">
        <is>
          <t xml:space="preserve">Personal</t>
        </is>
      </c>
      <c r="O406" s="46" t="inlineStr">
        <is>
          <t xml:space="preserve">Personal - regular use</t>
        </is>
      </c>
      <c r="P406" s="46" t="inlineStr">
        <is>
          <t xml:space="preserve">1,000 - 2,500</t>
        </is>
      </c>
      <c r="Q406" s="46" t="inlineStr">
        <is>
          <t xml:space="preserve">Nevada</t>
        </is>
      </c>
      <c r="R406" s="46" t="inlineStr">
        <is>
          <t xml:space="preserve">89101</t>
        </is>
      </c>
      <c r="S406" s="48" t="inlineStr">
        <is>
          <t xml:space="preserve">Wildfire - WUI high hazard</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5453.93</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CANON-202607-010075</t>
        </is>
      </c>
      <c r="B407" s="30" t="inlineStr">
        <is>
          <t xml:space="preserve">Aurelio Nakashima</t>
        </is>
      </c>
      <c r="C407" s="31">
        <v>46220</v>
      </c>
      <c r="D407" s="32" t="inlineStr">
        <is>
          <t xml:space="preserve">Bound - within authority</t>
        </is>
      </c>
      <c r="E407" s="32" t="inlineStr">
        <is>
          <t xml:space="preserve">New business</t>
        </is>
      </c>
      <c r="F407" s="30" t="inlineStr">
        <is>
          <t xml:space="preserve">B1234EXOTIC26</t>
        </is>
      </c>
      <c r="G407" s="33">
        <f>IF($A407="","",IF($C407="","",YEAR($C407)))</f>
      </c>
      <c r="H407" s="34">
        <v>2002</v>
      </c>
      <c r="I407" s="30" t="inlineStr">
        <is>
          <t xml:space="preserve">Ferrari</t>
        </is>
      </c>
      <c r="J407" s="30" t="inlineStr">
        <is>
          <t xml:space="preserve">296 GTB</t>
        </is>
      </c>
      <c r="K407" s="30" t="inlineStr">
        <is>
          <t xml:space="preserve">SBFKX1D9KB3XHA2GU</t>
        </is>
      </c>
      <c r="L407" s="32" t="inlineStr">
        <is>
          <t xml:space="preserve">03 - Supercar</t>
        </is>
      </c>
      <c r="M407" s="35">
        <v>1235000</v>
      </c>
      <c r="N407" s="32" t="inlineStr">
        <is>
          <t xml:space="preserve">Personal</t>
        </is>
      </c>
      <c r="O407" s="30" t="inlineStr">
        <is>
          <t xml:space="preserve">Personal - regular use</t>
        </is>
      </c>
      <c r="P407" s="30" t="inlineStr">
        <is>
          <t xml:space="preserve">1,000 - 2,500</t>
        </is>
      </c>
      <c r="Q407" s="30" t="inlineStr">
        <is>
          <t xml:space="preserve">Minnesota</t>
        </is>
      </c>
      <c r="R407" s="30" t="inlineStr">
        <is>
          <t xml:space="preserve">55401</t>
        </is>
      </c>
      <c r="S407" s="32" t="inlineStr">
        <is>
          <t xml:space="preserve">Severe convective - hail / tornado (moderate)</t>
        </is>
      </c>
      <c r="T407" s="36">
        <f>IF($A407="","",IF($S407="","",IFERROR(INDEX('[1]natural catastrophe'!$D$6:$D$17,MATCH($S407,'[1]natural catastrophe'!$B$6:$B$17,0)),"?")))</f>
      </c>
      <c r="U407" s="30" t="inlineStr">
        <is>
          <t xml:space="preserve">$5,000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18725.77</v>
      </c>
      <c r="AC407" s="37">
        <v>0</v>
      </c>
      <c r="AD407" s="38">
        <f>IF(ISNUMBER($AB407),$AB407*(1+N($AC407)),"")</f>
      </c>
      <c r="AE407" s="35">
        <v>350</v>
      </c>
      <c r="AF407" s="35">
        <v>250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CANON-202607-010076</t>
        </is>
      </c>
      <c r="B408" s="46" t="inlineStr">
        <is>
          <t xml:space="preserve">Horace Harrington</t>
        </is>
      </c>
      <c r="C408" s="47">
        <v>46212</v>
      </c>
      <c r="D408" s="48" t="inlineStr">
        <is>
          <t xml:space="preserve">Bound - within authority</t>
        </is>
      </c>
      <c r="E408" s="48" t="inlineStr">
        <is>
          <t xml:space="preserve">New business</t>
        </is>
      </c>
      <c r="F408" s="46" t="inlineStr">
        <is>
          <t xml:space="preserve">B1234EXOTIC26</t>
        </is>
      </c>
      <c r="G408" s="33">
        <f>IF($A408="","",IF($C408="","",YEAR($C408)))</f>
      </c>
      <c r="H408" s="49">
        <v>2000</v>
      </c>
      <c r="I408" s="46" t="inlineStr">
        <is>
          <t xml:space="preserve">BMW</t>
        </is>
      </c>
      <c r="J408" s="46" t="inlineStr">
        <is>
          <t xml:space="preserve">M8 Competition</t>
        </is>
      </c>
      <c r="K408" s="46" t="inlineStr">
        <is>
          <t xml:space="preserve">YHTY18CAP4T488K8B</t>
        </is>
      </c>
      <c r="L408" s="48" t="inlineStr">
        <is>
          <t xml:space="preserve">02 - Sports / GT</t>
        </is>
      </c>
      <c r="M408" s="50">
        <v>495000</v>
      </c>
      <c r="N408" s="48" t="inlineStr">
        <is>
          <t xml:space="preserve">Personal</t>
        </is>
      </c>
      <c r="O408" s="46" t="inlineStr">
        <is>
          <t xml:space="preserve">Personal - regular use</t>
        </is>
      </c>
      <c r="P408" s="46" t="inlineStr">
        <is>
          <t xml:space="preserve">Under 1,000</t>
        </is>
      </c>
      <c r="Q408" s="46" t="inlineStr">
        <is>
          <t xml:space="preserve">West Virginia</t>
        </is>
      </c>
      <c r="R408" s="46" t="inlineStr">
        <is>
          <t xml:space="preserve">25301</t>
        </is>
      </c>
      <c r="S408" s="48" t="inlineStr">
        <is>
          <t xml:space="preserve">Low hazard - inland benign</t>
        </is>
      </c>
      <c r="T408" s="36">
        <f>IF($A408="","",IF($S408="","",IFERROR(INDEX('[1]natural catastrophe'!$D$6:$D$17,MATCH($S408,'[1]natural catastrophe'!$B$6:$B$17,0)),"?")))</f>
      </c>
      <c r="U408" s="46" t="inlineStr">
        <is>
          <t xml:space="preserve">$5,000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7089.68</v>
      </c>
      <c r="AC408" s="51">
        <v>0</v>
      </c>
      <c r="AD408" s="38">
        <f>IF(ISNUMBER($AB408),$AB408*(1+N($AC408)),"")</f>
      </c>
      <c r="AE408" s="50">
        <v>350</v>
      </c>
      <c r="AF408" s="50">
        <v>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CANON-202607-010078</t>
        </is>
      </c>
      <c r="B409" s="30" t="inlineStr">
        <is>
          <t xml:space="preserve">Callum Chattopadhyay</t>
        </is>
      </c>
      <c r="C409" s="31">
        <v>46215</v>
      </c>
      <c r="D409" s="32" t="inlineStr">
        <is>
          <t xml:space="preserve">Bound - within authority</t>
        </is>
      </c>
      <c r="E409" s="32" t="inlineStr">
        <is>
          <t xml:space="preserve">New business</t>
        </is>
      </c>
      <c r="F409" s="30" t="inlineStr">
        <is>
          <t xml:space="preserve">B1234EXOTIC26</t>
        </is>
      </c>
      <c r="G409" s="33">
        <f>IF($A409="","",IF($C409="","",YEAR($C409)))</f>
      </c>
      <c r="H409" s="34">
        <v>1985</v>
      </c>
      <c r="I409" s="30" t="inlineStr">
        <is>
          <t xml:space="preserve">McLaren</t>
        </is>
      </c>
      <c r="J409" s="30" t="inlineStr">
        <is>
          <t xml:space="preserve">750S</t>
        </is>
      </c>
      <c r="K409" s="30" t="inlineStr">
        <is>
          <t xml:space="preserve">EMTTJ5FZ08JS0TL24</t>
        </is>
      </c>
      <c r="L409" s="32" t="inlineStr">
        <is>
          <t xml:space="preserve">03 - Supercar</t>
        </is>
      </c>
      <c r="M409" s="35">
        <v>685000</v>
      </c>
      <c r="N409" s="32" t="inlineStr">
        <is>
          <t xml:space="preserve">Personal</t>
        </is>
      </c>
      <c r="O409" s="30" t="inlineStr">
        <is>
          <t xml:space="preserve">Personal - regular use</t>
        </is>
      </c>
      <c r="P409" s="30" t="inlineStr">
        <is>
          <t xml:space="preserve">Under 1,000</t>
        </is>
      </c>
      <c r="Q409" s="30" t="inlineStr">
        <is>
          <t xml:space="preserve">Washington</t>
        </is>
      </c>
      <c r="R409" s="30" t="inlineStr">
        <is>
          <t xml:space="preserve">98101</t>
        </is>
      </c>
      <c r="S409" s="32" t="inlineStr">
        <is>
          <t xml:space="preserve">Earthquake - high (CA, Cascadia, New Madrid)</t>
        </is>
      </c>
      <c r="T409" s="36">
        <f>IF($A409="","",IF($S409="","",IFERROR(INDEX('[1]natural catastrophe'!$D$6:$D$17,MATCH($S409,'[1]natural catastrophe'!$B$6:$B$17,0)),"?")))</f>
      </c>
      <c r="U409" s="30" t="inlineStr">
        <is>
          <t xml:space="preserve">$5,000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8970.04</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CANON-202607-010080</t>
        </is>
      </c>
      <c r="B410" s="46" t="inlineStr">
        <is>
          <t xml:space="preserve">Leopold Pennington</t>
        </is>
      </c>
      <c r="C410" s="47">
        <v>46211</v>
      </c>
      <c r="D410" s="48" t="inlineStr">
        <is>
          <t xml:space="preserve">Bound - within authority</t>
        </is>
      </c>
      <c r="E410" s="48" t="inlineStr">
        <is>
          <t xml:space="preserve">New business</t>
        </is>
      </c>
      <c r="F410" s="46" t="inlineStr">
        <is>
          <t xml:space="preserve">B1234EXOTIC26</t>
        </is>
      </c>
      <c r="G410" s="33">
        <f>IF($A410="","",IF($C410="","",YEAR($C410)))</f>
      </c>
      <c r="H410" s="49">
        <v>2016</v>
      </c>
      <c r="I410" s="46" t="inlineStr">
        <is>
          <t xml:space="preserve">Lamborghini</t>
        </is>
      </c>
      <c r="J410" s="46" t="inlineStr">
        <is>
          <t xml:space="preserve">Huracan EVO</t>
        </is>
      </c>
      <c r="K410" s="46" t="inlineStr">
        <is>
          <t xml:space="preserve">28S3UPZNN1UD6EAHK</t>
        </is>
      </c>
      <c r="L410" s="48" t="inlineStr">
        <is>
          <t xml:space="preserve">03 - Supercar</t>
        </is>
      </c>
      <c r="M410" s="50">
        <v>370000</v>
      </c>
      <c r="N410" s="48" t="inlineStr">
        <is>
          <t xml:space="preserve">Personal</t>
        </is>
      </c>
      <c r="O410" s="46" t="inlineStr">
        <is>
          <t xml:space="preserve">Personal - regular use</t>
        </is>
      </c>
      <c r="P410" s="46" t="inlineStr">
        <is>
          <t xml:space="preserve">2,500 - 5,000</t>
        </is>
      </c>
      <c r="Q410" s="46" t="inlineStr">
        <is>
          <t xml:space="preserve">Hawaii</t>
        </is>
      </c>
      <c r="R410" s="46" t="inlineStr">
        <is>
          <t xml:space="preserve">96813</t>
        </is>
      </c>
      <c r="S410" s="48" t="inlineStr">
        <is>
          <t xml:space="preserve">Earthquake - high (CA, Cascadia, New Madrid)</t>
        </is>
      </c>
      <c r="T410" s="36">
        <f>IF($A410="","",IF($S410="","",IFERROR(INDEX('[1]natural catastrophe'!$D$6:$D$17,MATCH($S410,'[1]natural catastrophe'!$B$6:$B$17,0)),"?")))</f>
      </c>
      <c r="U410" s="46" t="inlineStr">
        <is>
          <t xml:space="preserve">$5,000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7942.4</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CANON-202607-010081</t>
        </is>
      </c>
      <c r="B411" s="30" t="inlineStr">
        <is>
          <t xml:space="preserve">Leopold Chattopadhyay</t>
        </is>
      </c>
      <c r="C411" s="31">
        <v>46224</v>
      </c>
      <c r="D411" s="32" t="inlineStr">
        <is>
          <t xml:space="preserve">Bound - within authority</t>
        </is>
      </c>
      <c r="E411" s="32" t="inlineStr">
        <is>
          <t xml:space="preserve">New business</t>
        </is>
      </c>
      <c r="F411" s="30" t="inlineStr">
        <is>
          <t xml:space="preserve">B1234EXOTIC26</t>
        </is>
      </c>
      <c r="G411" s="33">
        <f>IF($A411="","",IF($C411="","",YEAR($C411)))</f>
      </c>
      <c r="H411" s="34">
        <v>1972</v>
      </c>
      <c r="I411" s="30" t="inlineStr">
        <is>
          <t xml:space="preserve">Aston Martin</t>
        </is>
      </c>
      <c r="J411" s="30" t="inlineStr">
        <is>
          <t xml:space="preserve">DB12</t>
        </is>
      </c>
      <c r="K411" s="30" t="inlineStr">
        <is>
          <t xml:space="preserve">5LB00KHBSLANTUBWU</t>
        </is>
      </c>
      <c r="L411" s="32" t="inlineStr">
        <is>
          <t xml:space="preserve">02 - Sports / GT</t>
        </is>
      </c>
      <c r="M411" s="35">
        <v>240000</v>
      </c>
      <c r="N411" s="32" t="inlineStr">
        <is>
          <t xml:space="preserve">Personal</t>
        </is>
      </c>
      <c r="O411" s="30" t="inlineStr">
        <is>
          <t xml:space="preserve">Personal - regular use</t>
        </is>
      </c>
      <c r="P411" s="30" t="inlineStr">
        <is>
          <t xml:space="preserve">Under 1,000</t>
        </is>
      </c>
      <c r="Q411" s="30" t="inlineStr">
        <is>
          <t xml:space="preserve">Connecticut</t>
        </is>
      </c>
      <c r="R411" s="30" t="inlineStr">
        <is>
          <t xml:space="preserve">06103</t>
        </is>
      </c>
      <c r="S411" s="32" t="inlineStr">
        <is>
          <t xml:space="preserve">Tier 3 - Coastal wind (25-100 miles)</t>
        </is>
      </c>
      <c r="T411" s="36">
        <f>IF($A411="","",IF($S411="","",IFERROR(INDEX('[1]natural catastrophe'!$D$6:$D$17,MATCH($S411,'[1]natural catastrophe'!$B$6:$B$17,0)),"?")))</f>
      </c>
      <c r="U411" s="30" t="inlineStr">
        <is>
          <t xml:space="preserve">2% of agreed value, minimum $10,000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3550.8</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CANON-202607-010082</t>
        </is>
      </c>
      <c r="B412" s="46" t="inlineStr">
        <is>
          <t xml:space="preserve">Ottilie Vandermeer</t>
        </is>
      </c>
      <c r="C412" s="47">
        <v>46227</v>
      </c>
      <c r="D412" s="48" t="inlineStr">
        <is>
          <t xml:space="preserve">Bound - within authority</t>
        </is>
      </c>
      <c r="E412" s="48" t="inlineStr">
        <is>
          <t xml:space="preserve">New business</t>
        </is>
      </c>
      <c r="F412" s="46" t="inlineStr">
        <is>
          <t xml:space="preserve">B1234EXOTIC26</t>
        </is>
      </c>
      <c r="G412" s="33">
        <f>IF($A412="","",IF($C412="","",YEAR($C412)))</f>
      </c>
      <c r="H412" s="49">
        <v>1970</v>
      </c>
      <c r="I412" s="46" t="inlineStr">
        <is>
          <t xml:space="preserve">Mercedes-Benz</t>
        </is>
      </c>
      <c r="J412" s="46" t="inlineStr">
        <is>
          <t xml:space="preserve">AMG GT</t>
        </is>
      </c>
      <c r="K412" s="46" t="inlineStr">
        <is>
          <t xml:space="preserve">VBNYPS1U41EXTDC3S</t>
        </is>
      </c>
      <c r="L412" s="48" t="inlineStr">
        <is>
          <t xml:space="preserve">02 - Sports / GT</t>
        </is>
      </c>
      <c r="M412" s="50">
        <v>340000</v>
      </c>
      <c r="N412" s="48" t="inlineStr">
        <is>
          <t xml:space="preserve">Personal</t>
        </is>
      </c>
      <c r="O412" s="46" t="inlineStr">
        <is>
          <t xml:space="preserve">Personal - regular use</t>
        </is>
      </c>
      <c r="P412" s="46" t="inlineStr">
        <is>
          <t xml:space="preserve">2,500 - 5,000</t>
        </is>
      </c>
      <c r="Q412" s="46" t="inlineStr">
        <is>
          <t xml:space="preserve">New Hampshire</t>
        </is>
      </c>
      <c r="R412" s="46" t="inlineStr">
        <is>
          <t xml:space="preserve">03301</t>
        </is>
      </c>
      <c r="S412" s="48" t="inlineStr">
        <is>
          <t xml:space="preserve">Tier 3 - Coastal wind (25-100 miles)</t>
        </is>
      </c>
      <c r="T412" s="36">
        <f>IF($A412="","",IF($S412="","",IFERROR(INDEX('[1]natural catastrophe'!$D$6:$D$17,MATCH($S412,'[1]natural catastrophe'!$B$6:$B$17,0)),"?")))</f>
      </c>
      <c r="U412" s="46" t="inlineStr">
        <is>
          <t xml:space="preserve">2% of agreed value, minimum $10,000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3807.87</v>
      </c>
      <c r="AC412" s="51">
        <v>0</v>
      </c>
      <c r="AD412" s="38">
        <f>IF(ISNUMBER($AB412),$AB412*(1+N($AC412)),"")</f>
      </c>
      <c r="AE412" s="50">
        <v>350</v>
      </c>
      <c r="AF412" s="50">
        <v>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CANON-202607-010083</t>
        </is>
      </c>
      <c r="B413" s="30" t="inlineStr">
        <is>
          <t xml:space="preserve">Ramona Vasquez</t>
        </is>
      </c>
      <c r="C413" s="31">
        <v>46233</v>
      </c>
      <c r="D413" s="32" t="inlineStr">
        <is>
          <t xml:space="preserve">Bound - within authority</t>
        </is>
      </c>
      <c r="E413" s="32" t="inlineStr">
        <is>
          <t xml:space="preserve">New business</t>
        </is>
      </c>
      <c r="F413" s="30" t="inlineStr">
        <is>
          <t xml:space="preserve">B1234EXOTIC26</t>
        </is>
      </c>
      <c r="G413" s="33">
        <f>IF($A413="","",IF($C413="","",YEAR($C413)))</f>
      </c>
      <c r="H413" s="34">
        <v>2020</v>
      </c>
      <c r="I413" s="30" t="inlineStr">
        <is>
          <t xml:space="preserve">Ringbrothers</t>
        </is>
      </c>
      <c r="J413" s="30" t="inlineStr">
        <is>
          <t xml:space="preserve">Mustang</t>
        </is>
      </c>
      <c r="K413" s="30" t="inlineStr">
        <is>
          <t xml:space="preserve">JRRVGD70VMM7955D0</t>
        </is>
      </c>
      <c r="L413" s="32" t="inlineStr">
        <is>
          <t xml:space="preserve">11 - Restomod / Coachbuilt / Bespoke</t>
        </is>
      </c>
      <c r="M413" s="35">
        <v>390000</v>
      </c>
      <c r="N413" s="32" t="inlineStr">
        <is>
          <t xml:space="preserve">Personal</t>
        </is>
      </c>
      <c r="O413" s="30" t="inlineStr">
        <is>
          <t xml:space="preserve">Personal - regular use</t>
        </is>
      </c>
      <c r="P413" s="30" t="inlineStr">
        <is>
          <t xml:space="preserve">Under 1,000</t>
        </is>
      </c>
      <c r="Q413" s="30" t="inlineStr">
        <is>
          <t xml:space="preserve">Nebraska</t>
        </is>
      </c>
      <c r="R413" s="30" t="inlineStr">
        <is>
          <t xml:space="preserve">68102</t>
        </is>
      </c>
      <c r="S413" s="32" t="inlineStr">
        <is>
          <t xml:space="preserve">Severe convective - hail alley (high)</t>
        </is>
      </c>
      <c r="T413" s="36">
        <f>IF($A413="","",IF($S413="","",IFERROR(INDEX('[1]natural catastrophe'!$D$6:$D$17,MATCH($S413,'[1]natural catastrophe'!$B$6:$B$17,0)),"?")))</f>
      </c>
      <c r="U413" s="30" t="inlineStr">
        <is>
          <t xml:space="preserve">$5,000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6406.18</v>
      </c>
      <c r="AC413" s="37">
        <v>0</v>
      </c>
      <c r="AD413" s="38">
        <f>IF(ISNUMBER($AB413),$AB413*(1+N($AC413)),"")</f>
      </c>
      <c r="AE413" s="35">
        <v>350</v>
      </c>
      <c r="AF413" s="35">
        <v>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CANON-202607-010084</t>
        </is>
      </c>
      <c r="B414" s="46" t="inlineStr">
        <is>
          <t xml:space="preserve">Anouk Castellanos</t>
        </is>
      </c>
      <c r="C414" s="47">
        <v>46227</v>
      </c>
      <c r="D414" s="48" t="inlineStr">
        <is>
          <t xml:space="preserve">Bound - within authority</t>
        </is>
      </c>
      <c r="E414" s="48" t="inlineStr">
        <is>
          <t xml:space="preserve">New business</t>
        </is>
      </c>
      <c r="F414" s="46" t="inlineStr">
        <is>
          <t xml:space="preserve">B1234EXOTIC26</t>
        </is>
      </c>
      <c r="G414" s="33">
        <f>IF($A414="","",IF($C414="","",YEAR($C414)))</f>
      </c>
      <c r="H414" s="49">
        <v>1968</v>
      </c>
      <c r="I414" s="46" t="inlineStr">
        <is>
          <t xml:space="preserve">Ferrari</t>
        </is>
      </c>
      <c r="J414" s="46" t="inlineStr">
        <is>
          <t xml:space="preserve">296 GTB</t>
        </is>
      </c>
      <c r="K414" s="46" t="inlineStr">
        <is>
          <t xml:space="preserve">1MHLLS6EBGF94JARA</t>
        </is>
      </c>
      <c r="L414" s="48" t="inlineStr">
        <is>
          <t xml:space="preserve">03 - Supercar</t>
        </is>
      </c>
      <c r="M414" s="50">
        <v>505000</v>
      </c>
      <c r="N414" s="48" t="inlineStr">
        <is>
          <t xml:space="preserve">Personal</t>
        </is>
      </c>
      <c r="O414" s="46" t="inlineStr">
        <is>
          <t xml:space="preserve">Personal - regular use</t>
        </is>
      </c>
      <c r="P414" s="46" t="inlineStr">
        <is>
          <t xml:space="preserve">2,500 - 5,000</t>
        </is>
      </c>
      <c r="Q414" s="46" t="inlineStr">
        <is>
          <t xml:space="preserve">New Jersey</t>
        </is>
      </c>
      <c r="R414" s="46" t="inlineStr">
        <is>
          <t xml:space="preserve">07102</t>
        </is>
      </c>
      <c r="S414" s="48" t="inlineStr">
        <is>
          <t xml:space="preserve">Tier 3 - Coastal wind (25-100 miles)</t>
        </is>
      </c>
      <c r="T414" s="36">
        <f>IF($A414="","",IF($S414="","",IFERROR(INDEX('[1]natural catastrophe'!$D$6:$D$17,MATCH($S414,'[1]natural catastrophe'!$B$6:$B$17,0)),"?")))</f>
      </c>
      <c r="U414" s="46" t="inlineStr">
        <is>
          <t xml:space="preserve">2% of agreed value, minimum $10,000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6268.52</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CANON-202607-010085</t>
        </is>
      </c>
      <c r="B415" s="30" t="inlineStr">
        <is>
          <t xml:space="preserve">Thaddeus Rourke</t>
        </is>
      </c>
      <c r="C415" s="31">
        <v>46227</v>
      </c>
      <c r="D415" s="32" t="inlineStr">
        <is>
          <t xml:space="preserve">Bound - within authority</t>
        </is>
      </c>
      <c r="E415" s="32" t="inlineStr">
        <is>
          <t xml:space="preserve">New business</t>
        </is>
      </c>
      <c r="F415" s="30" t="inlineStr">
        <is>
          <t xml:space="preserve">B1234EXOTIC26</t>
        </is>
      </c>
      <c r="G415" s="33">
        <f>IF($A415="","",IF($C415="","",YEAR($C415)))</f>
      </c>
      <c r="H415" s="34">
        <v>2010</v>
      </c>
      <c r="I415" s="30" t="inlineStr">
        <is>
          <t xml:space="preserve">BMW</t>
        </is>
      </c>
      <c r="J415" s="30" t="inlineStr">
        <is>
          <t xml:space="preserve">M8 Competition</t>
        </is>
      </c>
      <c r="K415" s="30" t="inlineStr">
        <is>
          <t xml:space="preserve">4REEZ5YJB6TC23CSD</t>
        </is>
      </c>
      <c r="L415" s="32" t="inlineStr">
        <is>
          <t xml:space="preserve">02 - Sports / GT</t>
        </is>
      </c>
      <c r="M415" s="35">
        <v>190000</v>
      </c>
      <c r="N415" s="32" t="inlineStr">
        <is>
          <t xml:space="preserve">Personal</t>
        </is>
      </c>
      <c r="O415" s="30" t="inlineStr">
        <is>
          <t xml:space="preserve">Personal - regular use</t>
        </is>
      </c>
      <c r="P415" s="30" t="inlineStr">
        <is>
          <t xml:space="preserve">2,500 - 5,000</t>
        </is>
      </c>
      <c r="Q415" s="30" t="inlineStr">
        <is>
          <t xml:space="preserve">Michigan</t>
        </is>
      </c>
      <c r="R415" s="30" t="inlineStr">
        <is>
          <t xml:space="preserve">48226</t>
        </is>
      </c>
      <c r="S415" s="32" t="inlineStr">
        <is>
          <t xml:space="preserve">Severe convective - hail / tornado (moderate)</t>
        </is>
      </c>
      <c r="T415" s="36">
        <f>IF($A415="","",IF($S415="","",IFERROR(INDEX('[1]natural catastrophe'!$D$6:$D$17,MATCH($S415,'[1]natural catastrophe'!$B$6:$B$17,0)),"?")))</f>
      </c>
      <c r="U415" s="30" t="inlineStr">
        <is>
          <t xml:space="preserve">$5,000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3890.29</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CANON-202607-010086</t>
        </is>
      </c>
      <c r="B416" s="46" t="inlineStr">
        <is>
          <t xml:space="preserve">Leopold Rourke</t>
        </is>
      </c>
      <c r="C416" s="47">
        <v>46205</v>
      </c>
      <c r="D416" s="48" t="inlineStr">
        <is>
          <t xml:space="preserve">Bound - within authority</t>
        </is>
      </c>
      <c r="E416" s="48" t="inlineStr">
        <is>
          <t xml:space="preserve">New business</t>
        </is>
      </c>
      <c r="F416" s="46" t="inlineStr">
        <is>
          <t xml:space="preserve">B1234EXOTIC26</t>
        </is>
      </c>
      <c r="G416" s="33">
        <f>IF($A416="","",IF($C416="","",YEAR($C416)))</f>
      </c>
      <c r="H416" s="49">
        <v>1973</v>
      </c>
      <c r="I416" s="46" t="inlineStr">
        <is>
          <t xml:space="preserve">Alfa Romeo</t>
        </is>
      </c>
      <c r="J416" s="46" t="inlineStr">
        <is>
          <t xml:space="preserve">8C 2900</t>
        </is>
      </c>
      <c r="K416" s="46" t="inlineStr">
        <is>
          <t xml:space="preserve">4N3A8N8K4M2G75XGM</t>
        </is>
      </c>
      <c r="L416" s="48" t="inlineStr">
        <is>
          <t xml:space="preserve">08 - Modern Classic (1973-1999)</t>
        </is>
      </c>
      <c r="M416" s="50">
        <v>1190000</v>
      </c>
      <c r="N416" s="48" t="inlineStr">
        <is>
          <t xml:space="preserve">Personal</t>
        </is>
      </c>
      <c r="O416" s="46" t="inlineStr">
        <is>
          <t xml:space="preserve">Personal - regular use</t>
        </is>
      </c>
      <c r="P416" s="46" t="inlineStr">
        <is>
          <t xml:space="preserve">Under 1,000</t>
        </is>
      </c>
      <c r="Q416" s="46" t="inlineStr">
        <is>
          <t xml:space="preserve">Washington</t>
        </is>
      </c>
      <c r="R416" s="46" t="inlineStr">
        <is>
          <t xml:space="preserve">98101</t>
        </is>
      </c>
      <c r="S416" s="48" t="inlineStr">
        <is>
          <t xml:space="preserve">Earthquake - high (CA, Cascadia, New Madrid)</t>
        </is>
      </c>
      <c r="T416" s="36">
        <f>IF($A416="","",IF($S416="","",IFERROR(INDEX('[1]natural catastrophe'!$D$6:$D$17,MATCH($S416,'[1]natural catastrophe'!$B$6:$B$17,0)),"?")))</f>
      </c>
      <c r="U416" s="46" t="inlineStr">
        <is>
          <t xml:space="preserve">$5,000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5577.06</v>
      </c>
      <c r="AC416" s="51">
        <v>0</v>
      </c>
      <c r="AD416" s="38">
        <f>IF(ISNUMBER($AB416),$AB416*(1+N($AC416)),"")</f>
      </c>
      <c r="AE416" s="50">
        <v>350</v>
      </c>
      <c r="AF416" s="50">
        <v>250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CANON-202607-010087</t>
        </is>
      </c>
      <c r="B417" s="30" t="inlineStr">
        <is>
          <t xml:space="preserve">Leopold Harrington</t>
        </is>
      </c>
      <c r="C417" s="31">
        <v>46228</v>
      </c>
      <c r="D417" s="32" t="inlineStr">
        <is>
          <t xml:space="preserve">Bound - within authority</t>
        </is>
      </c>
      <c r="E417" s="32" t="inlineStr">
        <is>
          <t xml:space="preserve">New business</t>
        </is>
      </c>
      <c r="F417" s="30" t="inlineStr">
        <is>
          <t xml:space="preserve">B1234EXOTIC26</t>
        </is>
      </c>
      <c r="G417" s="33">
        <f>IF($A417="","",IF($C417="","",YEAR($C417)))</f>
      </c>
      <c r="H417" s="34">
        <v>2014</v>
      </c>
      <c r="I417" s="30" t="inlineStr">
        <is>
          <t xml:space="preserve">Ferrari</t>
        </is>
      </c>
      <c r="J417" s="30" t="inlineStr">
        <is>
          <t xml:space="preserve">275 GTB/4</t>
        </is>
      </c>
      <c r="K417" s="30" t="inlineStr">
        <is>
          <t xml:space="preserve">UCHD2F4GW8PUJKB9B</t>
        </is>
      </c>
      <c r="L417" s="32" t="inlineStr">
        <is>
          <t xml:space="preserve">02 - Sports / GT</t>
        </is>
      </c>
      <c r="M417" s="35">
        <v>235000</v>
      </c>
      <c r="N417" s="32" t="inlineStr">
        <is>
          <t xml:space="preserve">Personal</t>
        </is>
      </c>
      <c r="O417" s="30" t="inlineStr">
        <is>
          <t xml:space="preserve">Personal - regular use</t>
        </is>
      </c>
      <c r="P417" s="30" t="inlineStr">
        <is>
          <t xml:space="preserve">Under 1,000</t>
        </is>
      </c>
      <c r="Q417" s="30" t="inlineStr">
        <is>
          <t xml:space="preserve">California</t>
        </is>
      </c>
      <c r="R417" s="30" t="inlineStr">
        <is>
          <t xml:space="preserve">90012</t>
        </is>
      </c>
      <c r="S417" s="32" t="inlineStr">
        <is>
          <t xml:space="preserve">Earthquake - high (CA, Cascadia, New Madrid)</t>
        </is>
      </c>
      <c r="T417" s="36">
        <f>IF($A417="","",IF($S417="","",IFERROR(INDEX('[1]natural catastrophe'!$D$6:$D$17,MATCH($S417,'[1]natural catastrophe'!$B$6:$B$17,0)),"?")))</f>
      </c>
      <c r="U417" s="30" t="inlineStr">
        <is>
          <t xml:space="preserve">$5,000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2596.48</v>
      </c>
      <c r="AC417" s="37">
        <v>0</v>
      </c>
      <c r="AD417" s="38">
        <f>IF(ISNUMBER($AB417),$AB417*(1+N($AC417)),"")</f>
      </c>
      <c r="AE417" s="35">
        <v>350</v>
      </c>
      <c r="AF417" s="35">
        <v>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CANON-202607-010088</t>
        </is>
      </c>
      <c r="B418" s="46" t="inlineStr">
        <is>
          <t xml:space="preserve">Lorenzo Pennington</t>
        </is>
      </c>
      <c r="C418" s="47">
        <v>46229</v>
      </c>
      <c r="D418" s="48" t="inlineStr">
        <is>
          <t xml:space="preserve">Bound - within authority</t>
        </is>
      </c>
      <c r="E418" s="48" t="inlineStr">
        <is>
          <t xml:space="preserve">New business</t>
        </is>
      </c>
      <c r="F418" s="46" t="inlineStr">
        <is>
          <t xml:space="preserve">B1234EXOTIC26</t>
        </is>
      </c>
      <c r="G418" s="33">
        <f>IF($A418="","",IF($C418="","",YEAR($C418)))</f>
      </c>
      <c r="H418" s="49">
        <v>2011</v>
      </c>
      <c r="I418" s="46" t="inlineStr">
        <is>
          <t xml:space="preserve">Jaguar</t>
        </is>
      </c>
      <c r="J418" s="46" t="inlineStr">
        <is>
          <t xml:space="preserve">E-Type Series 1</t>
        </is>
      </c>
      <c r="K418" s="46" t="inlineStr">
        <is>
          <t xml:space="preserve">LB5JENNF94FSJ1XT3</t>
        </is>
      </c>
      <c r="L418" s="48" t="inlineStr">
        <is>
          <t xml:space="preserve">02 - Sports / GT</t>
        </is>
      </c>
      <c r="M418" s="50">
        <v>1900000</v>
      </c>
      <c r="N418" s="48" t="inlineStr">
        <is>
          <t xml:space="preserve">Personal</t>
        </is>
      </c>
      <c r="O418" s="46" t="inlineStr">
        <is>
          <t xml:space="preserve">Personal - regular use</t>
        </is>
      </c>
      <c r="P418" s="46" t="inlineStr">
        <is>
          <t xml:space="preserve">1,000 - 2,500</t>
        </is>
      </c>
      <c r="Q418" s="46" t="inlineStr">
        <is>
          <t xml:space="preserve">New Jersey</t>
        </is>
      </c>
      <c r="R418" s="46" t="inlineStr">
        <is>
          <t xml:space="preserve">07102</t>
        </is>
      </c>
      <c r="S418" s="48" t="inlineStr">
        <is>
          <t xml:space="preserve">Tier 3 - Coastal wind (25-100 miles)</t>
        </is>
      </c>
      <c r="T418" s="36">
        <f>IF($A418="","",IF($S418="","",IFERROR(INDEX('[1]natural catastrophe'!$D$6:$D$17,MATCH($S418,'[1]natural catastrophe'!$B$6:$B$17,0)),"?")))</f>
      </c>
      <c r="U418" s="46" t="inlineStr">
        <is>
          <t xml:space="preserve">2% of agreed value, minimum $10,000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9433.81</v>
      </c>
      <c r="AC418" s="51">
        <v>0</v>
      </c>
      <c r="AD418" s="38">
        <f>IF(ISNUMBER($AB418),$AB418*(1+N($AC418)),"")</f>
      </c>
      <c r="AE418" s="50">
        <v>350</v>
      </c>
      <c r="AF418" s="50">
        <v>250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CANON-202607-010091</t>
        </is>
      </c>
      <c r="B419" s="30" t="inlineStr">
        <is>
          <t xml:space="preserve">Wilhelmina Underwood</t>
        </is>
      </c>
      <c r="C419" s="31">
        <v>46212</v>
      </c>
      <c r="D419" s="32" t="inlineStr">
        <is>
          <t xml:space="preserve">Bound - within authority</t>
        </is>
      </c>
      <c r="E419" s="32" t="inlineStr">
        <is>
          <t xml:space="preserve">New business</t>
        </is>
      </c>
      <c r="F419" s="30" t="inlineStr">
        <is>
          <t xml:space="preserve">B1234EXOTIC26</t>
        </is>
      </c>
      <c r="G419" s="33">
        <f>IF($A419="","",IF($C419="","",YEAR($C419)))</f>
      </c>
      <c r="H419" s="34">
        <v>2009</v>
      </c>
      <c r="I419" s="30" t="inlineStr">
        <is>
          <t xml:space="preserve">Maserati</t>
        </is>
      </c>
      <c r="J419" s="30" t="inlineStr">
        <is>
          <t xml:space="preserve">GranTurismo</t>
        </is>
      </c>
      <c r="K419" s="30" t="inlineStr">
        <is>
          <t xml:space="preserve">MFBHXPKCTY71BWKP2</t>
        </is>
      </c>
      <c r="L419" s="32" t="inlineStr">
        <is>
          <t xml:space="preserve">02 - Sports / GT</t>
        </is>
      </c>
      <c r="M419" s="35">
        <v>410000</v>
      </c>
      <c r="N419" s="32" t="inlineStr">
        <is>
          <t xml:space="preserve">Personal</t>
        </is>
      </c>
      <c r="O419" s="30" t="inlineStr">
        <is>
          <t xml:space="preserve">Personal - regular use</t>
        </is>
      </c>
      <c r="P419" s="30" t="inlineStr">
        <is>
          <t xml:space="preserve">2,500 - 5,000</t>
        </is>
      </c>
      <c r="Q419" s="30" t="inlineStr">
        <is>
          <t xml:space="preserve">Washington</t>
        </is>
      </c>
      <c r="R419" s="30" t="inlineStr">
        <is>
          <t xml:space="preserve">98101</t>
        </is>
      </c>
      <c r="S419" s="32" t="inlineStr">
        <is>
          <t xml:space="preserve">Earthquake - high (CA, Cascadia, New Madrid)</t>
        </is>
      </c>
      <c r="T419" s="36">
        <f>IF($A419="","",IF($S419="","",IFERROR(INDEX('[1]natural catastrophe'!$D$6:$D$17,MATCH($S419,'[1]natural catastrophe'!$B$6:$B$17,0)),"?")))</f>
      </c>
      <c r="U419" s="30" t="inlineStr">
        <is>
          <t xml:space="preserve">$5,000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4238.63</v>
      </c>
      <c r="AC419" s="37">
        <v>0</v>
      </c>
      <c r="AD419" s="38">
        <f>IF(ISNUMBER($AB419),$AB419*(1+N($AC419)),"")</f>
      </c>
      <c r="AE419" s="35">
        <v>350</v>
      </c>
      <c r="AF419" s="35">
        <v>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CANON-202607-010092</t>
        </is>
      </c>
      <c r="B420" s="46" t="inlineStr">
        <is>
          <t xml:space="preserve">Lorenzo Merriweather</t>
        </is>
      </c>
      <c r="C420" s="47">
        <v>46222</v>
      </c>
      <c r="D420" s="48" t="inlineStr">
        <is>
          <t xml:space="preserve">Bound - within authority</t>
        </is>
      </c>
      <c r="E420" s="48" t="inlineStr">
        <is>
          <t xml:space="preserve">New business</t>
        </is>
      </c>
      <c r="F420" s="46" t="inlineStr">
        <is>
          <t xml:space="preserve">B1234EXOTIC26</t>
        </is>
      </c>
      <c r="G420" s="33">
        <f>IF($A420="","",IF($C420="","",YEAR($C420)))</f>
      </c>
      <c r="H420" s="49">
        <v>1958</v>
      </c>
      <c r="I420" s="46" t="inlineStr">
        <is>
          <t xml:space="preserve">BMW</t>
        </is>
      </c>
      <c r="J420" s="46" t="inlineStr">
        <is>
          <t xml:space="preserve">M8 Competition</t>
        </is>
      </c>
      <c r="K420" s="46" t="inlineStr">
        <is>
          <t xml:space="preserve">C4USL6JX3YH1DPEMZ</t>
        </is>
      </c>
      <c r="L420" s="48" t="inlineStr">
        <is>
          <t xml:space="preserve">02 - Sports / GT</t>
        </is>
      </c>
      <c r="M420" s="50">
        <v>645000</v>
      </c>
      <c r="N420" s="48" t="inlineStr">
        <is>
          <t xml:space="preserve">Personal</t>
        </is>
      </c>
      <c r="O420" s="46" t="inlineStr">
        <is>
          <t xml:space="preserve">Personal - regular use</t>
        </is>
      </c>
      <c r="P420" s="46" t="inlineStr">
        <is>
          <t xml:space="preserve">1,000 - 2,500</t>
        </is>
      </c>
      <c r="Q420" s="46" t="inlineStr">
        <is>
          <t xml:space="preserve">Kentucky</t>
        </is>
      </c>
      <c r="R420" s="46" t="inlineStr">
        <is>
          <t xml:space="preserve">40202</t>
        </is>
      </c>
      <c r="S420" s="48" t="inlineStr">
        <is>
          <t xml:space="preserve">Severe convective - hail / tornado (moderate)</t>
        </is>
      </c>
      <c r="T420" s="36">
        <f>IF($A420="","",IF($S420="","",IFERROR(INDEX('[1]natural catastrophe'!$D$6:$D$17,MATCH($S420,'[1]natural catastrophe'!$B$6:$B$17,0)),"?")))</f>
      </c>
      <c r="U420" s="46" t="inlineStr">
        <is>
          <t xml:space="preserve">$5,000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8066.53</v>
      </c>
      <c r="AC420" s="51">
        <v>0</v>
      </c>
      <c r="AD420" s="38">
        <f>IF(ISNUMBER($AB420),$AB420*(1+N($AC420)),"")</f>
      </c>
      <c r="AE420" s="50">
        <v>350</v>
      </c>
      <c r="AF420" s="50">
        <v>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CANON-202607-010093</t>
        </is>
      </c>
      <c r="B421" s="30" t="inlineStr">
        <is>
          <t xml:space="preserve">Beatrix Fairweather</t>
        </is>
      </c>
      <c r="C421" s="31">
        <v>46204</v>
      </c>
      <c r="D421" s="32" t="inlineStr">
        <is>
          <t xml:space="preserve">Bound - within authority</t>
        </is>
      </c>
      <c r="E421" s="32" t="inlineStr">
        <is>
          <t xml:space="preserve">New business</t>
        </is>
      </c>
      <c r="F421" s="30" t="inlineStr">
        <is>
          <t xml:space="preserve">B1234EXOTIC26</t>
        </is>
      </c>
      <c r="G421" s="33">
        <f>IF($A421="","",IF($C421="","",YEAR($C421)))</f>
      </c>
      <c r="H421" s="34">
        <v>1983</v>
      </c>
      <c r="I421" s="30" t="inlineStr">
        <is>
          <t xml:space="preserve">BMW</t>
        </is>
      </c>
      <c r="J421" s="30" t="inlineStr">
        <is>
          <t xml:space="preserve">M8 Competition</t>
        </is>
      </c>
      <c r="K421" s="30" t="inlineStr">
        <is>
          <t xml:space="preserve">JCW7DDXFMF9XDP10G</t>
        </is>
      </c>
      <c r="L421" s="32" t="inlineStr">
        <is>
          <t xml:space="preserve">02 - Sports / GT</t>
        </is>
      </c>
      <c r="M421" s="35">
        <v>930000</v>
      </c>
      <c r="N421" s="32" t="inlineStr">
        <is>
          <t xml:space="preserve">Personal</t>
        </is>
      </c>
      <c r="O421" s="30" t="inlineStr">
        <is>
          <t xml:space="preserve">Personal - regular use</t>
        </is>
      </c>
      <c r="P421" s="30" t="inlineStr">
        <is>
          <t xml:space="preserve">Under 1,000</t>
        </is>
      </c>
      <c r="Q421" s="30" t="inlineStr">
        <is>
          <t xml:space="preserve">California</t>
        </is>
      </c>
      <c r="R421" s="30" t="inlineStr">
        <is>
          <t xml:space="preserve">90012</t>
        </is>
      </c>
      <c r="S421" s="32" t="inlineStr">
        <is>
          <t xml:space="preserve">Earthquake - high (CA, Cascadia, New Madrid)</t>
        </is>
      </c>
      <c r="T421" s="36">
        <f>IF($A421="","",IF($S421="","",IFERROR(INDEX('[1]natural catastrophe'!$D$6:$D$17,MATCH($S421,'[1]natural catastrophe'!$B$6:$B$17,0)),"?")))</f>
      </c>
      <c r="U421" s="30" t="inlineStr">
        <is>
          <t xml:space="preserve">$5,000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11717.6</v>
      </c>
      <c r="AC421" s="37">
        <v>0</v>
      </c>
      <c r="AD421" s="38">
        <f>IF(ISNUMBER($AB421),$AB421*(1+N($AC421)),"")</f>
      </c>
      <c r="AE421" s="35">
        <v>350</v>
      </c>
      <c r="AF421" s="35">
        <v>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CANON-202607-010094</t>
        </is>
      </c>
      <c r="B422" s="46" t="inlineStr">
        <is>
          <t xml:space="preserve">Priya Okonkwo</t>
        </is>
      </c>
      <c r="C422" s="47">
        <v>46225</v>
      </c>
      <c r="D422" s="48" t="inlineStr">
        <is>
          <t xml:space="preserve">Bound - within authority</t>
        </is>
      </c>
      <c r="E422" s="48" t="inlineStr">
        <is>
          <t xml:space="preserve">New business</t>
        </is>
      </c>
      <c r="F422" s="46" t="inlineStr">
        <is>
          <t xml:space="preserve">B1234EXOTIC26</t>
        </is>
      </c>
      <c r="G422" s="33">
        <f>IF($A422="","",IF($C422="","",YEAR($C422)))</f>
      </c>
      <c r="H422" s="49">
        <v>1965</v>
      </c>
      <c r="I422" s="46" t="inlineStr">
        <is>
          <t xml:space="preserve">Ferrari</t>
        </is>
      </c>
      <c r="J422" s="46" t="inlineStr">
        <is>
          <t xml:space="preserve">SF90 Stradale</t>
        </is>
      </c>
      <c r="K422" s="46" t="inlineStr">
        <is>
          <t xml:space="preserve">9L93VZC3T6SM552TT</t>
        </is>
      </c>
      <c r="L422" s="48" t="inlineStr">
        <is>
          <t xml:space="preserve">03 - Supercar</t>
        </is>
      </c>
      <c r="M422" s="50">
        <v>695000</v>
      </c>
      <c r="N422" s="48" t="inlineStr">
        <is>
          <t xml:space="preserve">Personal</t>
        </is>
      </c>
      <c r="O422" s="46" t="inlineStr">
        <is>
          <t xml:space="preserve">Personal - regular use</t>
        </is>
      </c>
      <c r="P422" s="46" t="inlineStr">
        <is>
          <t xml:space="preserve">Under 1,000</t>
        </is>
      </c>
      <c r="Q422" s="46" t="inlineStr">
        <is>
          <t xml:space="preserve">North Carolina</t>
        </is>
      </c>
      <c r="R422" s="46" t="inlineStr">
        <is>
          <t xml:space="preserve">28202</t>
        </is>
      </c>
      <c r="S422" s="48" t="inlineStr">
        <is>
          <t xml:space="preserve">Tier 2 - Coastal wind (1-25 miles)</t>
        </is>
      </c>
      <c r="T422" s="36">
        <f>IF($A422="","",IF($S422="","",IFERROR(INDEX('[1]natural catastrophe'!$D$6:$D$17,MATCH($S422,'[1]natural catastrophe'!$B$6:$B$17,0)),"?")))</f>
      </c>
      <c r="U422" s="46" t="inlineStr">
        <is>
          <t xml:space="preserve">2% of agreed value, minimum $10,000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10902.22</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CANON-202607-010098</t>
        </is>
      </c>
      <c r="B423" s="30" t="inlineStr">
        <is>
          <t xml:space="preserve">Beatrix Larsson</t>
        </is>
      </c>
      <c r="C423" s="31">
        <v>46233</v>
      </c>
      <c r="D423" s="32" t="inlineStr">
        <is>
          <t xml:space="preserve">Bound - within authority</t>
        </is>
      </c>
      <c r="E423" s="32" t="inlineStr">
        <is>
          <t xml:space="preserve">New business</t>
        </is>
      </c>
      <c r="F423" s="30" t="inlineStr">
        <is>
          <t xml:space="preserve">B1234EXOTIC26</t>
        </is>
      </c>
      <c r="G423" s="33">
        <f>IF($A423="","",IF($C423="","",YEAR($C423)))</f>
      </c>
      <c r="H423" s="34">
        <v>1993</v>
      </c>
      <c r="I423" s="30" t="inlineStr">
        <is>
          <t xml:space="preserve">Ferrari</t>
        </is>
      </c>
      <c r="J423" s="30" t="inlineStr">
        <is>
          <t xml:space="preserve">SF90 Stradale</t>
        </is>
      </c>
      <c r="K423" s="30" t="inlineStr">
        <is>
          <t xml:space="preserve">HCBD5BR68JJLRKMDA</t>
        </is>
      </c>
      <c r="L423" s="32" t="inlineStr">
        <is>
          <t xml:space="preserve">03 - Supercar</t>
        </is>
      </c>
      <c r="M423" s="35">
        <v>1315000</v>
      </c>
      <c r="N423" s="32" t="inlineStr">
        <is>
          <t xml:space="preserve">Personal</t>
        </is>
      </c>
      <c r="O423" s="30" t="inlineStr">
        <is>
          <t xml:space="preserve">Personal - regular use</t>
        </is>
      </c>
      <c r="P423" s="30" t="inlineStr">
        <is>
          <t xml:space="preserve">Under 1,000</t>
        </is>
      </c>
      <c r="Q423" s="30" t="inlineStr">
        <is>
          <t xml:space="preserve">Texas</t>
        </is>
      </c>
      <c r="R423" s="30" t="inlineStr">
        <is>
          <t xml:space="preserve">75201</t>
        </is>
      </c>
      <c r="S423" s="32" t="inlineStr">
        <is>
          <t xml:space="preserve">Tier 2 - Coastal wind (1-25 miles)</t>
        </is>
      </c>
      <c r="T423" s="36">
        <f>IF($A423="","",IF($S423="","",IFERROR(INDEX('[1]natural catastrophe'!$D$6:$D$17,MATCH($S423,'[1]natural catastrophe'!$B$6:$B$17,0)),"?")))</f>
      </c>
      <c r="U423" s="30" t="inlineStr">
        <is>
          <t xml:space="preserve">2% of agreed value, minimum $10,000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17370.91</v>
      </c>
      <c r="AC423" s="37">
        <v>0</v>
      </c>
      <c r="AD423" s="38">
        <f>IF(ISNUMBER($AB423),$AB423*(1+N($AC423)),"")</f>
      </c>
      <c r="AE423" s="35">
        <v>350</v>
      </c>
      <c r="AF423" s="35">
        <v>250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CANON-202607-010099</t>
        </is>
      </c>
      <c r="B424" s="46" t="inlineStr">
        <is>
          <t xml:space="preserve">Everett Chattopadhyay</t>
        </is>
      </c>
      <c r="C424" s="47">
        <v>46211</v>
      </c>
      <c r="D424" s="48" t="inlineStr">
        <is>
          <t xml:space="preserve">Bound - within authority</t>
        </is>
      </c>
      <c r="E424" s="48" t="inlineStr">
        <is>
          <t xml:space="preserve">New business</t>
        </is>
      </c>
      <c r="F424" s="46" t="inlineStr">
        <is>
          <t xml:space="preserve">B1234EXOTIC26</t>
        </is>
      </c>
      <c r="G424" s="33">
        <f>IF($A424="","",IF($C424="","",YEAR($C424)))</f>
      </c>
      <c r="H424" s="49">
        <v>1967</v>
      </c>
      <c r="I424" s="46" t="inlineStr">
        <is>
          <t xml:space="preserve">BMW</t>
        </is>
      </c>
      <c r="J424" s="46" t="inlineStr">
        <is>
          <t xml:space="preserve">M8 Competition</t>
        </is>
      </c>
      <c r="K424" s="46" t="inlineStr">
        <is>
          <t xml:space="preserve">EY2P6C214N8E7HDKE</t>
        </is>
      </c>
      <c r="L424" s="48" t="inlineStr">
        <is>
          <t xml:space="preserve">02 - Sports / GT</t>
        </is>
      </c>
      <c r="M424" s="50">
        <v>760000</v>
      </c>
      <c r="N424" s="48" t="inlineStr">
        <is>
          <t xml:space="preserve">Personal</t>
        </is>
      </c>
      <c r="O424" s="46" t="inlineStr">
        <is>
          <t xml:space="preserve">Personal - regular use</t>
        </is>
      </c>
      <c r="P424" s="46" t="inlineStr">
        <is>
          <t xml:space="preserve">2,500 - 5,000</t>
        </is>
      </c>
      <c r="Q424" s="46" t="inlineStr">
        <is>
          <t xml:space="preserve">Hawaii</t>
        </is>
      </c>
      <c r="R424" s="46" t="inlineStr">
        <is>
          <t xml:space="preserve">96813</t>
        </is>
      </c>
      <c r="S424" s="48" t="inlineStr">
        <is>
          <t xml:space="preserve">Earthquake - high (CA, Cascadia, New Madrid)</t>
        </is>
      </c>
      <c r="T424" s="36">
        <f>IF($A424="","",IF($S424="","",IFERROR(INDEX('[1]natural catastrophe'!$D$6:$D$17,MATCH($S424,'[1]natural catastrophe'!$B$6:$B$17,0)),"?")))</f>
      </c>
      <c r="U424" s="46" t="inlineStr">
        <is>
          <t xml:space="preserve">$5,000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9221.02</v>
      </c>
      <c r="AC424" s="51">
        <v>0</v>
      </c>
      <c r="AD424" s="38">
        <f>IF(ISNUMBER($AB424),$AB424*(1+N($AC424)),"")</f>
      </c>
      <c r="AE424" s="50">
        <v>350</v>
      </c>
      <c r="AF424" s="50">
        <v>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CANON-202607-010100</t>
        </is>
      </c>
      <c r="B425" s="30" t="inlineStr">
        <is>
          <t xml:space="preserve">Beatrix Whitlock</t>
        </is>
      </c>
      <c r="C425" s="31">
        <v>46223</v>
      </c>
      <c r="D425" s="32" t="inlineStr">
        <is>
          <t xml:space="preserve">Bound - within authority</t>
        </is>
      </c>
      <c r="E425" s="32" t="inlineStr">
        <is>
          <t xml:space="preserve">New business</t>
        </is>
      </c>
      <c r="F425" s="30" t="inlineStr">
        <is>
          <t xml:space="preserve">B1234EXOTIC26</t>
        </is>
      </c>
      <c r="G425" s="33">
        <f>IF($A425="","",IF($C425="","",YEAR($C425)))</f>
      </c>
      <c r="H425" s="34">
        <v>1968</v>
      </c>
      <c r="I425" s="30" t="inlineStr">
        <is>
          <t xml:space="preserve">Mercedes-Benz</t>
        </is>
      </c>
      <c r="J425" s="30" t="inlineStr">
        <is>
          <t xml:space="preserve">280SL Pagoda</t>
        </is>
      </c>
      <c r="K425" s="30" t="inlineStr">
        <is>
          <t xml:space="preserve">TKA41RC2XPC8LS3KS</t>
        </is>
      </c>
      <c r="L425" s="32" t="inlineStr">
        <is>
          <t xml:space="preserve">07 - Post-War Classic (1946-1972)</t>
        </is>
      </c>
      <c r="M425" s="35">
        <v>940000</v>
      </c>
      <c r="N425" s="32" t="inlineStr">
        <is>
          <t xml:space="preserve">Personal</t>
        </is>
      </c>
      <c r="O425" s="30" t="inlineStr">
        <is>
          <t xml:space="preserve">Personal - regular use</t>
        </is>
      </c>
      <c r="P425" s="30" t="inlineStr">
        <is>
          <t xml:space="preserve">1,000 - 2,500</t>
        </is>
      </c>
      <c r="Q425" s="30" t="inlineStr">
        <is>
          <t xml:space="preserve">Texas</t>
        </is>
      </c>
      <c r="R425" s="30" t="inlineStr">
        <is>
          <t xml:space="preserve">75201</t>
        </is>
      </c>
      <c r="S425" s="32" t="inlineStr">
        <is>
          <t xml:space="preserve">Tier 2 - Coastal wind (1-25 miles)</t>
        </is>
      </c>
      <c r="T425" s="36">
        <f>IF($A425="","",IF($S425="","",IFERROR(INDEX('[1]natural catastrophe'!$D$6:$D$17,MATCH($S425,'[1]natural catastrophe'!$B$6:$B$17,0)),"?")))</f>
      </c>
      <c r="U425" s="30" t="inlineStr">
        <is>
          <t xml:space="preserve">2% of agreed value, minimum $10,000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6674.26</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CANON-202607-010101</t>
        </is>
      </c>
      <c r="B426" s="46" t="inlineStr">
        <is>
          <t xml:space="preserve">Lorenzo Blackwood</t>
        </is>
      </c>
      <c r="C426" s="47">
        <v>46215</v>
      </c>
      <c r="D426" s="48" t="inlineStr">
        <is>
          <t xml:space="preserve">Bound - within authority</t>
        </is>
      </c>
      <c r="E426" s="48" t="inlineStr">
        <is>
          <t xml:space="preserve">New business</t>
        </is>
      </c>
      <c r="F426" s="46" t="inlineStr">
        <is>
          <t xml:space="preserve">B1234EXOTIC26</t>
        </is>
      </c>
      <c r="G426" s="33">
        <f>IF($A426="","",IF($C426="","",YEAR($C426)))</f>
      </c>
      <c r="H426" s="49">
        <v>1997</v>
      </c>
      <c r="I426" s="46" t="inlineStr">
        <is>
          <t xml:space="preserve">Jaguar</t>
        </is>
      </c>
      <c r="J426" s="46" t="inlineStr">
        <is>
          <t xml:space="preserve">E-Type Series 1</t>
        </is>
      </c>
      <c r="K426" s="46" t="inlineStr">
        <is>
          <t xml:space="preserve">SFY2S4PERW91UZ79J</t>
        </is>
      </c>
      <c r="L426" s="48" t="inlineStr">
        <is>
          <t xml:space="preserve">08 - Modern Classic (1973-1999)</t>
        </is>
      </c>
      <c r="M426" s="50">
        <v>925000</v>
      </c>
      <c r="N426" s="48" t="inlineStr">
        <is>
          <t xml:space="preserve">Personal</t>
        </is>
      </c>
      <c r="O426" s="46" t="inlineStr">
        <is>
          <t xml:space="preserve">Personal - regular use</t>
        </is>
      </c>
      <c r="P426" s="46" t="inlineStr">
        <is>
          <t xml:space="preserve">2,500 - 5,000</t>
        </is>
      </c>
      <c r="Q426" s="46" t="inlineStr">
        <is>
          <t xml:space="preserve">Pennsylvania</t>
        </is>
      </c>
      <c r="R426" s="46" t="inlineStr">
        <is>
          <t xml:space="preserve">19103</t>
        </is>
      </c>
      <c r="S426" s="48" t="inlineStr">
        <is>
          <t xml:space="preserve">Low hazard - inland benign</t>
        </is>
      </c>
      <c r="T426" s="36">
        <f>IF($A426="","",IF($S426="","",IFERROR(INDEX('[1]natural catastrophe'!$D$6:$D$17,MATCH($S426,'[1]natural catastrophe'!$B$6:$B$17,0)),"?")))</f>
      </c>
      <c r="U426" s="46" t="inlineStr">
        <is>
          <t xml:space="preserve">$5,000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5711.09</v>
      </c>
      <c r="AC426" s="51">
        <v>0</v>
      </c>
      <c r="AD426" s="38">
        <f>IF(ISNUMBER($AB426),$AB426*(1+N($AC426)),"")</f>
      </c>
      <c r="AE426" s="50">
        <v>350</v>
      </c>
      <c r="AF426" s="50">
        <v>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CANON-202607-010102</t>
        </is>
      </c>
      <c r="B427" s="30" t="inlineStr">
        <is>
          <t xml:space="preserve">Leopold Fairweather</t>
        </is>
      </c>
      <c r="C427" s="31">
        <v>46223</v>
      </c>
      <c r="D427" s="32" t="inlineStr">
        <is>
          <t xml:space="preserve">Bound - within authority</t>
        </is>
      </c>
      <c r="E427" s="32" t="inlineStr">
        <is>
          <t xml:space="preserve">New business</t>
        </is>
      </c>
      <c r="F427" s="30" t="inlineStr">
        <is>
          <t xml:space="preserve">B1234EXOTIC26</t>
        </is>
      </c>
      <c r="G427" s="33">
        <f>IF($A427="","",IF($C427="","",YEAR($C427)))</f>
      </c>
      <c r="H427" s="34">
        <v>1990</v>
      </c>
      <c r="I427" s="30" t="inlineStr">
        <is>
          <t xml:space="preserve">Ferrari</t>
        </is>
      </c>
      <c r="J427" s="30" t="inlineStr">
        <is>
          <t xml:space="preserve">SF90 Stradale</t>
        </is>
      </c>
      <c r="K427" s="30" t="inlineStr">
        <is>
          <t xml:space="preserve">LVXJE4Y5JDUNGDFWY</t>
        </is>
      </c>
      <c r="L427" s="32" t="inlineStr">
        <is>
          <t xml:space="preserve">03 - Supercar</t>
        </is>
      </c>
      <c r="M427" s="35">
        <v>435000</v>
      </c>
      <c r="N427" s="32" t="inlineStr">
        <is>
          <t xml:space="preserve">Personal</t>
        </is>
      </c>
      <c r="O427" s="30" t="inlineStr">
        <is>
          <t xml:space="preserve">Personal - regular use</t>
        </is>
      </c>
      <c r="P427" s="30" t="inlineStr">
        <is>
          <t xml:space="preserve">2,500 - 5,000</t>
        </is>
      </c>
      <c r="Q427" s="30" t="inlineStr">
        <is>
          <t xml:space="preserve">New Hampshire</t>
        </is>
      </c>
      <c r="R427" s="30" t="inlineStr">
        <is>
          <t xml:space="preserve">03301</t>
        </is>
      </c>
      <c r="S427" s="32" t="inlineStr">
        <is>
          <t xml:space="preserve">Tier 3 - Coastal wind (25-100 miles)</t>
        </is>
      </c>
      <c r="T427" s="36">
        <f>IF($A427="","",IF($S427="","",IFERROR(INDEX('[1]natural catastrophe'!$D$6:$D$17,MATCH($S427,'[1]natural catastrophe'!$B$6:$B$17,0)),"?")))</f>
      </c>
      <c r="U427" s="30" t="inlineStr">
        <is>
          <t xml:space="preserve">2% of agreed value, minimum $10,000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7470.15</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CANON-202607-010103</t>
        </is>
      </c>
      <c r="B428" s="46" t="inlineStr">
        <is>
          <t xml:space="preserve">Ingrid Underwood</t>
        </is>
      </c>
      <c r="C428" s="47">
        <v>46222</v>
      </c>
      <c r="D428" s="48" t="inlineStr">
        <is>
          <t xml:space="preserve">Bound - within authority</t>
        </is>
      </c>
      <c r="E428" s="48" t="inlineStr">
        <is>
          <t xml:space="preserve">New business</t>
        </is>
      </c>
      <c r="F428" s="46" t="inlineStr">
        <is>
          <t xml:space="preserve">B1234EXOTIC26</t>
        </is>
      </c>
      <c r="G428" s="33">
        <f>IF($A428="","",IF($C428="","",YEAR($C428)))</f>
      </c>
      <c r="H428" s="49">
        <v>1964</v>
      </c>
      <c r="I428" s="46" t="inlineStr">
        <is>
          <t xml:space="preserve">Mercedes-Benz</t>
        </is>
      </c>
      <c r="J428" s="46" t="inlineStr">
        <is>
          <t xml:space="preserve">280SL Pagoda</t>
        </is>
      </c>
      <c r="K428" s="46" t="inlineStr">
        <is>
          <t xml:space="preserve">G98TRHHARVRV76W1J</t>
        </is>
      </c>
      <c r="L428" s="48" t="inlineStr">
        <is>
          <t xml:space="preserve">07 - Post-War Classic (1946-1972)</t>
        </is>
      </c>
      <c r="M428" s="50">
        <v>1080000</v>
      </c>
      <c r="N428" s="48" t="inlineStr">
        <is>
          <t xml:space="preserve">Personal</t>
        </is>
      </c>
      <c r="O428" s="46" t="inlineStr">
        <is>
          <t xml:space="preserve">Personal - regular use</t>
        </is>
      </c>
      <c r="P428" s="46" t="inlineStr">
        <is>
          <t xml:space="preserve">1,000 - 2,500</t>
        </is>
      </c>
      <c r="Q428" s="46" t="inlineStr">
        <is>
          <t xml:space="preserve">Kentucky</t>
        </is>
      </c>
      <c r="R428" s="46" t="inlineStr">
        <is>
          <t xml:space="preserve">40202</t>
        </is>
      </c>
      <c r="S428" s="48" t="inlineStr">
        <is>
          <t xml:space="preserve">Severe convective - hail / tornado (moderate)</t>
        </is>
      </c>
      <c r="T428" s="36">
        <f>IF($A428="","",IF($S428="","",IFERROR(INDEX('[1]natural catastrophe'!$D$6:$D$17,MATCH($S428,'[1]natural catastrophe'!$B$6:$B$17,0)),"?")))</f>
      </c>
      <c r="U428" s="46" t="inlineStr">
        <is>
          <t xml:space="preserve">$5,000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7896.25</v>
      </c>
      <c r="AC428" s="51">
        <v>0</v>
      </c>
      <c r="AD428" s="38">
        <f>IF(ISNUMBER($AB428),$AB428*(1+N($AC428)),"")</f>
      </c>
      <c r="AE428" s="50">
        <v>350</v>
      </c>
      <c r="AF428" s="50">
        <v>250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CANON-202607-010104</t>
        </is>
      </c>
      <c r="B429" s="30" t="inlineStr">
        <is>
          <t xml:space="preserve">Marisol Delacroix</t>
        </is>
      </c>
      <c r="C429" s="31">
        <v>46204</v>
      </c>
      <c r="D429" s="32" t="inlineStr">
        <is>
          <t xml:space="preserve">Bound - within authority</t>
        </is>
      </c>
      <c r="E429" s="32" t="inlineStr">
        <is>
          <t xml:space="preserve">New business</t>
        </is>
      </c>
      <c r="F429" s="30" t="inlineStr">
        <is>
          <t xml:space="preserve">B1234EXOTIC26</t>
        </is>
      </c>
      <c r="G429" s="33">
        <f>IF($A429="","",IF($C429="","",YEAR($C429)))</f>
      </c>
      <c r="H429" s="34">
        <v>1966</v>
      </c>
      <c r="I429" s="30" t="inlineStr">
        <is>
          <t xml:space="preserve">Porsche</t>
        </is>
      </c>
      <c r="J429" s="30" t="inlineStr">
        <is>
          <t xml:space="preserve">911 Turbo S</t>
        </is>
      </c>
      <c r="K429" s="30" t="inlineStr">
        <is>
          <t xml:space="preserve">DFSY3VEZ5YVJXSPUY</t>
        </is>
      </c>
      <c r="L429" s="32" t="inlineStr">
        <is>
          <t xml:space="preserve">02 - Sports / GT</t>
        </is>
      </c>
      <c r="M429" s="35">
        <v>435000</v>
      </c>
      <c r="N429" s="32" t="inlineStr">
        <is>
          <t xml:space="preserve">Personal</t>
        </is>
      </c>
      <c r="O429" s="30" t="inlineStr">
        <is>
          <t xml:space="preserve">Personal - regular use</t>
        </is>
      </c>
      <c r="P429" s="30" t="inlineStr">
        <is>
          <t xml:space="preserve">1,000 - 2,500</t>
        </is>
      </c>
      <c r="Q429" s="30" t="inlineStr">
        <is>
          <t xml:space="preserve">Oklahoma</t>
        </is>
      </c>
      <c r="R429" s="30" t="inlineStr">
        <is>
          <t xml:space="preserve">73102</t>
        </is>
      </c>
      <c r="S429" s="32" t="inlineStr">
        <is>
          <t xml:space="preserve">Severe convective - hail alley (high)</t>
        </is>
      </c>
      <c r="T429" s="36">
        <f>IF($A429="","",IF($S429="","",IFERROR(INDEX('[1]natural catastrophe'!$D$6:$D$17,MATCH($S429,'[1]natural catastrophe'!$B$6:$B$17,0)),"?")))</f>
      </c>
      <c r="U429" s="30" t="inlineStr">
        <is>
          <t xml:space="preserve">$5,000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5902.41</v>
      </c>
      <c r="AC429" s="37">
        <v>0</v>
      </c>
      <c r="AD429" s="38">
        <f>IF(ISNUMBER($AB429),$AB429*(1+N($AC429)),"")</f>
      </c>
      <c r="AE429" s="35">
        <v>350</v>
      </c>
      <c r="AF429" s="35">
        <v>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CANON-202607-010106</t>
        </is>
      </c>
      <c r="B430" s="46" t="inlineStr">
        <is>
          <t xml:space="preserve">Delphine Larsson</t>
        </is>
      </c>
      <c r="C430" s="47">
        <v>46212</v>
      </c>
      <c r="D430" s="48" t="inlineStr">
        <is>
          <t xml:space="preserve">Bound - within authority</t>
        </is>
      </c>
      <c r="E430" s="48" t="inlineStr">
        <is>
          <t xml:space="preserve">New business</t>
        </is>
      </c>
      <c r="F430" s="46" t="inlineStr">
        <is>
          <t xml:space="preserve">B1234EXOTIC26</t>
        </is>
      </c>
      <c r="G430" s="33">
        <f>IF($A430="","",IF($C430="","",YEAR($C430)))</f>
      </c>
      <c r="H430" s="49">
        <v>1992</v>
      </c>
      <c r="I430" s="46" t="inlineStr">
        <is>
          <t xml:space="preserve">Porsche</t>
        </is>
      </c>
      <c r="J430" s="46" t="inlineStr">
        <is>
          <t xml:space="preserve">911 Turbo S</t>
        </is>
      </c>
      <c r="K430" s="46" t="inlineStr">
        <is>
          <t xml:space="preserve">EE7PL7UGA5LA5J8A7</t>
        </is>
      </c>
      <c r="L430" s="48" t="inlineStr">
        <is>
          <t xml:space="preserve">02 - Sports / GT</t>
        </is>
      </c>
      <c r="M430" s="50">
        <v>410000</v>
      </c>
      <c r="N430" s="48" t="inlineStr">
        <is>
          <t xml:space="preserve">Personal</t>
        </is>
      </c>
      <c r="O430" s="46" t="inlineStr">
        <is>
          <t xml:space="preserve">Personal - regular use</t>
        </is>
      </c>
      <c r="P430" s="46" t="inlineStr">
        <is>
          <t xml:space="preserve">Under 1,000</t>
        </is>
      </c>
      <c r="Q430" s="46" t="inlineStr">
        <is>
          <t xml:space="preserve">California</t>
        </is>
      </c>
      <c r="R430" s="46" t="inlineStr">
        <is>
          <t xml:space="preserve">90012</t>
        </is>
      </c>
      <c r="S430" s="48" t="inlineStr">
        <is>
          <t xml:space="preserve">Earthquake - high (CA, Cascadia, New Madrid)</t>
        </is>
      </c>
      <c r="T430" s="36">
        <f>IF($A430="","",IF($S430="","",IFERROR(INDEX('[1]natural catastrophe'!$D$6:$D$17,MATCH($S430,'[1]natural catastrophe'!$B$6:$B$17,0)),"?")))</f>
      </c>
      <c r="U430" s="46" t="inlineStr">
        <is>
          <t xml:space="preserve">$5,000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5960.57</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CANON-202607-010108</t>
        </is>
      </c>
      <c r="B431" s="30" t="inlineStr">
        <is>
          <t xml:space="preserve">Fitzgerald Whitlock</t>
        </is>
      </c>
      <c r="C431" s="31">
        <v>46230</v>
      </c>
      <c r="D431" s="32" t="inlineStr">
        <is>
          <t xml:space="preserve">Bound - within authority</t>
        </is>
      </c>
      <c r="E431" s="32" t="inlineStr">
        <is>
          <t xml:space="preserve">New business</t>
        </is>
      </c>
      <c r="F431" s="30" t="inlineStr">
        <is>
          <t xml:space="preserve">B1234EXOTIC26</t>
        </is>
      </c>
      <c r="G431" s="33">
        <f>IF($A431="","",IF($C431="","",YEAR($C431)))</f>
      </c>
      <c r="H431" s="34">
        <v>1995</v>
      </c>
      <c r="I431" s="30" t="inlineStr">
        <is>
          <t xml:space="preserve">Ferrari</t>
        </is>
      </c>
      <c r="J431" s="30" t="inlineStr">
        <is>
          <t xml:space="preserve">296 GTB</t>
        </is>
      </c>
      <c r="K431" s="30" t="inlineStr">
        <is>
          <t xml:space="preserve">S0CRWEN3X1YXJ4LFN</t>
        </is>
      </c>
      <c r="L431" s="32" t="inlineStr">
        <is>
          <t xml:space="preserve">03 - Supercar</t>
        </is>
      </c>
      <c r="M431" s="35">
        <v>485000</v>
      </c>
      <c r="N431" s="32" t="inlineStr">
        <is>
          <t xml:space="preserve">Personal</t>
        </is>
      </c>
      <c r="O431" s="30" t="inlineStr">
        <is>
          <t xml:space="preserve">Personal - regular use</t>
        </is>
      </c>
      <c r="P431" s="30" t="inlineStr">
        <is>
          <t xml:space="preserve">1,000 - 2,500</t>
        </is>
      </c>
      <c r="Q431" s="30" t="inlineStr">
        <is>
          <t xml:space="preserve">Illinois</t>
        </is>
      </c>
      <c r="R431" s="30" t="inlineStr">
        <is>
          <t xml:space="preserve">60601</t>
        </is>
      </c>
      <c r="S431" s="32" t="inlineStr">
        <is>
          <t xml:space="preserve">Severe convective - hail / tornado (moderate)</t>
        </is>
      </c>
      <c r="T431" s="36">
        <f>IF($A431="","",IF($S431="","",IFERROR(INDEX('[1]natural catastrophe'!$D$6:$D$17,MATCH($S431,'[1]natural catastrophe'!$B$6:$B$17,0)),"?")))</f>
      </c>
      <c r="U431" s="30" t="inlineStr">
        <is>
          <t xml:space="preserve">$5,000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10891.49</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CANON-202607-010109</t>
        </is>
      </c>
      <c r="B432" s="46" t="inlineStr">
        <is>
          <t xml:space="preserve">Anouk Kingsford</t>
        </is>
      </c>
      <c r="C432" s="47">
        <v>46207</v>
      </c>
      <c r="D432" s="48" t="inlineStr">
        <is>
          <t xml:space="preserve">Bound - within authority</t>
        </is>
      </c>
      <c r="E432" s="48" t="inlineStr">
        <is>
          <t xml:space="preserve">New business</t>
        </is>
      </c>
      <c r="F432" s="46" t="inlineStr">
        <is>
          <t xml:space="preserve">B1234EXOTIC26</t>
        </is>
      </c>
      <c r="G432" s="33">
        <f>IF($A432="","",IF($C432="","",YEAR($C432)))</f>
      </c>
      <c r="H432" s="49">
        <v>1985</v>
      </c>
      <c r="I432" s="46" t="inlineStr">
        <is>
          <t xml:space="preserve">Porsche</t>
        </is>
      </c>
      <c r="J432" s="46" t="inlineStr">
        <is>
          <t xml:space="preserve">911 Turbo S</t>
        </is>
      </c>
      <c r="K432" s="46" t="inlineStr">
        <is>
          <t xml:space="preserve">WPCPWJ7W4SUDLBXH7</t>
        </is>
      </c>
      <c r="L432" s="48" t="inlineStr">
        <is>
          <t xml:space="preserve">02 - Sports / GT</t>
        </is>
      </c>
      <c r="M432" s="50">
        <v>230000</v>
      </c>
      <c r="N432" s="48" t="inlineStr">
        <is>
          <t xml:space="preserve">Personal</t>
        </is>
      </c>
      <c r="O432" s="46" t="inlineStr">
        <is>
          <t xml:space="preserve">Personal - regular use</t>
        </is>
      </c>
      <c r="P432" s="46" t="inlineStr">
        <is>
          <t xml:space="preserve">1,000 - 2,500</t>
        </is>
      </c>
      <c r="Q432" s="46" t="inlineStr">
        <is>
          <t xml:space="preserve">Colorado</t>
        </is>
      </c>
      <c r="R432" s="46" t="inlineStr">
        <is>
          <t xml:space="preserve">80202</t>
        </is>
      </c>
      <c r="S432" s="48" t="inlineStr">
        <is>
          <t xml:space="preserve">Severe convective - hail alley (high)</t>
        </is>
      </c>
      <c r="T432" s="36">
        <f>IF($A432="","",IF($S432="","",IFERROR(INDEX('[1]natural catastrophe'!$D$6:$D$17,MATCH($S432,'[1]natural catastrophe'!$B$6:$B$17,0)),"?")))</f>
      </c>
      <c r="U432" s="46" t="inlineStr">
        <is>
          <t xml:space="preserve">$5,000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3342.08</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CANON-202607-010110</t>
        </is>
      </c>
      <c r="B433" s="30" t="inlineStr">
        <is>
          <t xml:space="preserve">Cassius Farkas</t>
        </is>
      </c>
      <c r="C433" s="31">
        <v>46218</v>
      </c>
      <c r="D433" s="32" t="inlineStr">
        <is>
          <t xml:space="preserve">Bound - within authority</t>
        </is>
      </c>
      <c r="E433" s="32" t="inlineStr">
        <is>
          <t xml:space="preserve">New business</t>
        </is>
      </c>
      <c r="F433" s="30" t="inlineStr">
        <is>
          <t xml:space="preserve">B1234EXOTIC26</t>
        </is>
      </c>
      <c r="G433" s="33">
        <f>IF($A433="","",IF($C433="","",YEAR($C433)))</f>
      </c>
      <c r="H433" s="34">
        <v>1980</v>
      </c>
      <c r="I433" s="30" t="inlineStr">
        <is>
          <t xml:space="preserve">Mercedes-Benz</t>
        </is>
      </c>
      <c r="J433" s="30" t="inlineStr">
        <is>
          <t xml:space="preserve">280SL Pagoda</t>
        </is>
      </c>
      <c r="K433" s="30" t="inlineStr">
        <is>
          <t xml:space="preserve">9LBBD63N25HKAVUSG</t>
        </is>
      </c>
      <c r="L433" s="32" t="inlineStr">
        <is>
          <t xml:space="preserve">08 - Modern Classic (1973-1999)</t>
        </is>
      </c>
      <c r="M433" s="35">
        <v>540000</v>
      </c>
      <c r="N433" s="32" t="inlineStr">
        <is>
          <t xml:space="preserve">Personal</t>
        </is>
      </c>
      <c r="O433" s="30" t="inlineStr">
        <is>
          <t xml:space="preserve">Personal - regular use</t>
        </is>
      </c>
      <c r="P433" s="30" t="inlineStr">
        <is>
          <t xml:space="preserve">Under 1,000</t>
        </is>
      </c>
      <c r="Q433" s="30" t="inlineStr">
        <is>
          <t xml:space="preserve">Utah</t>
        </is>
      </c>
      <c r="R433" s="30" t="inlineStr">
        <is>
          <t xml:space="preserve">84101</t>
        </is>
      </c>
      <c r="S433" s="32" t="inlineStr">
        <is>
          <t xml:space="preserve">Wildfire - WUI high hazard</t>
        </is>
      </c>
      <c r="T433" s="36">
        <f>IF($A433="","",IF($S433="","",IFERROR(INDEX('[1]natural catastrophe'!$D$6:$D$17,MATCH($S433,'[1]natural catastrophe'!$B$6:$B$17,0)),"?")))</f>
      </c>
      <c r="U433" s="30" t="inlineStr">
        <is>
          <t xml:space="preserve">$5,000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4500.96</v>
      </c>
      <c r="AC433" s="37">
        <v>0</v>
      </c>
      <c r="AD433" s="38">
        <f>IF(ISNUMBER($AB433),$AB433*(1+N($AC433)),"")</f>
      </c>
      <c r="AE433" s="35">
        <v>350</v>
      </c>
      <c r="AF433" s="35">
        <v>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CANON-202607-010114</t>
        </is>
      </c>
      <c r="B434" s="46" t="inlineStr">
        <is>
          <t xml:space="preserve">Wilhelmina Whitlock</t>
        </is>
      </c>
      <c r="C434" s="47">
        <v>46221</v>
      </c>
      <c r="D434" s="48" t="inlineStr">
        <is>
          <t xml:space="preserve">Bound - within authority</t>
        </is>
      </c>
      <c r="E434" s="48" t="inlineStr">
        <is>
          <t xml:space="preserve">New business</t>
        </is>
      </c>
      <c r="F434" s="46" t="inlineStr">
        <is>
          <t xml:space="preserve">B1234EXOTIC26</t>
        </is>
      </c>
      <c r="G434" s="33">
        <f>IF($A434="","",IF($C434="","",YEAR($C434)))</f>
      </c>
      <c r="H434" s="49">
        <v>2011</v>
      </c>
      <c r="I434" s="46" t="inlineStr">
        <is>
          <t xml:space="preserve">Icon</t>
        </is>
      </c>
      <c r="J434" s="46" t="inlineStr">
        <is>
          <t xml:space="preserve">Derelict</t>
        </is>
      </c>
      <c r="K434" s="46" t="inlineStr">
        <is>
          <t xml:space="preserve">M0YCE0G2DDF749TH9</t>
        </is>
      </c>
      <c r="L434" s="48" t="inlineStr">
        <is>
          <t xml:space="preserve">11 - Restomod / Coachbuilt / Bespoke</t>
        </is>
      </c>
      <c r="M434" s="50">
        <v>640000</v>
      </c>
      <c r="N434" s="48" t="inlineStr">
        <is>
          <t xml:space="preserve">Personal</t>
        </is>
      </c>
      <c r="O434" s="46" t="inlineStr">
        <is>
          <t xml:space="preserve">Personal - regular use</t>
        </is>
      </c>
      <c r="P434" s="46" t="inlineStr">
        <is>
          <t xml:space="preserve">Under 1,000</t>
        </is>
      </c>
      <c r="Q434" s="46" t="inlineStr">
        <is>
          <t xml:space="preserve">Indiana</t>
        </is>
      </c>
      <c r="R434" s="46" t="inlineStr">
        <is>
          <t xml:space="preserve">46204</t>
        </is>
      </c>
      <c r="S434" s="48" t="inlineStr">
        <is>
          <t xml:space="preserve">Severe convective - hail / tornado (moderate)</t>
        </is>
      </c>
      <c r="T434" s="36">
        <f>IF($A434="","",IF($S434="","",IFERROR(INDEX('[1]natural catastrophe'!$D$6:$D$17,MATCH($S434,'[1]natural catastrophe'!$B$6:$B$17,0)),"?")))</f>
      </c>
      <c r="U434" s="46" t="inlineStr">
        <is>
          <t xml:space="preserve">$5,000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8816.34</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CANON-202607-010116</t>
        </is>
      </c>
      <c r="B435" s="30" t="inlineStr">
        <is>
          <t xml:space="preserve">Sunniva Kingsford</t>
        </is>
      </c>
      <c r="C435" s="31">
        <v>46223</v>
      </c>
      <c r="D435" s="32" t="inlineStr">
        <is>
          <t xml:space="preserve">Bound - within authority</t>
        </is>
      </c>
      <c r="E435" s="32" t="inlineStr">
        <is>
          <t xml:space="preserve">New business</t>
        </is>
      </c>
      <c r="F435" s="30" t="inlineStr">
        <is>
          <t xml:space="preserve">B1234EXOTIC26</t>
        </is>
      </c>
      <c r="G435" s="33">
        <f>IF($A435="","",IF($C435="","",YEAR($C435)))</f>
      </c>
      <c r="H435" s="34">
        <v>2012</v>
      </c>
      <c r="I435" s="30" t="inlineStr">
        <is>
          <t xml:space="preserve">Mercedes-Benz</t>
        </is>
      </c>
      <c r="J435" s="30" t="inlineStr">
        <is>
          <t xml:space="preserve">280SL Pagoda</t>
        </is>
      </c>
      <c r="K435" s="30" t="inlineStr">
        <is>
          <t xml:space="preserve">LB2K1606HY0W124XC</t>
        </is>
      </c>
      <c r="L435" s="32" t="inlineStr">
        <is>
          <t xml:space="preserve">02 - Sports / GT</t>
        </is>
      </c>
      <c r="M435" s="35">
        <v>1950000</v>
      </c>
      <c r="N435" s="32" t="inlineStr">
        <is>
          <t xml:space="preserve">Personal</t>
        </is>
      </c>
      <c r="O435" s="30" t="inlineStr">
        <is>
          <t xml:space="preserve">Personal - regular use</t>
        </is>
      </c>
      <c r="P435" s="30" t="inlineStr">
        <is>
          <t xml:space="preserve">1,000 - 2,500</t>
        </is>
      </c>
      <c r="Q435" s="30" t="inlineStr">
        <is>
          <t xml:space="preserve">Utah</t>
        </is>
      </c>
      <c r="R435" s="30" t="inlineStr">
        <is>
          <t xml:space="preserve">84101</t>
        </is>
      </c>
      <c r="S435" s="32" t="inlineStr">
        <is>
          <t xml:space="preserve">Wildfire - WUI high hazard</t>
        </is>
      </c>
      <c r="T435" s="36">
        <f>IF($A435="","",IF($S435="","",IFERROR(INDEX('[1]natural catastrophe'!$D$6:$D$17,MATCH($S435,'[1]natural catastrophe'!$B$6:$B$17,0)),"?")))</f>
      </c>
      <c r="U435" s="30" t="inlineStr">
        <is>
          <t xml:space="preserve">$5,000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14363.52</v>
      </c>
      <c r="AC435" s="37">
        <v>0</v>
      </c>
      <c r="AD435" s="38">
        <f>IF(ISNUMBER($AB435),$AB435*(1+N($AC435)),"")</f>
      </c>
      <c r="AE435" s="35">
        <v>350</v>
      </c>
      <c r="AF435" s="35">
        <v>250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CANON-202607-010117</t>
        </is>
      </c>
      <c r="B436" s="46" t="inlineStr">
        <is>
          <t xml:space="preserve">Anouk Kingsford</t>
        </is>
      </c>
      <c r="C436" s="47">
        <v>46219</v>
      </c>
      <c r="D436" s="48" t="inlineStr">
        <is>
          <t xml:space="preserve">Bound - within authority</t>
        </is>
      </c>
      <c r="E436" s="48" t="inlineStr">
        <is>
          <t xml:space="preserve">New business</t>
        </is>
      </c>
      <c r="F436" s="46" t="inlineStr">
        <is>
          <t xml:space="preserve">B1234EXOTIC26</t>
        </is>
      </c>
      <c r="G436" s="33">
        <f>IF($A436="","",IF($C436="","",YEAR($C436)))</f>
      </c>
      <c r="H436" s="49">
        <v>2005</v>
      </c>
      <c r="I436" s="46" t="inlineStr">
        <is>
          <t xml:space="preserve">Ringbrothers</t>
        </is>
      </c>
      <c r="J436" s="46" t="inlineStr">
        <is>
          <t xml:space="preserve">Mustang</t>
        </is>
      </c>
      <c r="K436" s="46" t="inlineStr">
        <is>
          <t xml:space="preserve">0E978T29WW5AGX6MU</t>
        </is>
      </c>
      <c r="L436" s="48" t="inlineStr">
        <is>
          <t xml:space="preserve">11 - Restomod / Coachbuilt / Bespoke</t>
        </is>
      </c>
      <c r="M436" s="50">
        <v>1010000</v>
      </c>
      <c r="N436" s="48" t="inlineStr">
        <is>
          <t xml:space="preserve">Personal</t>
        </is>
      </c>
      <c r="O436" s="46" t="inlineStr">
        <is>
          <t xml:space="preserve">Personal - regular use</t>
        </is>
      </c>
      <c r="P436" s="46" t="inlineStr">
        <is>
          <t xml:space="preserve">1,000 - 2,500</t>
        </is>
      </c>
      <c r="Q436" s="46" t="inlineStr">
        <is>
          <t xml:space="preserve">Vermont</t>
        </is>
      </c>
      <c r="R436" s="46" t="inlineStr">
        <is>
          <t xml:space="preserve">05601</t>
        </is>
      </c>
      <c r="S436" s="48" t="inlineStr">
        <is>
          <t xml:space="preserve">Low hazard - inland benign</t>
        </is>
      </c>
      <c r="T436" s="36">
        <f>IF($A436="","",IF($S436="","",IFERROR(INDEX('[1]natural catastrophe'!$D$6:$D$17,MATCH($S436,'[1]natural catastrophe'!$B$6:$B$17,0)),"?")))</f>
      </c>
      <c r="U436" s="46" t="inlineStr">
        <is>
          <t xml:space="preserve">$5,000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12030.92</v>
      </c>
      <c r="AC436" s="51">
        <v>0</v>
      </c>
      <c r="AD436" s="38">
        <f>IF(ISNUMBER($AB436),$AB436*(1+N($AC436)),"")</f>
      </c>
      <c r="AE436" s="50">
        <v>350</v>
      </c>
      <c r="AF436" s="50">
        <v>250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CANON-202607-010118</t>
        </is>
      </c>
      <c r="B437" s="30" t="inlineStr">
        <is>
          <t xml:space="preserve">Fitzgerald Castellanos</t>
        </is>
      </c>
      <c r="C437" s="31">
        <v>46207</v>
      </c>
      <c r="D437" s="32" t="inlineStr">
        <is>
          <t xml:space="preserve">Bound - within authority</t>
        </is>
      </c>
      <c r="E437" s="32" t="inlineStr">
        <is>
          <t xml:space="preserve">New business</t>
        </is>
      </c>
      <c r="F437" s="30" t="inlineStr">
        <is>
          <t xml:space="preserve">B1234EXOTIC26</t>
        </is>
      </c>
      <c r="G437" s="33">
        <f>IF($A437="","",IF($C437="","",YEAR($C437)))</f>
      </c>
      <c r="H437" s="34">
        <v>1988</v>
      </c>
      <c r="I437" s="30" t="inlineStr">
        <is>
          <t xml:space="preserve">Maserati</t>
        </is>
      </c>
      <c r="J437" s="30" t="inlineStr">
        <is>
          <t xml:space="preserve">GranTurismo</t>
        </is>
      </c>
      <c r="K437" s="30" t="inlineStr">
        <is>
          <t xml:space="preserve">8HZFG57NYNN95EX33</t>
        </is>
      </c>
      <c r="L437" s="32" t="inlineStr">
        <is>
          <t xml:space="preserve">02 - Sports / GT</t>
        </is>
      </c>
      <c r="M437" s="35">
        <v>385000</v>
      </c>
      <c r="N437" s="32" t="inlineStr">
        <is>
          <t xml:space="preserve">Personal</t>
        </is>
      </c>
      <c r="O437" s="30" t="inlineStr">
        <is>
          <t xml:space="preserve">Personal - regular use</t>
        </is>
      </c>
      <c r="P437" s="30" t="inlineStr">
        <is>
          <t xml:space="preserve">Under 1,000</t>
        </is>
      </c>
      <c r="Q437" s="30" t="inlineStr">
        <is>
          <t xml:space="preserve">Ohio</t>
        </is>
      </c>
      <c r="R437" s="30" t="inlineStr">
        <is>
          <t xml:space="preserve">43215</t>
        </is>
      </c>
      <c r="S437" s="32" t="inlineStr">
        <is>
          <t xml:space="preserve">Severe convective - hail / tornado (moderate)</t>
        </is>
      </c>
      <c r="T437" s="36">
        <f>IF($A437="","",IF($S437="","",IFERROR(INDEX('[1]natural catastrophe'!$D$6:$D$17,MATCH($S437,'[1]natural catastrophe'!$B$6:$B$17,0)),"?")))</f>
      </c>
      <c r="U437" s="30" t="inlineStr">
        <is>
          <t xml:space="preserve">$5,000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5762.96</v>
      </c>
      <c r="AC437" s="37">
        <v>0</v>
      </c>
      <c r="AD437" s="38">
        <f>IF(ISNUMBER($AB437),$AB437*(1+N($AC437)),"")</f>
      </c>
      <c r="AE437" s="35">
        <v>350</v>
      </c>
      <c r="AF437" s="35">
        <v>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CANON-202607-010119</t>
        </is>
      </c>
      <c r="B438" s="46" t="inlineStr">
        <is>
          <t xml:space="preserve">Ingrid Underwood</t>
        </is>
      </c>
      <c r="C438" s="47">
        <v>46211</v>
      </c>
      <c r="D438" s="48" t="inlineStr">
        <is>
          <t xml:space="preserve">Bound - within authority</t>
        </is>
      </c>
      <c r="E438" s="48" t="inlineStr">
        <is>
          <t xml:space="preserve">New business</t>
        </is>
      </c>
      <c r="F438" s="46" t="inlineStr">
        <is>
          <t xml:space="preserve">B1234EXOTIC26</t>
        </is>
      </c>
      <c r="G438" s="33">
        <f>IF($A438="","",IF($C438="","",YEAR($C438)))</f>
      </c>
      <c r="H438" s="49">
        <v>2012</v>
      </c>
      <c r="I438" s="46" t="inlineStr">
        <is>
          <t xml:space="preserve">Lamborghini</t>
        </is>
      </c>
      <c r="J438" s="46" t="inlineStr">
        <is>
          <t xml:space="preserve">Huracan EVO</t>
        </is>
      </c>
      <c r="K438" s="46" t="inlineStr">
        <is>
          <t xml:space="preserve">YVBHT3FGSNB6Y8U9A</t>
        </is>
      </c>
      <c r="L438" s="48" t="inlineStr">
        <is>
          <t xml:space="preserve">03 - Supercar</t>
        </is>
      </c>
      <c r="M438" s="50">
        <v>1005000</v>
      </c>
      <c r="N438" s="48" t="inlineStr">
        <is>
          <t xml:space="preserve">Personal</t>
        </is>
      </c>
      <c r="O438" s="46" t="inlineStr">
        <is>
          <t xml:space="preserve">Personal - regular use</t>
        </is>
      </c>
      <c r="P438" s="46" t="inlineStr">
        <is>
          <t xml:space="preserve">1,000 - 2,500</t>
        </is>
      </c>
      <c r="Q438" s="46" t="inlineStr">
        <is>
          <t xml:space="preserve">New Jersey</t>
        </is>
      </c>
      <c r="R438" s="46" t="inlineStr">
        <is>
          <t xml:space="preserve">07102</t>
        </is>
      </c>
      <c r="S438" s="48" t="inlineStr">
        <is>
          <t xml:space="preserve">Tier 3 - Coastal wind (25-100 miles)</t>
        </is>
      </c>
      <c r="T438" s="36">
        <f>IF($A438="","",IF($S438="","",IFERROR(INDEX('[1]natural catastrophe'!$D$6:$D$17,MATCH($S438,'[1]natural catastrophe'!$B$6:$B$17,0)),"?")))</f>
      </c>
      <c r="U438" s="46" t="inlineStr">
        <is>
          <t xml:space="preserve">2% of agreed value, minimum $10,000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10505.25</v>
      </c>
      <c r="AC438" s="51">
        <v>0</v>
      </c>
      <c r="AD438" s="38">
        <f>IF(ISNUMBER($AB438),$AB438*(1+N($AC438)),"")</f>
      </c>
      <c r="AE438" s="50">
        <v>350</v>
      </c>
      <c r="AF438" s="50">
        <v>250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CANON-202607-010120</t>
        </is>
      </c>
      <c r="B439" s="30" t="inlineStr">
        <is>
          <t xml:space="preserve">Emiliano Fairweather</t>
        </is>
      </c>
      <c r="C439" s="31">
        <v>46215</v>
      </c>
      <c r="D439" s="32" t="inlineStr">
        <is>
          <t xml:space="preserve">Bound - within authority</t>
        </is>
      </c>
      <c r="E439" s="32" t="inlineStr">
        <is>
          <t xml:space="preserve">New business</t>
        </is>
      </c>
      <c r="F439" s="30" t="inlineStr">
        <is>
          <t xml:space="preserve">B1234EXOTIC26</t>
        </is>
      </c>
      <c r="G439" s="33">
        <f>IF($A439="","",IF($C439="","",YEAR($C439)))</f>
      </c>
      <c r="H439" s="34">
        <v>2010</v>
      </c>
      <c r="I439" s="30" t="inlineStr">
        <is>
          <t xml:space="preserve">Icon</t>
        </is>
      </c>
      <c r="J439" s="30" t="inlineStr">
        <is>
          <t xml:space="preserve">Derelict</t>
        </is>
      </c>
      <c r="K439" s="30" t="inlineStr">
        <is>
          <t xml:space="preserve">44KCHDJN7SJW67N8Y</t>
        </is>
      </c>
      <c r="L439" s="32" t="inlineStr">
        <is>
          <t xml:space="preserve">11 - Restomod / Coachbuilt / Bespoke</t>
        </is>
      </c>
      <c r="M439" s="35">
        <v>1700000</v>
      </c>
      <c r="N439" s="32" t="inlineStr">
        <is>
          <t xml:space="preserve">Personal</t>
        </is>
      </c>
      <c r="O439" s="30" t="inlineStr">
        <is>
          <t xml:space="preserve">Personal - regular use</t>
        </is>
      </c>
      <c r="P439" s="30" t="inlineStr">
        <is>
          <t xml:space="preserve">Under 1,000</t>
        </is>
      </c>
      <c r="Q439" s="30" t="inlineStr">
        <is>
          <t xml:space="preserve">Washington</t>
        </is>
      </c>
      <c r="R439" s="30" t="inlineStr">
        <is>
          <t xml:space="preserve">98101</t>
        </is>
      </c>
      <c r="S439" s="32" t="inlineStr">
        <is>
          <t xml:space="preserve">Earthquake - high (CA, Cascadia, New Madrid)</t>
        </is>
      </c>
      <c r="T439" s="36">
        <f>IF($A439="","",IF($S439="","",IFERROR(INDEX('[1]natural catastrophe'!$D$6:$D$17,MATCH($S439,'[1]natural catastrophe'!$B$6:$B$17,0)),"?")))</f>
      </c>
      <c r="U439" s="30" t="inlineStr">
        <is>
          <t xml:space="preserve">$5,000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15934.48</v>
      </c>
      <c r="AC439" s="37">
        <v>0</v>
      </c>
      <c r="AD439" s="38">
        <f>IF(ISNUMBER($AB439),$AB439*(1+N($AC439)),"")</f>
      </c>
      <c r="AE439" s="35">
        <v>350</v>
      </c>
      <c r="AF439" s="35">
        <v>250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CANON-202607-010121</t>
        </is>
      </c>
      <c r="B440" s="46" t="inlineStr">
        <is>
          <t xml:space="preserve">Fenwick Kingsford</t>
        </is>
      </c>
      <c r="C440" s="47">
        <v>46220</v>
      </c>
      <c r="D440" s="48" t="inlineStr">
        <is>
          <t xml:space="preserve">Bound - within authority</t>
        </is>
      </c>
      <c r="E440" s="48" t="inlineStr">
        <is>
          <t xml:space="preserve">New business</t>
        </is>
      </c>
      <c r="F440" s="46" t="inlineStr">
        <is>
          <t xml:space="preserve">B1234EXOTIC26</t>
        </is>
      </c>
      <c r="G440" s="33">
        <f>IF($A440="","",IF($C440="","",YEAR($C440)))</f>
      </c>
      <c r="H440" s="49">
        <v>2023</v>
      </c>
      <c r="I440" s="46" t="inlineStr">
        <is>
          <t xml:space="preserve">Aston Martin</t>
        </is>
      </c>
      <c r="J440" s="46" t="inlineStr">
        <is>
          <t xml:space="preserve">DB12</t>
        </is>
      </c>
      <c r="K440" s="46" t="inlineStr">
        <is>
          <t xml:space="preserve">5EBFPCBFAZUHB7FKN</t>
        </is>
      </c>
      <c r="L440" s="48" t="inlineStr">
        <is>
          <t xml:space="preserve">02 - Sports / GT</t>
        </is>
      </c>
      <c r="M440" s="50">
        <v>1150000</v>
      </c>
      <c r="N440" s="48" t="inlineStr">
        <is>
          <t xml:space="preserve">Personal</t>
        </is>
      </c>
      <c r="O440" s="46" t="inlineStr">
        <is>
          <t xml:space="preserve">Personal - regular use</t>
        </is>
      </c>
      <c r="P440" s="46" t="inlineStr">
        <is>
          <t xml:space="preserve">2,500 - 5,000</t>
        </is>
      </c>
      <c r="Q440" s="46" t="inlineStr">
        <is>
          <t xml:space="preserve">Hawaii</t>
        </is>
      </c>
      <c r="R440" s="46" t="inlineStr">
        <is>
          <t xml:space="preserve">96813</t>
        </is>
      </c>
      <c r="S440" s="48" t="inlineStr">
        <is>
          <t xml:space="preserve">Earthquake - high (CA, Cascadia, New Madrid)</t>
        </is>
      </c>
      <c r="T440" s="36">
        <f>IF($A440="","",IF($S440="","",IFERROR(INDEX('[1]natural catastrophe'!$D$6:$D$17,MATCH($S440,'[1]natural catastrophe'!$B$6:$B$17,0)),"?")))</f>
      </c>
      <c r="U440" s="46" t="inlineStr">
        <is>
          <t xml:space="preserve">$5,000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11806.27</v>
      </c>
      <c r="AC440" s="51">
        <v>0</v>
      </c>
      <c r="AD440" s="38">
        <f>IF(ISNUMBER($AB440),$AB440*(1+N($AC440)),"")</f>
      </c>
      <c r="AE440" s="50">
        <v>350</v>
      </c>
      <c r="AF440" s="50">
        <v>250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CANON-202607-010122</t>
        </is>
      </c>
      <c r="B441" s="30" t="inlineStr">
        <is>
          <t xml:space="preserve">Marisol Pennington</t>
        </is>
      </c>
      <c r="C441" s="31">
        <v>46214</v>
      </c>
      <c r="D441" s="32" t="inlineStr">
        <is>
          <t xml:space="preserve">Bound - within authority</t>
        </is>
      </c>
      <c r="E441" s="32" t="inlineStr">
        <is>
          <t xml:space="preserve">New business</t>
        </is>
      </c>
      <c r="F441" s="30" t="inlineStr">
        <is>
          <t xml:space="preserve">B1234EXOTIC26</t>
        </is>
      </c>
      <c r="G441" s="33">
        <f>IF($A441="","",IF($C441="","",YEAR($C441)))</f>
      </c>
      <c r="H441" s="34">
        <v>1980</v>
      </c>
      <c r="I441" s="30" t="inlineStr">
        <is>
          <t xml:space="preserve">Lamborghini</t>
        </is>
      </c>
      <c r="J441" s="30" t="inlineStr">
        <is>
          <t xml:space="preserve">Huracan EVO</t>
        </is>
      </c>
      <c r="K441" s="30" t="inlineStr">
        <is>
          <t xml:space="preserve">GCL061J915S0ZLV3R</t>
        </is>
      </c>
      <c r="L441" s="32" t="inlineStr">
        <is>
          <t xml:space="preserve">03 - Supercar</t>
        </is>
      </c>
      <c r="M441" s="35">
        <v>1950000</v>
      </c>
      <c r="N441" s="32" t="inlineStr">
        <is>
          <t xml:space="preserve">Personal</t>
        </is>
      </c>
      <c r="O441" s="30" t="inlineStr">
        <is>
          <t xml:space="preserve">Personal - regular use</t>
        </is>
      </c>
      <c r="P441" s="30" t="inlineStr">
        <is>
          <t xml:space="preserve">1,000 - 2,500</t>
        </is>
      </c>
      <c r="Q441" s="30" t="inlineStr">
        <is>
          <t xml:space="preserve">Massachusetts</t>
        </is>
      </c>
      <c r="R441" s="30" t="inlineStr">
        <is>
          <t xml:space="preserve">02108</t>
        </is>
      </c>
      <c r="S441" s="32" t="inlineStr">
        <is>
          <t xml:space="preserve">Tier 3 - Coastal wind (25-100 miles)</t>
        </is>
      </c>
      <c r="T441" s="36">
        <f>IF($A441="","",IF($S441="","",IFERROR(INDEX('[1]natural catastrophe'!$D$6:$D$17,MATCH($S441,'[1]natural catastrophe'!$B$6:$B$17,0)),"?")))</f>
      </c>
      <c r="U441" s="30" t="inlineStr">
        <is>
          <t xml:space="preserve">2% of agreed value, minimum $10,000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27999.05</v>
      </c>
      <c r="AC441" s="37">
        <v>0</v>
      </c>
      <c r="AD441" s="38">
        <f>IF(ISNUMBER($AB441),$AB441*(1+N($AC441)),"")</f>
      </c>
      <c r="AE441" s="35">
        <v>350</v>
      </c>
      <c r="AF441" s="35">
        <v>250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CANON-202607-010123</t>
        </is>
      </c>
      <c r="B442" s="46" t="inlineStr">
        <is>
          <t xml:space="preserve">Noor Delacroix</t>
        </is>
      </c>
      <c r="C442" s="47">
        <v>46224</v>
      </c>
      <c r="D442" s="48" t="inlineStr">
        <is>
          <t xml:space="preserve">Bound - within authority</t>
        </is>
      </c>
      <c r="E442" s="48" t="inlineStr">
        <is>
          <t xml:space="preserve">New business</t>
        </is>
      </c>
      <c r="F442" s="46" t="inlineStr">
        <is>
          <t xml:space="preserve">B1234EXOTIC26</t>
        </is>
      </c>
      <c r="G442" s="33">
        <f>IF($A442="","",IF($C442="","",YEAR($C442)))</f>
      </c>
      <c r="H442" s="49">
        <v>1970</v>
      </c>
      <c r="I442" s="46" t="inlineStr">
        <is>
          <t xml:space="preserve">Mercedes-Benz</t>
        </is>
      </c>
      <c r="J442" s="46" t="inlineStr">
        <is>
          <t xml:space="preserve">280SL Pagoda</t>
        </is>
      </c>
      <c r="K442" s="46" t="inlineStr">
        <is>
          <t xml:space="preserve">6AEU523F0GEB5EBSD</t>
        </is>
      </c>
      <c r="L442" s="48" t="inlineStr">
        <is>
          <t xml:space="preserve">07 - Post-War Classic (1946-1972)</t>
        </is>
      </c>
      <c r="M442" s="50">
        <v>1200000</v>
      </c>
      <c r="N442" s="48" t="inlineStr">
        <is>
          <t xml:space="preserve">Personal</t>
        </is>
      </c>
      <c r="O442" s="46" t="inlineStr">
        <is>
          <t xml:space="preserve">Personal - regular use</t>
        </is>
      </c>
      <c r="P442" s="46" t="inlineStr">
        <is>
          <t xml:space="preserve">Under 1,000</t>
        </is>
      </c>
      <c r="Q442" s="46" t="inlineStr">
        <is>
          <t xml:space="preserve">Florida</t>
        </is>
      </c>
      <c r="R442" s="46" t="inlineStr">
        <is>
          <t xml:space="preserve">33139</t>
        </is>
      </c>
      <c r="S442" s="48" t="inlineStr">
        <is>
          <t xml:space="preserve">Tier 2 - Coastal wind (1-25 miles)</t>
        </is>
      </c>
      <c r="T442" s="36">
        <f>IF($A442="","",IF($S442="","",IFERROR(INDEX('[1]natural catastrophe'!$D$6:$D$17,MATCH($S442,'[1]natural catastrophe'!$B$6:$B$17,0)),"?")))</f>
      </c>
      <c r="U442" s="46" t="inlineStr">
        <is>
          <t xml:space="preserve">2% of agreed value, minimum $10,000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9297.41</v>
      </c>
      <c r="AC442" s="51">
        <v>0</v>
      </c>
      <c r="AD442" s="38">
        <f>IF(ISNUMBER($AB442),$AB442*(1+N($AC442)),"")</f>
      </c>
      <c r="AE442" s="50">
        <v>350</v>
      </c>
      <c r="AF442" s="50">
        <v>250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CANON-202607-010124</t>
        </is>
      </c>
      <c r="B443" s="30" t="inlineStr">
        <is>
          <t xml:space="preserve">Desmond Blackwood</t>
        </is>
      </c>
      <c r="C443" s="31">
        <v>46231</v>
      </c>
      <c r="D443" s="32" t="inlineStr">
        <is>
          <t xml:space="preserve">Bound - within authority</t>
        </is>
      </c>
      <c r="E443" s="32" t="inlineStr">
        <is>
          <t xml:space="preserve">New business</t>
        </is>
      </c>
      <c r="F443" s="30" t="inlineStr">
        <is>
          <t xml:space="preserve">B1234EXOTIC26</t>
        </is>
      </c>
      <c r="G443" s="33">
        <f>IF($A443="","",IF($C443="","",YEAR($C443)))</f>
      </c>
      <c r="H443" s="34">
        <v>1979</v>
      </c>
      <c r="I443" s="30" t="inlineStr">
        <is>
          <t xml:space="preserve">Aston Martin</t>
        </is>
      </c>
      <c r="J443" s="30" t="inlineStr">
        <is>
          <t xml:space="preserve">DB12</t>
        </is>
      </c>
      <c r="K443" s="30" t="inlineStr">
        <is>
          <t xml:space="preserve">D1HLWH68UYSME1YS8</t>
        </is>
      </c>
      <c r="L443" s="32" t="inlineStr">
        <is>
          <t xml:space="preserve">02 - Sports / GT</t>
        </is>
      </c>
      <c r="M443" s="35">
        <v>425000</v>
      </c>
      <c r="N443" s="32" t="inlineStr">
        <is>
          <t xml:space="preserve">Personal</t>
        </is>
      </c>
      <c r="O443" s="30" t="inlineStr">
        <is>
          <t xml:space="preserve">Personal - regular use</t>
        </is>
      </c>
      <c r="P443" s="30" t="inlineStr">
        <is>
          <t xml:space="preserve">Under 1,000</t>
        </is>
      </c>
      <c r="Q443" s="30" t="inlineStr">
        <is>
          <t xml:space="preserve">Pennsylvania</t>
        </is>
      </c>
      <c r="R443" s="30" t="inlineStr">
        <is>
          <t xml:space="preserve">19103</t>
        </is>
      </c>
      <c r="S443" s="32" t="inlineStr">
        <is>
          <t xml:space="preserve">Low hazard - inland benign</t>
        </is>
      </c>
      <c r="T443" s="36">
        <f>IF($A443="","",IF($S443="","",IFERROR(INDEX('[1]natural catastrophe'!$D$6:$D$17,MATCH($S443,'[1]natural catastrophe'!$B$6:$B$17,0)),"?")))</f>
      </c>
      <c r="U443" s="30" t="inlineStr">
        <is>
          <t xml:space="preserve">$5,000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4576.77</v>
      </c>
      <c r="AC443" s="37">
        <v>0</v>
      </c>
      <c r="AD443" s="38">
        <f>IF(ISNUMBER($AB443),$AB443*(1+N($AC443)),"")</f>
      </c>
      <c r="AE443" s="35">
        <v>350</v>
      </c>
      <c r="AF443" s="35">
        <v>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CANON-202607-010125</t>
        </is>
      </c>
      <c r="B444" s="46" t="inlineStr">
        <is>
          <t xml:space="preserve">Ottilie Ashcombe</t>
        </is>
      </c>
      <c r="C444" s="47">
        <v>46221</v>
      </c>
      <c r="D444" s="48" t="inlineStr">
        <is>
          <t xml:space="preserve">Bound - within authority</t>
        </is>
      </c>
      <c r="E444" s="48" t="inlineStr">
        <is>
          <t xml:space="preserve">New business</t>
        </is>
      </c>
      <c r="F444" s="46" t="inlineStr">
        <is>
          <t xml:space="preserve">B1234EXOTIC26</t>
        </is>
      </c>
      <c r="G444" s="33">
        <f>IF($A444="","",IF($C444="","",YEAR($C444)))</f>
      </c>
      <c r="H444" s="49">
        <v>2011</v>
      </c>
      <c r="I444" s="46" t="inlineStr">
        <is>
          <t xml:space="preserve">Aston Martin</t>
        </is>
      </c>
      <c r="J444" s="46" t="inlineStr">
        <is>
          <t xml:space="preserve">DB12</t>
        </is>
      </c>
      <c r="K444" s="46" t="inlineStr">
        <is>
          <t xml:space="preserve">54LNY4VM8PU8V4EY2</t>
        </is>
      </c>
      <c r="L444" s="48" t="inlineStr">
        <is>
          <t xml:space="preserve">02 - Sports / GT</t>
        </is>
      </c>
      <c r="M444" s="50">
        <v>235000</v>
      </c>
      <c r="N444" s="48" t="inlineStr">
        <is>
          <t xml:space="preserve">Personal</t>
        </is>
      </c>
      <c r="O444" s="46" t="inlineStr">
        <is>
          <t xml:space="preserve">Personal - regular use</t>
        </is>
      </c>
      <c r="P444" s="46" t="inlineStr">
        <is>
          <t xml:space="preserve">Under 1,000</t>
        </is>
      </c>
      <c r="Q444" s="46" t="inlineStr">
        <is>
          <t xml:space="preserve">Wisconsin</t>
        </is>
      </c>
      <c r="R444" s="46" t="inlineStr">
        <is>
          <t xml:space="preserve">53202</t>
        </is>
      </c>
      <c r="S444" s="48" t="inlineStr">
        <is>
          <t xml:space="preserve">Severe convective - hail / tornado (moderate)</t>
        </is>
      </c>
      <c r="T444" s="36">
        <f>IF($A444="","",IF($S444="","",IFERROR(INDEX('[1]natural catastrophe'!$D$6:$D$17,MATCH($S444,'[1]natural catastrophe'!$B$6:$B$17,0)),"?")))</f>
      </c>
      <c r="U444" s="46" t="inlineStr">
        <is>
          <t xml:space="preserve">$5,000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3725.16</v>
      </c>
      <c r="AC444" s="51">
        <v>0</v>
      </c>
      <c r="AD444" s="38">
        <f>IF(ISNUMBER($AB444),$AB444*(1+N($AC444)),"")</f>
      </c>
      <c r="AE444" s="50">
        <v>350</v>
      </c>
      <c r="AF444" s="50">
        <v>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CANON-202607-010127</t>
        </is>
      </c>
      <c r="B445" s="30" t="inlineStr">
        <is>
          <t xml:space="preserve">Beatrix Nakashima</t>
        </is>
      </c>
      <c r="C445" s="31">
        <v>46231</v>
      </c>
      <c r="D445" s="32" t="inlineStr">
        <is>
          <t xml:space="preserve">Bound - within authority</t>
        </is>
      </c>
      <c r="E445" s="32" t="inlineStr">
        <is>
          <t xml:space="preserve">New business</t>
        </is>
      </c>
      <c r="F445" s="30" t="inlineStr">
        <is>
          <t xml:space="preserve">B1234EXOTIC26</t>
        </is>
      </c>
      <c r="G445" s="33">
        <f>IF($A445="","",IF($C445="","",YEAR($C445)))</f>
      </c>
      <c r="H445" s="34">
        <v>2007</v>
      </c>
      <c r="I445" s="30" t="inlineStr">
        <is>
          <t xml:space="preserve">BMW</t>
        </is>
      </c>
      <c r="J445" s="30" t="inlineStr">
        <is>
          <t xml:space="preserve">M8 Competition</t>
        </is>
      </c>
      <c r="K445" s="30" t="inlineStr">
        <is>
          <t xml:space="preserve">AFWJ03AEDDUGL3NH6</t>
        </is>
      </c>
      <c r="L445" s="32" t="inlineStr">
        <is>
          <t xml:space="preserve">02 - Sports / GT</t>
        </is>
      </c>
      <c r="M445" s="35">
        <v>280000</v>
      </c>
      <c r="N445" s="32" t="inlineStr">
        <is>
          <t xml:space="preserve">Personal</t>
        </is>
      </c>
      <c r="O445" s="30" t="inlineStr">
        <is>
          <t xml:space="preserve">Personal - regular use</t>
        </is>
      </c>
      <c r="P445" s="30" t="inlineStr">
        <is>
          <t xml:space="preserve">Under 1,000</t>
        </is>
      </c>
      <c r="Q445" s="30" t="inlineStr">
        <is>
          <t xml:space="preserve">Texas</t>
        </is>
      </c>
      <c r="R445" s="30" t="inlineStr">
        <is>
          <t xml:space="preserve">75201</t>
        </is>
      </c>
      <c r="S445" s="32" t="inlineStr">
        <is>
          <t xml:space="preserve">Tier 2 - Coastal wind (1-25 miles)</t>
        </is>
      </c>
      <c r="T445" s="36">
        <f>IF($A445="","",IF($S445="","",IFERROR(INDEX('[1]natural catastrophe'!$D$6:$D$17,MATCH($S445,'[1]natural catastrophe'!$B$6:$B$17,0)),"?")))</f>
      </c>
      <c r="U445" s="30" t="inlineStr">
        <is>
          <t xml:space="preserve">2% of agreed value, minimum $10,000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3467.57</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CANON-202607-010128</t>
        </is>
      </c>
      <c r="B446" s="46" t="inlineStr">
        <is>
          <t xml:space="preserve">Mireille Harrington</t>
        </is>
      </c>
      <c r="C446" s="47">
        <v>46206</v>
      </c>
      <c r="D446" s="48" t="inlineStr">
        <is>
          <t xml:space="preserve">Bound - within authority</t>
        </is>
      </c>
      <c r="E446" s="48" t="inlineStr">
        <is>
          <t xml:space="preserve">New business</t>
        </is>
      </c>
      <c r="F446" s="46" t="inlineStr">
        <is>
          <t xml:space="preserve">B1234EXOTIC26</t>
        </is>
      </c>
      <c r="G446" s="33">
        <f>IF($A446="","",IF($C446="","",YEAR($C446)))</f>
      </c>
      <c r="H446" s="49">
        <v>2005</v>
      </c>
      <c r="I446" s="46" t="inlineStr">
        <is>
          <t xml:space="preserve">BMW</t>
        </is>
      </c>
      <c r="J446" s="46" t="inlineStr">
        <is>
          <t xml:space="preserve">M8 Competition</t>
        </is>
      </c>
      <c r="K446" s="46" t="inlineStr">
        <is>
          <t xml:space="preserve">RBURJ447MZF7NLXH6</t>
        </is>
      </c>
      <c r="L446" s="48" t="inlineStr">
        <is>
          <t xml:space="preserve">02 - Sports / GT</t>
        </is>
      </c>
      <c r="M446" s="50">
        <v>545000</v>
      </c>
      <c r="N446" s="48" t="inlineStr">
        <is>
          <t xml:space="preserve">Personal</t>
        </is>
      </c>
      <c r="O446" s="46" t="inlineStr">
        <is>
          <t xml:space="preserve">Personal - regular use</t>
        </is>
      </c>
      <c r="P446" s="46" t="inlineStr">
        <is>
          <t xml:space="preserve">2,500 - 5,000</t>
        </is>
      </c>
      <c r="Q446" s="46" t="inlineStr">
        <is>
          <t xml:space="preserve">New Hampshire</t>
        </is>
      </c>
      <c r="R446" s="46" t="inlineStr">
        <is>
          <t xml:space="preserve">03301</t>
        </is>
      </c>
      <c r="S446" s="48" t="inlineStr">
        <is>
          <t xml:space="preserve">Tier 3 - Coastal wind (25-100 miles)</t>
        </is>
      </c>
      <c r="T446" s="36">
        <f>IF($A446="","",IF($S446="","",IFERROR(INDEX('[1]natural catastrophe'!$D$6:$D$17,MATCH($S446,'[1]natural catastrophe'!$B$6:$B$17,0)),"?")))</f>
      </c>
      <c r="U446" s="46" t="inlineStr">
        <is>
          <t xml:space="preserve">2% of agreed value, minimum $10,000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5289.95</v>
      </c>
      <c r="AC446" s="51">
        <v>0</v>
      </c>
      <c r="AD446" s="38">
        <f>IF(ISNUMBER($AB446),$AB446*(1+N($AC446)),"")</f>
      </c>
      <c r="AE446" s="50">
        <v>350</v>
      </c>
      <c r="AF446" s="50">
        <v>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CANON-202607-010129</t>
        </is>
      </c>
      <c r="B447" s="30" t="inlineStr">
        <is>
          <t xml:space="preserve">Emiliano Whitlock</t>
        </is>
      </c>
      <c r="C447" s="31">
        <v>46229</v>
      </c>
      <c r="D447" s="32" t="inlineStr">
        <is>
          <t xml:space="preserve">Bound - within authority</t>
        </is>
      </c>
      <c r="E447" s="32" t="inlineStr">
        <is>
          <t xml:space="preserve">New business</t>
        </is>
      </c>
      <c r="F447" s="30" t="inlineStr">
        <is>
          <t xml:space="preserve">B1234EXOTIC26</t>
        </is>
      </c>
      <c r="G447" s="33">
        <f>IF($A447="","",IF($C447="","",YEAR($C447)))</f>
      </c>
      <c r="H447" s="34">
        <v>2007</v>
      </c>
      <c r="I447" s="30" t="inlineStr">
        <is>
          <t xml:space="preserve">Lamborghini</t>
        </is>
      </c>
      <c r="J447" s="30" t="inlineStr">
        <is>
          <t xml:space="preserve">Huracan EVO</t>
        </is>
      </c>
      <c r="K447" s="30" t="inlineStr">
        <is>
          <t xml:space="preserve">JPBGWXK8WC269GLV6</t>
        </is>
      </c>
      <c r="L447" s="32" t="inlineStr">
        <is>
          <t xml:space="preserve">03 - Supercar</t>
        </is>
      </c>
      <c r="M447" s="35">
        <v>570000</v>
      </c>
      <c r="N447" s="32" t="inlineStr">
        <is>
          <t xml:space="preserve">Personal</t>
        </is>
      </c>
      <c r="O447" s="30" t="inlineStr">
        <is>
          <t xml:space="preserve">Personal - regular use</t>
        </is>
      </c>
      <c r="P447" s="30" t="inlineStr">
        <is>
          <t xml:space="preserve">1,000 - 2,500</t>
        </is>
      </c>
      <c r="Q447" s="30" t="inlineStr">
        <is>
          <t xml:space="preserve">North Dakota</t>
        </is>
      </c>
      <c r="R447" s="30" t="inlineStr">
        <is>
          <t xml:space="preserve">58501</t>
        </is>
      </c>
      <c r="S447" s="32" t="inlineStr">
        <is>
          <t xml:space="preserve">Severe convective - hail alley (high)</t>
        </is>
      </c>
      <c r="T447" s="36">
        <f>IF($A447="","",IF($S447="","",IFERROR(INDEX('[1]natural catastrophe'!$D$6:$D$17,MATCH($S447,'[1]natural catastrophe'!$B$6:$B$17,0)),"?")))</f>
      </c>
      <c r="U447" s="30" t="inlineStr">
        <is>
          <t xml:space="preserve">$5,000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7930.62</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CANON-202607-010130</t>
        </is>
      </c>
      <c r="B448" s="46" t="inlineStr">
        <is>
          <t xml:space="preserve">Fitzgerald Kingsford</t>
        </is>
      </c>
      <c r="C448" s="47">
        <v>46234</v>
      </c>
      <c r="D448" s="48" t="inlineStr">
        <is>
          <t xml:space="preserve">Bound - within authority</t>
        </is>
      </c>
      <c r="E448" s="48" t="inlineStr">
        <is>
          <t xml:space="preserve">New business</t>
        </is>
      </c>
      <c r="F448" s="46" t="inlineStr">
        <is>
          <t xml:space="preserve">B1234EXOTIC26</t>
        </is>
      </c>
      <c r="G448" s="33">
        <f>IF($A448="","",IF($C448="","",YEAR($C448)))</f>
      </c>
      <c r="H448" s="49">
        <v>1961</v>
      </c>
      <c r="I448" s="46" t="inlineStr">
        <is>
          <t xml:space="preserve">Mercedes-Benz</t>
        </is>
      </c>
      <c r="J448" s="46" t="inlineStr">
        <is>
          <t xml:space="preserve">AMG GT</t>
        </is>
      </c>
      <c r="K448" s="46" t="inlineStr">
        <is>
          <t xml:space="preserve">XHHF6XCKHNRLE0WH4</t>
        </is>
      </c>
      <c r="L448" s="48" t="inlineStr">
        <is>
          <t xml:space="preserve">02 - Sports / GT</t>
        </is>
      </c>
      <c r="M448" s="50">
        <v>640000</v>
      </c>
      <c r="N448" s="48" t="inlineStr">
        <is>
          <t xml:space="preserve">Personal</t>
        </is>
      </c>
      <c r="O448" s="46" t="inlineStr">
        <is>
          <t xml:space="preserve">Personal - regular use</t>
        </is>
      </c>
      <c r="P448" s="46" t="inlineStr">
        <is>
          <t xml:space="preserve">2,500 - 5,000</t>
        </is>
      </c>
      <c r="Q448" s="46" t="inlineStr">
        <is>
          <t xml:space="preserve">New Jersey</t>
        </is>
      </c>
      <c r="R448" s="46" t="inlineStr">
        <is>
          <t xml:space="preserve">07102</t>
        </is>
      </c>
      <c r="S448" s="48" t="inlineStr">
        <is>
          <t xml:space="preserve">Tier 3 - Coastal wind (25-100 miles)</t>
        </is>
      </c>
      <c r="T448" s="36">
        <f>IF($A448="","",IF($S448="","",IFERROR(INDEX('[1]natural catastrophe'!$D$6:$D$17,MATCH($S448,'[1]natural catastrophe'!$B$6:$B$17,0)),"?")))</f>
      </c>
      <c r="U448" s="46" t="inlineStr">
        <is>
          <t xml:space="preserve">2% of agreed value, minimum $10,000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5435.55</v>
      </c>
      <c r="AC448" s="51">
        <v>0</v>
      </c>
      <c r="AD448" s="38">
        <f>IF(ISNUMBER($AB448),$AB448*(1+N($AC448)),"")</f>
      </c>
      <c r="AE448" s="50">
        <v>350</v>
      </c>
      <c r="AF448" s="50">
        <v>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CANON-202607-010132</t>
        </is>
      </c>
      <c r="B449" s="30" t="inlineStr">
        <is>
          <t xml:space="preserve">Priya Nakashima</t>
        </is>
      </c>
      <c r="C449" s="31">
        <v>46234</v>
      </c>
      <c r="D449" s="32" t="inlineStr">
        <is>
          <t xml:space="preserve">Bound - within authority</t>
        </is>
      </c>
      <c r="E449" s="32" t="inlineStr">
        <is>
          <t xml:space="preserve">New business</t>
        </is>
      </c>
      <c r="F449" s="30" t="inlineStr">
        <is>
          <t xml:space="preserve">B1234EXOTIC26</t>
        </is>
      </c>
      <c r="G449" s="33">
        <f>IF($A449="","",IF($C449="","",YEAR($C449)))</f>
      </c>
      <c r="H449" s="34">
        <v>2018</v>
      </c>
      <c r="I449" s="30" t="inlineStr">
        <is>
          <t xml:space="preserve">Porsche</t>
        </is>
      </c>
      <c r="J449" s="30" t="inlineStr">
        <is>
          <t xml:space="preserve">911 Turbo S</t>
        </is>
      </c>
      <c r="K449" s="30" t="inlineStr">
        <is>
          <t xml:space="preserve">W6RG4ND7B0ZEP4CYL</t>
        </is>
      </c>
      <c r="L449" s="32" t="inlineStr">
        <is>
          <t xml:space="preserve">02 - Sports / GT</t>
        </is>
      </c>
      <c r="M449" s="35">
        <v>1220000</v>
      </c>
      <c r="N449" s="32" t="inlineStr">
        <is>
          <t xml:space="preserve">Personal</t>
        </is>
      </c>
      <c r="O449" s="30" t="inlineStr">
        <is>
          <t xml:space="preserve">Personal - regular use</t>
        </is>
      </c>
      <c r="P449" s="30" t="inlineStr">
        <is>
          <t xml:space="preserve">1,000 - 2,500</t>
        </is>
      </c>
      <c r="Q449" s="30" t="inlineStr">
        <is>
          <t xml:space="preserve">Iowa</t>
        </is>
      </c>
      <c r="R449" s="30" t="inlineStr">
        <is>
          <t xml:space="preserve">50309</t>
        </is>
      </c>
      <c r="S449" s="32" t="inlineStr">
        <is>
          <t xml:space="preserve">Severe convective - hail alley (high)</t>
        </is>
      </c>
      <c r="T449" s="36">
        <f>IF($A449="","",IF($S449="","",IFERROR(INDEX('[1]natural catastrophe'!$D$6:$D$17,MATCH($S449,'[1]natural catastrophe'!$B$6:$B$17,0)),"?")))</f>
      </c>
      <c r="U449" s="30" t="inlineStr">
        <is>
          <t xml:space="preserve">$5,000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10598.01</v>
      </c>
      <c r="AC449" s="37">
        <v>0</v>
      </c>
      <c r="AD449" s="38">
        <f>IF(ISNUMBER($AB449),$AB449*(1+N($AC449)),"")</f>
      </c>
      <c r="AE449" s="35">
        <v>350</v>
      </c>
      <c r="AF449" s="35">
        <v>250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CANON-202607-010133</t>
        </is>
      </c>
      <c r="B450" s="46" t="inlineStr">
        <is>
          <t xml:space="preserve">Horace Rourke</t>
        </is>
      </c>
      <c r="C450" s="47">
        <v>46218</v>
      </c>
      <c r="D450" s="48" t="inlineStr">
        <is>
          <t xml:space="preserve">Bound - within authority</t>
        </is>
      </c>
      <c r="E450" s="48" t="inlineStr">
        <is>
          <t xml:space="preserve">New business</t>
        </is>
      </c>
      <c r="F450" s="46" t="inlineStr">
        <is>
          <t xml:space="preserve">B1234EXOTIC26</t>
        </is>
      </c>
      <c r="G450" s="33">
        <f>IF($A450="","",IF($C450="","",YEAR($C450)))</f>
      </c>
      <c r="H450" s="49">
        <v>2007</v>
      </c>
      <c r="I450" s="46" t="inlineStr">
        <is>
          <t xml:space="preserve">Aston Martin</t>
        </is>
      </c>
      <c r="J450" s="46" t="inlineStr">
        <is>
          <t xml:space="preserve">DB12</t>
        </is>
      </c>
      <c r="K450" s="46" t="inlineStr">
        <is>
          <t xml:space="preserve">3NFT5ZYTZLVRD6P03</t>
        </is>
      </c>
      <c r="L450" s="48" t="inlineStr">
        <is>
          <t xml:space="preserve">02 - Sports / GT</t>
        </is>
      </c>
      <c r="M450" s="50">
        <v>865000</v>
      </c>
      <c r="N450" s="48" t="inlineStr">
        <is>
          <t xml:space="preserve">Personal</t>
        </is>
      </c>
      <c r="O450" s="46" t="inlineStr">
        <is>
          <t xml:space="preserve">Personal - regular use</t>
        </is>
      </c>
      <c r="P450" s="46" t="inlineStr">
        <is>
          <t xml:space="preserve">2,500 - 5,000</t>
        </is>
      </c>
      <c r="Q450" s="46" t="inlineStr">
        <is>
          <t xml:space="preserve">California</t>
        </is>
      </c>
      <c r="R450" s="46" t="inlineStr">
        <is>
          <t xml:space="preserve">90012</t>
        </is>
      </c>
      <c r="S450" s="48" t="inlineStr">
        <is>
          <t xml:space="preserve">Earthquake - high (CA, Cascadia, New Madrid)</t>
        </is>
      </c>
      <c r="T450" s="36">
        <f>IF($A450="","",IF($S450="","",IFERROR(INDEX('[1]natural catastrophe'!$D$6:$D$17,MATCH($S450,'[1]natural catastrophe'!$B$6:$B$17,0)),"?")))</f>
      </c>
      <c r="U450" s="46" t="inlineStr">
        <is>
          <t xml:space="preserve">$5,000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10898.63</v>
      </c>
      <c r="AC450" s="51">
        <v>0</v>
      </c>
      <c r="AD450" s="38">
        <f>IF(ISNUMBER($AB450),$AB450*(1+N($AC450)),"")</f>
      </c>
      <c r="AE450" s="50">
        <v>350</v>
      </c>
      <c r="AF450" s="50">
        <v>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CANON-202607-010134</t>
        </is>
      </c>
      <c r="B451" s="30" t="inlineStr">
        <is>
          <t xml:space="preserve">Mireille Fairweather</t>
        </is>
      </c>
      <c r="C451" s="31">
        <v>46211</v>
      </c>
      <c r="D451" s="32" t="inlineStr">
        <is>
          <t xml:space="preserve">Bound - within authority</t>
        </is>
      </c>
      <c r="E451" s="32" t="inlineStr">
        <is>
          <t xml:space="preserve">New business</t>
        </is>
      </c>
      <c r="F451" s="30" t="inlineStr">
        <is>
          <t xml:space="preserve">B1234EXOTIC26</t>
        </is>
      </c>
      <c r="G451" s="33">
        <f>IF($A451="","",IF($C451="","",YEAR($C451)))</f>
      </c>
      <c r="H451" s="34">
        <v>1978</v>
      </c>
      <c r="I451" s="30" t="inlineStr">
        <is>
          <t xml:space="preserve">Ferrari</t>
        </is>
      </c>
      <c r="J451" s="30" t="inlineStr">
        <is>
          <t xml:space="preserve">275 GTB/4</t>
        </is>
      </c>
      <c r="K451" s="30" t="inlineStr">
        <is>
          <t xml:space="preserve">ZB2BWL3RBC9PXDXTD</t>
        </is>
      </c>
      <c r="L451" s="32" t="inlineStr">
        <is>
          <t xml:space="preserve">08 - Modern Classic (1973-1999)</t>
        </is>
      </c>
      <c r="M451" s="35">
        <v>1085000</v>
      </c>
      <c r="N451" s="32" t="inlineStr">
        <is>
          <t xml:space="preserve">Personal</t>
        </is>
      </c>
      <c r="O451" s="30" t="inlineStr">
        <is>
          <t xml:space="preserve">Personal - regular use</t>
        </is>
      </c>
      <c r="P451" s="30" t="inlineStr">
        <is>
          <t xml:space="preserve">1,000 - 2,500</t>
        </is>
      </c>
      <c r="Q451" s="30" t="inlineStr">
        <is>
          <t xml:space="preserve">Iowa</t>
        </is>
      </c>
      <c r="R451" s="30" t="inlineStr">
        <is>
          <t xml:space="preserve">50309</t>
        </is>
      </c>
      <c r="S451" s="32" t="inlineStr">
        <is>
          <t xml:space="preserve">Severe convective - hail alley (high)</t>
        </is>
      </c>
      <c r="T451" s="36">
        <f>IF($A451="","",IF($S451="","",IFERROR(INDEX('[1]natural catastrophe'!$D$6:$D$17,MATCH($S451,'[1]natural catastrophe'!$B$6:$B$17,0)),"?")))</f>
      </c>
      <c r="U451" s="30" t="inlineStr">
        <is>
          <t xml:space="preserve">$5,000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6512.01</v>
      </c>
      <c r="AC451" s="37">
        <v>0</v>
      </c>
      <c r="AD451" s="38">
        <f>IF(ISNUMBER($AB451),$AB451*(1+N($AC451)),"")</f>
      </c>
      <c r="AE451" s="35">
        <v>350</v>
      </c>
      <c r="AF451" s="35">
        <v>250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CANON-202607-010136</t>
        </is>
      </c>
      <c r="B452" s="46" t="inlineStr">
        <is>
          <t xml:space="preserve">Thaddeus Castellanos</t>
        </is>
      </c>
      <c r="C452" s="47">
        <v>46224</v>
      </c>
      <c r="D452" s="48" t="inlineStr">
        <is>
          <t xml:space="preserve">Bound - within authority</t>
        </is>
      </c>
      <c r="E452" s="48" t="inlineStr">
        <is>
          <t xml:space="preserve">New business</t>
        </is>
      </c>
      <c r="F452" s="46" t="inlineStr">
        <is>
          <t xml:space="preserve">B1234EXOTIC26</t>
        </is>
      </c>
      <c r="G452" s="33">
        <f>IF($A452="","",IF($C452="","",YEAR($C452)))</f>
      </c>
      <c r="H452" s="49">
        <v>1998</v>
      </c>
      <c r="I452" s="46" t="inlineStr">
        <is>
          <t xml:space="preserve">Mercedes-Benz</t>
        </is>
      </c>
      <c r="J452" s="46" t="inlineStr">
        <is>
          <t xml:space="preserve">280SL Pagoda</t>
        </is>
      </c>
      <c r="K452" s="46" t="inlineStr">
        <is>
          <t xml:space="preserve">S3VXEMZ0DTRJ4GXG4</t>
        </is>
      </c>
      <c r="L452" s="48" t="inlineStr">
        <is>
          <t xml:space="preserve">08 - Modern Classic (1973-1999)</t>
        </is>
      </c>
      <c r="M452" s="50">
        <v>280000</v>
      </c>
      <c r="N452" s="48" t="inlineStr">
        <is>
          <t xml:space="preserve">Personal</t>
        </is>
      </c>
      <c r="O452" s="46" t="inlineStr">
        <is>
          <t xml:space="preserve">Personal - regular use</t>
        </is>
      </c>
      <c r="P452" s="46" t="inlineStr">
        <is>
          <t xml:space="preserve">Under 1,000</t>
        </is>
      </c>
      <c r="Q452" s="46" t="inlineStr">
        <is>
          <t xml:space="preserve">Wyoming</t>
        </is>
      </c>
      <c r="R452" s="46" t="inlineStr">
        <is>
          <t xml:space="preserve">82001</t>
        </is>
      </c>
      <c r="S452" s="48" t="inlineStr">
        <is>
          <t xml:space="preserve">Severe convective - hail alley (high)</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2064.87</v>
      </c>
      <c r="AC452" s="51">
        <v>0</v>
      </c>
      <c r="AD452" s="38">
        <f>IF(ISNUMBER($AB452),$AB452*(1+N($AC452)),"")</f>
      </c>
      <c r="AE452" s="50">
        <v>350</v>
      </c>
      <c r="AF452" s="50">
        <v>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CANON-202607-010137</t>
        </is>
      </c>
      <c r="B453" s="30" t="inlineStr">
        <is>
          <t xml:space="preserve">Fenwick Harrington</t>
        </is>
      </c>
      <c r="C453" s="31">
        <v>46219</v>
      </c>
      <c r="D453" s="32" t="inlineStr">
        <is>
          <t xml:space="preserve">Bound - within authority</t>
        </is>
      </c>
      <c r="E453" s="32" t="inlineStr">
        <is>
          <t xml:space="preserve">New business</t>
        </is>
      </c>
      <c r="F453" s="30" t="inlineStr">
        <is>
          <t xml:space="preserve">B1234EXOTIC26</t>
        </is>
      </c>
      <c r="G453" s="33">
        <f>IF($A453="","",IF($C453="","",YEAR($C453)))</f>
      </c>
      <c r="H453" s="34">
        <v>1998</v>
      </c>
      <c r="I453" s="30" t="inlineStr">
        <is>
          <t xml:space="preserve">Bentley</t>
        </is>
      </c>
      <c r="J453" s="30" t="inlineStr">
        <is>
          <t xml:space="preserve">Continental GT</t>
        </is>
      </c>
      <c r="K453" s="30" t="inlineStr">
        <is>
          <t xml:space="preserve">Z79WD0GBEAFSLUTTL</t>
        </is>
      </c>
      <c r="L453" s="32" t="inlineStr">
        <is>
          <t xml:space="preserve">02 - Sports / GT</t>
        </is>
      </c>
      <c r="M453" s="35">
        <v>125000</v>
      </c>
      <c r="N453" s="32" t="inlineStr">
        <is>
          <t xml:space="preserve">Personal</t>
        </is>
      </c>
      <c r="O453" s="30" t="inlineStr">
        <is>
          <t xml:space="preserve">Personal - regular use</t>
        </is>
      </c>
      <c r="P453" s="30" t="inlineStr">
        <is>
          <t xml:space="preserve">2,500 - 5,000</t>
        </is>
      </c>
      <c r="Q453" s="30" t="inlineStr">
        <is>
          <t xml:space="preserve">Nevada</t>
        </is>
      </c>
      <c r="R453" s="30" t="inlineStr">
        <is>
          <t xml:space="preserve">89101</t>
        </is>
      </c>
      <c r="S453" s="32" t="inlineStr">
        <is>
          <t xml:space="preserve">Wildfire - WUI high hazard</t>
        </is>
      </c>
      <c r="T453" s="36">
        <f>IF($A453="","",IF($S453="","",IFERROR(INDEX('[1]natural catastrophe'!$D$6:$D$17,MATCH($S453,'[1]natural catastrophe'!$B$6:$B$17,0)),"?")))</f>
      </c>
      <c r="U453" s="30" t="inlineStr">
        <is>
          <t xml:space="preserve">$5,000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1931.94</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CANON-202607-010139</t>
        </is>
      </c>
      <c r="B454" s="46" t="inlineStr">
        <is>
          <t xml:space="preserve">Desmond Nakashima</t>
        </is>
      </c>
      <c r="C454" s="47">
        <v>46222</v>
      </c>
      <c r="D454" s="48" t="inlineStr">
        <is>
          <t xml:space="preserve">Bound - within authority</t>
        </is>
      </c>
      <c r="E454" s="48" t="inlineStr">
        <is>
          <t xml:space="preserve">New business</t>
        </is>
      </c>
      <c r="F454" s="46" t="inlineStr">
        <is>
          <t xml:space="preserve">B1234EXOTIC26</t>
        </is>
      </c>
      <c r="G454" s="33">
        <f>IF($A454="","",IF($C454="","",YEAR($C454)))</f>
      </c>
      <c r="H454" s="49">
        <v>1984</v>
      </c>
      <c r="I454" s="46" t="inlineStr">
        <is>
          <t xml:space="preserve">Aston Martin</t>
        </is>
      </c>
      <c r="J454" s="46" t="inlineStr">
        <is>
          <t xml:space="preserve">DB12</t>
        </is>
      </c>
      <c r="K454" s="46" t="inlineStr">
        <is>
          <t xml:space="preserve">B3SASAVP4K6NX9W4L</t>
        </is>
      </c>
      <c r="L454" s="48" t="inlineStr">
        <is>
          <t xml:space="preserve">02 - Sports / GT</t>
        </is>
      </c>
      <c r="M454" s="50">
        <v>640000</v>
      </c>
      <c r="N454" s="48" t="inlineStr">
        <is>
          <t xml:space="preserve">Personal</t>
        </is>
      </c>
      <c r="O454" s="46" t="inlineStr">
        <is>
          <t xml:space="preserve">Personal - regular use</t>
        </is>
      </c>
      <c r="P454" s="46" t="inlineStr">
        <is>
          <t xml:space="preserve">1,000 - 2,500</t>
        </is>
      </c>
      <c r="Q454" s="46" t="inlineStr">
        <is>
          <t xml:space="preserve">Alabama</t>
        </is>
      </c>
      <c r="R454" s="46" t="inlineStr">
        <is>
          <t xml:space="preserve">35203</t>
        </is>
      </c>
      <c r="S454" s="48" t="inlineStr">
        <is>
          <t xml:space="preserve">Tier 2 - Coastal wind (1-25 miles)</t>
        </is>
      </c>
      <c r="T454" s="36">
        <f>IF($A454="","",IF($S454="","",IFERROR(INDEX('[1]natural catastrophe'!$D$6:$D$17,MATCH($S454,'[1]natural catastrophe'!$B$6:$B$17,0)),"?")))</f>
      </c>
      <c r="U454" s="46" t="inlineStr">
        <is>
          <t xml:space="preserve">2% of agreed value, minimum $10,000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7585.88</v>
      </c>
      <c r="AC454" s="51">
        <v>0</v>
      </c>
      <c r="AD454" s="38">
        <f>IF(ISNUMBER($AB454),$AB454*(1+N($AC454)),"")</f>
      </c>
      <c r="AE454" s="50">
        <v>350</v>
      </c>
      <c r="AF454" s="50">
        <v>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CANON-202607-010140</t>
        </is>
      </c>
      <c r="B455" s="30" t="inlineStr">
        <is>
          <t xml:space="preserve">Mireille Chattopadhyay</t>
        </is>
      </c>
      <c r="C455" s="31">
        <v>46216</v>
      </c>
      <c r="D455" s="32" t="inlineStr">
        <is>
          <t xml:space="preserve">Bound - within authority</t>
        </is>
      </c>
      <c r="E455" s="32" t="inlineStr">
        <is>
          <t xml:space="preserve">New business</t>
        </is>
      </c>
      <c r="F455" s="30" t="inlineStr">
        <is>
          <t xml:space="preserve">B1234EXOTIC26</t>
        </is>
      </c>
      <c r="G455" s="33">
        <f>IF($A455="","",IF($C455="","",YEAR($C455)))</f>
      </c>
      <c r="H455" s="34">
        <v>1994</v>
      </c>
      <c r="I455" s="30" t="inlineStr">
        <is>
          <t xml:space="preserve">Ferrari</t>
        </is>
      </c>
      <c r="J455" s="30" t="inlineStr">
        <is>
          <t xml:space="preserve">SF90 Stradale</t>
        </is>
      </c>
      <c r="K455" s="30" t="inlineStr">
        <is>
          <t xml:space="preserve">0706XGR9W18TVZ69M</t>
        </is>
      </c>
      <c r="L455" s="32" t="inlineStr">
        <is>
          <t xml:space="preserve">03 - Supercar</t>
        </is>
      </c>
      <c r="M455" s="35">
        <v>515000</v>
      </c>
      <c r="N455" s="32" t="inlineStr">
        <is>
          <t xml:space="preserve">Personal</t>
        </is>
      </c>
      <c r="O455" s="30" t="inlineStr">
        <is>
          <t xml:space="preserve">Personal - regular use</t>
        </is>
      </c>
      <c r="P455" s="30" t="inlineStr">
        <is>
          <t xml:space="preserve">1,000 - 2,500</t>
        </is>
      </c>
      <c r="Q455" s="30" t="inlineStr">
        <is>
          <t xml:space="preserve">Massachusetts</t>
        </is>
      </c>
      <c r="R455" s="30" t="inlineStr">
        <is>
          <t xml:space="preserve">02108</t>
        </is>
      </c>
      <c r="S455" s="32" t="inlineStr">
        <is>
          <t xml:space="preserve">Tier 3 - Coastal wind (25-100 miles)</t>
        </is>
      </c>
      <c r="T455" s="36">
        <f>IF($A455="","",IF($S455="","",IFERROR(INDEX('[1]natural catastrophe'!$D$6:$D$17,MATCH($S455,'[1]natural catastrophe'!$B$6:$B$17,0)),"?")))</f>
      </c>
      <c r="U455" s="30" t="inlineStr">
        <is>
          <t xml:space="preserve">2% of agreed value, minimum $10,000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8781.12</v>
      </c>
      <c r="AC455" s="37">
        <v>0</v>
      </c>
      <c r="AD455" s="38">
        <f>IF(ISNUMBER($AB455),$AB455*(1+N($AC455)),"")</f>
      </c>
      <c r="AE455" s="35">
        <v>350</v>
      </c>
      <c r="AF455" s="35">
        <v>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CANON-202607-010141</t>
        </is>
      </c>
      <c r="B456" s="46" t="inlineStr">
        <is>
          <t xml:space="preserve">Beatrix Merriweather</t>
        </is>
      </c>
      <c r="C456" s="47">
        <v>46205</v>
      </c>
      <c r="D456" s="48" t="inlineStr">
        <is>
          <t xml:space="preserve">Bound - within authority</t>
        </is>
      </c>
      <c r="E456" s="48" t="inlineStr">
        <is>
          <t xml:space="preserve">New business</t>
        </is>
      </c>
      <c r="F456" s="46" t="inlineStr">
        <is>
          <t xml:space="preserve">B1234EXOTIC26</t>
        </is>
      </c>
      <c r="G456" s="33">
        <f>IF($A456="","",IF($C456="","",YEAR($C456)))</f>
      </c>
      <c r="H456" s="49">
        <v>1986</v>
      </c>
      <c r="I456" s="46" t="inlineStr">
        <is>
          <t xml:space="preserve">Maserati</t>
        </is>
      </c>
      <c r="J456" s="46" t="inlineStr">
        <is>
          <t xml:space="preserve">GranTurismo</t>
        </is>
      </c>
      <c r="K456" s="46" t="inlineStr">
        <is>
          <t xml:space="preserve">VXF9WC1GRS2EHE4R0</t>
        </is>
      </c>
      <c r="L456" s="48" t="inlineStr">
        <is>
          <t xml:space="preserve">02 - Sports / GT</t>
        </is>
      </c>
      <c r="M456" s="50">
        <v>940000</v>
      </c>
      <c r="N456" s="48" t="inlineStr">
        <is>
          <t xml:space="preserve">Personal</t>
        </is>
      </c>
      <c r="O456" s="46" t="inlineStr">
        <is>
          <t xml:space="preserve">Personal - regular use</t>
        </is>
      </c>
      <c r="P456" s="46" t="inlineStr">
        <is>
          <t xml:space="preserve">1,000 - 2,500</t>
        </is>
      </c>
      <c r="Q456" s="46" t="inlineStr">
        <is>
          <t xml:space="preserve">Florida</t>
        </is>
      </c>
      <c r="R456" s="46" t="inlineStr">
        <is>
          <t xml:space="preserve">33139</t>
        </is>
      </c>
      <c r="S456" s="48" t="inlineStr">
        <is>
          <t xml:space="preserve">Tier 2 - Coastal wind (1-25 miles)</t>
        </is>
      </c>
      <c r="T456" s="36">
        <f>IF($A456="","",IF($S456="","",IFERROR(INDEX('[1]natural catastrophe'!$D$6:$D$17,MATCH($S456,'[1]natural catastrophe'!$B$6:$B$17,0)),"?")))</f>
      </c>
      <c r="U456" s="46" t="inlineStr">
        <is>
          <t xml:space="preserve">2% of agreed value, minimum $10,000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12457.71</v>
      </c>
      <c r="AC456" s="51">
        <v>0</v>
      </c>
      <c r="AD456" s="38">
        <f>IF(ISNUMBER($AB456),$AB456*(1+N($AC456)),"")</f>
      </c>
      <c r="AE456" s="50">
        <v>350</v>
      </c>
      <c r="AF456" s="50">
        <v>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CANON-202607-010142</t>
        </is>
      </c>
      <c r="B457" s="30" t="inlineStr">
        <is>
          <t xml:space="preserve">Priya Blackwood</t>
        </is>
      </c>
      <c r="C457" s="31">
        <v>46219</v>
      </c>
      <c r="D457" s="32" t="inlineStr">
        <is>
          <t xml:space="preserve">Bound - within authority</t>
        </is>
      </c>
      <c r="E457" s="32" t="inlineStr">
        <is>
          <t xml:space="preserve">New business</t>
        </is>
      </c>
      <c r="F457" s="30" t="inlineStr">
        <is>
          <t xml:space="preserve">B1234EXOTIC26</t>
        </is>
      </c>
      <c r="G457" s="33">
        <f>IF($A457="","",IF($C457="","",YEAR($C457)))</f>
      </c>
      <c r="H457" s="34">
        <v>1971</v>
      </c>
      <c r="I457" s="30" t="inlineStr">
        <is>
          <t xml:space="preserve">Bugatti</t>
        </is>
      </c>
      <c r="J457" s="30" t="inlineStr">
        <is>
          <t xml:space="preserve">Type 57</t>
        </is>
      </c>
      <c r="K457" s="30" t="inlineStr">
        <is>
          <t xml:space="preserve">1S6TSWTLAFTM9ASF2</t>
        </is>
      </c>
      <c r="L457" s="32" t="inlineStr">
        <is>
          <t xml:space="preserve">07 - Post-War Classic (1946-1972)</t>
        </is>
      </c>
      <c r="M457" s="35">
        <v>595000</v>
      </c>
      <c r="N457" s="32" t="inlineStr">
        <is>
          <t xml:space="preserve">Personal</t>
        </is>
      </c>
      <c r="O457" s="30" t="inlineStr">
        <is>
          <t xml:space="preserve">Personal - regular use</t>
        </is>
      </c>
      <c r="P457" s="30" t="inlineStr">
        <is>
          <t xml:space="preserve">2,500 - 5,000</t>
        </is>
      </c>
      <c r="Q457" s="30" t="inlineStr">
        <is>
          <t xml:space="preserve">California</t>
        </is>
      </c>
      <c r="R457" s="30" t="inlineStr">
        <is>
          <t xml:space="preserve">90012</t>
        </is>
      </c>
      <c r="S457" s="32" t="inlineStr">
        <is>
          <t xml:space="preserve">Earthquake - high (CA, Cascadia, New Madrid)</t>
        </is>
      </c>
      <c r="T457" s="36">
        <f>IF($A457="","",IF($S457="","",IFERROR(INDEX('[1]natural catastrophe'!$D$6:$D$17,MATCH($S457,'[1]natural catastrophe'!$B$6:$B$17,0)),"?")))</f>
      </c>
      <c r="U457" s="30" t="inlineStr">
        <is>
          <t xml:space="preserve">$5,000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4382.71</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CANON-202607-010143</t>
        </is>
      </c>
      <c r="B458" s="46" t="inlineStr">
        <is>
          <t xml:space="preserve">Everett Whitlock</t>
        </is>
      </c>
      <c r="C458" s="47">
        <v>46218</v>
      </c>
      <c r="D458" s="48" t="inlineStr">
        <is>
          <t xml:space="preserve">Bound - within authority</t>
        </is>
      </c>
      <c r="E458" s="48" t="inlineStr">
        <is>
          <t xml:space="preserve">New business</t>
        </is>
      </c>
      <c r="F458" s="46" t="inlineStr">
        <is>
          <t xml:space="preserve">B1234EXOTIC26</t>
        </is>
      </c>
      <c r="G458" s="33">
        <f>IF($A458="","",IF($C458="","",YEAR($C458)))</f>
      </c>
      <c r="H458" s="49">
        <v>1958</v>
      </c>
      <c r="I458" s="46" t="inlineStr">
        <is>
          <t xml:space="preserve">Ferrari</t>
        </is>
      </c>
      <c r="J458" s="46" t="inlineStr">
        <is>
          <t xml:space="preserve">SF90 Stradale</t>
        </is>
      </c>
      <c r="K458" s="46" t="inlineStr">
        <is>
          <t xml:space="preserve">A1RLFZ1VRH6258TXA</t>
        </is>
      </c>
      <c r="L458" s="48" t="inlineStr">
        <is>
          <t xml:space="preserve">03 - Supercar</t>
        </is>
      </c>
      <c r="M458" s="50">
        <v>405000</v>
      </c>
      <c r="N458" s="48" t="inlineStr">
        <is>
          <t xml:space="preserve">Personal</t>
        </is>
      </c>
      <c r="O458" s="46" t="inlineStr">
        <is>
          <t xml:space="preserve">Personal - regular use</t>
        </is>
      </c>
      <c r="P458" s="46" t="inlineStr">
        <is>
          <t xml:space="preserve">Under 1,000</t>
        </is>
      </c>
      <c r="Q458" s="46" t="inlineStr">
        <is>
          <t xml:space="preserve">Indiana</t>
        </is>
      </c>
      <c r="R458" s="46" t="inlineStr">
        <is>
          <t xml:space="preserve">46204</t>
        </is>
      </c>
      <c r="S458" s="48" t="inlineStr">
        <is>
          <t xml:space="preserve">Severe convective - hail / tornado (moderate)</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8225.59</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CANON-202607-010144</t>
        </is>
      </c>
      <c r="B459" s="30" t="inlineStr">
        <is>
          <t xml:space="preserve">Desmond Kingsford</t>
        </is>
      </c>
      <c r="C459" s="31">
        <v>46207</v>
      </c>
      <c r="D459" s="32" t="inlineStr">
        <is>
          <t xml:space="preserve">Bound - within authority</t>
        </is>
      </c>
      <c r="E459" s="32" t="inlineStr">
        <is>
          <t xml:space="preserve">New business</t>
        </is>
      </c>
      <c r="F459" s="30" t="inlineStr">
        <is>
          <t xml:space="preserve">B1234EXOTIC26</t>
        </is>
      </c>
      <c r="G459" s="33">
        <f>IF($A459="","",IF($C459="","",YEAR($C459)))</f>
      </c>
      <c r="H459" s="34">
        <v>2010</v>
      </c>
      <c r="I459" s="30" t="inlineStr">
        <is>
          <t xml:space="preserve">Maserati</t>
        </is>
      </c>
      <c r="J459" s="30" t="inlineStr">
        <is>
          <t xml:space="preserve">GranTurismo</t>
        </is>
      </c>
      <c r="K459" s="30" t="inlineStr">
        <is>
          <t xml:space="preserve">YKRLJZWR8X5W04AJU</t>
        </is>
      </c>
      <c r="L459" s="32" t="inlineStr">
        <is>
          <t xml:space="preserve">02 - Sports / GT</t>
        </is>
      </c>
      <c r="M459" s="35">
        <v>810000</v>
      </c>
      <c r="N459" s="32" t="inlineStr">
        <is>
          <t xml:space="preserve">Personal</t>
        </is>
      </c>
      <c r="O459" s="30" t="inlineStr">
        <is>
          <t xml:space="preserve">Personal - regular use</t>
        </is>
      </c>
      <c r="P459" s="30" t="inlineStr">
        <is>
          <t xml:space="preserve">1,000 - 2,500</t>
        </is>
      </c>
      <c r="Q459" s="30" t="inlineStr">
        <is>
          <t xml:space="preserve">Wyoming</t>
        </is>
      </c>
      <c r="R459" s="30" t="inlineStr">
        <is>
          <t xml:space="preserve">82001</t>
        </is>
      </c>
      <c r="S459" s="32" t="inlineStr">
        <is>
          <t xml:space="preserve">Severe convective - hail alley (high)</t>
        </is>
      </c>
      <c r="T459" s="36">
        <f>IF($A459="","",IF($S459="","",IFERROR(INDEX('[1]natural catastrophe'!$D$6:$D$17,MATCH($S459,'[1]natural catastrophe'!$B$6:$B$17,0)),"?")))</f>
      </c>
      <c r="U459" s="30" t="inlineStr">
        <is>
          <t xml:space="preserve">$5,000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8088.93</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CANON-202607-010145</t>
        </is>
      </c>
      <c r="B460" s="46" t="inlineStr">
        <is>
          <t xml:space="preserve">Fenwick Larsson</t>
        </is>
      </c>
      <c r="C460" s="47">
        <v>46227</v>
      </c>
      <c r="D460" s="48" t="inlineStr">
        <is>
          <t xml:space="preserve">Bound - within authority</t>
        </is>
      </c>
      <c r="E460" s="48" t="inlineStr">
        <is>
          <t xml:space="preserve">New business</t>
        </is>
      </c>
      <c r="F460" s="46" t="inlineStr">
        <is>
          <t xml:space="preserve">B1234EXOTIC26</t>
        </is>
      </c>
      <c r="G460" s="33">
        <f>IF($A460="","",IF($C460="","",YEAR($C460)))</f>
      </c>
      <c r="H460" s="49">
        <v>1991</v>
      </c>
      <c r="I460" s="46" t="inlineStr">
        <is>
          <t xml:space="preserve">McLaren</t>
        </is>
      </c>
      <c r="J460" s="46" t="inlineStr">
        <is>
          <t xml:space="preserve">750S</t>
        </is>
      </c>
      <c r="K460" s="46" t="inlineStr">
        <is>
          <t xml:space="preserve">8C2TN3YFCESM9N5N3</t>
        </is>
      </c>
      <c r="L460" s="48" t="inlineStr">
        <is>
          <t xml:space="preserve">03 - Supercar</t>
        </is>
      </c>
      <c r="M460" s="50">
        <v>1735000</v>
      </c>
      <c r="N460" s="48" t="inlineStr">
        <is>
          <t xml:space="preserve">Personal</t>
        </is>
      </c>
      <c r="O460" s="46" t="inlineStr">
        <is>
          <t xml:space="preserve">Personal - regular use</t>
        </is>
      </c>
      <c r="P460" s="46" t="inlineStr">
        <is>
          <t xml:space="preserve">Under 1,000</t>
        </is>
      </c>
      <c r="Q460" s="46" t="inlineStr">
        <is>
          <t xml:space="preserve">Wisconsin</t>
        </is>
      </c>
      <c r="R460" s="46" t="inlineStr">
        <is>
          <t xml:space="preserve">53202</t>
        </is>
      </c>
      <c r="S460" s="48" t="inlineStr">
        <is>
          <t xml:space="preserve">Severe convective - hail / tornado (moderate)</t>
        </is>
      </c>
      <c r="T460" s="36">
        <f>IF($A460="","",IF($S460="","",IFERROR(INDEX('[1]natural catastrophe'!$D$6:$D$17,MATCH($S460,'[1]natural catastrophe'!$B$6:$B$17,0)),"?")))</f>
      </c>
      <c r="U460" s="46" t="inlineStr">
        <is>
          <t xml:space="preserve">$5,000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23915.51</v>
      </c>
      <c r="AC460" s="51">
        <v>0</v>
      </c>
      <c r="AD460" s="38">
        <f>IF(ISNUMBER($AB460),$AB460*(1+N($AC460)),"")</f>
      </c>
      <c r="AE460" s="50">
        <v>350</v>
      </c>
      <c r="AF460" s="50">
        <v>250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CANON-202607-010146</t>
        </is>
      </c>
      <c r="B461" s="30" t="inlineStr">
        <is>
          <t xml:space="preserve">Priya Delacroix</t>
        </is>
      </c>
      <c r="C461" s="31">
        <v>46227</v>
      </c>
      <c r="D461" s="32" t="inlineStr">
        <is>
          <t xml:space="preserve">Bound - within authority</t>
        </is>
      </c>
      <c r="E461" s="32" t="inlineStr">
        <is>
          <t xml:space="preserve">New business</t>
        </is>
      </c>
      <c r="F461" s="30" t="inlineStr">
        <is>
          <t xml:space="preserve">B1234EXOTIC26</t>
        </is>
      </c>
      <c r="G461" s="33">
        <f>IF($A461="","",IF($C461="","",YEAR($C461)))</f>
      </c>
      <c r="H461" s="34">
        <v>2023</v>
      </c>
      <c r="I461" s="30" t="inlineStr">
        <is>
          <t xml:space="preserve">Bugatti</t>
        </is>
      </c>
      <c r="J461" s="30" t="inlineStr">
        <is>
          <t xml:space="preserve">Type 57</t>
        </is>
      </c>
      <c r="K461" s="30" t="inlineStr">
        <is>
          <t xml:space="preserve">W7F2KZDKZH1NT2DHY</t>
        </is>
      </c>
      <c r="L461" s="32" t="inlineStr">
        <is>
          <t xml:space="preserve">02 - Sports / GT</t>
        </is>
      </c>
      <c r="M461" s="35">
        <v>615000</v>
      </c>
      <c r="N461" s="32" t="inlineStr">
        <is>
          <t xml:space="preserve">Personal</t>
        </is>
      </c>
      <c r="O461" s="30" t="inlineStr">
        <is>
          <t xml:space="preserve">Personal - regular use</t>
        </is>
      </c>
      <c r="P461" s="30" t="inlineStr">
        <is>
          <t xml:space="preserve">Under 1,000</t>
        </is>
      </c>
      <c r="Q461" s="30" t="inlineStr">
        <is>
          <t xml:space="preserve">Illinois</t>
        </is>
      </c>
      <c r="R461" s="30" t="inlineStr">
        <is>
          <t xml:space="preserve">60601</t>
        </is>
      </c>
      <c r="S461" s="32" t="inlineStr">
        <is>
          <t xml:space="preserve">Severe convective - hail / tornado (moderate)</t>
        </is>
      </c>
      <c r="T461" s="36">
        <f>IF($A461="","",IF($S461="","",IFERROR(INDEX('[1]natural catastrophe'!$D$6:$D$17,MATCH($S461,'[1]natural catastrophe'!$B$6:$B$17,0)),"?")))</f>
      </c>
      <c r="U461" s="30" t="inlineStr">
        <is>
          <t xml:space="preserve">$5,000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4563.59</v>
      </c>
      <c r="AC461" s="37">
        <v>0</v>
      </c>
      <c r="AD461" s="38">
        <f>IF(ISNUMBER($AB461),$AB461*(1+N($AC461)),"")</f>
      </c>
      <c r="AE461" s="35">
        <v>350</v>
      </c>
      <c r="AF461" s="35">
        <v>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CANON-202607-010147</t>
        </is>
      </c>
      <c r="B462" s="46" t="inlineStr">
        <is>
          <t xml:space="preserve">Thaddeus Bellandi</t>
        </is>
      </c>
      <c r="C462" s="47">
        <v>46232</v>
      </c>
      <c r="D462" s="48" t="inlineStr">
        <is>
          <t xml:space="preserve">Bound - within authority</t>
        </is>
      </c>
      <c r="E462" s="48" t="inlineStr">
        <is>
          <t xml:space="preserve">New business</t>
        </is>
      </c>
      <c r="F462" s="46" t="inlineStr">
        <is>
          <t xml:space="preserve">B1234EXOTIC26</t>
        </is>
      </c>
      <c r="G462" s="33">
        <f>IF($A462="","",IF($C462="","",YEAR($C462)))</f>
      </c>
      <c r="H462" s="49">
        <v>1971</v>
      </c>
      <c r="I462" s="46" t="inlineStr">
        <is>
          <t xml:space="preserve">Lamborghini</t>
        </is>
      </c>
      <c r="J462" s="46" t="inlineStr">
        <is>
          <t xml:space="preserve">Huracan EVO</t>
        </is>
      </c>
      <c r="K462" s="46" t="inlineStr">
        <is>
          <t xml:space="preserve">R2ZE7LF5TTPRNVTGC</t>
        </is>
      </c>
      <c r="L462" s="48" t="inlineStr">
        <is>
          <t xml:space="preserve">03 - Supercar</t>
        </is>
      </c>
      <c r="M462" s="50">
        <v>325000</v>
      </c>
      <c r="N462" s="48" t="inlineStr">
        <is>
          <t xml:space="preserve">Personal</t>
        </is>
      </c>
      <c r="O462" s="46" t="inlineStr">
        <is>
          <t xml:space="preserve">Personal - regular use</t>
        </is>
      </c>
      <c r="P462" s="46" t="inlineStr">
        <is>
          <t xml:space="preserve">Under 1,000</t>
        </is>
      </c>
      <c r="Q462" s="46" t="inlineStr">
        <is>
          <t xml:space="preserve">Maryland</t>
        </is>
      </c>
      <c r="R462" s="46" t="inlineStr">
        <is>
          <t xml:space="preserve">21201</t>
        </is>
      </c>
      <c r="S462" s="48" t="inlineStr">
        <is>
          <t xml:space="preserve">Tier 3 - Coastal wind (25-100 miles)</t>
        </is>
      </c>
      <c r="T462" s="36">
        <f>IF($A462="","",IF($S462="","",IFERROR(INDEX('[1]natural catastrophe'!$D$6:$D$17,MATCH($S462,'[1]natural catastrophe'!$B$6:$B$17,0)),"?")))</f>
      </c>
      <c r="U462" s="46" t="inlineStr">
        <is>
          <t xml:space="preserve">2% of agreed value, minimum $10,000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5098.16</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CANON-202607-010148</t>
        </is>
      </c>
      <c r="B463" s="30" t="inlineStr">
        <is>
          <t xml:space="preserve">Mireille Vasquez</t>
        </is>
      </c>
      <c r="C463" s="31">
        <v>46222</v>
      </c>
      <c r="D463" s="32" t="inlineStr">
        <is>
          <t xml:space="preserve">Bound - within authority</t>
        </is>
      </c>
      <c r="E463" s="32" t="inlineStr">
        <is>
          <t xml:space="preserve">New business</t>
        </is>
      </c>
      <c r="F463" s="30" t="inlineStr">
        <is>
          <t xml:space="preserve">B1234EXOTIC26</t>
        </is>
      </c>
      <c r="G463" s="33">
        <f>IF($A463="","",IF($C463="","",YEAR($C463)))</f>
      </c>
      <c r="H463" s="34">
        <v>1999</v>
      </c>
      <c r="I463" s="30" t="inlineStr">
        <is>
          <t xml:space="preserve">Aston Martin</t>
        </is>
      </c>
      <c r="J463" s="30" t="inlineStr">
        <is>
          <t xml:space="preserve">DB12</t>
        </is>
      </c>
      <c r="K463" s="30" t="inlineStr">
        <is>
          <t xml:space="preserve">D2H95YA94KHXB7H1H</t>
        </is>
      </c>
      <c r="L463" s="32" t="inlineStr">
        <is>
          <t xml:space="preserve">02 - Sports / GT</t>
        </is>
      </c>
      <c r="M463" s="35">
        <v>410000</v>
      </c>
      <c r="N463" s="32" t="inlineStr">
        <is>
          <t xml:space="preserve">Personal</t>
        </is>
      </c>
      <c r="O463" s="30" t="inlineStr">
        <is>
          <t xml:space="preserve">Personal - regular use</t>
        </is>
      </c>
      <c r="P463" s="30" t="inlineStr">
        <is>
          <t xml:space="preserve">1,000 - 2,500</t>
        </is>
      </c>
      <c r="Q463" s="30" t="inlineStr">
        <is>
          <t xml:space="preserve">Mississippi</t>
        </is>
      </c>
      <c r="R463" s="30" t="inlineStr">
        <is>
          <t xml:space="preserve">39201</t>
        </is>
      </c>
      <c r="S463" s="32" t="inlineStr">
        <is>
          <t xml:space="preserve">Tier 2 - Coastal wind (1-25 miles)</t>
        </is>
      </c>
      <c r="T463" s="36">
        <f>IF($A463="","",IF($S463="","",IFERROR(INDEX('[1]natural catastrophe'!$D$6:$D$17,MATCH($S463,'[1]natural catastrophe'!$B$6:$B$17,0)),"?")))</f>
      </c>
      <c r="U463" s="30" t="inlineStr">
        <is>
          <t xml:space="preserve">2% of agreed value, minimum $10,000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5254.13</v>
      </c>
      <c r="AC463" s="37">
        <v>0</v>
      </c>
      <c r="AD463" s="38">
        <f>IF(ISNUMBER($AB463),$AB463*(1+N($AC463)),"")</f>
      </c>
      <c r="AE463" s="35">
        <v>350</v>
      </c>
      <c r="AF463" s="35">
        <v>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CANON-202607-010149</t>
        </is>
      </c>
      <c r="B464" s="46" t="inlineStr">
        <is>
          <t xml:space="preserve">Fenwick Fairweather</t>
        </is>
      </c>
      <c r="C464" s="47">
        <v>46222</v>
      </c>
      <c r="D464" s="48" t="inlineStr">
        <is>
          <t xml:space="preserve">Bound - within authority</t>
        </is>
      </c>
      <c r="E464" s="48" t="inlineStr">
        <is>
          <t xml:space="preserve">New business</t>
        </is>
      </c>
      <c r="F464" s="46" t="inlineStr">
        <is>
          <t xml:space="preserve">B1234EXOTIC26</t>
        </is>
      </c>
      <c r="G464" s="33">
        <f>IF($A464="","",IF($C464="","",YEAR($C464)))</f>
      </c>
      <c r="H464" s="49">
        <v>1959</v>
      </c>
      <c r="I464" s="46" t="inlineStr">
        <is>
          <t xml:space="preserve">Aston Martin</t>
        </is>
      </c>
      <c r="J464" s="46" t="inlineStr">
        <is>
          <t xml:space="preserve">DB5</t>
        </is>
      </c>
      <c r="K464" s="46" t="inlineStr">
        <is>
          <t xml:space="preserve">790RV05FP6T8MA5VR</t>
        </is>
      </c>
      <c r="L464" s="48" t="inlineStr">
        <is>
          <t xml:space="preserve">07 - Post-War Classic (1946-1972)</t>
        </is>
      </c>
      <c r="M464" s="50">
        <v>695000</v>
      </c>
      <c r="N464" s="48" t="inlineStr">
        <is>
          <t xml:space="preserve">Personal</t>
        </is>
      </c>
      <c r="O464" s="46" t="inlineStr">
        <is>
          <t xml:space="preserve">Personal - regular use</t>
        </is>
      </c>
      <c r="P464" s="46" t="inlineStr">
        <is>
          <t xml:space="preserve">1,000 - 2,500</t>
        </is>
      </c>
      <c r="Q464" s="46" t="inlineStr">
        <is>
          <t xml:space="preserve">Virginia</t>
        </is>
      </c>
      <c r="R464" s="46" t="inlineStr">
        <is>
          <t xml:space="preserve">23219</t>
        </is>
      </c>
      <c r="S464" s="48" t="inlineStr">
        <is>
          <t xml:space="preserve">Tier 3 - Coastal wind (25-100 miles)</t>
        </is>
      </c>
      <c r="T464" s="36">
        <f>IF($A464="","",IF($S464="","",IFERROR(INDEX('[1]natural catastrophe'!$D$6:$D$17,MATCH($S464,'[1]natural catastrophe'!$B$6:$B$17,0)),"?")))</f>
      </c>
      <c r="U464" s="46" t="inlineStr">
        <is>
          <t xml:space="preserve">2% of agreed value, minimum $10,000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4677.23</v>
      </c>
      <c r="AC464" s="51">
        <v>0</v>
      </c>
      <c r="AD464" s="38">
        <f>IF(ISNUMBER($AB464),$AB464*(1+N($AC464)),"")</f>
      </c>
      <c r="AE464" s="50">
        <v>350</v>
      </c>
      <c r="AF464" s="50">
        <v>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CANON-202607-010152</t>
        </is>
      </c>
      <c r="B465" s="30" t="inlineStr">
        <is>
          <t xml:space="preserve">Ramona Okonkwo</t>
        </is>
      </c>
      <c r="C465" s="31">
        <v>46209</v>
      </c>
      <c r="D465" s="32" t="inlineStr">
        <is>
          <t xml:space="preserve">Bound - within authority</t>
        </is>
      </c>
      <c r="E465" s="32" t="inlineStr">
        <is>
          <t xml:space="preserve">New business</t>
        </is>
      </c>
      <c r="F465" s="30" t="inlineStr">
        <is>
          <t xml:space="preserve">B1234EXOTIC26</t>
        </is>
      </c>
      <c r="G465" s="33">
        <f>IF($A465="","",IF($C465="","",YEAR($C465)))</f>
      </c>
      <c r="H465" s="34">
        <v>1958</v>
      </c>
      <c r="I465" s="30" t="inlineStr">
        <is>
          <t xml:space="preserve">BMW</t>
        </is>
      </c>
      <c r="J465" s="30" t="inlineStr">
        <is>
          <t xml:space="preserve">M8 Competition</t>
        </is>
      </c>
      <c r="K465" s="30" t="inlineStr">
        <is>
          <t xml:space="preserve">HKSVE6D99S6VWFRWY</t>
        </is>
      </c>
      <c r="L465" s="32" t="inlineStr">
        <is>
          <t xml:space="preserve">02 - Sports / GT</t>
        </is>
      </c>
      <c r="M465" s="35">
        <v>925000</v>
      </c>
      <c r="N465" s="32" t="inlineStr">
        <is>
          <t xml:space="preserve">Personal</t>
        </is>
      </c>
      <c r="O465" s="30" t="inlineStr">
        <is>
          <t xml:space="preserve">Personal - regular use</t>
        </is>
      </c>
      <c r="P465" s="30" t="inlineStr">
        <is>
          <t xml:space="preserve">Under 1,000</t>
        </is>
      </c>
      <c r="Q465" s="30" t="inlineStr">
        <is>
          <t xml:space="preserve">Tennessee</t>
        </is>
      </c>
      <c r="R465" s="30" t="inlineStr">
        <is>
          <t xml:space="preserve">37203</t>
        </is>
      </c>
      <c r="S465" s="32" t="inlineStr">
        <is>
          <t xml:space="preserve">Severe convective - hail / tornado (moderate)</t>
        </is>
      </c>
      <c r="T465" s="36">
        <f>IF($A465="","",IF($S465="","",IFERROR(INDEX('[1]natural catastrophe'!$D$6:$D$17,MATCH($S465,'[1]natural catastrophe'!$B$6:$B$17,0)),"?")))</f>
      </c>
      <c r="U465" s="30" t="inlineStr">
        <is>
          <t xml:space="preserve">$5,000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8460.38</v>
      </c>
      <c r="AC465" s="37">
        <v>0</v>
      </c>
      <c r="AD465" s="38">
        <f>IF(ISNUMBER($AB465),$AB465*(1+N($AC465)),"")</f>
      </c>
      <c r="AE465" s="35">
        <v>350</v>
      </c>
      <c r="AF465" s="35">
        <v>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CANON-202607-010153</t>
        </is>
      </c>
      <c r="B466" s="46" t="inlineStr">
        <is>
          <t xml:space="preserve">Sunniva Chattopadhyay</t>
        </is>
      </c>
      <c r="C466" s="47">
        <v>46225</v>
      </c>
      <c r="D466" s="48" t="inlineStr">
        <is>
          <t xml:space="preserve">Bound - within authority</t>
        </is>
      </c>
      <c r="E466" s="48" t="inlineStr">
        <is>
          <t xml:space="preserve">New business</t>
        </is>
      </c>
      <c r="F466" s="46" t="inlineStr">
        <is>
          <t xml:space="preserve">B1234EXOTIC26</t>
        </is>
      </c>
      <c r="G466" s="33">
        <f>IF($A466="","",IF($C466="","",YEAR($C466)))</f>
      </c>
      <c r="H466" s="49">
        <v>2006</v>
      </c>
      <c r="I466" s="46" t="inlineStr">
        <is>
          <t xml:space="preserve">Porsche</t>
        </is>
      </c>
      <c r="J466" s="46" t="inlineStr">
        <is>
          <t xml:space="preserve">911 Turbo S</t>
        </is>
      </c>
      <c r="K466" s="46" t="inlineStr">
        <is>
          <t xml:space="preserve">70KZUGGZL6BSJ1P8K</t>
        </is>
      </c>
      <c r="L466" s="48" t="inlineStr">
        <is>
          <t xml:space="preserve">02 - Sports / GT</t>
        </is>
      </c>
      <c r="M466" s="50">
        <v>645000</v>
      </c>
      <c r="N466" s="48" t="inlineStr">
        <is>
          <t xml:space="preserve">Personal</t>
        </is>
      </c>
      <c r="O466" s="46" t="inlineStr">
        <is>
          <t xml:space="preserve">Personal - regular use</t>
        </is>
      </c>
      <c r="P466" s="46" t="inlineStr">
        <is>
          <t xml:space="preserve">2,500 - 5,000</t>
        </is>
      </c>
      <c r="Q466" s="46" t="inlineStr">
        <is>
          <t xml:space="preserve">Ohio</t>
        </is>
      </c>
      <c r="R466" s="46" t="inlineStr">
        <is>
          <t xml:space="preserve">43215</t>
        </is>
      </c>
      <c r="S466" s="48" t="inlineStr">
        <is>
          <t xml:space="preserve">Severe convective - hail / tornado (moderate)</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8367.51</v>
      </c>
      <c r="AC466" s="51">
        <v>0</v>
      </c>
      <c r="AD466" s="38">
        <f>IF(ISNUMBER($AB466),$AB466*(1+N($AC466)),"")</f>
      </c>
      <c r="AE466" s="50">
        <v>350</v>
      </c>
      <c r="AF466" s="50">
        <v>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CANON-202607-010154</t>
        </is>
      </c>
      <c r="B467" s="30" t="inlineStr">
        <is>
          <t xml:space="preserve">Delphine Kingsford</t>
        </is>
      </c>
      <c r="C467" s="31">
        <v>46226</v>
      </c>
      <c r="D467" s="32" t="inlineStr">
        <is>
          <t xml:space="preserve">Bound - within authority</t>
        </is>
      </c>
      <c r="E467" s="32" t="inlineStr">
        <is>
          <t xml:space="preserve">New business</t>
        </is>
      </c>
      <c r="F467" s="30" t="inlineStr">
        <is>
          <t xml:space="preserve">B1234EXOTIC26</t>
        </is>
      </c>
      <c r="G467" s="33">
        <f>IF($A467="","",IF($C467="","",YEAR($C467)))</f>
      </c>
      <c r="H467" s="34">
        <v>1991</v>
      </c>
      <c r="I467" s="30" t="inlineStr">
        <is>
          <t xml:space="preserve">Bentley</t>
        </is>
      </c>
      <c r="J467" s="30" t="inlineStr">
        <is>
          <t xml:space="preserve">4.5 Litre</t>
        </is>
      </c>
      <c r="K467" s="30" t="inlineStr">
        <is>
          <t xml:space="preserve">LLKC9E3XKX3PXY4GR</t>
        </is>
      </c>
      <c r="L467" s="32" t="inlineStr">
        <is>
          <t xml:space="preserve">08 - Modern Classic (1973-1999)</t>
        </is>
      </c>
      <c r="M467" s="35">
        <v>1175000</v>
      </c>
      <c r="N467" s="32" t="inlineStr">
        <is>
          <t xml:space="preserve">Personal</t>
        </is>
      </c>
      <c r="O467" s="30" t="inlineStr">
        <is>
          <t xml:space="preserve">Personal - regular use</t>
        </is>
      </c>
      <c r="P467" s="30" t="inlineStr">
        <is>
          <t xml:space="preserve">2,500 - 5,000</t>
        </is>
      </c>
      <c r="Q467" s="30" t="inlineStr">
        <is>
          <t xml:space="preserve">Kentucky</t>
        </is>
      </c>
      <c r="R467" s="30" t="inlineStr">
        <is>
          <t xml:space="preserve">40202</t>
        </is>
      </c>
      <c r="S467" s="32" t="inlineStr">
        <is>
          <t xml:space="preserve">Severe convective - hail / tornado (moderate)</t>
        </is>
      </c>
      <c r="T467" s="36">
        <f>IF($A467="","",IF($S467="","",IFERROR(INDEX('[1]natural catastrophe'!$D$6:$D$17,MATCH($S467,'[1]natural catastrophe'!$B$6:$B$17,0)),"?")))</f>
      </c>
      <c r="U467" s="30" t="inlineStr">
        <is>
          <t xml:space="preserve">$5,000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7686.53</v>
      </c>
      <c r="AC467" s="37">
        <v>0</v>
      </c>
      <c r="AD467" s="38">
        <f>IF(ISNUMBER($AB467),$AB467*(1+N($AC467)),"")</f>
      </c>
      <c r="AE467" s="35">
        <v>350</v>
      </c>
      <c r="AF467" s="35">
        <v>250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CANON-202607-010155</t>
        </is>
      </c>
      <c r="B468" s="46" t="inlineStr">
        <is>
          <t xml:space="preserve">Horace Kingsford</t>
        </is>
      </c>
      <c r="C468" s="47">
        <v>46212</v>
      </c>
      <c r="D468" s="48" t="inlineStr">
        <is>
          <t xml:space="preserve">Bound - within authority</t>
        </is>
      </c>
      <c r="E468" s="48" t="inlineStr">
        <is>
          <t xml:space="preserve">New business</t>
        </is>
      </c>
      <c r="F468" s="46" t="inlineStr">
        <is>
          <t xml:space="preserve">B1234EXOTIC26</t>
        </is>
      </c>
      <c r="G468" s="33">
        <f>IF($A468="","",IF($C468="","",YEAR($C468)))</f>
      </c>
      <c r="H468" s="49">
        <v>2014</v>
      </c>
      <c r="I468" s="46" t="inlineStr">
        <is>
          <t xml:space="preserve">Mercedes-Benz</t>
        </is>
      </c>
      <c r="J468" s="46" t="inlineStr">
        <is>
          <t xml:space="preserve">AMG GT</t>
        </is>
      </c>
      <c r="K468" s="46" t="inlineStr">
        <is>
          <t xml:space="preserve">MM877LU2D95JWAA7V</t>
        </is>
      </c>
      <c r="L468" s="48" t="inlineStr">
        <is>
          <t xml:space="preserve">02 - Sports / GT</t>
        </is>
      </c>
      <c r="M468" s="50">
        <v>605000</v>
      </c>
      <c r="N468" s="48" t="inlineStr">
        <is>
          <t xml:space="preserve">Personal</t>
        </is>
      </c>
      <c r="O468" s="46" t="inlineStr">
        <is>
          <t xml:space="preserve">Personal - regular use</t>
        </is>
      </c>
      <c r="P468" s="46" t="inlineStr">
        <is>
          <t xml:space="preserve">2,500 - 5,000</t>
        </is>
      </c>
      <c r="Q468" s="46" t="inlineStr">
        <is>
          <t xml:space="preserve">Florida</t>
        </is>
      </c>
      <c r="R468" s="46" t="inlineStr">
        <is>
          <t xml:space="preserve">33139</t>
        </is>
      </c>
      <c r="S468" s="48" t="inlineStr">
        <is>
          <t xml:space="preserve">Tier 2 - Coastal wind (1-25 miles)</t>
        </is>
      </c>
      <c r="T468" s="36">
        <f>IF($A468="","",IF($S468="","",IFERROR(INDEX('[1]natural catastrophe'!$D$6:$D$17,MATCH($S468,'[1]natural catastrophe'!$B$6:$B$17,0)),"?")))</f>
      </c>
      <c r="U468" s="46" t="inlineStr">
        <is>
          <t xml:space="preserve">2% of agreed value, minimum $10,000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8017.99</v>
      </c>
      <c r="AC468" s="51">
        <v>0</v>
      </c>
      <c r="AD468" s="38">
        <f>IF(ISNUMBER($AB468),$AB468*(1+N($AC468)),"")</f>
      </c>
      <c r="AE468" s="50">
        <v>350</v>
      </c>
      <c r="AF468" s="50">
        <v>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CANON-202607-010157</t>
        </is>
      </c>
      <c r="B469" s="30" t="inlineStr">
        <is>
          <t xml:space="preserve">Beatrix Montoya</t>
        </is>
      </c>
      <c r="C469" s="31">
        <v>46227</v>
      </c>
      <c r="D469" s="32" t="inlineStr">
        <is>
          <t xml:space="preserve">Bound - within authority</t>
        </is>
      </c>
      <c r="E469" s="32" t="inlineStr">
        <is>
          <t xml:space="preserve">New business</t>
        </is>
      </c>
      <c r="F469" s="30" t="inlineStr">
        <is>
          <t xml:space="preserve">B1234EXOTIC26</t>
        </is>
      </c>
      <c r="G469" s="33">
        <f>IF($A469="","",IF($C469="","",YEAR($C469)))</f>
      </c>
      <c r="H469" s="34">
        <v>2011</v>
      </c>
      <c r="I469" s="30" t="inlineStr">
        <is>
          <t xml:space="preserve">Ringbrothers</t>
        </is>
      </c>
      <c r="J469" s="30" t="inlineStr">
        <is>
          <t xml:space="preserve">Mustang</t>
        </is>
      </c>
      <c r="K469" s="30" t="inlineStr">
        <is>
          <t xml:space="preserve">8W5639SNSBGV9PCD9</t>
        </is>
      </c>
      <c r="L469" s="32" t="inlineStr">
        <is>
          <t xml:space="preserve">11 - Restomod / Coachbuilt / Bespoke</t>
        </is>
      </c>
      <c r="M469" s="35">
        <v>760000</v>
      </c>
      <c r="N469" s="32" t="inlineStr">
        <is>
          <t xml:space="preserve">Personal</t>
        </is>
      </c>
      <c r="O469" s="30" t="inlineStr">
        <is>
          <t xml:space="preserve">Personal - regular use</t>
        </is>
      </c>
      <c r="P469" s="30" t="inlineStr">
        <is>
          <t xml:space="preserve">2,500 - 5,000</t>
        </is>
      </c>
      <c r="Q469" s="30" t="inlineStr">
        <is>
          <t xml:space="preserve">Wisconsin</t>
        </is>
      </c>
      <c r="R469" s="30" t="inlineStr">
        <is>
          <t xml:space="preserve">53202</t>
        </is>
      </c>
      <c r="S469" s="32" t="inlineStr">
        <is>
          <t xml:space="preserve">Severe convective - hail / tornado (moderate)</t>
        </is>
      </c>
      <c r="T469" s="36">
        <f>IF($A469="","",IF($S469="","",IFERROR(INDEX('[1]natural catastrophe'!$D$6:$D$17,MATCH($S469,'[1]natural catastrophe'!$B$6:$B$17,0)),"?")))</f>
      </c>
      <c r="U469" s="30" t="inlineStr">
        <is>
          <t xml:space="preserve">$5,000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10214.06</v>
      </c>
      <c r="AC469" s="37">
        <v>0</v>
      </c>
      <c r="AD469" s="38">
        <f>IF(ISNUMBER($AB469),$AB469*(1+N($AC469)),"")</f>
      </c>
      <c r="AE469" s="35">
        <v>350</v>
      </c>
      <c r="AF469" s="35">
        <v>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CANON-202607-010158</t>
        </is>
      </c>
      <c r="B470" s="46" t="inlineStr">
        <is>
          <t xml:space="preserve">Mireille Delacroix</t>
        </is>
      </c>
      <c r="C470" s="47">
        <v>46205</v>
      </c>
      <c r="D470" s="48" t="inlineStr">
        <is>
          <t xml:space="preserve">Bound - within authority</t>
        </is>
      </c>
      <c r="E470" s="48" t="inlineStr">
        <is>
          <t xml:space="preserve">New business</t>
        </is>
      </c>
      <c r="F470" s="46" t="inlineStr">
        <is>
          <t xml:space="preserve">B1234EXOTIC26</t>
        </is>
      </c>
      <c r="G470" s="33">
        <f>IF($A470="","",IF($C470="","",YEAR($C470)))</f>
      </c>
      <c r="H470" s="49">
        <v>1992</v>
      </c>
      <c r="I470" s="46" t="inlineStr">
        <is>
          <t xml:space="preserve">Lamborghini</t>
        </is>
      </c>
      <c r="J470" s="46" t="inlineStr">
        <is>
          <t xml:space="preserve">Huracan EVO</t>
        </is>
      </c>
      <c r="K470" s="46" t="inlineStr">
        <is>
          <t xml:space="preserve">R9TS4NRNZVCMLD53T</t>
        </is>
      </c>
      <c r="L470" s="48" t="inlineStr">
        <is>
          <t xml:space="preserve">03 - Supercar</t>
        </is>
      </c>
      <c r="M470" s="50">
        <v>305000</v>
      </c>
      <c r="N470" s="48" t="inlineStr">
        <is>
          <t xml:space="preserve">Personal</t>
        </is>
      </c>
      <c r="O470" s="46" t="inlineStr">
        <is>
          <t xml:space="preserve">Personal - regular use</t>
        </is>
      </c>
      <c r="P470" s="46" t="inlineStr">
        <is>
          <t xml:space="preserve">1,000 - 2,500</t>
        </is>
      </c>
      <c r="Q470" s="46" t="inlineStr">
        <is>
          <t xml:space="preserve">Massachusetts</t>
        </is>
      </c>
      <c r="R470" s="46" t="inlineStr">
        <is>
          <t xml:space="preserve">02108</t>
        </is>
      </c>
      <c r="S470" s="48" t="inlineStr">
        <is>
          <t xml:space="preserve">Tier 3 - Coastal wind (25-100 miles)</t>
        </is>
      </c>
      <c r="T470" s="36">
        <f>IF($A470="","",IF($S470="","",IFERROR(INDEX('[1]natural catastrophe'!$D$6:$D$17,MATCH($S470,'[1]natural catastrophe'!$B$6:$B$17,0)),"?")))</f>
      </c>
      <c r="U470" s="46" t="inlineStr">
        <is>
          <t xml:space="preserve">2% of agreed value, minimum $10,000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6295.3</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CANON-202607-010159</t>
        </is>
      </c>
      <c r="B471" s="30" t="inlineStr">
        <is>
          <t xml:space="preserve">Fenwick Okonkwo</t>
        </is>
      </c>
      <c r="C471" s="31">
        <v>46227</v>
      </c>
      <c r="D471" s="32" t="inlineStr">
        <is>
          <t xml:space="preserve">Bound - within authority</t>
        </is>
      </c>
      <c r="E471" s="32" t="inlineStr">
        <is>
          <t xml:space="preserve">New business</t>
        </is>
      </c>
      <c r="F471" s="30" t="inlineStr">
        <is>
          <t xml:space="preserve">B1234EXOTIC26</t>
        </is>
      </c>
      <c r="G471" s="33">
        <f>IF($A471="","",IF($C471="","",YEAR($C471)))</f>
      </c>
      <c r="H471" s="34">
        <v>1981</v>
      </c>
      <c r="I471" s="30" t="inlineStr">
        <is>
          <t xml:space="preserve">BMW</t>
        </is>
      </c>
      <c r="J471" s="30" t="inlineStr">
        <is>
          <t xml:space="preserve">M8 Competition</t>
        </is>
      </c>
      <c r="K471" s="30" t="inlineStr">
        <is>
          <t xml:space="preserve">656UUY74SAJRYGGJG</t>
        </is>
      </c>
      <c r="L471" s="32" t="inlineStr">
        <is>
          <t xml:space="preserve">02 - Sports / GT</t>
        </is>
      </c>
      <c r="M471" s="35">
        <v>690000</v>
      </c>
      <c r="N471" s="32" t="inlineStr">
        <is>
          <t xml:space="preserve">Personal</t>
        </is>
      </c>
      <c r="O471" s="30" t="inlineStr">
        <is>
          <t xml:space="preserve">Personal - regular use</t>
        </is>
      </c>
      <c r="P471" s="30" t="inlineStr">
        <is>
          <t xml:space="preserve">1,000 - 2,500</t>
        </is>
      </c>
      <c r="Q471" s="30" t="inlineStr">
        <is>
          <t xml:space="preserve">New Jersey</t>
        </is>
      </c>
      <c r="R471" s="30" t="inlineStr">
        <is>
          <t xml:space="preserve">07102</t>
        </is>
      </c>
      <c r="S471" s="32" t="inlineStr">
        <is>
          <t xml:space="preserve">Tier 3 - Coastal wind (25-100 miles)</t>
        </is>
      </c>
      <c r="T471" s="36">
        <f>IF($A471="","",IF($S471="","",IFERROR(INDEX('[1]natural catastrophe'!$D$6:$D$17,MATCH($S471,'[1]natural catastrophe'!$B$6:$B$17,0)),"?")))</f>
      </c>
      <c r="U471" s="30" t="inlineStr">
        <is>
          <t xml:space="preserve">2% of agreed value, minimum $10,000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5860.2</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CANON-202607-010161</t>
        </is>
      </c>
      <c r="B472" s="46" t="inlineStr">
        <is>
          <t xml:space="preserve">Lorenzo Okonkwo</t>
        </is>
      </c>
      <c r="C472" s="47">
        <v>46217</v>
      </c>
      <c r="D472" s="48" t="inlineStr">
        <is>
          <t xml:space="preserve">Bound - within authority</t>
        </is>
      </c>
      <c r="E472" s="48" t="inlineStr">
        <is>
          <t xml:space="preserve">New business</t>
        </is>
      </c>
      <c r="F472" s="46" t="inlineStr">
        <is>
          <t xml:space="preserve">B1234EXOTIC26</t>
        </is>
      </c>
      <c r="G472" s="33">
        <f>IF($A472="","",IF($C472="","",YEAR($C472)))</f>
      </c>
      <c r="H472" s="49">
        <v>1969</v>
      </c>
      <c r="I472" s="46" t="inlineStr">
        <is>
          <t xml:space="preserve">Bentley</t>
        </is>
      </c>
      <c r="J472" s="46" t="inlineStr">
        <is>
          <t xml:space="preserve">Continental GT</t>
        </is>
      </c>
      <c r="K472" s="46" t="inlineStr">
        <is>
          <t xml:space="preserve">KYDT04CWCE2JD6KMB</t>
        </is>
      </c>
      <c r="L472" s="48" t="inlineStr">
        <is>
          <t xml:space="preserve">02 - Sports / GT</t>
        </is>
      </c>
      <c r="M472" s="50">
        <v>1045000</v>
      </c>
      <c r="N472" s="48" t="inlineStr">
        <is>
          <t xml:space="preserve">Personal</t>
        </is>
      </c>
      <c r="O472" s="46" t="inlineStr">
        <is>
          <t xml:space="preserve">Personal - regular use</t>
        </is>
      </c>
      <c r="P472" s="46" t="inlineStr">
        <is>
          <t xml:space="preserve">Under 1,000</t>
        </is>
      </c>
      <c r="Q472" s="46" t="inlineStr">
        <is>
          <t xml:space="preserve">Kansas</t>
        </is>
      </c>
      <c r="R472" s="46" t="inlineStr">
        <is>
          <t xml:space="preserve">66603</t>
        </is>
      </c>
      <c r="S472" s="48" t="inlineStr">
        <is>
          <t xml:space="preserve">Severe convective - hail alley (high)</t>
        </is>
      </c>
      <c r="T472" s="36">
        <f>IF($A472="","",IF($S472="","",IFERROR(INDEX('[1]natural catastrophe'!$D$6:$D$17,MATCH($S472,'[1]natural catastrophe'!$B$6:$B$17,0)),"?")))</f>
      </c>
      <c r="U472" s="46" t="inlineStr">
        <is>
          <t xml:space="preserve">$5,000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8004.97</v>
      </c>
      <c r="AC472" s="51">
        <v>0</v>
      </c>
      <c r="AD472" s="38">
        <f>IF(ISNUMBER($AB472),$AB472*(1+N($AC472)),"")</f>
      </c>
      <c r="AE472" s="50">
        <v>350</v>
      </c>
      <c r="AF472" s="50">
        <v>250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CANON-202607-010162</t>
        </is>
      </c>
      <c r="B473" s="30" t="inlineStr">
        <is>
          <t xml:space="preserve">Emiliano Thistlewood</t>
        </is>
      </c>
      <c r="C473" s="31">
        <v>46210</v>
      </c>
      <c r="D473" s="32" t="inlineStr">
        <is>
          <t xml:space="preserve">Bound - within authority</t>
        </is>
      </c>
      <c r="E473" s="32" t="inlineStr">
        <is>
          <t xml:space="preserve">New business</t>
        </is>
      </c>
      <c r="F473" s="30" t="inlineStr">
        <is>
          <t xml:space="preserve">B1234EXOTIC26</t>
        </is>
      </c>
      <c r="G473" s="33">
        <f>IF($A473="","",IF($C473="","",YEAR($C473)))</f>
      </c>
      <c r="H473" s="34">
        <v>1998</v>
      </c>
      <c r="I473" s="30" t="inlineStr">
        <is>
          <t xml:space="preserve">Aston Martin</t>
        </is>
      </c>
      <c r="J473" s="30" t="inlineStr">
        <is>
          <t xml:space="preserve">DB5</t>
        </is>
      </c>
      <c r="K473" s="30" t="inlineStr">
        <is>
          <t xml:space="preserve">WN7DN0E016B4WBD6P</t>
        </is>
      </c>
      <c r="L473" s="32" t="inlineStr">
        <is>
          <t xml:space="preserve">08 - Modern Classic (1973-1999)</t>
        </is>
      </c>
      <c r="M473" s="35">
        <v>1340000</v>
      </c>
      <c r="N473" s="32" t="inlineStr">
        <is>
          <t xml:space="preserve">Personal</t>
        </is>
      </c>
      <c r="O473" s="30" t="inlineStr">
        <is>
          <t xml:space="preserve">Personal - regular use</t>
        </is>
      </c>
      <c r="P473" s="30" t="inlineStr">
        <is>
          <t xml:space="preserve">1,000 - 2,500</t>
        </is>
      </c>
      <c r="Q473" s="30" t="inlineStr">
        <is>
          <t xml:space="preserve">Illinois</t>
        </is>
      </c>
      <c r="R473" s="30" t="inlineStr">
        <is>
          <t xml:space="preserve">60601</t>
        </is>
      </c>
      <c r="S473" s="32" t="inlineStr">
        <is>
          <t xml:space="preserve">Severe convective - hail / tornado (moderate)</t>
        </is>
      </c>
      <c r="T473" s="36">
        <f>IF($A473="","",IF($S473="","",IFERROR(INDEX('[1]natural catastrophe'!$D$6:$D$17,MATCH($S473,'[1]natural catastrophe'!$B$6:$B$17,0)),"?")))</f>
      </c>
      <c r="U473" s="30" t="inlineStr">
        <is>
          <t xml:space="preserve">$5,000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9943.42</v>
      </c>
      <c r="AC473" s="37">
        <v>0</v>
      </c>
      <c r="AD473" s="38">
        <f>IF(ISNUMBER($AB473),$AB473*(1+N($AC473)),"")</f>
      </c>
      <c r="AE473" s="35">
        <v>350</v>
      </c>
      <c r="AF473" s="35">
        <v>250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CANON-202607-010163</t>
        </is>
      </c>
      <c r="B474" s="46" t="inlineStr">
        <is>
          <t xml:space="preserve">Horace Kingsford</t>
        </is>
      </c>
      <c r="C474" s="47">
        <v>46229</v>
      </c>
      <c r="D474" s="48" t="inlineStr">
        <is>
          <t xml:space="preserve">Bound - within authority</t>
        </is>
      </c>
      <c r="E474" s="48" t="inlineStr">
        <is>
          <t xml:space="preserve">New business</t>
        </is>
      </c>
      <c r="F474" s="46" t="inlineStr">
        <is>
          <t xml:space="preserve">B1234EXOTIC26</t>
        </is>
      </c>
      <c r="G474" s="33">
        <f>IF($A474="","",IF($C474="","",YEAR($C474)))</f>
      </c>
      <c r="H474" s="49">
        <v>1987</v>
      </c>
      <c r="I474" s="46" t="inlineStr">
        <is>
          <t xml:space="preserve">Aston Martin</t>
        </is>
      </c>
      <c r="J474" s="46" t="inlineStr">
        <is>
          <t xml:space="preserve">DB12</t>
        </is>
      </c>
      <c r="K474" s="46" t="inlineStr">
        <is>
          <t xml:space="preserve">Z6H8S49VTMGW2ZRUE</t>
        </is>
      </c>
      <c r="L474" s="48" t="inlineStr">
        <is>
          <t xml:space="preserve">02 - Sports / GT</t>
        </is>
      </c>
      <c r="M474" s="50">
        <v>395000</v>
      </c>
      <c r="N474" s="48" t="inlineStr">
        <is>
          <t xml:space="preserve">Personal</t>
        </is>
      </c>
      <c r="O474" s="46" t="inlineStr">
        <is>
          <t xml:space="preserve">Personal - regular use</t>
        </is>
      </c>
      <c r="P474" s="46" t="inlineStr">
        <is>
          <t xml:space="preserve">2,500 - 5,000</t>
        </is>
      </c>
      <c r="Q474" s="46" t="inlineStr">
        <is>
          <t xml:space="preserve">Virginia</t>
        </is>
      </c>
      <c r="R474" s="46" t="inlineStr">
        <is>
          <t xml:space="preserve">23219</t>
        </is>
      </c>
      <c r="S474" s="48" t="inlineStr">
        <is>
          <t xml:space="preserve">Tier 3 - Coastal wind (25-100 miles)</t>
        </is>
      </c>
      <c r="T474" s="36">
        <f>IF($A474="","",IF($S474="","",IFERROR(INDEX('[1]natural catastrophe'!$D$6:$D$17,MATCH($S474,'[1]natural catastrophe'!$B$6:$B$17,0)),"?")))</f>
      </c>
      <c r="U474" s="46" t="inlineStr">
        <is>
          <t xml:space="preserve">2% of agreed value, minimum $10,000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4636.54</v>
      </c>
      <c r="AC474" s="51">
        <v>0</v>
      </c>
      <c r="AD474" s="38">
        <f>IF(ISNUMBER($AB474),$AB474*(1+N($AC474)),"")</f>
      </c>
      <c r="AE474" s="50">
        <v>350</v>
      </c>
      <c r="AF474" s="50">
        <v>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CANON-202607-010165</t>
        </is>
      </c>
      <c r="B475" s="30" t="inlineStr">
        <is>
          <t xml:space="preserve">Marisol Okonkwo</t>
        </is>
      </c>
      <c r="C475" s="31">
        <v>46225</v>
      </c>
      <c r="D475" s="32" t="inlineStr">
        <is>
          <t xml:space="preserve">Bound - within authority</t>
        </is>
      </c>
      <c r="E475" s="32" t="inlineStr">
        <is>
          <t xml:space="preserve">New business</t>
        </is>
      </c>
      <c r="F475" s="30" t="inlineStr">
        <is>
          <t xml:space="preserve">B1234EXOTIC26</t>
        </is>
      </c>
      <c r="G475" s="33">
        <f>IF($A475="","",IF($C475="","",YEAR($C475)))</f>
      </c>
      <c r="H475" s="34">
        <v>1967</v>
      </c>
      <c r="I475" s="30" t="inlineStr">
        <is>
          <t xml:space="preserve">Lamborghini</t>
        </is>
      </c>
      <c r="J475" s="30" t="inlineStr">
        <is>
          <t xml:space="preserve">Huracan EVO</t>
        </is>
      </c>
      <c r="K475" s="30" t="inlineStr">
        <is>
          <t xml:space="preserve">8AUC56UM5156UC6HZ</t>
        </is>
      </c>
      <c r="L475" s="32" t="inlineStr">
        <is>
          <t xml:space="preserve">03 - Supercar</t>
        </is>
      </c>
      <c r="M475" s="35">
        <v>1065000</v>
      </c>
      <c r="N475" s="32" t="inlineStr">
        <is>
          <t xml:space="preserve">Personal</t>
        </is>
      </c>
      <c r="O475" s="30" t="inlineStr">
        <is>
          <t xml:space="preserve">Personal - regular use</t>
        </is>
      </c>
      <c r="P475" s="30" t="inlineStr">
        <is>
          <t xml:space="preserve">2,500 - 5,000</t>
        </is>
      </c>
      <c r="Q475" s="30" t="inlineStr">
        <is>
          <t xml:space="preserve">North Carolina</t>
        </is>
      </c>
      <c r="R475" s="30" t="inlineStr">
        <is>
          <t xml:space="preserve">28202</t>
        </is>
      </c>
      <c r="S475" s="32" t="inlineStr">
        <is>
          <t xml:space="preserve">Tier 2 - Coastal wind (1-25 miles)</t>
        </is>
      </c>
      <c r="T475" s="36">
        <f>IF($A475="","",IF($S475="","",IFERROR(INDEX('[1]natural catastrophe'!$D$6:$D$17,MATCH($S475,'[1]natural catastrophe'!$B$6:$B$17,0)),"?")))</f>
      </c>
      <c r="U475" s="30" t="inlineStr">
        <is>
          <t xml:space="preserve">2% of agreed value, minimum $10,000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14068.45</v>
      </c>
      <c r="AC475" s="37">
        <v>0</v>
      </c>
      <c r="AD475" s="38">
        <f>IF(ISNUMBER($AB475),$AB475*(1+N($AC475)),"")</f>
      </c>
      <c r="AE475" s="35">
        <v>350</v>
      </c>
      <c r="AF475" s="35">
        <v>250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CANON-202607-010166</t>
        </is>
      </c>
      <c r="B476" s="46" t="inlineStr">
        <is>
          <t xml:space="preserve">Fenwick Farkas</t>
        </is>
      </c>
      <c r="C476" s="47">
        <v>46231</v>
      </c>
      <c r="D476" s="48" t="inlineStr">
        <is>
          <t xml:space="preserve">Bound - within authority</t>
        </is>
      </c>
      <c r="E476" s="48" t="inlineStr">
        <is>
          <t xml:space="preserve">New business</t>
        </is>
      </c>
      <c r="F476" s="46" t="inlineStr">
        <is>
          <t xml:space="preserve">B1234EXOTIC26</t>
        </is>
      </c>
      <c r="G476" s="33">
        <f>IF($A476="","",IF($C476="","",YEAR($C476)))</f>
      </c>
      <c r="H476" s="49">
        <v>1961</v>
      </c>
      <c r="I476" s="46" t="inlineStr">
        <is>
          <t xml:space="preserve">Porsche</t>
        </is>
      </c>
      <c r="J476" s="46" t="inlineStr">
        <is>
          <t xml:space="preserve">911 Turbo S</t>
        </is>
      </c>
      <c r="K476" s="46" t="inlineStr">
        <is>
          <t xml:space="preserve">RFJZ4B97TWHCHSS42</t>
        </is>
      </c>
      <c r="L476" s="48" t="inlineStr">
        <is>
          <t xml:space="preserve">02 - Sports / GT</t>
        </is>
      </c>
      <c r="M476" s="50">
        <v>1020000</v>
      </c>
      <c r="N476" s="48" t="inlineStr">
        <is>
          <t xml:space="preserve">Personal</t>
        </is>
      </c>
      <c r="O476" s="46" t="inlineStr">
        <is>
          <t xml:space="preserve">Personal - regular use</t>
        </is>
      </c>
      <c r="P476" s="46" t="inlineStr">
        <is>
          <t xml:space="preserve">2,500 - 5,000</t>
        </is>
      </c>
      <c r="Q476" s="46" t="inlineStr">
        <is>
          <t xml:space="preserve">North Dakota</t>
        </is>
      </c>
      <c r="R476" s="46" t="inlineStr">
        <is>
          <t xml:space="preserve">58501</t>
        </is>
      </c>
      <c r="S476" s="48" t="inlineStr">
        <is>
          <t xml:space="preserve">Severe convective - hail alley (high)</t>
        </is>
      </c>
      <c r="T476" s="36">
        <f>IF($A476="","",IF($S476="","",IFERROR(INDEX('[1]natural catastrophe'!$D$6:$D$17,MATCH($S476,'[1]natural catastrophe'!$B$6:$B$17,0)),"?")))</f>
      </c>
      <c r="U476" s="46" t="inlineStr">
        <is>
          <t xml:space="preserve">$5,000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8216.21</v>
      </c>
      <c r="AC476" s="51">
        <v>0</v>
      </c>
      <c r="AD476" s="38">
        <f>IF(ISNUMBER($AB476),$AB476*(1+N($AC476)),"")</f>
      </c>
      <c r="AE476" s="50">
        <v>350</v>
      </c>
      <c r="AF476" s="50">
        <v>250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CANON-202607-010167</t>
        </is>
      </c>
      <c r="B477" s="30" t="inlineStr">
        <is>
          <t xml:space="preserve">Delphine Pennington</t>
        </is>
      </c>
      <c r="C477" s="31">
        <v>46232</v>
      </c>
      <c r="D477" s="32" t="inlineStr">
        <is>
          <t xml:space="preserve">Bound - within authority</t>
        </is>
      </c>
      <c r="E477" s="32" t="inlineStr">
        <is>
          <t xml:space="preserve">New business</t>
        </is>
      </c>
      <c r="F477" s="30" t="inlineStr">
        <is>
          <t xml:space="preserve">B1234EXOTIC26</t>
        </is>
      </c>
      <c r="G477" s="33">
        <f>IF($A477="","",IF($C477="","",YEAR($C477)))</f>
      </c>
      <c r="H477" s="34">
        <v>1986</v>
      </c>
      <c r="I477" s="30" t="inlineStr">
        <is>
          <t xml:space="preserve">BMW</t>
        </is>
      </c>
      <c r="J477" s="30" t="inlineStr">
        <is>
          <t xml:space="preserve">M8 Competition</t>
        </is>
      </c>
      <c r="K477" s="30" t="inlineStr">
        <is>
          <t xml:space="preserve">TBV2FL9BL3XRWYA0V</t>
        </is>
      </c>
      <c r="L477" s="32" t="inlineStr">
        <is>
          <t xml:space="preserve">02 - Sports / GT</t>
        </is>
      </c>
      <c r="M477" s="35">
        <v>585000</v>
      </c>
      <c r="N477" s="32" t="inlineStr">
        <is>
          <t xml:space="preserve">Personal</t>
        </is>
      </c>
      <c r="O477" s="30" t="inlineStr">
        <is>
          <t xml:space="preserve">Personal - regular use</t>
        </is>
      </c>
      <c r="P477" s="30" t="inlineStr">
        <is>
          <t xml:space="preserve">Under 1,000</t>
        </is>
      </c>
      <c r="Q477" s="30" t="inlineStr">
        <is>
          <t xml:space="preserve">Idaho</t>
        </is>
      </c>
      <c r="R477" s="30" t="inlineStr">
        <is>
          <t xml:space="preserve">83702</t>
        </is>
      </c>
      <c r="S477" s="32" t="inlineStr">
        <is>
          <t xml:space="preserve">Wildfire - WUI high hazard</t>
        </is>
      </c>
      <c r="T477" s="36">
        <f>IF($A477="","",IF($S477="","",IFERROR(INDEX('[1]natural catastrophe'!$D$6:$D$17,MATCH($S477,'[1]natural catastrophe'!$B$6:$B$17,0)),"?")))</f>
      </c>
      <c r="U477" s="30" t="inlineStr">
        <is>
          <t xml:space="preserve">$5,000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5405.22</v>
      </c>
      <c r="AC477" s="37">
        <v>0</v>
      </c>
      <c r="AD477" s="38">
        <f>IF(ISNUMBER($AB477),$AB477*(1+N($AC477)),"")</f>
      </c>
      <c r="AE477" s="35">
        <v>350</v>
      </c>
      <c r="AF477" s="35">
        <v>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CANON-202607-010169</t>
        </is>
      </c>
      <c r="B478" s="46" t="inlineStr">
        <is>
          <t xml:space="preserve">Wilhelmina Pennington</t>
        </is>
      </c>
      <c r="C478" s="47">
        <v>46209</v>
      </c>
      <c r="D478" s="48" t="inlineStr">
        <is>
          <t xml:space="preserve">Bound - within authority</t>
        </is>
      </c>
      <c r="E478" s="48" t="inlineStr">
        <is>
          <t xml:space="preserve">New business</t>
        </is>
      </c>
      <c r="F478" s="46" t="inlineStr">
        <is>
          <t xml:space="preserve">B1234EXOTIC26</t>
        </is>
      </c>
      <c r="G478" s="33">
        <f>IF($A478="","",IF($C478="","",YEAR($C478)))</f>
      </c>
      <c r="H478" s="49">
        <v>1995</v>
      </c>
      <c r="I478" s="46" t="inlineStr">
        <is>
          <t xml:space="preserve">McLaren</t>
        </is>
      </c>
      <c r="J478" s="46" t="inlineStr">
        <is>
          <t xml:space="preserve">750S</t>
        </is>
      </c>
      <c r="K478" s="46" t="inlineStr">
        <is>
          <t xml:space="preserve">0JG07EF3PAEKLW8GD</t>
        </is>
      </c>
      <c r="L478" s="48" t="inlineStr">
        <is>
          <t xml:space="preserve">03 - Supercar</t>
        </is>
      </c>
      <c r="M478" s="50">
        <v>1280000</v>
      </c>
      <c r="N478" s="48" t="inlineStr">
        <is>
          <t xml:space="preserve">Personal</t>
        </is>
      </c>
      <c r="O478" s="46" t="inlineStr">
        <is>
          <t xml:space="preserve">Personal - regular use</t>
        </is>
      </c>
      <c r="P478" s="46" t="inlineStr">
        <is>
          <t xml:space="preserve">2,500 - 5,000</t>
        </is>
      </c>
      <c r="Q478" s="46" t="inlineStr">
        <is>
          <t xml:space="preserve">Nebraska</t>
        </is>
      </c>
      <c r="R478" s="46" t="inlineStr">
        <is>
          <t xml:space="preserve">68102</t>
        </is>
      </c>
      <c r="S478" s="48" t="inlineStr">
        <is>
          <t xml:space="preserve">Severe convective - hail alley (high)</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19114.02</v>
      </c>
      <c r="AC478" s="51">
        <v>0</v>
      </c>
      <c r="AD478" s="38">
        <f>IF(ISNUMBER($AB478),$AB478*(1+N($AC478)),"")</f>
      </c>
      <c r="AE478" s="50">
        <v>350</v>
      </c>
      <c r="AF478" s="50">
        <v>250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CANON-202607-010170</t>
        </is>
      </c>
      <c r="B479" s="30" t="inlineStr">
        <is>
          <t xml:space="preserve">Priya Whitlock</t>
        </is>
      </c>
      <c r="C479" s="31">
        <v>46227</v>
      </c>
      <c r="D479" s="32" t="inlineStr">
        <is>
          <t xml:space="preserve">Bound - within authority</t>
        </is>
      </c>
      <c r="E479" s="32" t="inlineStr">
        <is>
          <t xml:space="preserve">New business</t>
        </is>
      </c>
      <c r="F479" s="30" t="inlineStr">
        <is>
          <t xml:space="preserve">B1234EXOTIC26</t>
        </is>
      </c>
      <c r="G479" s="33">
        <f>IF($A479="","",IF($C479="","",YEAR($C479)))</f>
      </c>
      <c r="H479" s="34">
        <v>1987</v>
      </c>
      <c r="I479" s="30" t="inlineStr">
        <is>
          <t xml:space="preserve">Ringbrothers</t>
        </is>
      </c>
      <c r="J479" s="30" t="inlineStr">
        <is>
          <t xml:space="preserve">Mustang</t>
        </is>
      </c>
      <c r="K479" s="30" t="inlineStr">
        <is>
          <t xml:space="preserve">G8CSNS9R88RCKNUU9</t>
        </is>
      </c>
      <c r="L479" s="32" t="inlineStr">
        <is>
          <t xml:space="preserve">11 - Restomod / Coachbuilt / Bespoke</t>
        </is>
      </c>
      <c r="M479" s="35">
        <v>840000</v>
      </c>
      <c r="N479" s="32" t="inlineStr">
        <is>
          <t xml:space="preserve">Personal</t>
        </is>
      </c>
      <c r="O479" s="30" t="inlineStr">
        <is>
          <t xml:space="preserve">Personal - regular use</t>
        </is>
      </c>
      <c r="P479" s="30" t="inlineStr">
        <is>
          <t xml:space="preserve">1,000 - 2,500</t>
        </is>
      </c>
      <c r="Q479" s="30" t="inlineStr">
        <is>
          <t xml:space="preserve">Vermont</t>
        </is>
      </c>
      <c r="R479" s="30" t="inlineStr">
        <is>
          <t xml:space="preserve">05601</t>
        </is>
      </c>
      <c r="S479" s="32" t="inlineStr">
        <is>
          <t xml:space="preserve">Low hazard - inland benign</t>
        </is>
      </c>
      <c r="T479" s="36">
        <f>IF($A479="","",IF($S479="","",IFERROR(INDEX('[1]natural catastrophe'!$D$6:$D$17,MATCH($S479,'[1]natural catastrophe'!$B$6:$B$17,0)),"?")))</f>
      </c>
      <c r="U479" s="30" t="inlineStr">
        <is>
          <t xml:space="preserve">$5,000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11477.37</v>
      </c>
      <c r="AC479" s="37">
        <v>0</v>
      </c>
      <c r="AD479" s="38">
        <f>IF(ISNUMBER($AB479),$AB479*(1+N($AC479)),"")</f>
      </c>
      <c r="AE479" s="35">
        <v>350</v>
      </c>
      <c r="AF479" s="35">
        <v>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CANON-202607-010172</t>
        </is>
      </c>
      <c r="B480" s="46" t="inlineStr">
        <is>
          <t xml:space="preserve">Leopold Castellanos</t>
        </is>
      </c>
      <c r="C480" s="47">
        <v>46231</v>
      </c>
      <c r="D480" s="48" t="inlineStr">
        <is>
          <t xml:space="preserve">Bound - within authority</t>
        </is>
      </c>
      <c r="E480" s="48" t="inlineStr">
        <is>
          <t xml:space="preserve">New business</t>
        </is>
      </c>
      <c r="F480" s="46" t="inlineStr">
        <is>
          <t xml:space="preserve">B1234EXOTIC26</t>
        </is>
      </c>
      <c r="G480" s="33">
        <f>IF($A480="","",IF($C480="","",YEAR($C480)))</f>
      </c>
      <c r="H480" s="49">
        <v>1958</v>
      </c>
      <c r="I480" s="46" t="inlineStr">
        <is>
          <t xml:space="preserve">Ringbrothers</t>
        </is>
      </c>
      <c r="J480" s="46" t="inlineStr">
        <is>
          <t xml:space="preserve">Mustang</t>
        </is>
      </c>
      <c r="K480" s="46" t="inlineStr">
        <is>
          <t xml:space="preserve">NMY50LRUF3FA4AXPU</t>
        </is>
      </c>
      <c r="L480" s="48" t="inlineStr">
        <is>
          <t xml:space="preserve">11 - Restomod / Coachbuilt / Bespoke</t>
        </is>
      </c>
      <c r="M480" s="50">
        <v>1160000</v>
      </c>
      <c r="N480" s="48" t="inlineStr">
        <is>
          <t xml:space="preserve">Personal</t>
        </is>
      </c>
      <c r="O480" s="46" t="inlineStr">
        <is>
          <t xml:space="preserve">Personal - regular use</t>
        </is>
      </c>
      <c r="P480" s="46" t="inlineStr">
        <is>
          <t xml:space="preserve">1,000 - 2,500</t>
        </is>
      </c>
      <c r="Q480" s="46" t="inlineStr">
        <is>
          <t xml:space="preserve">Kansas</t>
        </is>
      </c>
      <c r="R480" s="46" t="inlineStr">
        <is>
          <t xml:space="preserve">66603</t>
        </is>
      </c>
      <c r="S480" s="48" t="inlineStr">
        <is>
          <t xml:space="preserve">Severe convective - hail alley (high)</t>
        </is>
      </c>
      <c r="T480" s="36">
        <f>IF($A480="","",IF($S480="","",IFERROR(INDEX('[1]natural catastrophe'!$D$6:$D$17,MATCH($S480,'[1]natural catastrophe'!$B$6:$B$17,0)),"?")))</f>
      </c>
      <c r="U480" s="46" t="inlineStr">
        <is>
          <t xml:space="preserve">$5,000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10986.2</v>
      </c>
      <c r="AC480" s="51">
        <v>0</v>
      </c>
      <c r="AD480" s="38">
        <f>IF(ISNUMBER($AB480),$AB480*(1+N($AC480)),"")</f>
      </c>
      <c r="AE480" s="50">
        <v>350</v>
      </c>
      <c r="AF480" s="50">
        <v>250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CANON-202607-010173</t>
        </is>
      </c>
      <c r="B481" s="30" t="inlineStr">
        <is>
          <t xml:space="preserve">Noor Pennington</t>
        </is>
      </c>
      <c r="C481" s="31">
        <v>46217</v>
      </c>
      <c r="D481" s="32" t="inlineStr">
        <is>
          <t xml:space="preserve">Bound - within authority</t>
        </is>
      </c>
      <c r="E481" s="32" t="inlineStr">
        <is>
          <t xml:space="preserve">New business</t>
        </is>
      </c>
      <c r="F481" s="30" t="inlineStr">
        <is>
          <t xml:space="preserve">B1234EXOTIC26</t>
        </is>
      </c>
      <c r="G481" s="33">
        <f>IF($A481="","",IF($C481="","",YEAR($C481)))</f>
      </c>
      <c r="H481" s="34">
        <v>1987</v>
      </c>
      <c r="I481" s="30" t="inlineStr">
        <is>
          <t xml:space="preserve">Singer</t>
        </is>
      </c>
      <c r="J481" s="30" t="inlineStr">
        <is>
          <t xml:space="preserve">911 Reimagined</t>
        </is>
      </c>
      <c r="K481" s="30" t="inlineStr">
        <is>
          <t xml:space="preserve">KBSB4ZX1FBHZHLN7Z</t>
        </is>
      </c>
      <c r="L481" s="32" t="inlineStr">
        <is>
          <t xml:space="preserve">11 - Restomod / Coachbuilt / Bespoke</t>
        </is>
      </c>
      <c r="M481" s="35">
        <v>1005000</v>
      </c>
      <c r="N481" s="32" t="inlineStr">
        <is>
          <t xml:space="preserve">Personal</t>
        </is>
      </c>
      <c r="O481" s="30" t="inlineStr">
        <is>
          <t xml:space="preserve">Personal - regular use</t>
        </is>
      </c>
      <c r="P481" s="30" t="inlineStr">
        <is>
          <t xml:space="preserve">Under 1,000</t>
        </is>
      </c>
      <c r="Q481" s="30" t="inlineStr">
        <is>
          <t xml:space="preserve">South Dakota</t>
        </is>
      </c>
      <c r="R481" s="30" t="inlineStr">
        <is>
          <t xml:space="preserve">57501</t>
        </is>
      </c>
      <c r="S481" s="32" t="inlineStr">
        <is>
          <t xml:space="preserve">Severe convective - hail alley (high)</t>
        </is>
      </c>
      <c r="T481" s="36">
        <f>IF($A481="","",IF($S481="","",IFERROR(INDEX('[1]natural catastrophe'!$D$6:$D$17,MATCH($S481,'[1]natural catastrophe'!$B$6:$B$17,0)),"?")))</f>
      </c>
      <c r="U481" s="30" t="inlineStr">
        <is>
          <t xml:space="preserve">$5,000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10891.98</v>
      </c>
      <c r="AC481" s="37">
        <v>0</v>
      </c>
      <c r="AD481" s="38">
        <f>IF(ISNUMBER($AB481),$AB481*(1+N($AC481)),"")</f>
      </c>
      <c r="AE481" s="35">
        <v>350</v>
      </c>
      <c r="AF481" s="35">
        <v>250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CANON-202607-010174</t>
        </is>
      </c>
      <c r="B482" s="46" t="inlineStr">
        <is>
          <t xml:space="preserve">Saoirse Chattopadhyay</t>
        </is>
      </c>
      <c r="C482" s="47">
        <v>46207</v>
      </c>
      <c r="D482" s="48" t="inlineStr">
        <is>
          <t xml:space="preserve">Bound - within authority</t>
        </is>
      </c>
      <c r="E482" s="48" t="inlineStr">
        <is>
          <t xml:space="preserve">New business</t>
        </is>
      </c>
      <c r="F482" s="46" t="inlineStr">
        <is>
          <t xml:space="preserve">B1234EXOTIC26</t>
        </is>
      </c>
      <c r="G482" s="33">
        <f>IF($A482="","",IF($C482="","",YEAR($C482)))</f>
      </c>
      <c r="H482" s="49">
        <v>2019</v>
      </c>
      <c r="I482" s="46" t="inlineStr">
        <is>
          <t xml:space="preserve">Lamborghini</t>
        </is>
      </c>
      <c r="J482" s="46" t="inlineStr">
        <is>
          <t xml:space="preserve">Huracan EVO</t>
        </is>
      </c>
      <c r="K482" s="46" t="inlineStr">
        <is>
          <t xml:space="preserve">K7C5TN7C7S9Z361T9</t>
        </is>
      </c>
      <c r="L482" s="48" t="inlineStr">
        <is>
          <t xml:space="preserve">03 - Supercar</t>
        </is>
      </c>
      <c r="M482" s="50">
        <v>455000</v>
      </c>
      <c r="N482" s="48" t="inlineStr">
        <is>
          <t xml:space="preserve">Personal</t>
        </is>
      </c>
      <c r="O482" s="46" t="inlineStr">
        <is>
          <t xml:space="preserve">Personal - regular use</t>
        </is>
      </c>
      <c r="P482" s="46" t="inlineStr">
        <is>
          <t xml:space="preserve">Under 1,000</t>
        </is>
      </c>
      <c r="Q482" s="46" t="inlineStr">
        <is>
          <t xml:space="preserve">New York</t>
        </is>
      </c>
      <c r="R482" s="46" t="inlineStr">
        <is>
          <t xml:space="preserve">10022</t>
        </is>
      </c>
      <c r="S482" s="48" t="inlineStr">
        <is>
          <t xml:space="preserve">Tier 3 - Coastal wind (25-100 miles)</t>
        </is>
      </c>
      <c r="T482" s="36">
        <f>IF($A482="","",IF($S482="","",IFERROR(INDEX('[1]natural catastrophe'!$D$6:$D$17,MATCH($S482,'[1]natural catastrophe'!$B$6:$B$17,0)),"?")))</f>
      </c>
      <c r="U482" s="46" t="inlineStr">
        <is>
          <t xml:space="preserve">2% of agreed value, minimum $10,000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9616.74</v>
      </c>
      <c r="AC482" s="51">
        <v>0</v>
      </c>
      <c r="AD482" s="38">
        <f>IF(ISNUMBER($AB482),$AB482*(1+N($AC482)),"")</f>
      </c>
      <c r="AE482" s="50">
        <v>350</v>
      </c>
      <c r="AF482" s="50">
        <v>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CANON-202607-010175</t>
        </is>
      </c>
      <c r="B483" s="30" t="inlineStr">
        <is>
          <t xml:space="preserve">Desmond Vasquez</t>
        </is>
      </c>
      <c r="C483" s="31">
        <v>46224</v>
      </c>
      <c r="D483" s="32" t="inlineStr">
        <is>
          <t xml:space="preserve">Bound - within authority</t>
        </is>
      </c>
      <c r="E483" s="32" t="inlineStr">
        <is>
          <t xml:space="preserve">New business</t>
        </is>
      </c>
      <c r="F483" s="30" t="inlineStr">
        <is>
          <t xml:space="preserve">B1234EXOTIC26</t>
        </is>
      </c>
      <c r="G483" s="33">
        <f>IF($A483="","",IF($C483="","",YEAR($C483)))</f>
      </c>
      <c r="H483" s="34">
        <v>1979</v>
      </c>
      <c r="I483" s="30" t="inlineStr">
        <is>
          <t xml:space="preserve">Aston Martin</t>
        </is>
      </c>
      <c r="J483" s="30" t="inlineStr">
        <is>
          <t xml:space="preserve">DB12</t>
        </is>
      </c>
      <c r="K483" s="30" t="inlineStr">
        <is>
          <t xml:space="preserve">308E2VW818MCD3PGK</t>
        </is>
      </c>
      <c r="L483" s="32" t="inlineStr">
        <is>
          <t xml:space="preserve">02 - Sports / GT</t>
        </is>
      </c>
      <c r="M483" s="35">
        <v>715000</v>
      </c>
      <c r="N483" s="32" t="inlineStr">
        <is>
          <t xml:space="preserve">Personal</t>
        </is>
      </c>
      <c r="O483" s="30" t="inlineStr">
        <is>
          <t xml:space="preserve">Personal - regular use</t>
        </is>
      </c>
      <c r="P483" s="30" t="inlineStr">
        <is>
          <t xml:space="preserve">1,000 - 2,500</t>
        </is>
      </c>
      <c r="Q483" s="30" t="inlineStr">
        <is>
          <t xml:space="preserve">California</t>
        </is>
      </c>
      <c r="R483" s="30" t="inlineStr">
        <is>
          <t xml:space="preserve">90012</t>
        </is>
      </c>
      <c r="S483" s="32" t="inlineStr">
        <is>
          <t xml:space="preserve">Earthquake - high (CA, Cascadia, New Madrid)</t>
        </is>
      </c>
      <c r="T483" s="36">
        <f>IF($A483="","",IF($S483="","",IFERROR(INDEX('[1]natural catastrophe'!$D$6:$D$17,MATCH($S483,'[1]natural catastrophe'!$B$6:$B$17,0)),"?")))</f>
      </c>
      <c r="U483" s="30" t="inlineStr">
        <is>
          <t xml:space="preserve">$5,000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9008.7</v>
      </c>
      <c r="AC483" s="37">
        <v>0</v>
      </c>
      <c r="AD483" s="38">
        <f>IF(ISNUMBER($AB483),$AB483*(1+N($AC483)),"")</f>
      </c>
      <c r="AE483" s="35">
        <v>350</v>
      </c>
      <c r="AF483" s="35">
        <v>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CANON-202607-010176</t>
        </is>
      </c>
      <c r="B484" s="46" t="inlineStr">
        <is>
          <t xml:space="preserve">Everett Rourke</t>
        </is>
      </c>
      <c r="C484" s="47">
        <v>46224</v>
      </c>
      <c r="D484" s="48" t="inlineStr">
        <is>
          <t xml:space="preserve">Bound - within authority</t>
        </is>
      </c>
      <c r="E484" s="48" t="inlineStr">
        <is>
          <t xml:space="preserve">New business</t>
        </is>
      </c>
      <c r="F484" s="46" t="inlineStr">
        <is>
          <t xml:space="preserve">B1234EXOTIC26</t>
        </is>
      </c>
      <c r="G484" s="33">
        <f>IF($A484="","",IF($C484="","",YEAR($C484)))</f>
      </c>
      <c r="H484" s="49">
        <v>1963</v>
      </c>
      <c r="I484" s="46" t="inlineStr">
        <is>
          <t xml:space="preserve">McLaren</t>
        </is>
      </c>
      <c r="J484" s="46" t="inlineStr">
        <is>
          <t xml:space="preserve">750S</t>
        </is>
      </c>
      <c r="K484" s="46" t="inlineStr">
        <is>
          <t xml:space="preserve">2EECZFU8AX1L2C2A3</t>
        </is>
      </c>
      <c r="L484" s="48" t="inlineStr">
        <is>
          <t xml:space="preserve">03 - Supercar</t>
        </is>
      </c>
      <c r="M484" s="50">
        <v>900000</v>
      </c>
      <c r="N484" s="48" t="inlineStr">
        <is>
          <t xml:space="preserve">Personal</t>
        </is>
      </c>
      <c r="O484" s="46" t="inlineStr">
        <is>
          <t xml:space="preserve">Personal - regular use</t>
        </is>
      </c>
      <c r="P484" s="46" t="inlineStr">
        <is>
          <t xml:space="preserve">1,000 - 2,500</t>
        </is>
      </c>
      <c r="Q484" s="46" t="inlineStr">
        <is>
          <t xml:space="preserve">Colorado</t>
        </is>
      </c>
      <c r="R484" s="46" t="inlineStr">
        <is>
          <t xml:space="preserve">80202</t>
        </is>
      </c>
      <c r="S484" s="48" t="inlineStr">
        <is>
          <t xml:space="preserve">Severe convective - hail alley (high)</t>
        </is>
      </c>
      <c r="T484" s="36">
        <f>IF($A484="","",IF($S484="","",IFERROR(INDEX('[1]natural catastrophe'!$D$6:$D$17,MATCH($S484,'[1]natural catastrophe'!$B$6:$B$17,0)),"?")))</f>
      </c>
      <c r="U484" s="46" t="inlineStr">
        <is>
          <t xml:space="preserve">$5,000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13504.16</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CANON-202607-010177</t>
        </is>
      </c>
      <c r="B485" s="30" t="inlineStr">
        <is>
          <t xml:space="preserve">Wilhelmina Larsson</t>
        </is>
      </c>
      <c r="C485" s="31">
        <v>46209</v>
      </c>
      <c r="D485" s="32" t="inlineStr">
        <is>
          <t xml:space="preserve">Bound - within authority</t>
        </is>
      </c>
      <c r="E485" s="32" t="inlineStr">
        <is>
          <t xml:space="preserve">New business</t>
        </is>
      </c>
      <c r="F485" s="30" t="inlineStr">
        <is>
          <t xml:space="preserve">B1234EXOTIC26</t>
        </is>
      </c>
      <c r="G485" s="33">
        <f>IF($A485="","",IF($C485="","",YEAR($C485)))</f>
      </c>
      <c r="H485" s="34">
        <v>2001</v>
      </c>
      <c r="I485" s="30" t="inlineStr">
        <is>
          <t xml:space="preserve">BMW</t>
        </is>
      </c>
      <c r="J485" s="30" t="inlineStr">
        <is>
          <t xml:space="preserve">M8 Competition</t>
        </is>
      </c>
      <c r="K485" s="30" t="inlineStr">
        <is>
          <t xml:space="preserve">4EJSDBPCTJ8CGKJD0</t>
        </is>
      </c>
      <c r="L485" s="32" t="inlineStr">
        <is>
          <t xml:space="preserve">02 - Sports / GT</t>
        </is>
      </c>
      <c r="M485" s="35">
        <v>460000</v>
      </c>
      <c r="N485" s="32" t="inlineStr">
        <is>
          <t xml:space="preserve">Personal</t>
        </is>
      </c>
      <c r="O485" s="30" t="inlineStr">
        <is>
          <t xml:space="preserve">Personal - regular use</t>
        </is>
      </c>
      <c r="P485" s="30" t="inlineStr">
        <is>
          <t xml:space="preserve">2,500 - 5,000</t>
        </is>
      </c>
      <c r="Q485" s="30" t="inlineStr">
        <is>
          <t xml:space="preserve">Wisconsin</t>
        </is>
      </c>
      <c r="R485" s="30" t="inlineStr">
        <is>
          <t xml:space="preserve">53202</t>
        </is>
      </c>
      <c r="S485" s="32" t="inlineStr">
        <is>
          <t xml:space="preserve">Severe convective - hail / tornado (moderate)</t>
        </is>
      </c>
      <c r="T485" s="36">
        <f>IF($A485="","",IF($S485="","",IFERROR(INDEX('[1]natural catastrophe'!$D$6:$D$17,MATCH($S485,'[1]natural catastrophe'!$B$6:$B$17,0)),"?")))</f>
      </c>
      <c r="U485" s="30" t="inlineStr">
        <is>
          <t xml:space="preserve">$5,000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5944.41</v>
      </c>
      <c r="AC485" s="37">
        <v>0</v>
      </c>
      <c r="AD485" s="38">
        <f>IF(ISNUMBER($AB485),$AB485*(1+N($AC485)),"")</f>
      </c>
      <c r="AE485" s="35">
        <v>350</v>
      </c>
      <c r="AF485" s="35">
        <v>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CANON-202607-010178</t>
        </is>
      </c>
      <c r="B486" s="46" t="inlineStr">
        <is>
          <t xml:space="preserve">Anouk Underwood</t>
        </is>
      </c>
      <c r="C486" s="47">
        <v>46225</v>
      </c>
      <c r="D486" s="48" t="inlineStr">
        <is>
          <t xml:space="preserve">Bound - within authority</t>
        </is>
      </c>
      <c r="E486" s="48" t="inlineStr">
        <is>
          <t xml:space="preserve">New business</t>
        </is>
      </c>
      <c r="F486" s="46" t="inlineStr">
        <is>
          <t xml:space="preserve">B1234EXOTIC26</t>
        </is>
      </c>
      <c r="G486" s="33">
        <f>IF($A486="","",IF($C486="","",YEAR($C486)))</f>
      </c>
      <c r="H486" s="49">
        <v>2013</v>
      </c>
      <c r="I486" s="46" t="inlineStr">
        <is>
          <t xml:space="preserve">Ringbrothers</t>
        </is>
      </c>
      <c r="J486" s="46" t="inlineStr">
        <is>
          <t xml:space="preserve">Mustang</t>
        </is>
      </c>
      <c r="K486" s="46" t="inlineStr">
        <is>
          <t xml:space="preserve">RKCLTSSV060RPDCPA</t>
        </is>
      </c>
      <c r="L486" s="48" t="inlineStr">
        <is>
          <t xml:space="preserve">11 - Restomod / Coachbuilt / Bespoke</t>
        </is>
      </c>
      <c r="M486" s="50">
        <v>1420000</v>
      </c>
      <c r="N486" s="48" t="inlineStr">
        <is>
          <t xml:space="preserve">Personal</t>
        </is>
      </c>
      <c r="O486" s="46" t="inlineStr">
        <is>
          <t xml:space="preserve">Personal - regular use</t>
        </is>
      </c>
      <c r="P486" s="46" t="inlineStr">
        <is>
          <t xml:space="preserve">1,000 - 2,500</t>
        </is>
      </c>
      <c r="Q486" s="46" t="inlineStr">
        <is>
          <t xml:space="preserve">Nevada</t>
        </is>
      </c>
      <c r="R486" s="46" t="inlineStr">
        <is>
          <t xml:space="preserve">89101</t>
        </is>
      </c>
      <c r="S486" s="48" t="inlineStr">
        <is>
          <t xml:space="preserve">Wildfire - WUI high hazard</t>
        </is>
      </c>
      <c r="T486" s="36">
        <f>IF($A486="","",IF($S486="","",IFERROR(INDEX('[1]natural catastrophe'!$D$6:$D$17,MATCH($S486,'[1]natural catastrophe'!$B$6:$B$17,0)),"?")))</f>
      </c>
      <c r="U486" s="46" t="inlineStr">
        <is>
          <t xml:space="preserve">$5,000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16221.54</v>
      </c>
      <c r="AC486" s="51">
        <v>0</v>
      </c>
      <c r="AD486" s="38">
        <f>IF(ISNUMBER($AB486),$AB486*(1+N($AC486)),"")</f>
      </c>
      <c r="AE486" s="50">
        <v>350</v>
      </c>
      <c r="AF486" s="50">
        <v>250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CANON-202607-010179</t>
        </is>
      </c>
      <c r="B487" s="30" t="inlineStr">
        <is>
          <t xml:space="preserve">Sunniva Farkas</t>
        </is>
      </c>
      <c r="C487" s="31">
        <v>46212</v>
      </c>
      <c r="D487" s="32" t="inlineStr">
        <is>
          <t xml:space="preserve">Bound - within authority</t>
        </is>
      </c>
      <c r="E487" s="32" t="inlineStr">
        <is>
          <t xml:space="preserve">New business</t>
        </is>
      </c>
      <c r="F487" s="30" t="inlineStr">
        <is>
          <t xml:space="preserve">B1234EXOTIC26</t>
        </is>
      </c>
      <c r="G487" s="33">
        <f>IF($A487="","",IF($C487="","",YEAR($C487)))</f>
      </c>
      <c r="H487" s="34">
        <v>2013</v>
      </c>
      <c r="I487" s="30" t="inlineStr">
        <is>
          <t xml:space="preserve">Singer</t>
        </is>
      </c>
      <c r="J487" s="30" t="inlineStr">
        <is>
          <t xml:space="preserve">911 Reimagined</t>
        </is>
      </c>
      <c r="K487" s="30" t="inlineStr">
        <is>
          <t xml:space="preserve">A2JUFVTNHL1G1MW46</t>
        </is>
      </c>
      <c r="L487" s="32" t="inlineStr">
        <is>
          <t xml:space="preserve">11 - Restomod / Coachbuilt / Bespoke</t>
        </is>
      </c>
      <c r="M487" s="35">
        <v>1010000</v>
      </c>
      <c r="N487" s="32" t="inlineStr">
        <is>
          <t xml:space="preserve">Personal</t>
        </is>
      </c>
      <c r="O487" s="30" t="inlineStr">
        <is>
          <t xml:space="preserve">Personal - regular use</t>
        </is>
      </c>
      <c r="P487" s="30" t="inlineStr">
        <is>
          <t xml:space="preserve">2,500 - 5,000</t>
        </is>
      </c>
      <c r="Q487" s="30" t="inlineStr">
        <is>
          <t xml:space="preserve">Florida</t>
        </is>
      </c>
      <c r="R487" s="30" t="inlineStr">
        <is>
          <t xml:space="preserve">33139</t>
        </is>
      </c>
      <c r="S487" s="32" t="inlineStr">
        <is>
          <t xml:space="preserve">Tier 2 - Coastal wind (1-25 miles)</t>
        </is>
      </c>
      <c r="T487" s="36">
        <f>IF($A487="","",IF($S487="","",IFERROR(INDEX('[1]natural catastrophe'!$D$6:$D$17,MATCH($S487,'[1]natural catastrophe'!$B$6:$B$17,0)),"?")))</f>
      </c>
      <c r="U487" s="30" t="inlineStr">
        <is>
          <t xml:space="preserve">2% of agreed value, minimum $10,000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14003.21</v>
      </c>
      <c r="AC487" s="37">
        <v>0</v>
      </c>
      <c r="AD487" s="38">
        <f>IF(ISNUMBER($AB487),$AB487*(1+N($AC487)),"")</f>
      </c>
      <c r="AE487" s="35">
        <v>350</v>
      </c>
      <c r="AF487" s="35">
        <v>250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CANON-202607-010180</t>
        </is>
      </c>
      <c r="B488" s="46" t="inlineStr">
        <is>
          <t xml:space="preserve">Fitzgerald Pennington</t>
        </is>
      </c>
      <c r="C488" s="47">
        <v>46234</v>
      </c>
      <c r="D488" s="48" t="inlineStr">
        <is>
          <t xml:space="preserve">Bound - within authority</t>
        </is>
      </c>
      <c r="E488" s="48" t="inlineStr">
        <is>
          <t xml:space="preserve">New business</t>
        </is>
      </c>
      <c r="F488" s="46" t="inlineStr">
        <is>
          <t xml:space="preserve">B1234EXOTIC26</t>
        </is>
      </c>
      <c r="G488" s="33">
        <f>IF($A488="","",IF($C488="","",YEAR($C488)))</f>
      </c>
      <c r="H488" s="49">
        <v>2011</v>
      </c>
      <c r="I488" s="46" t="inlineStr">
        <is>
          <t xml:space="preserve">BMW</t>
        </is>
      </c>
      <c r="J488" s="46" t="inlineStr">
        <is>
          <t xml:space="preserve">M8 Competition</t>
        </is>
      </c>
      <c r="K488" s="46" t="inlineStr">
        <is>
          <t xml:space="preserve">JGSRPV8P00DJPJ99S</t>
        </is>
      </c>
      <c r="L488" s="48" t="inlineStr">
        <is>
          <t xml:space="preserve">02 - Sports / GT</t>
        </is>
      </c>
      <c r="M488" s="50">
        <v>355000</v>
      </c>
      <c r="N488" s="48" t="inlineStr">
        <is>
          <t xml:space="preserve">Personal</t>
        </is>
      </c>
      <c r="O488" s="46" t="inlineStr">
        <is>
          <t xml:space="preserve">Personal - regular use</t>
        </is>
      </c>
      <c r="P488" s="46" t="inlineStr">
        <is>
          <t xml:space="preserve">2,500 - 5,000</t>
        </is>
      </c>
      <c r="Q488" s="46" t="inlineStr">
        <is>
          <t xml:space="preserve">California</t>
        </is>
      </c>
      <c r="R488" s="46" t="inlineStr">
        <is>
          <t xml:space="preserve">90012</t>
        </is>
      </c>
      <c r="S488" s="48" t="inlineStr">
        <is>
          <t xml:space="preserve">Earthquake - high (CA, Cascadia, New Madrid)</t>
        </is>
      </c>
      <c r="T488" s="36">
        <f>IF($A488="","",IF($S488="","",IFERROR(INDEX('[1]natural catastrophe'!$D$6:$D$17,MATCH($S488,'[1]natural catastrophe'!$B$6:$B$17,0)),"?")))</f>
      </c>
      <c r="U488" s="46" t="inlineStr">
        <is>
          <t xml:space="preserve">$5,000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5160.98</v>
      </c>
      <c r="AC488" s="51">
        <v>0</v>
      </c>
      <c r="AD488" s="38">
        <f>IF(ISNUMBER($AB488),$AB488*(1+N($AC488)),"")</f>
      </c>
      <c r="AE488" s="50">
        <v>350</v>
      </c>
      <c r="AF488" s="50">
        <v>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CANON-202607-010181</t>
        </is>
      </c>
      <c r="B489" s="30" t="inlineStr">
        <is>
          <t xml:space="preserve">Ingrid Pennington</t>
        </is>
      </c>
      <c r="C489" s="31">
        <v>46229</v>
      </c>
      <c r="D489" s="32" t="inlineStr">
        <is>
          <t xml:space="preserve">Bound - within authority</t>
        </is>
      </c>
      <c r="E489" s="32" t="inlineStr">
        <is>
          <t xml:space="preserve">New business</t>
        </is>
      </c>
      <c r="F489" s="30" t="inlineStr">
        <is>
          <t xml:space="preserve">B1234EXOTIC26</t>
        </is>
      </c>
      <c r="G489" s="33">
        <f>IF($A489="","",IF($C489="","",YEAR($C489)))</f>
      </c>
      <c r="H489" s="34">
        <v>1984</v>
      </c>
      <c r="I489" s="30" t="inlineStr">
        <is>
          <t xml:space="preserve">Aston Martin</t>
        </is>
      </c>
      <c r="J489" s="30" t="inlineStr">
        <is>
          <t xml:space="preserve">DB12</t>
        </is>
      </c>
      <c r="K489" s="30" t="inlineStr">
        <is>
          <t xml:space="preserve">ZYAT7WKWECNL98SH2</t>
        </is>
      </c>
      <c r="L489" s="32" t="inlineStr">
        <is>
          <t xml:space="preserve">02 - Sports / GT</t>
        </is>
      </c>
      <c r="M489" s="35">
        <v>340000</v>
      </c>
      <c r="N489" s="32" t="inlineStr">
        <is>
          <t xml:space="preserve">Personal</t>
        </is>
      </c>
      <c r="O489" s="30" t="inlineStr">
        <is>
          <t xml:space="preserve">Personal - regular use</t>
        </is>
      </c>
      <c r="P489" s="30" t="inlineStr">
        <is>
          <t xml:space="preserve">1,000 - 2,500</t>
        </is>
      </c>
      <c r="Q489" s="30" t="inlineStr">
        <is>
          <t xml:space="preserve">Texas</t>
        </is>
      </c>
      <c r="R489" s="30" t="inlineStr">
        <is>
          <t xml:space="preserve">75201</t>
        </is>
      </c>
      <c r="S489" s="32" t="inlineStr">
        <is>
          <t xml:space="preserve">Tier 2 - Coastal wind (1-25 miles)</t>
        </is>
      </c>
      <c r="T489" s="36">
        <f>IF($A489="","",IF($S489="","",IFERROR(INDEX('[1]natural catastrophe'!$D$6:$D$17,MATCH($S489,'[1]natural catastrophe'!$B$6:$B$17,0)),"?")))</f>
      </c>
      <c r="U489" s="30" t="inlineStr">
        <is>
          <t xml:space="preserve">2% of agreed value, minimum $10,000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4210.63</v>
      </c>
      <c r="AC489" s="37">
        <v>0</v>
      </c>
      <c r="AD489" s="38">
        <f>IF(ISNUMBER($AB489),$AB489*(1+N($AC489)),"")</f>
      </c>
      <c r="AE489" s="35">
        <v>350</v>
      </c>
      <c r="AF489" s="35">
        <v>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CANON-202607-010182</t>
        </is>
      </c>
      <c r="B490" s="46" t="inlineStr">
        <is>
          <t xml:space="preserve">Everett Underwood</t>
        </is>
      </c>
      <c r="C490" s="47">
        <v>46232</v>
      </c>
      <c r="D490" s="48" t="inlineStr">
        <is>
          <t xml:space="preserve">Bound - within authority</t>
        </is>
      </c>
      <c r="E490" s="48" t="inlineStr">
        <is>
          <t xml:space="preserve">New business</t>
        </is>
      </c>
      <c r="F490" s="46" t="inlineStr">
        <is>
          <t xml:space="preserve">B1234EXOTIC26</t>
        </is>
      </c>
      <c r="G490" s="33">
        <f>IF($A490="","",IF($C490="","",YEAR($C490)))</f>
      </c>
      <c r="H490" s="49">
        <v>1971</v>
      </c>
      <c r="I490" s="46" t="inlineStr">
        <is>
          <t xml:space="preserve">Mercedes-Benz</t>
        </is>
      </c>
      <c r="J490" s="46" t="inlineStr">
        <is>
          <t xml:space="preserve">AMG GT</t>
        </is>
      </c>
      <c r="K490" s="46" t="inlineStr">
        <is>
          <t xml:space="preserve">6TAUE3BMM0VBYA0UC</t>
        </is>
      </c>
      <c r="L490" s="48" t="inlineStr">
        <is>
          <t xml:space="preserve">02 - Sports / GT</t>
        </is>
      </c>
      <c r="M490" s="50">
        <v>280000</v>
      </c>
      <c r="N490" s="48" t="inlineStr">
        <is>
          <t xml:space="preserve">Personal</t>
        </is>
      </c>
      <c r="O490" s="46" t="inlineStr">
        <is>
          <t xml:space="preserve">Personal - regular use</t>
        </is>
      </c>
      <c r="P490" s="46" t="inlineStr">
        <is>
          <t xml:space="preserve">2,500 - 5,000</t>
        </is>
      </c>
      <c r="Q490" s="46" t="inlineStr">
        <is>
          <t xml:space="preserve">New Jersey</t>
        </is>
      </c>
      <c r="R490" s="46" t="inlineStr">
        <is>
          <t xml:space="preserve">07102</t>
        </is>
      </c>
      <c r="S490" s="48" t="inlineStr">
        <is>
          <t xml:space="preserve">Tier 3 - Coastal wind (25-100 miles)</t>
        </is>
      </c>
      <c r="T490" s="36">
        <f>IF($A490="","",IF($S490="","",IFERROR(INDEX('[1]natural catastrophe'!$D$6:$D$17,MATCH($S490,'[1]natural catastrophe'!$B$6:$B$17,0)),"?")))</f>
      </c>
      <c r="U490" s="46" t="inlineStr">
        <is>
          <t xml:space="preserve">2% of agreed value, minimum $10,000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2743.91</v>
      </c>
      <c r="AC490" s="51">
        <v>0</v>
      </c>
      <c r="AD490" s="38">
        <f>IF(ISNUMBER($AB490),$AB490*(1+N($AC490)),"")</f>
      </c>
      <c r="AE490" s="50">
        <v>350</v>
      </c>
      <c r="AF490" s="50">
        <v>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CANON-202607-010184</t>
        </is>
      </c>
      <c r="B491" s="30" t="inlineStr">
        <is>
          <t xml:space="preserve">Aurelio Nakashima</t>
        </is>
      </c>
      <c r="C491" s="31">
        <v>46205</v>
      </c>
      <c r="D491" s="32" t="inlineStr">
        <is>
          <t xml:space="preserve">Bound - within authority</t>
        </is>
      </c>
      <c r="E491" s="32" t="inlineStr">
        <is>
          <t xml:space="preserve">New business</t>
        </is>
      </c>
      <c r="F491" s="30" t="inlineStr">
        <is>
          <t xml:space="preserve">B1234EXOTIC26</t>
        </is>
      </c>
      <c r="G491" s="33">
        <f>IF($A491="","",IF($C491="","",YEAR($C491)))</f>
      </c>
      <c r="H491" s="34">
        <v>1992</v>
      </c>
      <c r="I491" s="30" t="inlineStr">
        <is>
          <t xml:space="preserve">Mercedes-Benz</t>
        </is>
      </c>
      <c r="J491" s="30" t="inlineStr">
        <is>
          <t xml:space="preserve">AMG GT</t>
        </is>
      </c>
      <c r="K491" s="30" t="inlineStr">
        <is>
          <t xml:space="preserve">B0WZZ7AK8K5GFZT2U</t>
        </is>
      </c>
      <c r="L491" s="32" t="inlineStr">
        <is>
          <t xml:space="preserve">02 - Sports / GT</t>
        </is>
      </c>
      <c r="M491" s="35">
        <v>890000</v>
      </c>
      <c r="N491" s="32" t="inlineStr">
        <is>
          <t xml:space="preserve">Personal</t>
        </is>
      </c>
      <c r="O491" s="30" t="inlineStr">
        <is>
          <t xml:space="preserve">Personal - regular use</t>
        </is>
      </c>
      <c r="P491" s="30" t="inlineStr">
        <is>
          <t xml:space="preserve">1,000 - 2,500</t>
        </is>
      </c>
      <c r="Q491" s="30" t="inlineStr">
        <is>
          <t xml:space="preserve">Missouri</t>
        </is>
      </c>
      <c r="R491" s="30" t="inlineStr">
        <is>
          <t xml:space="preserve">63101</t>
        </is>
      </c>
      <c r="S491" s="32" t="inlineStr">
        <is>
          <t xml:space="preserve">Severe convective - hail / tornado (moderate)</t>
        </is>
      </c>
      <c r="T491" s="36">
        <f>IF($A491="","",IF($S491="","",IFERROR(INDEX('[1]natural catastrophe'!$D$6:$D$17,MATCH($S491,'[1]natural catastrophe'!$B$6:$B$17,0)),"?")))</f>
      </c>
      <c r="U491" s="30" t="inlineStr">
        <is>
          <t xml:space="preserve">$5,000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8804.77</v>
      </c>
      <c r="AC491" s="37">
        <v>0</v>
      </c>
      <c r="AD491" s="38">
        <f>IF(ISNUMBER($AB491),$AB491*(1+N($AC491)),"")</f>
      </c>
      <c r="AE491" s="35">
        <v>350</v>
      </c>
      <c r="AF491" s="35">
        <v>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CANON-202607-010185</t>
        </is>
      </c>
      <c r="B492" s="46" t="inlineStr">
        <is>
          <t xml:space="preserve">Ingrid Blackwood</t>
        </is>
      </c>
      <c r="C492" s="47">
        <v>46210</v>
      </c>
      <c r="D492" s="48" t="inlineStr">
        <is>
          <t xml:space="preserve">Bound - within authority</t>
        </is>
      </c>
      <c r="E492" s="48" t="inlineStr">
        <is>
          <t xml:space="preserve">New business</t>
        </is>
      </c>
      <c r="F492" s="46" t="inlineStr">
        <is>
          <t xml:space="preserve">B1234EXOTIC26</t>
        </is>
      </c>
      <c r="G492" s="33">
        <f>IF($A492="","",IF($C492="","",YEAR($C492)))</f>
      </c>
      <c r="H492" s="49">
        <v>1972</v>
      </c>
      <c r="I492" s="46" t="inlineStr">
        <is>
          <t xml:space="preserve">Aston Martin</t>
        </is>
      </c>
      <c r="J492" s="46" t="inlineStr">
        <is>
          <t xml:space="preserve">DB12</t>
        </is>
      </c>
      <c r="K492" s="46" t="inlineStr">
        <is>
          <t xml:space="preserve">R63UWD6UP6GHUD2FC</t>
        </is>
      </c>
      <c r="L492" s="48" t="inlineStr">
        <is>
          <t xml:space="preserve">02 - Sports / GT</t>
        </is>
      </c>
      <c r="M492" s="50">
        <v>340000</v>
      </c>
      <c r="N492" s="48" t="inlineStr">
        <is>
          <t xml:space="preserve">Personal</t>
        </is>
      </c>
      <c r="O492" s="46" t="inlineStr">
        <is>
          <t xml:space="preserve">Personal - regular use</t>
        </is>
      </c>
      <c r="P492" s="46" t="inlineStr">
        <is>
          <t xml:space="preserve">Under 1,000</t>
        </is>
      </c>
      <c r="Q492" s="46" t="inlineStr">
        <is>
          <t xml:space="preserve">New Mexico</t>
        </is>
      </c>
      <c r="R492" s="46" t="inlineStr">
        <is>
          <t xml:space="preserve">87501</t>
        </is>
      </c>
      <c r="S492" s="48" t="inlineStr">
        <is>
          <t xml:space="preserve">Wildfire - WUI high hazard</t>
        </is>
      </c>
      <c r="T492" s="36">
        <f>IF($A492="","",IF($S492="","",IFERROR(INDEX('[1]natural catastrophe'!$D$6:$D$17,MATCH($S492,'[1]natural catastrophe'!$B$6:$B$17,0)),"?")))</f>
      </c>
      <c r="U492" s="46" t="inlineStr">
        <is>
          <t xml:space="preserve">$5,000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4686.61</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CANON-202607-010186</t>
        </is>
      </c>
      <c r="B493" s="30" t="inlineStr">
        <is>
          <t xml:space="preserve">Horace Okonkwo</t>
        </is>
      </c>
      <c r="C493" s="31">
        <v>46210</v>
      </c>
      <c r="D493" s="32" t="inlineStr">
        <is>
          <t xml:space="preserve">Bound - within authority</t>
        </is>
      </c>
      <c r="E493" s="32" t="inlineStr">
        <is>
          <t xml:space="preserve">New business</t>
        </is>
      </c>
      <c r="F493" s="30" t="inlineStr">
        <is>
          <t xml:space="preserve">B1234EXOTIC26</t>
        </is>
      </c>
      <c r="G493" s="33">
        <f>IF($A493="","",IF($C493="","",YEAR($C493)))</f>
      </c>
      <c r="H493" s="34">
        <v>1955</v>
      </c>
      <c r="I493" s="30" t="inlineStr">
        <is>
          <t xml:space="preserve">BMW</t>
        </is>
      </c>
      <c r="J493" s="30" t="inlineStr">
        <is>
          <t xml:space="preserve">M8 Competition</t>
        </is>
      </c>
      <c r="K493" s="30" t="inlineStr">
        <is>
          <t xml:space="preserve">F040WLR65B738R45D</t>
        </is>
      </c>
      <c r="L493" s="32" t="inlineStr">
        <is>
          <t xml:space="preserve">02 - Sports / GT</t>
        </is>
      </c>
      <c r="M493" s="35">
        <v>535000</v>
      </c>
      <c r="N493" s="32" t="inlineStr">
        <is>
          <t xml:space="preserve">Personal</t>
        </is>
      </c>
      <c r="O493" s="30" t="inlineStr">
        <is>
          <t xml:space="preserve">Personal - regular use</t>
        </is>
      </c>
      <c r="P493" s="30" t="inlineStr">
        <is>
          <t xml:space="preserve">1,000 - 2,500</t>
        </is>
      </c>
      <c r="Q493" s="30" t="inlineStr">
        <is>
          <t xml:space="preserve">Texas</t>
        </is>
      </c>
      <c r="R493" s="30" t="inlineStr">
        <is>
          <t xml:space="preserve">75201</t>
        </is>
      </c>
      <c r="S493" s="32" t="inlineStr">
        <is>
          <t xml:space="preserve">Tier 2 - Coastal wind (1-25 miles)</t>
        </is>
      </c>
      <c r="T493" s="36">
        <f>IF($A493="","",IF($S493="","",IFERROR(INDEX('[1]natural catastrophe'!$D$6:$D$17,MATCH($S493,'[1]natural catastrophe'!$B$6:$B$17,0)),"?")))</f>
      </c>
      <c r="U493" s="30" t="inlineStr">
        <is>
          <t xml:space="preserve">2% of agreed value, minimum $10,000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5742.14</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CANON-202607-010187</t>
        </is>
      </c>
      <c r="B494" s="46" t="inlineStr">
        <is>
          <t xml:space="preserve">Leopold Vasquez</t>
        </is>
      </c>
      <c r="C494" s="47">
        <v>46217</v>
      </c>
      <c r="D494" s="48" t="inlineStr">
        <is>
          <t xml:space="preserve">Bound - within authority</t>
        </is>
      </c>
      <c r="E494" s="48" t="inlineStr">
        <is>
          <t xml:space="preserve">New business</t>
        </is>
      </c>
      <c r="F494" s="46" t="inlineStr">
        <is>
          <t xml:space="preserve">B1234EXOTIC26</t>
        </is>
      </c>
      <c r="G494" s="33">
        <f>IF($A494="","",IF($C494="","",YEAR($C494)))</f>
      </c>
      <c r="H494" s="49">
        <v>2001</v>
      </c>
      <c r="I494" s="46" t="inlineStr">
        <is>
          <t xml:space="preserve">Mercedes-Benz</t>
        </is>
      </c>
      <c r="J494" s="46" t="inlineStr">
        <is>
          <t xml:space="preserve">280SL Pagoda</t>
        </is>
      </c>
      <c r="K494" s="46" t="inlineStr">
        <is>
          <t xml:space="preserve">C14SWGM9S4VRS2WLX</t>
        </is>
      </c>
      <c r="L494" s="48" t="inlineStr">
        <is>
          <t xml:space="preserve">09 - Youngtimer / Collectible (2000-2010)</t>
        </is>
      </c>
      <c r="M494" s="50">
        <v>1000000</v>
      </c>
      <c r="N494" s="48" t="inlineStr">
        <is>
          <t xml:space="preserve">Personal</t>
        </is>
      </c>
      <c r="O494" s="46" t="inlineStr">
        <is>
          <t xml:space="preserve">Personal - regular use</t>
        </is>
      </c>
      <c r="P494" s="46" t="inlineStr">
        <is>
          <t xml:space="preserve">2,500 - 5,000</t>
        </is>
      </c>
      <c r="Q494" s="46" t="inlineStr">
        <is>
          <t xml:space="preserve">Connecticut</t>
        </is>
      </c>
      <c r="R494" s="46" t="inlineStr">
        <is>
          <t xml:space="preserve">06103</t>
        </is>
      </c>
      <c r="S494" s="48" t="inlineStr">
        <is>
          <t xml:space="preserve">Tier 3 - Coastal wind (25-100 miles)</t>
        </is>
      </c>
      <c r="T494" s="36">
        <f>IF($A494="","",IF($S494="","",IFERROR(INDEX('[1]natural catastrophe'!$D$6:$D$17,MATCH($S494,'[1]natural catastrophe'!$B$6:$B$17,0)),"?")))</f>
      </c>
      <c r="U494" s="46" t="inlineStr">
        <is>
          <t xml:space="preserve">2% of agreed value, minimum $10,000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6110.97</v>
      </c>
      <c r="AC494" s="51">
        <v>0</v>
      </c>
      <c r="AD494" s="38">
        <f>IF(ISNUMBER($AB494),$AB494*(1+N($AC494)),"")</f>
      </c>
      <c r="AE494" s="50">
        <v>350</v>
      </c>
      <c r="AF494" s="50">
        <v>250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CANON-202607-010188</t>
        </is>
      </c>
      <c r="B495" s="30" t="inlineStr">
        <is>
          <t xml:space="preserve">Desmond Pennington</t>
        </is>
      </c>
      <c r="C495" s="31">
        <v>46213</v>
      </c>
      <c r="D495" s="32" t="inlineStr">
        <is>
          <t xml:space="preserve">Bound - within authority</t>
        </is>
      </c>
      <c r="E495" s="32" t="inlineStr">
        <is>
          <t xml:space="preserve">New business</t>
        </is>
      </c>
      <c r="F495" s="30" t="inlineStr">
        <is>
          <t xml:space="preserve">B1234EXOTIC26</t>
        </is>
      </c>
      <c r="G495" s="33">
        <f>IF($A495="","",IF($C495="","",YEAR($C495)))</f>
      </c>
      <c r="H495" s="34">
        <v>1998</v>
      </c>
      <c r="I495" s="30" t="inlineStr">
        <is>
          <t xml:space="preserve">Bentley</t>
        </is>
      </c>
      <c r="J495" s="30" t="inlineStr">
        <is>
          <t xml:space="preserve">Continental GT</t>
        </is>
      </c>
      <c r="K495" s="30" t="inlineStr">
        <is>
          <t xml:space="preserve">N94TFSXT2F8J3AMCN</t>
        </is>
      </c>
      <c r="L495" s="32" t="inlineStr">
        <is>
          <t xml:space="preserve">02 - Sports / GT</t>
        </is>
      </c>
      <c r="M495" s="35">
        <v>425000</v>
      </c>
      <c r="N495" s="32" t="inlineStr">
        <is>
          <t xml:space="preserve">Personal</t>
        </is>
      </c>
      <c r="O495" s="30" t="inlineStr">
        <is>
          <t xml:space="preserve">Personal - regular use</t>
        </is>
      </c>
      <c r="P495" s="30" t="inlineStr">
        <is>
          <t xml:space="preserve">Under 1,000</t>
        </is>
      </c>
      <c r="Q495" s="30" t="inlineStr">
        <is>
          <t xml:space="preserve">Utah</t>
        </is>
      </c>
      <c r="R495" s="30" t="inlineStr">
        <is>
          <t xml:space="preserve">84101</t>
        </is>
      </c>
      <c r="S495" s="32" t="inlineStr">
        <is>
          <t xml:space="preserve">Wildfire - WUI high hazard</t>
        </is>
      </c>
      <c r="T495" s="36">
        <f>IF($A495="","",IF($S495="","",IFERROR(INDEX('[1]natural catastrophe'!$D$6:$D$17,MATCH($S495,'[1]natural catastrophe'!$B$6:$B$17,0)),"?")))</f>
      </c>
      <c r="U495" s="30" t="inlineStr">
        <is>
          <t xml:space="preserve">$5,000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6178.64</v>
      </c>
      <c r="AC495" s="37">
        <v>0</v>
      </c>
      <c r="AD495" s="38">
        <f>IF(ISNUMBER($AB495),$AB495*(1+N($AC495)),"")</f>
      </c>
      <c r="AE495" s="35">
        <v>350</v>
      </c>
      <c r="AF495" s="35">
        <v>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CANON-202607-010189</t>
        </is>
      </c>
      <c r="B496" s="46" t="inlineStr">
        <is>
          <t xml:space="preserve">Everett Merriweather</t>
        </is>
      </c>
      <c r="C496" s="47">
        <v>46234</v>
      </c>
      <c r="D496" s="48" t="inlineStr">
        <is>
          <t xml:space="preserve">Bound - within authority</t>
        </is>
      </c>
      <c r="E496" s="48" t="inlineStr">
        <is>
          <t xml:space="preserve">New business</t>
        </is>
      </c>
      <c r="F496" s="46" t="inlineStr">
        <is>
          <t xml:space="preserve">B1234EXOTIC26</t>
        </is>
      </c>
      <c r="G496" s="33">
        <f>IF($A496="","",IF($C496="","",YEAR($C496)))</f>
      </c>
      <c r="H496" s="49">
        <v>1985</v>
      </c>
      <c r="I496" s="46" t="inlineStr">
        <is>
          <t xml:space="preserve">Bentley</t>
        </is>
      </c>
      <c r="J496" s="46" t="inlineStr">
        <is>
          <t xml:space="preserve">Continental GT</t>
        </is>
      </c>
      <c r="K496" s="46" t="inlineStr">
        <is>
          <t xml:space="preserve">ERATJHLE97CXD6ZHX</t>
        </is>
      </c>
      <c r="L496" s="48" t="inlineStr">
        <is>
          <t xml:space="preserve">02 - Sports / GT</t>
        </is>
      </c>
      <c r="M496" s="50">
        <v>420000</v>
      </c>
      <c r="N496" s="48" t="inlineStr">
        <is>
          <t xml:space="preserve">Personal</t>
        </is>
      </c>
      <c r="O496" s="46" t="inlineStr">
        <is>
          <t xml:space="preserve">Personal - regular use</t>
        </is>
      </c>
      <c r="P496" s="46" t="inlineStr">
        <is>
          <t xml:space="preserve">1,000 - 2,500</t>
        </is>
      </c>
      <c r="Q496" s="46" t="inlineStr">
        <is>
          <t xml:space="preserve">West Virginia</t>
        </is>
      </c>
      <c r="R496" s="46" t="inlineStr">
        <is>
          <t xml:space="preserve">25301</t>
        </is>
      </c>
      <c r="S496" s="48" t="inlineStr">
        <is>
          <t xml:space="preserve">Low hazard - inland benign</t>
        </is>
      </c>
      <c r="T496" s="36">
        <f>IF($A496="","",IF($S496="","",IFERROR(INDEX('[1]natural catastrophe'!$D$6:$D$17,MATCH($S496,'[1]natural catastrophe'!$B$6:$B$17,0)),"?")))</f>
      </c>
      <c r="U496" s="46" t="inlineStr">
        <is>
          <t xml:space="preserve">$5,000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6015.49</v>
      </c>
      <c r="AC496" s="51">
        <v>0</v>
      </c>
      <c r="AD496" s="38">
        <f>IF(ISNUMBER($AB496),$AB496*(1+N($AC496)),"")</f>
      </c>
      <c r="AE496" s="50">
        <v>350</v>
      </c>
      <c r="AF496" s="50">
        <v>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CANON-202607-010192</t>
        </is>
      </c>
      <c r="B497" s="30" t="inlineStr">
        <is>
          <t xml:space="preserve">Thaddeus Delacroix</t>
        </is>
      </c>
      <c r="C497" s="31">
        <v>46221</v>
      </c>
      <c r="D497" s="32" t="inlineStr">
        <is>
          <t xml:space="preserve">Bound - within authority</t>
        </is>
      </c>
      <c r="E497" s="32" t="inlineStr">
        <is>
          <t xml:space="preserve">New business</t>
        </is>
      </c>
      <c r="F497" s="30" t="inlineStr">
        <is>
          <t xml:space="preserve">B1234EXOTIC26</t>
        </is>
      </c>
      <c r="G497" s="33">
        <f>IF($A497="","",IF($C497="","",YEAR($C497)))</f>
      </c>
      <c r="H497" s="34">
        <v>2019</v>
      </c>
      <c r="I497" s="30" t="inlineStr">
        <is>
          <t xml:space="preserve">Mercedes-Benz</t>
        </is>
      </c>
      <c r="J497" s="30" t="inlineStr">
        <is>
          <t xml:space="preserve">AMG GT</t>
        </is>
      </c>
      <c r="K497" s="30" t="inlineStr">
        <is>
          <t xml:space="preserve">R13MVP9ZA9BS3PUYN</t>
        </is>
      </c>
      <c r="L497" s="32" t="inlineStr">
        <is>
          <t xml:space="preserve">02 - Sports / GT</t>
        </is>
      </c>
      <c r="M497" s="35">
        <v>425000</v>
      </c>
      <c r="N497" s="32" t="inlineStr">
        <is>
          <t xml:space="preserve">Personal</t>
        </is>
      </c>
      <c r="O497" s="30" t="inlineStr">
        <is>
          <t xml:space="preserve">Personal - regular use</t>
        </is>
      </c>
      <c r="P497" s="30" t="inlineStr">
        <is>
          <t xml:space="preserve">2,500 - 5,000</t>
        </is>
      </c>
      <c r="Q497" s="30" t="inlineStr">
        <is>
          <t xml:space="preserve">Michigan</t>
        </is>
      </c>
      <c r="R497" s="30" t="inlineStr">
        <is>
          <t xml:space="preserve">48226</t>
        </is>
      </c>
      <c r="S497" s="32" t="inlineStr">
        <is>
          <t xml:space="preserve">Severe convective - hail / tornado (moderate)</t>
        </is>
      </c>
      <c r="T497" s="36">
        <f>IF($A497="","",IF($S497="","",IFERROR(INDEX('[1]natural catastrophe'!$D$6:$D$17,MATCH($S497,'[1]natural catastrophe'!$B$6:$B$17,0)),"?")))</f>
      </c>
      <c r="U497" s="30" t="inlineStr">
        <is>
          <t xml:space="preserve">$5,000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7093.99</v>
      </c>
      <c r="AC497" s="37">
        <v>0</v>
      </c>
      <c r="AD497" s="38">
        <f>IF(ISNUMBER($AB497),$AB497*(1+N($AC497)),"")</f>
      </c>
      <c r="AE497" s="35">
        <v>350</v>
      </c>
      <c r="AF497" s="35">
        <v>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CANON-202607-010193</t>
        </is>
      </c>
      <c r="B498" s="46" t="inlineStr">
        <is>
          <t xml:space="preserve">Aurelio Delacroix</t>
        </is>
      </c>
      <c r="C498" s="47">
        <v>46232</v>
      </c>
      <c r="D498" s="48" t="inlineStr">
        <is>
          <t xml:space="preserve">Bound - within authority</t>
        </is>
      </c>
      <c r="E498" s="48" t="inlineStr">
        <is>
          <t xml:space="preserve">New business</t>
        </is>
      </c>
      <c r="F498" s="46" t="inlineStr">
        <is>
          <t xml:space="preserve">B1234EXOTIC26</t>
        </is>
      </c>
      <c r="G498" s="33">
        <f>IF($A498="","",IF($C498="","",YEAR($C498)))</f>
      </c>
      <c r="H498" s="49">
        <v>2020</v>
      </c>
      <c r="I498" s="46" t="inlineStr">
        <is>
          <t xml:space="preserve">Ferrari</t>
        </is>
      </c>
      <c r="J498" s="46" t="inlineStr">
        <is>
          <t xml:space="preserve">296 GTB</t>
        </is>
      </c>
      <c r="K498" s="46" t="inlineStr">
        <is>
          <t xml:space="preserve">2A1BWAHWLH3Z1X0DV</t>
        </is>
      </c>
      <c r="L498" s="48" t="inlineStr">
        <is>
          <t xml:space="preserve">03 - Supercar</t>
        </is>
      </c>
      <c r="M498" s="50">
        <v>625000</v>
      </c>
      <c r="N498" s="48" t="inlineStr">
        <is>
          <t xml:space="preserve">Personal</t>
        </is>
      </c>
      <c r="O498" s="46" t="inlineStr">
        <is>
          <t xml:space="preserve">Personal - regular use</t>
        </is>
      </c>
      <c r="P498" s="46" t="inlineStr">
        <is>
          <t xml:space="preserve">1,000 - 2,500</t>
        </is>
      </c>
      <c r="Q498" s="46" t="inlineStr">
        <is>
          <t xml:space="preserve">Arizona</t>
        </is>
      </c>
      <c r="R498" s="46" t="inlineStr">
        <is>
          <t xml:space="preserve">85001</t>
        </is>
      </c>
      <c r="S498" s="48" t="inlineStr">
        <is>
          <t xml:space="preserve">Wildfire - WUI high hazard</t>
        </is>
      </c>
      <c r="T498" s="36">
        <f>IF($A498="","",IF($S498="","",IFERROR(INDEX('[1]natural catastrophe'!$D$6:$D$17,MATCH($S498,'[1]natural catastrophe'!$B$6:$B$17,0)),"?")))</f>
      </c>
      <c r="U498" s="46" t="inlineStr">
        <is>
          <t xml:space="preserve">$5,000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8610.61</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CANON-202607-010194</t>
        </is>
      </c>
      <c r="B499" s="30" t="inlineStr">
        <is>
          <t xml:space="preserve">Mireille Pennington</t>
        </is>
      </c>
      <c r="C499" s="31">
        <v>46208</v>
      </c>
      <c r="D499" s="32" t="inlineStr">
        <is>
          <t xml:space="preserve">Bound - within authority</t>
        </is>
      </c>
      <c r="E499" s="32" t="inlineStr">
        <is>
          <t xml:space="preserve">New business</t>
        </is>
      </c>
      <c r="F499" s="30" t="inlineStr">
        <is>
          <t xml:space="preserve">B1234EXOTIC26</t>
        </is>
      </c>
      <c r="G499" s="33">
        <f>IF($A499="","",IF($C499="","",YEAR($C499)))</f>
      </c>
      <c r="H499" s="34">
        <v>2024</v>
      </c>
      <c r="I499" s="30" t="inlineStr">
        <is>
          <t xml:space="preserve">Lamborghini</t>
        </is>
      </c>
      <c r="J499" s="30" t="inlineStr">
        <is>
          <t xml:space="preserve">Huracan EVO</t>
        </is>
      </c>
      <c r="K499" s="30" t="inlineStr">
        <is>
          <t xml:space="preserve">KKCBM6TZW3G5A4482</t>
        </is>
      </c>
      <c r="L499" s="32" t="inlineStr">
        <is>
          <t xml:space="preserve">03 - Supercar</t>
        </is>
      </c>
      <c r="M499" s="35">
        <v>460000</v>
      </c>
      <c r="N499" s="32" t="inlineStr">
        <is>
          <t xml:space="preserve">Personal</t>
        </is>
      </c>
      <c r="O499" s="30" t="inlineStr">
        <is>
          <t xml:space="preserve">Personal - regular use</t>
        </is>
      </c>
      <c r="P499" s="30" t="inlineStr">
        <is>
          <t xml:space="preserve">1,000 - 2,500</t>
        </is>
      </c>
      <c r="Q499" s="30" t="inlineStr">
        <is>
          <t xml:space="preserve">Wisconsin</t>
        </is>
      </c>
      <c r="R499" s="30" t="inlineStr">
        <is>
          <t xml:space="preserve">53202</t>
        </is>
      </c>
      <c r="S499" s="32" t="inlineStr">
        <is>
          <t xml:space="preserve">Severe convective - hail / tornado (moderate)</t>
        </is>
      </c>
      <c r="T499" s="36">
        <f>IF($A499="","",IF($S499="","",IFERROR(INDEX('[1]natural catastrophe'!$D$6:$D$17,MATCH($S499,'[1]natural catastrophe'!$B$6:$B$17,0)),"?")))</f>
      </c>
      <c r="U499" s="30" t="inlineStr">
        <is>
          <t xml:space="preserve">$5,000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9114.77</v>
      </c>
      <c r="AC499" s="37">
        <v>0</v>
      </c>
      <c r="AD499" s="38">
        <f>IF(ISNUMBER($AB499),$AB499*(1+N($AC499)),"")</f>
      </c>
      <c r="AE499" s="35">
        <v>350</v>
      </c>
      <c r="AF499" s="35">
        <v>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CANON-202607-010197</t>
        </is>
      </c>
      <c r="B500" s="46" t="inlineStr">
        <is>
          <t xml:space="preserve">Leopold Blackwood</t>
        </is>
      </c>
      <c r="C500" s="47">
        <v>46215</v>
      </c>
      <c r="D500" s="48" t="inlineStr">
        <is>
          <t xml:space="preserve">Bound - within authority</t>
        </is>
      </c>
      <c r="E500" s="48" t="inlineStr">
        <is>
          <t xml:space="preserve">New business</t>
        </is>
      </c>
      <c r="F500" s="46" t="inlineStr">
        <is>
          <t xml:space="preserve">B1234EXOTIC26</t>
        </is>
      </c>
      <c r="G500" s="33">
        <f>IF($A500="","",IF($C500="","",YEAR($C500)))</f>
      </c>
      <c r="H500" s="49">
        <v>1958</v>
      </c>
      <c r="I500" s="46" t="inlineStr">
        <is>
          <t xml:space="preserve">Porsche</t>
        </is>
      </c>
      <c r="J500" s="46" t="inlineStr">
        <is>
          <t xml:space="preserve">911 Turbo S</t>
        </is>
      </c>
      <c r="K500" s="46" t="inlineStr">
        <is>
          <t xml:space="preserve">YS1V1C5EGNL7BE13E</t>
        </is>
      </c>
      <c r="L500" s="48" t="inlineStr">
        <is>
          <t xml:space="preserve">02 - Sports / GT</t>
        </is>
      </c>
      <c r="M500" s="50">
        <v>205000</v>
      </c>
      <c r="N500" s="48" t="inlineStr">
        <is>
          <t xml:space="preserve">Personal</t>
        </is>
      </c>
      <c r="O500" s="46" t="inlineStr">
        <is>
          <t xml:space="preserve">Personal - regular use</t>
        </is>
      </c>
      <c r="P500" s="46" t="inlineStr">
        <is>
          <t xml:space="preserve">Under 1,000</t>
        </is>
      </c>
      <c r="Q500" s="46" t="inlineStr">
        <is>
          <t xml:space="preserve">Ohio</t>
        </is>
      </c>
      <c r="R500" s="46" t="inlineStr">
        <is>
          <t xml:space="preserve">43215</t>
        </is>
      </c>
      <c r="S500" s="48" t="inlineStr">
        <is>
          <t xml:space="preserve">Severe convective - hail / tornado (moderate)</t>
        </is>
      </c>
      <c r="T500" s="36">
        <f>IF($A500="","",IF($S500="","",IFERROR(INDEX('[1]natural catastrophe'!$D$6:$D$17,MATCH($S500,'[1]natural catastrophe'!$B$6:$B$17,0)),"?")))</f>
      </c>
      <c r="U500" s="46" t="inlineStr">
        <is>
          <t xml:space="preserve">$5,000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3764.13</v>
      </c>
      <c r="AC500" s="51">
        <v>0</v>
      </c>
      <c r="AD500" s="38">
        <f>IF(ISNUMBER($AB500),$AB500*(1+N($AC500)),"")</f>
      </c>
      <c r="AE500" s="50">
        <v>350</v>
      </c>
      <c r="AF500" s="50">
        <v>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CANON-202607-010200</t>
        </is>
      </c>
      <c r="B501" s="30" t="inlineStr">
        <is>
          <t xml:space="preserve">Emiliano Nakashima</t>
        </is>
      </c>
      <c r="C501" s="31">
        <v>46226</v>
      </c>
      <c r="D501" s="32" t="inlineStr">
        <is>
          <t xml:space="preserve">Bound - within authority</t>
        </is>
      </c>
      <c r="E501" s="32" t="inlineStr">
        <is>
          <t xml:space="preserve">New business</t>
        </is>
      </c>
      <c r="F501" s="30" t="inlineStr">
        <is>
          <t xml:space="preserve">B1234EXOTIC26</t>
        </is>
      </c>
      <c r="G501" s="33">
        <f>IF($A501="","",IF($C501="","",YEAR($C501)))</f>
      </c>
      <c r="H501" s="34">
        <v>2018</v>
      </c>
      <c r="I501" s="30" t="inlineStr">
        <is>
          <t xml:space="preserve">Maserati</t>
        </is>
      </c>
      <c r="J501" s="30" t="inlineStr">
        <is>
          <t xml:space="preserve">GranTurismo</t>
        </is>
      </c>
      <c r="K501" s="30" t="inlineStr">
        <is>
          <t xml:space="preserve">0AM7NP6AL08SJVKAW</t>
        </is>
      </c>
      <c r="L501" s="32" t="inlineStr">
        <is>
          <t xml:space="preserve">02 - Sports / GT</t>
        </is>
      </c>
      <c r="M501" s="35">
        <v>335000</v>
      </c>
      <c r="N501" s="32" t="inlineStr">
        <is>
          <t xml:space="preserve">Personal</t>
        </is>
      </c>
      <c r="O501" s="30" t="inlineStr">
        <is>
          <t xml:space="preserve">Personal - regular use</t>
        </is>
      </c>
      <c r="P501" s="30" t="inlineStr">
        <is>
          <t xml:space="preserve">Under 1,000</t>
        </is>
      </c>
      <c r="Q501" s="30" t="inlineStr">
        <is>
          <t xml:space="preserve">New Jersey</t>
        </is>
      </c>
      <c r="R501" s="30" t="inlineStr">
        <is>
          <t xml:space="preserve">07102</t>
        </is>
      </c>
      <c r="S501" s="32" t="inlineStr">
        <is>
          <t xml:space="preserve">Tier 3 - Coastal wind (25-100 miles)</t>
        </is>
      </c>
      <c r="T501" s="36">
        <f>IF($A501="","",IF($S501="","",IFERROR(INDEX('[1]natural catastrophe'!$D$6:$D$17,MATCH($S501,'[1]natural catastrophe'!$B$6:$B$17,0)),"?")))</f>
      </c>
      <c r="U501" s="30" t="inlineStr">
        <is>
          <t xml:space="preserve">2% of agreed value, minimum $10,000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3282.89</v>
      </c>
      <c r="AC501" s="37">
        <v>0</v>
      </c>
      <c r="AD501" s="38">
        <f>IF(ISNUMBER($AB501),$AB501*(1+N($AC501)),"")</f>
      </c>
      <c r="AE501" s="35">
        <v>350</v>
      </c>
      <c r="AF501" s="35">
        <v>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CANON-202607-010201</t>
        </is>
      </c>
      <c r="B502" s="46" t="inlineStr">
        <is>
          <t xml:space="preserve">Marisol Pennington</t>
        </is>
      </c>
      <c r="C502" s="47">
        <v>46220</v>
      </c>
      <c r="D502" s="48" t="inlineStr">
        <is>
          <t xml:space="preserve">Bound - within authority</t>
        </is>
      </c>
      <c r="E502" s="48" t="inlineStr">
        <is>
          <t xml:space="preserve">New business</t>
        </is>
      </c>
      <c r="F502" s="46" t="inlineStr">
        <is>
          <t xml:space="preserve">B1234EXOTIC26</t>
        </is>
      </c>
      <c r="G502" s="33">
        <f>IF($A502="","",IF($C502="","",YEAR($C502)))</f>
      </c>
      <c r="H502" s="49">
        <v>2006</v>
      </c>
      <c r="I502" s="46" t="inlineStr">
        <is>
          <t xml:space="preserve">Bentley</t>
        </is>
      </c>
      <c r="J502" s="46" t="inlineStr">
        <is>
          <t xml:space="preserve">Continental GT</t>
        </is>
      </c>
      <c r="K502" s="46" t="inlineStr">
        <is>
          <t xml:space="preserve">B5XWTKRRRNU3RV5GP</t>
        </is>
      </c>
      <c r="L502" s="48" t="inlineStr">
        <is>
          <t xml:space="preserve">02 - Sports / GT</t>
        </is>
      </c>
      <c r="M502" s="50">
        <v>145000</v>
      </c>
      <c r="N502" s="48" t="inlineStr">
        <is>
          <t xml:space="preserve">Personal</t>
        </is>
      </c>
      <c r="O502" s="46" t="inlineStr">
        <is>
          <t xml:space="preserve">Personal - regular use</t>
        </is>
      </c>
      <c r="P502" s="46" t="inlineStr">
        <is>
          <t xml:space="preserve">2,500 - 5,000</t>
        </is>
      </c>
      <c r="Q502" s="46" t="inlineStr">
        <is>
          <t xml:space="preserve">Rhode Island</t>
        </is>
      </c>
      <c r="R502" s="46" t="inlineStr">
        <is>
          <t xml:space="preserve">02903</t>
        </is>
      </c>
      <c r="S502" s="48" t="inlineStr">
        <is>
          <t xml:space="preserve">Tier 3 - Coastal wind (25-100 miles)</t>
        </is>
      </c>
      <c r="T502" s="36">
        <f>IF($A502="","",IF($S502="","",IFERROR(INDEX('[1]natural catastrophe'!$D$6:$D$17,MATCH($S502,'[1]natural catastrophe'!$B$6:$B$17,0)),"?")))</f>
      </c>
      <c r="U502" s="46" t="inlineStr">
        <is>
          <t xml:space="preserve">2% of agreed value, minimum $10,000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2624.13</v>
      </c>
      <c r="AC502" s="51">
        <v>0</v>
      </c>
      <c r="AD502" s="38">
        <f>IF(ISNUMBER($AB502),$AB502*(1+N($AC502)),"")</f>
      </c>
      <c r="AE502" s="50">
        <v>350</v>
      </c>
      <c r="AF502" s="50">
        <v>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CANON-202607-010202</t>
        </is>
      </c>
      <c r="B503" s="30" t="inlineStr">
        <is>
          <t xml:space="preserve">Thaddeus Rourke</t>
        </is>
      </c>
      <c r="C503" s="31">
        <v>46206</v>
      </c>
      <c r="D503" s="32" t="inlineStr">
        <is>
          <t xml:space="preserve">Bound - within authority</t>
        </is>
      </c>
      <c r="E503" s="32" t="inlineStr">
        <is>
          <t xml:space="preserve">New business</t>
        </is>
      </c>
      <c r="F503" s="30" t="inlineStr">
        <is>
          <t xml:space="preserve">B1234EXOTIC26</t>
        </is>
      </c>
      <c r="G503" s="33">
        <f>IF($A503="","",IF($C503="","",YEAR($C503)))</f>
      </c>
      <c r="H503" s="34">
        <v>1981</v>
      </c>
      <c r="I503" s="30" t="inlineStr">
        <is>
          <t xml:space="preserve">BMW</t>
        </is>
      </c>
      <c r="J503" s="30" t="inlineStr">
        <is>
          <t xml:space="preserve">M8 Competition</t>
        </is>
      </c>
      <c r="K503" s="30" t="inlineStr">
        <is>
          <t xml:space="preserve">S42ULUCWTTGHXRJ4T</t>
        </is>
      </c>
      <c r="L503" s="32" t="inlineStr">
        <is>
          <t xml:space="preserve">02 - Sports / GT</t>
        </is>
      </c>
      <c r="M503" s="35">
        <v>510000</v>
      </c>
      <c r="N503" s="32" t="inlineStr">
        <is>
          <t xml:space="preserve">Personal</t>
        </is>
      </c>
      <c r="O503" s="30" t="inlineStr">
        <is>
          <t xml:space="preserve">Personal - regular use</t>
        </is>
      </c>
      <c r="P503" s="30" t="inlineStr">
        <is>
          <t xml:space="preserve">1,000 - 2,500</t>
        </is>
      </c>
      <c r="Q503" s="30" t="inlineStr">
        <is>
          <t xml:space="preserve">Texas</t>
        </is>
      </c>
      <c r="R503" s="30" t="inlineStr">
        <is>
          <t xml:space="preserve">75201</t>
        </is>
      </c>
      <c r="S503" s="32" t="inlineStr">
        <is>
          <t xml:space="preserve">Tier 2 - Coastal wind (1-25 miles)</t>
        </is>
      </c>
      <c r="T503" s="36">
        <f>IF($A503="","",IF($S503="","",IFERROR(INDEX('[1]natural catastrophe'!$D$6:$D$17,MATCH($S503,'[1]natural catastrophe'!$B$6:$B$17,0)),"?")))</f>
      </c>
      <c r="U503" s="30" t="inlineStr">
        <is>
          <t xml:space="preserve">2% of agreed value, minimum $10,000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5473.81</v>
      </c>
      <c r="AC503" s="37">
        <v>0</v>
      </c>
      <c r="AD503" s="38">
        <f>IF(ISNUMBER($AB503),$AB503*(1+N($AC503)),"")</f>
      </c>
      <c r="AE503" s="35">
        <v>350</v>
      </c>
      <c r="AF503" s="35">
        <v>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row r="504" spans="1:58" ht="18.75" customHeight="1" x14ac:dyDescent="0.25">
      <c r="A504" s="46" t="inlineStr">
        <is>
          <t xml:space="preserve">CANON-202607-010203</t>
        </is>
      </c>
      <c r="B504" s="46" t="inlineStr">
        <is>
          <t xml:space="preserve">Lorenzo Montoya</t>
        </is>
      </c>
      <c r="C504" s="47">
        <v>46227</v>
      </c>
      <c r="D504" s="48" t="inlineStr">
        <is>
          <t xml:space="preserve">Bound - within authority</t>
        </is>
      </c>
      <c r="E504" s="48" t="inlineStr">
        <is>
          <t xml:space="preserve">New business</t>
        </is>
      </c>
      <c r="F504" s="46" t="inlineStr">
        <is>
          <t xml:space="preserve">B1234EXOTIC26</t>
        </is>
      </c>
      <c r="G504" s="33">
        <f>IF($A504="","",IF($C504="","",YEAR($C504)))</f>
      </c>
      <c r="H504" s="49">
        <v>2013</v>
      </c>
      <c r="I504" s="46" t="inlineStr">
        <is>
          <t xml:space="preserve">BMW</t>
        </is>
      </c>
      <c r="J504" s="46" t="inlineStr">
        <is>
          <t xml:space="preserve">M8 Competition</t>
        </is>
      </c>
      <c r="K504" s="46" t="inlineStr">
        <is>
          <t xml:space="preserve">KUXSPLUY9DSAX4ACS</t>
        </is>
      </c>
      <c r="L504" s="48" t="inlineStr">
        <is>
          <t xml:space="preserve">02 - Sports / GT</t>
        </is>
      </c>
      <c r="M504" s="50">
        <v>635000</v>
      </c>
      <c r="N504" s="48" t="inlineStr">
        <is>
          <t xml:space="preserve">Personal</t>
        </is>
      </c>
      <c r="O504" s="46" t="inlineStr">
        <is>
          <t xml:space="preserve">Personal - regular use</t>
        </is>
      </c>
      <c r="P504" s="46" t="inlineStr">
        <is>
          <t xml:space="preserve">1,000 - 2,500</t>
        </is>
      </c>
      <c r="Q504" s="46" t="inlineStr">
        <is>
          <t xml:space="preserve">Ohio</t>
        </is>
      </c>
      <c r="R504" s="46" t="inlineStr">
        <is>
          <t xml:space="preserve">43215</t>
        </is>
      </c>
      <c r="S504" s="48" t="inlineStr">
        <is>
          <t xml:space="preserve">Severe convective - hail / tornado (moderate)</t>
        </is>
      </c>
      <c r="T504" s="36">
        <f>IF($A504="","",IF($S504="","",IFERROR(INDEX('[1]natural catastrophe'!$D$6:$D$17,MATCH($S504,'[1]natural catastrophe'!$B$6:$B$17,0)),"?")))</f>
      </c>
      <c r="U504" s="46" t="inlineStr">
        <is>
          <t xml:space="preserve">$5,000</t>
        </is>
      </c>
      <c r="V504" s="48" t="inlineStr">
        <is>
          <t xml:space="preserve">Agreed Value</t>
        </is>
      </c>
      <c r="W504" s="46" t="inlineStr">
        <is>
          <t xml:space="preserve">$1,000</t>
        </is>
      </c>
      <c r="X504" s="48" t="inlineStr">
        <is>
          <t xml:space="preserve">$1,000,000 CSL</t>
        </is>
      </c>
      <c r="Y504" s="46"/>
      <c r="Z504" s="46"/>
      <c r="AA504" s="48" t="inlineStr">
        <is>
          <t xml:space="preserve">Surplus Lines</t>
        </is>
      </c>
      <c r="AB504" s="50">
        <v>8237.79</v>
      </c>
      <c r="AC504" s="51">
        <v>0</v>
      </c>
      <c r="AD504" s="38">
        <f>IF(ISNUMBER($AB504),$AB504*(1+N($AC504)),"")</f>
      </c>
      <c r="AE504" s="50">
        <v>350</v>
      </c>
      <c r="AF504" s="50">
        <v>0</v>
      </c>
      <c r="AG504" s="51"/>
      <c r="AH504" s="39">
        <f>IF(ISNUMBER($AD504),($AD504+$AE504+$AF504)*$AG504,"")</f>
      </c>
      <c r="AI504" s="50"/>
      <c r="AJ504" s="38">
        <f>IF(ISNUMBER($AD504),SUM($AD504:$AH504),"")</f>
      </c>
      <c r="AK504" s="40">
        <f>IF(AND(ISNUMBER($AB504),ISNUMBER($AD504)),IF($AB504&gt;0,$AD504/$AB504,""),"")</f>
      </c>
      <c r="AL504" s="48" t="inlineStr">
        <is>
          <t xml:space="preserve">At technical</t>
        </is>
      </c>
      <c r="AM504" s="41">
        <f>IF(ISNUMBER($AD504),Header!$I$3,"")</f>
      </c>
      <c r="AN504" s="39">
        <f>IF(ISNUMBER($AD504),$AO504+$AP504,"")</f>
      </c>
      <c r="AO504" s="39">
        <f>IF(ISNUMBER($AD504),ROUND($AD504*Header!$K$3,2),"")</f>
      </c>
      <c r="AP504" s="39">
        <f>IF(ISNUMBER($AD504),ROUND($AD504*Header!$M$3,2),"")</f>
      </c>
      <c r="AQ504" s="38">
        <f>IF(ISNUMBER($AD504),ROUND($AD504,2)-$AO504-$AP504,"")</f>
      </c>
      <c r="AR504" s="39">
        <f>IF(ISNUMBER($AD504),IF(Header!$D$34="","?",$AD504*Header!$D$34),"")</f>
      </c>
      <c r="AS504" s="39">
        <f>IF(ISNUMBER($AB504),IF(Header!$D$34="","?",$AB504*Header!$D$34),"")</f>
      </c>
      <c r="AT504" s="42">
        <f>IF(AND(ISNUMBER($AB504),$M504&gt;0),$AB504/$M504*100,"")</f>
      </c>
      <c r="AU504" s="42">
        <f>IF(AND(ISNUMBER($AD504),$M504&gt;0),$AD504/$M504*100,"")</f>
      </c>
      <c r="AV504" s="40">
        <f>IF(AND(ISNUMBER($AB504),ISNUMBER($AD504),ABS($AB504)&gt;0),$AD504/$AB504,"")</f>
      </c>
      <c r="AW504" s="39">
        <f>IF(ISNUMBER($AD504),MAX(0,(1-0.55-Header!$O$3)*Header!$Q$3*$AQ504),"")</f>
      </c>
      <c r="AX504" s="43">
        <f>IF($A504="","",IF(TRIM(IF($A504="","Missing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",""))="","PASS","FAIL: "&amp;TRIM(IF($A504="","Missing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f>
      </c>
      <c r="AY504" s="44">
        <f>IF($M504="","",IF(ISNUMBER($M504),IF($M504&gt;=Header!$C$18,"YES — refer","No"),""))</f>
      </c>
      <c r="AZ504" s="44">
        <f>IF($AD504="","",IF(ISNUMBER($AD504),IF($AD504&lt;Header!$C$20,"BELOW MIN PREMIUM","OK"),""))</f>
      </c>
      <c r="BA504" s="48" t="inlineStr">
        <is>
          <t xml:space="preserve">Yes</t>
        </is>
      </c>
      <c r="BB504" s="48" t="inlineStr">
        <is>
          <t xml:space="preserve">Yes</t>
        </is>
      </c>
      <c r="BC504" s="46" t="inlineStr">
        <is>
          <t xml:space="preserve">Synthetic demo data</t>
        </is>
      </c>
      <c r="BE504" s="45">
        <f>IF(OR($A504="",$L504="",$H504=""),"",IF(AND(LEFT($L504,2)="06",$H504&gt;1945),"FAIL - pre-war class, year "&amp;$H504,IF(AND(LEFT($L504,2)="07",OR($H504&lt;1946,$H504&gt;1972)),"FAIL - 1946-72 class, year "&amp;$H504,IF(AND(LEFT($L504,2)="08",OR($H504&lt;1973,$H504&gt;1999)),"FAIL - 1973-99 class, year "&amp;$H504,IF(AND(LEFT($L504,2)="09",OR($H504&lt;2000,$H504&gt;2010)),"FAIL - 2000-10 class, year "&amp;$H504,"OK")))))</f>
      </c>
      <c r="BF504" s="45">
        <f>IF($AD504="","",IF(ROUND($AO504+$AP504+$AQ504-$AD504,2)=0,"OK","FAIL - out by "&amp;TEXT($AO504+$AP504+$AQ504-$AD504,"$0.00")))</f>
      </c>
    </row>
    <row r="505" spans="1:58" ht="18.75" customHeight="1" x14ac:dyDescent="0.25">
      <c r="A505" s="30" t="inlineStr">
        <is>
          <t xml:space="preserve">CANON-202607-010204</t>
        </is>
      </c>
      <c r="B505" s="30" t="inlineStr">
        <is>
          <t xml:space="preserve">Horace Vandermeer</t>
        </is>
      </c>
      <c r="C505" s="31">
        <v>46213</v>
      </c>
      <c r="D505" s="32" t="inlineStr">
        <is>
          <t xml:space="preserve">Bound - within authority</t>
        </is>
      </c>
      <c r="E505" s="32" t="inlineStr">
        <is>
          <t xml:space="preserve">New business</t>
        </is>
      </c>
      <c r="F505" s="30" t="inlineStr">
        <is>
          <t xml:space="preserve">B1234EXOTIC26</t>
        </is>
      </c>
      <c r="G505" s="33">
        <f>IF($A505="","",IF($C505="","",YEAR($C505)))</f>
      </c>
      <c r="H505" s="34">
        <v>2008</v>
      </c>
      <c r="I505" s="30" t="inlineStr">
        <is>
          <t xml:space="preserve">Bentley</t>
        </is>
      </c>
      <c r="J505" s="30" t="inlineStr">
        <is>
          <t xml:space="preserve">4.5 Litre</t>
        </is>
      </c>
      <c r="K505" s="30" t="inlineStr">
        <is>
          <t xml:space="preserve">AZDH2XNC0YUWKDGHB</t>
        </is>
      </c>
      <c r="L505" s="32" t="inlineStr">
        <is>
          <t xml:space="preserve">09 - Youngtimer / Collectible (2000-2010)</t>
        </is>
      </c>
      <c r="M505" s="35">
        <v>785000</v>
      </c>
      <c r="N505" s="32" t="inlineStr">
        <is>
          <t xml:space="preserve">Personal</t>
        </is>
      </c>
      <c r="O505" s="30" t="inlineStr">
        <is>
          <t xml:space="preserve">Personal - regular use</t>
        </is>
      </c>
      <c r="P505" s="30" t="inlineStr">
        <is>
          <t xml:space="preserve">Under 1,000</t>
        </is>
      </c>
      <c r="Q505" s="30" t="inlineStr">
        <is>
          <t xml:space="preserve">Pennsylvania</t>
        </is>
      </c>
      <c r="R505" s="30" t="inlineStr">
        <is>
          <t xml:space="preserve">19103</t>
        </is>
      </c>
      <c r="S505" s="32" t="inlineStr">
        <is>
          <t xml:space="preserve">Low hazard - inland benign</t>
        </is>
      </c>
      <c r="T505" s="36">
        <f>IF($A505="","",IF($S505="","",IFERROR(INDEX('[1]natural catastrophe'!$D$6:$D$17,MATCH($S505,'[1]natural catastrophe'!$B$6:$B$17,0)),"?")))</f>
      </c>
      <c r="U505" s="30" t="inlineStr">
        <is>
          <t xml:space="preserve">$5,000</t>
        </is>
      </c>
      <c r="V505" s="32" t="inlineStr">
        <is>
          <t xml:space="preserve">Agreed Value</t>
        </is>
      </c>
      <c r="W505" s="30" t="inlineStr">
        <is>
          <t xml:space="preserve">$1,000</t>
        </is>
      </c>
      <c r="X505" s="32" t="inlineStr">
        <is>
          <t xml:space="preserve">$1,000,000 CSL</t>
        </is>
      </c>
      <c r="Y505" s="30"/>
      <c r="Z505" s="30"/>
      <c r="AA505" s="32" t="inlineStr">
        <is>
          <t xml:space="preserve">Surplus Lines</t>
        </is>
      </c>
      <c r="AB505" s="35">
        <v>4283.14</v>
      </c>
      <c r="AC505" s="37">
        <v>0</v>
      </c>
      <c r="AD505" s="38">
        <f>IF(ISNUMBER($AB505),$AB505*(1+N($AC505)),"")</f>
      </c>
      <c r="AE505" s="35">
        <v>350</v>
      </c>
      <c r="AF505" s="35">
        <v>0</v>
      </c>
      <c r="AG505" s="37"/>
      <c r="AH505" s="39">
        <f>IF(ISNUMBER($AD505),($AD505+$AE505+$AF505)*$AG505,"")</f>
      </c>
      <c r="AI505" s="35"/>
      <c r="AJ505" s="38">
        <f>IF(ISNUMBER($AD505),SUM($AD505:$AH505),"")</f>
      </c>
      <c r="AK505" s="40">
        <f>IF(AND(ISNUMBER($AB505),ISNUMBER($AD505)),IF($AB505&gt;0,$AD505/$AB505,""),"")</f>
      </c>
      <c r="AL505" s="32" t="inlineStr">
        <is>
          <t xml:space="preserve">At technical</t>
        </is>
      </c>
      <c r="AM505" s="41">
        <f>IF(ISNUMBER($AD505),Header!$I$3,"")</f>
      </c>
      <c r="AN505" s="39">
        <f>IF(ISNUMBER($AD505),$AO505+$AP505,"")</f>
      </c>
      <c r="AO505" s="39">
        <f>IF(ISNUMBER($AD505),ROUND($AD505*Header!$K$3,2),"")</f>
      </c>
      <c r="AP505" s="39">
        <f>IF(ISNUMBER($AD505),ROUND($AD505*Header!$M$3,2),"")</f>
      </c>
      <c r="AQ505" s="38">
        <f>IF(ISNUMBER($AD505),ROUND($AD505,2)-$AO505-$AP505,"")</f>
      </c>
      <c r="AR505" s="39">
        <f>IF(ISNUMBER($AD505),IF(Header!$D$34="","?",$AD505*Header!$D$34),"")</f>
      </c>
      <c r="AS505" s="39">
        <f>IF(ISNUMBER($AB505),IF(Header!$D$34="","?",$AB505*Header!$D$34),"")</f>
      </c>
      <c r="AT505" s="42">
        <f>IF(AND(ISNUMBER($AB505),$M505&gt;0),$AB505/$M505*100,"")</f>
      </c>
      <c r="AU505" s="42">
        <f>IF(AND(ISNUMBER($AD505),$M505&gt;0),$AD505/$M505*100,"")</f>
      </c>
      <c r="AV505" s="40">
        <f>IF(AND(ISNUMBER($AB505),ISNUMBER($AD505),ABS($AB505)&gt;0),$AD505/$AB505,"")</f>
      </c>
      <c r="AW505" s="39">
        <f>IF(ISNUMBER($AD505),MAX(0,(1-0.55-Header!$O$3)*Header!$Q$3*$AQ505),"")</f>
      </c>
      <c r="AX505" s="43">
        <f>IF($A505="","",IF(TRIM(IF($A505="","Missing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",""))="","PASS","FAIL: "&amp;TRIM(IF($A505="","Missing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f>
      </c>
      <c r="AY505" s="44">
        <f>IF($M505="","",IF(ISNUMBER($M505),IF($M505&gt;=Header!$C$18,"YES — refer","No"),""))</f>
      </c>
      <c r="AZ505" s="44">
        <f>IF($AD505="","",IF(ISNUMBER($AD505),IF($AD505&lt;Header!$C$20,"BELOW MIN PREMIUM","OK"),""))</f>
      </c>
      <c r="BA505" s="32" t="inlineStr">
        <is>
          <t xml:space="preserve">Yes</t>
        </is>
      </c>
      <c r="BB505" s="32" t="inlineStr">
        <is>
          <t xml:space="preserve">Yes</t>
        </is>
      </c>
      <c r="BC505" s="30" t="inlineStr">
        <is>
          <t xml:space="preserve">Synthetic demo data</t>
        </is>
      </c>
      <c r="BE505" s="45">
        <f>IF(OR($A505="",$L505="",$H505=""),"",IF(AND(LEFT($L505,2)="06",$H505&gt;1945),"FAIL - pre-war class, year "&amp;$H505,IF(AND(LEFT($L505,2)="07",OR($H505&lt;1946,$H505&gt;1972)),"FAIL - 1946-72 class, year "&amp;$H505,IF(AND(LEFT($L505,2)="08",OR($H505&lt;1973,$H505&gt;1999)),"FAIL - 1973-99 class, year "&amp;$H505,IF(AND(LEFT($L505,2)="09",OR($H505&lt;2000,$H505&gt;2010)),"FAIL - 2000-10 class, year "&amp;$H505,"OK")))))</f>
      </c>
      <c r="BF505" s="45">
        <f>IF($AD505="","",IF(ROUND($AO505+$AP505+$AQ505-$AD505,2)=0,"OK","FAIL - out by "&amp;TEXT($AO505+$AP505+$AQ505-$AD505,"$0.00")))</f>
      </c>
    </row>
    <row r="506" spans="1:58" ht="18.75" customHeight="1" x14ac:dyDescent="0.25">
      <c r="A506" s="46" t="inlineStr">
        <is>
          <t xml:space="preserve">CANON-202607-010206</t>
        </is>
      </c>
      <c r="B506" s="46" t="inlineStr">
        <is>
          <t xml:space="preserve">Delphine Montoya</t>
        </is>
      </c>
      <c r="C506" s="47">
        <v>46206</v>
      </c>
      <c r="D506" s="48" t="inlineStr">
        <is>
          <t xml:space="preserve">Bound - within authority</t>
        </is>
      </c>
      <c r="E506" s="48" t="inlineStr">
        <is>
          <t xml:space="preserve">New business</t>
        </is>
      </c>
      <c r="F506" s="46" t="inlineStr">
        <is>
          <t xml:space="preserve">B1234EXOTIC26</t>
        </is>
      </c>
      <c r="G506" s="33">
        <f>IF($A506="","",IF($C506="","",YEAR($C506)))</f>
      </c>
      <c r="H506" s="49">
        <v>1996</v>
      </c>
      <c r="I506" s="46" t="inlineStr">
        <is>
          <t xml:space="preserve">Ferrari</t>
        </is>
      </c>
      <c r="J506" s="46" t="inlineStr">
        <is>
          <t xml:space="preserve">296 GTB</t>
        </is>
      </c>
      <c r="K506" s="46" t="inlineStr">
        <is>
          <t xml:space="preserve">L3DYXT05DDLKPV18V</t>
        </is>
      </c>
      <c r="L506" s="48" t="inlineStr">
        <is>
          <t xml:space="preserve">03 - Supercar</t>
        </is>
      </c>
      <c r="M506" s="50">
        <v>465000</v>
      </c>
      <c r="N506" s="48" t="inlineStr">
        <is>
          <t xml:space="preserve">Personal</t>
        </is>
      </c>
      <c r="O506" s="46" t="inlineStr">
        <is>
          <t xml:space="preserve">Personal - regular use</t>
        </is>
      </c>
      <c r="P506" s="46" t="inlineStr">
        <is>
          <t xml:space="preserve">2,500 - 5,000</t>
        </is>
      </c>
      <c r="Q506" s="46" t="inlineStr">
        <is>
          <t xml:space="preserve">Maine</t>
        </is>
      </c>
      <c r="R506" s="46" t="inlineStr">
        <is>
          <t xml:space="preserve">04101</t>
        </is>
      </c>
      <c r="S506" s="48" t="inlineStr">
        <is>
          <t xml:space="preserve">Tier 3 - Coastal wind (25-100 miles)</t>
        </is>
      </c>
      <c r="T506" s="36">
        <f>IF($A506="","",IF($S506="","",IFERROR(INDEX('[1]natural catastrophe'!$D$6:$D$17,MATCH($S506,'[1]natural catastrophe'!$B$6:$B$17,0)),"?")))</f>
      </c>
      <c r="U506" s="46" t="inlineStr">
        <is>
          <t xml:space="preserve">2% of agreed value, minimum $10,000</t>
        </is>
      </c>
      <c r="V506" s="48" t="inlineStr">
        <is>
          <t xml:space="preserve">Agreed Value</t>
        </is>
      </c>
      <c r="W506" s="46" t="inlineStr">
        <is>
          <t xml:space="preserve">$1,000</t>
        </is>
      </c>
      <c r="X506" s="48" t="inlineStr">
        <is>
          <t xml:space="preserve">$1,000,000 CSL</t>
        </is>
      </c>
      <c r="Y506" s="46"/>
      <c r="Z506" s="46"/>
      <c r="AA506" s="48" t="inlineStr">
        <is>
          <t xml:space="preserve">Surplus Lines</t>
        </is>
      </c>
      <c r="AB506" s="50">
        <v>8292.46</v>
      </c>
      <c r="AC506" s="51">
        <v>0</v>
      </c>
      <c r="AD506" s="38">
        <f>IF(ISNUMBER($AB506),$AB506*(1+N($AC506)),"")</f>
      </c>
      <c r="AE506" s="50">
        <v>350</v>
      </c>
      <c r="AF506" s="50">
        <v>0</v>
      </c>
      <c r="AG506" s="51"/>
      <c r="AH506" s="39">
        <f>IF(ISNUMBER($AD506),($AD506+$AE506+$AF506)*$AG506,"")</f>
      </c>
      <c r="AI506" s="50"/>
      <c r="AJ506" s="38">
        <f>IF(ISNUMBER($AD506),SUM($AD506:$AH506),"")</f>
      </c>
      <c r="AK506" s="40">
        <f>IF(AND(ISNUMBER($AB506),ISNUMBER($AD506)),IF($AB506&gt;0,$AD506/$AB506,""),"")</f>
      </c>
      <c r="AL506" s="48" t="inlineStr">
        <is>
          <t xml:space="preserve">At technical</t>
        </is>
      </c>
      <c r="AM506" s="41">
        <f>IF(ISNUMBER($AD506),Header!$I$3,"")</f>
      </c>
      <c r="AN506" s="39">
        <f>IF(ISNUMBER($AD506),$AO506+$AP506,"")</f>
      </c>
      <c r="AO506" s="39">
        <f>IF(ISNUMBER($AD506),ROUND($AD506*Header!$K$3,2),"")</f>
      </c>
      <c r="AP506" s="39">
        <f>IF(ISNUMBER($AD506),ROUND($AD506*Header!$M$3,2),"")</f>
      </c>
      <c r="AQ506" s="38">
        <f>IF(ISNUMBER($AD506),ROUND($AD506,2)-$AO506-$AP506,"")</f>
      </c>
      <c r="AR506" s="39">
        <f>IF(ISNUMBER($AD506),IF(Header!$D$34="","?",$AD506*Header!$D$34),"")</f>
      </c>
      <c r="AS506" s="39">
        <f>IF(ISNUMBER($AB506),IF(Header!$D$34="","?",$AB506*Header!$D$34),"")</f>
      </c>
      <c r="AT506" s="42">
        <f>IF(AND(ISNUMBER($AB506),$M506&gt;0),$AB506/$M506*100,"")</f>
      </c>
      <c r="AU506" s="42">
        <f>IF(AND(ISNUMBER($AD506),$M506&gt;0),$AD506/$M506*100,"")</f>
      </c>
      <c r="AV506" s="40">
        <f>IF(AND(ISNUMBER($AB506),ISNUMBER($AD506),ABS($AB506)&gt;0),$AD506/$AB506,"")</f>
      </c>
      <c r="AW506" s="39">
        <f>IF(ISNUMBER($AD506),MAX(0,(1-0.55-Header!$O$3)*Header!$Q$3*$AQ506),"")</f>
      </c>
      <c r="AX506" s="43">
        <f>IF($A506="","",IF(TRIM(IF($A506="","Missing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",""))="","PASS","FAIL: "&amp;TRIM(IF($A506="","Missing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f>
      </c>
      <c r="AY506" s="44">
        <f>IF($M506="","",IF(ISNUMBER($M506),IF($M506&gt;=Header!$C$18,"YES — refer","No"),""))</f>
      </c>
      <c r="AZ506" s="44">
        <f>IF($AD506="","",IF(ISNUMBER($AD506),IF($AD506&lt;Header!$C$20,"BELOW MIN PREMIUM","OK"),""))</f>
      </c>
      <c r="BA506" s="48" t="inlineStr">
        <is>
          <t xml:space="preserve">Yes</t>
        </is>
      </c>
      <c r="BB506" s="48" t="inlineStr">
        <is>
          <t xml:space="preserve">Yes</t>
        </is>
      </c>
      <c r="BC506" s="46" t="inlineStr">
        <is>
          <t xml:space="preserve">Synthetic demo data</t>
        </is>
      </c>
      <c r="BE506" s="45">
        <f>IF(OR($A506="",$L506="",$H506=""),"",IF(AND(LEFT($L506,2)="06",$H506&gt;1945),"FAIL - pre-war class, year "&amp;$H506,IF(AND(LEFT($L506,2)="07",OR($H506&lt;1946,$H506&gt;1972)),"FAIL - 1946-72 class, year "&amp;$H506,IF(AND(LEFT($L506,2)="08",OR($H506&lt;1973,$H506&gt;1999)),"FAIL - 1973-99 class, year "&amp;$H506,IF(AND(LEFT($L506,2)="09",OR($H506&lt;2000,$H506&gt;2010)),"FAIL - 2000-10 class, year "&amp;$H506,"OK")))))</f>
      </c>
      <c r="BF506" s="45">
        <f>IF($AD506="","",IF(ROUND($AO506+$AP506+$AQ506-$AD506,2)=0,"OK","FAIL - out by "&amp;TEXT($AO506+$AP506+$AQ506-$AD506,"$0.00")))</f>
      </c>
    </row>
    <row r="507" spans="1:58" ht="18.75" customHeight="1" x14ac:dyDescent="0.25">
      <c r="A507" s="30" t="inlineStr">
        <is>
          <t xml:space="preserve">CANON-202607-010209</t>
        </is>
      </c>
      <c r="B507" s="30" t="inlineStr">
        <is>
          <t xml:space="preserve">Saoirse Nakashima</t>
        </is>
      </c>
      <c r="C507" s="31">
        <v>46227</v>
      </c>
      <c r="D507" s="32" t="inlineStr">
        <is>
          <t xml:space="preserve">Bound - within authority</t>
        </is>
      </c>
      <c r="E507" s="32" t="inlineStr">
        <is>
          <t xml:space="preserve">New business</t>
        </is>
      </c>
      <c r="F507" s="30" t="inlineStr">
        <is>
          <t xml:space="preserve">B1234EXOTIC26</t>
        </is>
      </c>
      <c r="G507" s="33">
        <f>IF($A507="","",IF($C507="","",YEAR($C507)))</f>
      </c>
      <c r="H507" s="34">
        <v>2018</v>
      </c>
      <c r="I507" s="30" t="inlineStr">
        <is>
          <t xml:space="preserve">McLaren</t>
        </is>
      </c>
      <c r="J507" s="30" t="inlineStr">
        <is>
          <t xml:space="preserve">750S</t>
        </is>
      </c>
      <c r="K507" s="30" t="inlineStr">
        <is>
          <t xml:space="preserve">3PXG8B59A0DCS4GCS</t>
        </is>
      </c>
      <c r="L507" s="32" t="inlineStr">
        <is>
          <t xml:space="preserve">03 - Supercar</t>
        </is>
      </c>
      <c r="M507" s="35">
        <v>815000</v>
      </c>
      <c r="N507" s="32" t="inlineStr">
        <is>
          <t xml:space="preserve">Personal</t>
        </is>
      </c>
      <c r="O507" s="30" t="inlineStr">
        <is>
          <t xml:space="preserve">Personal - regular use</t>
        </is>
      </c>
      <c r="P507" s="30" t="inlineStr">
        <is>
          <t xml:space="preserve">1,000 - 2,500</t>
        </is>
      </c>
      <c r="Q507" s="30" t="inlineStr">
        <is>
          <t xml:space="preserve">Florida</t>
        </is>
      </c>
      <c r="R507" s="30" t="inlineStr">
        <is>
          <t xml:space="preserve">33139</t>
        </is>
      </c>
      <c r="S507" s="32" t="inlineStr">
        <is>
          <t xml:space="preserve">Tier 2 - Coastal wind (1-25 miles)</t>
        </is>
      </c>
      <c r="T507" s="36">
        <f>IF($A507="","",IF($S507="","",IFERROR(INDEX('[1]natural catastrophe'!$D$6:$D$17,MATCH($S507,'[1]natural catastrophe'!$B$6:$B$17,0)),"?")))</f>
      </c>
      <c r="U507" s="30" t="inlineStr">
        <is>
          <t xml:space="preserve">2% of agreed value, minimum $10,000</t>
        </is>
      </c>
      <c r="V507" s="32" t="inlineStr">
        <is>
          <t xml:space="preserve">Agreed Value</t>
        </is>
      </c>
      <c r="W507" s="30" t="inlineStr">
        <is>
          <t xml:space="preserve">$1,000</t>
        </is>
      </c>
      <c r="X507" s="32" t="inlineStr">
        <is>
          <t xml:space="preserve">$1,000,000 CSL</t>
        </is>
      </c>
      <c r="Y507" s="30"/>
      <c r="Z507" s="30"/>
      <c r="AA507" s="32" t="inlineStr">
        <is>
          <t xml:space="preserve">Surplus Lines</t>
        </is>
      </c>
      <c r="AB507" s="35">
        <v>15786.23</v>
      </c>
      <c r="AC507" s="37">
        <v>0</v>
      </c>
      <c r="AD507" s="38">
        <f>IF(ISNUMBER($AB507),$AB507*(1+N($AC507)),"")</f>
      </c>
      <c r="AE507" s="35">
        <v>350</v>
      </c>
      <c r="AF507" s="35">
        <v>0</v>
      </c>
      <c r="AG507" s="37"/>
      <c r="AH507" s="39">
        <f>IF(ISNUMBER($AD507),($AD507+$AE507+$AF507)*$AG507,"")</f>
      </c>
      <c r="AI507" s="35"/>
      <c r="AJ507" s="38">
        <f>IF(ISNUMBER($AD507),SUM($AD507:$AH507),"")</f>
      </c>
      <c r="AK507" s="40">
        <f>IF(AND(ISNUMBER($AB507),ISNUMBER($AD507)),IF($AB507&gt;0,$AD507/$AB507,""),"")</f>
      </c>
      <c r="AL507" s="32" t="inlineStr">
        <is>
          <t xml:space="preserve">At technical</t>
        </is>
      </c>
      <c r="AM507" s="41">
        <f>IF(ISNUMBER($AD507),Header!$I$3,"")</f>
      </c>
      <c r="AN507" s="39">
        <f>IF(ISNUMBER($AD507),$AO507+$AP507,"")</f>
      </c>
      <c r="AO507" s="39">
        <f>IF(ISNUMBER($AD507),ROUND($AD507*Header!$K$3,2),"")</f>
      </c>
      <c r="AP507" s="39">
        <f>IF(ISNUMBER($AD507),ROUND($AD507*Header!$M$3,2),"")</f>
      </c>
      <c r="AQ507" s="38">
        <f>IF(ISNUMBER($AD507),ROUND($AD507,2)-$AO507-$AP507,"")</f>
      </c>
      <c r="AR507" s="39">
        <f>IF(ISNUMBER($AD507),IF(Header!$D$34="","?",$AD507*Header!$D$34),"")</f>
      </c>
      <c r="AS507" s="39">
        <f>IF(ISNUMBER($AB507),IF(Header!$D$34="","?",$AB507*Header!$D$34),"")</f>
      </c>
      <c r="AT507" s="42">
        <f>IF(AND(ISNUMBER($AB507),$M507&gt;0),$AB507/$M507*100,"")</f>
      </c>
      <c r="AU507" s="42">
        <f>IF(AND(ISNUMBER($AD507),$M507&gt;0),$AD507/$M507*100,"")</f>
      </c>
      <c r="AV507" s="40">
        <f>IF(AND(ISNUMBER($AB507),ISNUMBER($AD507),ABS($AB507)&gt;0),$AD507/$AB507,"")</f>
      </c>
      <c r="AW507" s="39">
        <f>IF(ISNUMBER($AD507),MAX(0,(1-0.55-Header!$O$3)*Header!$Q$3*$AQ507),"")</f>
      </c>
      <c r="AX507" s="43">
        <f>IF($A507="","",IF(TRIM(IF($A507="","Missing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",""))="","PASS","FAIL: "&amp;TRIM(IF($A507="","Missing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f>
      </c>
      <c r="AY507" s="44">
        <f>IF($M507="","",IF(ISNUMBER($M507),IF($M507&gt;=Header!$C$18,"YES — refer","No"),""))</f>
      </c>
      <c r="AZ507" s="44">
        <f>IF($AD507="","",IF(ISNUMBER($AD507),IF($AD507&lt;Header!$C$20,"BELOW MIN PREMIUM","OK"),""))</f>
      </c>
      <c r="BA507" s="32" t="inlineStr">
        <is>
          <t xml:space="preserve">Yes</t>
        </is>
      </c>
      <c r="BB507" s="32" t="inlineStr">
        <is>
          <t xml:space="preserve">Yes</t>
        </is>
      </c>
      <c r="BC507" s="30" t="inlineStr">
        <is>
          <t xml:space="preserve">Synthetic demo data</t>
        </is>
      </c>
      <c r="BE507" s="45">
        <f>IF(OR($A507="",$L507="",$H507=""),"",IF(AND(LEFT($L507,2)="06",$H507&gt;1945),"FAIL - pre-war class, year "&amp;$H507,IF(AND(LEFT($L507,2)="07",OR($H507&lt;1946,$H507&gt;1972)),"FAIL - 1946-72 class, year "&amp;$H507,IF(AND(LEFT($L507,2)="08",OR($H507&lt;1973,$H507&gt;1999)),"FAIL - 1973-99 class, year "&amp;$H507,IF(AND(LEFT($L507,2)="09",OR($H507&lt;2000,$H507&gt;2010)),"FAIL - 2000-10 class, year "&amp;$H507,"OK")))))</f>
      </c>
      <c r="BF507" s="45">
        <f>IF($AD507="","",IF(ROUND($AO507+$AP507+$AQ507-$AD507,2)=0,"OK","FAIL - out by "&amp;TEXT($AO507+$AP507+$AQ507-$AD507,"$0.00")))</f>
      </c>
    </row>
    <row r="508" spans="1:58" ht="18.75" customHeight="1" x14ac:dyDescent="0.25">
      <c r="A508" s="46" t="inlineStr">
        <is>
          <t xml:space="preserve">CANON-202607-010211</t>
        </is>
      </c>
      <c r="B508" s="46" t="inlineStr">
        <is>
          <t xml:space="preserve">Ingrid Bellandi</t>
        </is>
      </c>
      <c r="C508" s="47">
        <v>46217</v>
      </c>
      <c r="D508" s="48" t="inlineStr">
        <is>
          <t xml:space="preserve">Bound - within authority</t>
        </is>
      </c>
      <c r="E508" s="48" t="inlineStr">
        <is>
          <t xml:space="preserve">New business</t>
        </is>
      </c>
      <c r="F508" s="46" t="inlineStr">
        <is>
          <t xml:space="preserve">B1234EXOTIC26</t>
        </is>
      </c>
      <c r="G508" s="33">
        <f>IF($A508="","",IF($C508="","",YEAR($C508)))</f>
      </c>
      <c r="H508" s="49">
        <v>1970</v>
      </c>
      <c r="I508" s="46" t="inlineStr">
        <is>
          <t xml:space="preserve">Aston Martin</t>
        </is>
      </c>
      <c r="J508" s="46" t="inlineStr">
        <is>
          <t xml:space="preserve">DB5</t>
        </is>
      </c>
      <c r="K508" s="46" t="inlineStr">
        <is>
          <t xml:space="preserve">H10SXYJJE1M4EHZV3</t>
        </is>
      </c>
      <c r="L508" s="48" t="inlineStr">
        <is>
          <t xml:space="preserve">07 - Post-War Classic (1946-1972)</t>
        </is>
      </c>
      <c r="M508" s="50">
        <v>300000</v>
      </c>
      <c r="N508" s="48" t="inlineStr">
        <is>
          <t xml:space="preserve">Personal</t>
        </is>
      </c>
      <c r="O508" s="46" t="inlineStr">
        <is>
          <t xml:space="preserve">Personal - regular use</t>
        </is>
      </c>
      <c r="P508" s="46" t="inlineStr">
        <is>
          <t xml:space="preserve">Under 1,000</t>
        </is>
      </c>
      <c r="Q508" s="46" t="inlineStr">
        <is>
          <t xml:space="preserve">Connecticut</t>
        </is>
      </c>
      <c r="R508" s="46" t="inlineStr">
        <is>
          <t xml:space="preserve">06103</t>
        </is>
      </c>
      <c r="S508" s="48" t="inlineStr">
        <is>
          <t xml:space="preserve">Tier 3 - Coastal wind (25-100 miles)</t>
        </is>
      </c>
      <c r="T508" s="36">
        <f>IF($A508="","",IF($S508="","",IFERROR(INDEX('[1]natural catastrophe'!$D$6:$D$17,MATCH($S508,'[1]natural catastrophe'!$B$6:$B$17,0)),"?")))</f>
      </c>
      <c r="U508" s="46" t="inlineStr">
        <is>
          <t xml:space="preserve">2% of agreed value, minimum $10,000</t>
        </is>
      </c>
      <c r="V508" s="48" t="inlineStr">
        <is>
          <t xml:space="preserve">Agreed Value</t>
        </is>
      </c>
      <c r="W508" s="46" t="inlineStr">
        <is>
          <t xml:space="preserve">$1,000</t>
        </is>
      </c>
      <c r="X508" s="48" t="inlineStr">
        <is>
          <t xml:space="preserve">$1,000,000 CSL</t>
        </is>
      </c>
      <c r="Y508" s="46"/>
      <c r="Z508" s="46"/>
      <c r="AA508" s="48" t="inlineStr">
        <is>
          <t xml:space="preserve">Surplus Lines</t>
        </is>
      </c>
      <c r="AB508" s="50">
        <v>2315.74</v>
      </c>
      <c r="AC508" s="51">
        <v>0</v>
      </c>
      <c r="AD508" s="38">
        <f>IF(ISNUMBER($AB508),$AB508*(1+N($AC508)),"")</f>
      </c>
      <c r="AE508" s="50">
        <v>350</v>
      </c>
      <c r="AF508" s="50">
        <v>0</v>
      </c>
      <c r="AG508" s="51"/>
      <c r="AH508" s="39">
        <f>IF(ISNUMBER($AD508),($AD508+$AE508+$AF508)*$AG508,"")</f>
      </c>
      <c r="AI508" s="50"/>
      <c r="AJ508" s="38">
        <f>IF(ISNUMBER($AD508),SUM($AD508:$AH508),"")</f>
      </c>
      <c r="AK508" s="40">
        <f>IF(AND(ISNUMBER($AB508),ISNUMBER($AD508)),IF($AB508&gt;0,$AD508/$AB508,""),"")</f>
      </c>
      <c r="AL508" s="48" t="inlineStr">
        <is>
          <t xml:space="preserve">At technical</t>
        </is>
      </c>
      <c r="AM508" s="41">
        <f>IF(ISNUMBER($AD508),Header!$I$3,"")</f>
      </c>
      <c r="AN508" s="39">
        <f>IF(ISNUMBER($AD508),$AO508+$AP508,"")</f>
      </c>
      <c r="AO508" s="39">
        <f>IF(ISNUMBER($AD508),ROUND($AD508*Header!$K$3,2),"")</f>
      </c>
      <c r="AP508" s="39">
        <f>IF(ISNUMBER($AD508),ROUND($AD508*Header!$M$3,2),"")</f>
      </c>
      <c r="AQ508" s="38">
        <f>IF(ISNUMBER($AD508),ROUND($AD508,2)-$AO508-$AP508,"")</f>
      </c>
      <c r="AR508" s="39">
        <f>IF(ISNUMBER($AD508),IF(Header!$D$34="","?",$AD508*Header!$D$34),"")</f>
      </c>
      <c r="AS508" s="39">
        <f>IF(ISNUMBER($AB508),IF(Header!$D$34="","?",$AB508*Header!$D$34),"")</f>
      </c>
      <c r="AT508" s="42">
        <f>IF(AND(ISNUMBER($AB508),$M508&gt;0),$AB508/$M508*100,"")</f>
      </c>
      <c r="AU508" s="42">
        <f>IF(AND(ISNUMBER($AD508),$M508&gt;0),$AD508/$M508*100,"")</f>
      </c>
      <c r="AV508" s="40">
        <f>IF(AND(ISNUMBER($AB508),ISNUMBER($AD508),ABS($AB508)&gt;0),$AD508/$AB508,"")</f>
      </c>
      <c r="AW508" s="39">
        <f>IF(ISNUMBER($AD508),MAX(0,(1-0.55-Header!$O$3)*Header!$Q$3*$AQ508),"")</f>
      </c>
      <c r="AX508" s="43">
        <f>IF($A508="","",IF(TRIM(IF($A508="","Missing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",""))="","PASS","FAIL: "&amp;TRIM(IF($A508="","Missing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f>
      </c>
      <c r="AY508" s="44">
        <f>IF($M508="","",IF(ISNUMBER($M508),IF($M508&gt;=Header!$C$18,"YES — refer","No"),""))</f>
      </c>
      <c r="AZ508" s="44">
        <f>IF($AD508="","",IF(ISNUMBER($AD508),IF($AD508&lt;Header!$C$20,"BELOW MIN PREMIUM","OK"),""))</f>
      </c>
      <c r="BA508" s="48" t="inlineStr">
        <is>
          <t xml:space="preserve">Yes</t>
        </is>
      </c>
      <c r="BB508" s="48" t="inlineStr">
        <is>
          <t xml:space="preserve">Yes</t>
        </is>
      </c>
      <c r="BC508" s="46" t="inlineStr">
        <is>
          <t xml:space="preserve">Synthetic demo data</t>
        </is>
      </c>
      <c r="BE508" s="45">
        <f>IF(OR($A508="",$L508="",$H508=""),"",IF(AND(LEFT($L508,2)="06",$H508&gt;1945),"FAIL - pre-war class, year "&amp;$H508,IF(AND(LEFT($L508,2)="07",OR($H508&lt;1946,$H508&gt;1972)),"FAIL - 1946-72 class, year "&amp;$H508,IF(AND(LEFT($L508,2)="08",OR($H508&lt;1973,$H508&gt;1999)),"FAIL - 1973-99 class, year "&amp;$H508,IF(AND(LEFT($L508,2)="09",OR($H508&lt;2000,$H508&gt;2010)),"FAIL - 2000-10 class, year "&amp;$H508,"OK")))))</f>
      </c>
      <c r="BF508" s="45">
        <f>IF($AD508="","",IF(ROUND($AO508+$AP508+$AQ508-$AD508,2)=0,"OK","FAIL - out by "&amp;TEXT($AO508+$AP508+$AQ508-$AD508,"$0.00")))</f>
      </c>
    </row>
    <row r="509" spans="1:58" ht="18.75" customHeight="1" x14ac:dyDescent="0.25">
      <c r="A509" s="30" t="inlineStr">
        <is>
          <t xml:space="preserve">CANON-202607-010212</t>
        </is>
      </c>
      <c r="B509" s="30" t="inlineStr">
        <is>
          <t xml:space="preserve">Cassius Rourke</t>
        </is>
      </c>
      <c r="C509" s="31">
        <v>46227</v>
      </c>
      <c r="D509" s="32" t="inlineStr">
        <is>
          <t xml:space="preserve">Bound - within authority</t>
        </is>
      </c>
      <c r="E509" s="32" t="inlineStr">
        <is>
          <t xml:space="preserve">New business</t>
        </is>
      </c>
      <c r="F509" s="30" t="inlineStr">
        <is>
          <t xml:space="preserve">B1234EXOTIC26</t>
        </is>
      </c>
      <c r="G509" s="33">
        <f>IF($A509="","",IF($C509="","",YEAR($C509)))</f>
      </c>
      <c r="H509" s="34">
        <v>1959</v>
      </c>
      <c r="I509" s="30" t="inlineStr">
        <is>
          <t xml:space="preserve">Ferrari</t>
        </is>
      </c>
      <c r="J509" s="30" t="inlineStr">
        <is>
          <t xml:space="preserve">SF90 Stradale</t>
        </is>
      </c>
      <c r="K509" s="30" t="inlineStr">
        <is>
          <t xml:space="preserve">B3855LEERHJCD9B4Y</t>
        </is>
      </c>
      <c r="L509" s="32" t="inlineStr">
        <is>
          <t xml:space="preserve">03 - Supercar</t>
        </is>
      </c>
      <c r="M509" s="35">
        <v>385000</v>
      </c>
      <c r="N509" s="32" t="inlineStr">
        <is>
          <t xml:space="preserve">Personal</t>
        </is>
      </c>
      <c r="O509" s="30" t="inlineStr">
        <is>
          <t xml:space="preserve">Personal - regular use</t>
        </is>
      </c>
      <c r="P509" s="30" t="inlineStr">
        <is>
          <t xml:space="preserve">1,000 - 2,500</t>
        </is>
      </c>
      <c r="Q509" s="30" t="inlineStr">
        <is>
          <t xml:space="preserve">Massachusetts</t>
        </is>
      </c>
      <c r="R509" s="30" t="inlineStr">
        <is>
          <t xml:space="preserve">02108</t>
        </is>
      </c>
      <c r="S509" s="32" t="inlineStr">
        <is>
          <t xml:space="preserve">Tier 3 - Coastal wind (25-100 miles)</t>
        </is>
      </c>
      <c r="T509" s="36">
        <f>IF($A509="","",IF($S509="","",IFERROR(INDEX('[1]natural catastrophe'!$D$6:$D$17,MATCH($S509,'[1]natural catastrophe'!$B$6:$B$17,0)),"?")))</f>
      </c>
      <c r="U509" s="30" t="inlineStr">
        <is>
          <t xml:space="preserve">2% of agreed value, minimum $10,000</t>
        </is>
      </c>
      <c r="V509" s="32" t="inlineStr">
        <is>
          <t xml:space="preserve">Agreed Value</t>
        </is>
      </c>
      <c r="W509" s="30" t="inlineStr">
        <is>
          <t xml:space="preserve">$1,000</t>
        </is>
      </c>
      <c r="X509" s="32" t="inlineStr">
        <is>
          <t xml:space="preserve">$1,000,000 CSL</t>
        </is>
      </c>
      <c r="Y509" s="30"/>
      <c r="Z509" s="30"/>
      <c r="AA509" s="32" t="inlineStr">
        <is>
          <t xml:space="preserve">Surplus Lines</t>
        </is>
      </c>
      <c r="AB509" s="35">
        <v>7946.53</v>
      </c>
      <c r="AC509" s="37">
        <v>0</v>
      </c>
      <c r="AD509" s="38">
        <f>IF(ISNUMBER($AB509),$AB509*(1+N($AC509)),"")</f>
      </c>
      <c r="AE509" s="35">
        <v>350</v>
      </c>
      <c r="AF509" s="35">
        <v>0</v>
      </c>
      <c r="AG509" s="37"/>
      <c r="AH509" s="39">
        <f>IF(ISNUMBER($AD509),($AD509+$AE509+$AF509)*$AG509,"")</f>
      </c>
      <c r="AI509" s="35"/>
      <c r="AJ509" s="38">
        <f>IF(ISNUMBER($AD509),SUM($AD509:$AH509),"")</f>
      </c>
      <c r="AK509" s="40">
        <f>IF(AND(ISNUMBER($AB509),ISNUMBER($AD509)),IF($AB509&gt;0,$AD509/$AB509,""),"")</f>
      </c>
      <c r="AL509" s="32" t="inlineStr">
        <is>
          <t xml:space="preserve">At technical</t>
        </is>
      </c>
      <c r="AM509" s="41">
        <f>IF(ISNUMBER($AD509),Header!$I$3,"")</f>
      </c>
      <c r="AN509" s="39">
        <f>IF(ISNUMBER($AD509),$AO509+$AP509,"")</f>
      </c>
      <c r="AO509" s="39">
        <f>IF(ISNUMBER($AD509),ROUND($AD509*Header!$K$3,2),"")</f>
      </c>
      <c r="AP509" s="39">
        <f>IF(ISNUMBER($AD509),ROUND($AD509*Header!$M$3,2),"")</f>
      </c>
      <c r="AQ509" s="38">
        <f>IF(ISNUMBER($AD509),ROUND($AD509,2)-$AO509-$AP509,"")</f>
      </c>
      <c r="AR509" s="39">
        <f>IF(ISNUMBER($AD509),IF(Header!$D$34="","?",$AD509*Header!$D$34),"")</f>
      </c>
      <c r="AS509" s="39">
        <f>IF(ISNUMBER($AB509),IF(Header!$D$34="","?",$AB509*Header!$D$34),"")</f>
      </c>
      <c r="AT509" s="42">
        <f>IF(AND(ISNUMBER($AB509),$M509&gt;0),$AB509/$M509*100,"")</f>
      </c>
      <c r="AU509" s="42">
        <f>IF(AND(ISNUMBER($AD509),$M509&gt;0),$AD509/$M509*100,"")</f>
      </c>
      <c r="AV509" s="40">
        <f>IF(AND(ISNUMBER($AB509),ISNUMBER($AD509),ABS($AB509)&gt;0),$AD509/$AB509,"")</f>
      </c>
      <c r="AW509" s="39">
        <f>IF(ISNUMBER($AD509),MAX(0,(1-0.55-Header!$O$3)*Header!$Q$3*$AQ509),"")</f>
      </c>
      <c r="AX509" s="43">
        <f>IF($A509="","",IF(TRIM(IF($A509="","Missing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",""))="","PASS","FAIL: "&amp;TRIM(IF($A509="","Missing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f>
      </c>
      <c r="AY509" s="44">
        <f>IF($M509="","",IF(ISNUMBER($M509),IF($M509&gt;=Header!$C$18,"YES — refer","No"),""))</f>
      </c>
      <c r="AZ509" s="44">
        <f>IF($AD509="","",IF(ISNUMBER($AD509),IF($AD509&lt;Header!$C$20,"BELOW MIN PREMIUM","OK"),""))</f>
      </c>
      <c r="BA509" s="32" t="inlineStr">
        <is>
          <t xml:space="preserve">Yes</t>
        </is>
      </c>
      <c r="BB509" s="32" t="inlineStr">
        <is>
          <t xml:space="preserve">Yes</t>
        </is>
      </c>
      <c r="BC509" s="30" t="inlineStr">
        <is>
          <t xml:space="preserve">Synthetic demo data</t>
        </is>
      </c>
      <c r="BE509" s="45">
        <f>IF(OR($A509="",$L509="",$H509=""),"",IF(AND(LEFT($L509,2)="06",$H509&gt;1945),"FAIL - pre-war class, year "&amp;$H509,IF(AND(LEFT($L509,2)="07",OR($H509&lt;1946,$H509&gt;1972)),"FAIL - 1946-72 class, year "&amp;$H509,IF(AND(LEFT($L509,2)="08",OR($H509&lt;1973,$H509&gt;1999)),"FAIL - 1973-99 class, year "&amp;$H509,IF(AND(LEFT($L509,2)="09",OR($H509&lt;2000,$H509&gt;2010)),"FAIL - 2000-10 class, year "&amp;$H509,"OK")))))</f>
      </c>
      <c r="BF509" s="45">
        <f>IF($AD509="","",IF(ROUND($AO509+$AP509+$AQ509-$AD509,2)=0,"OK","FAIL - out by "&amp;TEXT($AO509+$AP509+$AQ509-$AD509,"$0.00")))</f>
      </c>
    </row>
    <row r="510" spans="1:58" ht="18.75" customHeight="1" x14ac:dyDescent="0.25">
      <c r="A510" s="46" t="inlineStr">
        <is>
          <t xml:space="preserve">CANON-202607-010213</t>
        </is>
      </c>
      <c r="B510" s="46" t="inlineStr">
        <is>
          <t xml:space="preserve">Thaddeus Larsson</t>
        </is>
      </c>
      <c r="C510" s="47">
        <v>46232</v>
      </c>
      <c r="D510" s="48" t="inlineStr">
        <is>
          <t xml:space="preserve">Bound - within authority</t>
        </is>
      </c>
      <c r="E510" s="48" t="inlineStr">
        <is>
          <t xml:space="preserve">New business</t>
        </is>
      </c>
      <c r="F510" s="46" t="inlineStr">
        <is>
          <t xml:space="preserve">B1234EXOTIC26</t>
        </is>
      </c>
      <c r="G510" s="33">
        <f>IF($A510="","",IF($C510="","",YEAR($C510)))</f>
      </c>
      <c r="H510" s="49">
        <v>1967</v>
      </c>
      <c r="I510" s="46" t="inlineStr">
        <is>
          <t xml:space="preserve">Aston Martin</t>
        </is>
      </c>
      <c r="J510" s="46" t="inlineStr">
        <is>
          <t xml:space="preserve">DB5</t>
        </is>
      </c>
      <c r="K510" s="46" t="inlineStr">
        <is>
          <t xml:space="preserve">TFJPK6RYN4G3ENXKX</t>
        </is>
      </c>
      <c r="L510" s="48" t="inlineStr">
        <is>
          <t xml:space="preserve">07 - Post-War Classic (1946-1972)</t>
        </is>
      </c>
      <c r="M510" s="50">
        <v>285000</v>
      </c>
      <c r="N510" s="48" t="inlineStr">
        <is>
          <t xml:space="preserve">Personal</t>
        </is>
      </c>
      <c r="O510" s="46" t="inlineStr">
        <is>
          <t xml:space="preserve">Personal - regular use</t>
        </is>
      </c>
      <c r="P510" s="46" t="inlineStr">
        <is>
          <t xml:space="preserve">2,500 - 5,000</t>
        </is>
      </c>
      <c r="Q510" s="46" t="inlineStr">
        <is>
          <t xml:space="preserve">Indiana</t>
        </is>
      </c>
      <c r="R510" s="46" t="inlineStr">
        <is>
          <t xml:space="preserve">46204</t>
        </is>
      </c>
      <c r="S510" s="48" t="inlineStr">
        <is>
          <t xml:space="preserve">Severe convective - hail / tornado (moderate)</t>
        </is>
      </c>
      <c r="T510" s="36">
        <f>IF($A510="","",IF($S510="","",IFERROR(INDEX('[1]natural catastrophe'!$D$6:$D$17,MATCH($S510,'[1]natural catastrophe'!$B$6:$B$17,0)),"?")))</f>
      </c>
      <c r="U510" s="46" t="inlineStr">
        <is>
          <t xml:space="preserve">$5,000</t>
        </is>
      </c>
      <c r="V510" s="48" t="inlineStr">
        <is>
          <t xml:space="preserve">Agreed Value</t>
        </is>
      </c>
      <c r="W510" s="46" t="inlineStr">
        <is>
          <t xml:space="preserve">$1,000</t>
        </is>
      </c>
      <c r="X510" s="48" t="inlineStr">
        <is>
          <t xml:space="preserve">$1,000,000 CSL</t>
        </is>
      </c>
      <c r="Y510" s="46"/>
      <c r="Z510" s="46"/>
      <c r="AA510" s="48" t="inlineStr">
        <is>
          <t xml:space="preserve">Surplus Lines</t>
        </is>
      </c>
      <c r="AB510" s="50">
        <v>2416.02</v>
      </c>
      <c r="AC510" s="51">
        <v>0</v>
      </c>
      <c r="AD510" s="38">
        <f>IF(ISNUMBER($AB510),$AB510*(1+N($AC510)),"")</f>
      </c>
      <c r="AE510" s="50">
        <v>350</v>
      </c>
      <c r="AF510" s="50">
        <v>0</v>
      </c>
      <c r="AG510" s="51"/>
      <c r="AH510" s="39">
        <f>IF(ISNUMBER($AD510),($AD510+$AE510+$AF510)*$AG510,"")</f>
      </c>
      <c r="AI510" s="50"/>
      <c r="AJ510" s="38">
        <f>IF(ISNUMBER($AD510),SUM($AD510:$AH510),"")</f>
      </c>
      <c r="AK510" s="40">
        <f>IF(AND(ISNUMBER($AB510),ISNUMBER($AD510)),IF($AB510&gt;0,$AD510/$AB510,""),"")</f>
      </c>
      <c r="AL510" s="48" t="inlineStr">
        <is>
          <t xml:space="preserve">At technical</t>
        </is>
      </c>
      <c r="AM510" s="41">
        <f>IF(ISNUMBER($AD510),Header!$I$3,"")</f>
      </c>
      <c r="AN510" s="39">
        <f>IF(ISNUMBER($AD510),$AO510+$AP510,"")</f>
      </c>
      <c r="AO510" s="39">
        <f>IF(ISNUMBER($AD510),ROUND($AD510*Header!$K$3,2),"")</f>
      </c>
      <c r="AP510" s="39">
        <f>IF(ISNUMBER($AD510),ROUND($AD510*Header!$M$3,2),"")</f>
      </c>
      <c r="AQ510" s="38">
        <f>IF(ISNUMBER($AD510),ROUND($AD510,2)-$AO510-$AP510,"")</f>
      </c>
      <c r="AR510" s="39">
        <f>IF(ISNUMBER($AD510),IF(Header!$D$34="","?",$AD510*Header!$D$34),"")</f>
      </c>
      <c r="AS510" s="39">
        <f>IF(ISNUMBER($AB510),IF(Header!$D$34="","?",$AB510*Header!$D$34),"")</f>
      </c>
      <c r="AT510" s="42">
        <f>IF(AND(ISNUMBER($AB510),$M510&gt;0),$AB510/$M510*100,"")</f>
      </c>
      <c r="AU510" s="42">
        <f>IF(AND(ISNUMBER($AD510),$M510&gt;0),$AD510/$M510*100,"")</f>
      </c>
      <c r="AV510" s="40">
        <f>IF(AND(ISNUMBER($AB510),ISNUMBER($AD510),ABS($AB510)&gt;0),$AD510/$AB510,"")</f>
      </c>
      <c r="AW510" s="39">
        <f>IF(ISNUMBER($AD510),MAX(0,(1-0.55-Header!$O$3)*Header!$Q$3*$AQ510),"")</f>
      </c>
      <c r="AX510" s="43">
        <f>IF($A510="","",IF(TRIM(IF($A510="","Missing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",""))="","PASS","FAIL: "&amp;TRIM(IF($A510="","Missing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f>
      </c>
      <c r="AY510" s="44">
        <f>IF($M510="","",IF(ISNUMBER($M510),IF($M510&gt;=Header!$C$18,"YES — refer","No"),""))</f>
      </c>
      <c r="AZ510" s="44">
        <f>IF($AD510="","",IF(ISNUMBER($AD510),IF($AD510&lt;Header!$C$20,"BELOW MIN PREMIUM","OK"),""))</f>
      </c>
      <c r="BA510" s="48" t="inlineStr">
        <is>
          <t xml:space="preserve">Yes</t>
        </is>
      </c>
      <c r="BB510" s="48" t="inlineStr">
        <is>
          <t xml:space="preserve">Yes</t>
        </is>
      </c>
      <c r="BC510" s="46" t="inlineStr">
        <is>
          <t xml:space="preserve">Synthetic demo data</t>
        </is>
      </c>
      <c r="BE510" s="45">
        <f>IF(OR($A510="",$L510="",$H510=""),"",IF(AND(LEFT($L510,2)="06",$H510&gt;1945),"FAIL - pre-war class, year "&amp;$H510,IF(AND(LEFT($L510,2)="07",OR($H510&lt;1946,$H510&gt;1972)),"FAIL - 1946-72 class, year "&amp;$H510,IF(AND(LEFT($L510,2)="08",OR($H510&lt;1973,$H510&gt;1999)),"FAIL - 1973-99 class, year "&amp;$H510,IF(AND(LEFT($L510,2)="09",OR($H510&lt;2000,$H510&gt;2010)),"FAIL - 2000-10 class, year "&amp;$H510,"OK")))))</f>
      </c>
      <c r="BF510" s="45">
        <f>IF($AD510="","",IF(ROUND($AO510+$AP510+$AQ510-$AD510,2)=0,"OK","FAIL - out by "&amp;TEXT($AO510+$AP510+$AQ510-$AD510,"$0.00")))</f>
      </c>
    </row>
    <row r="511" spans="1:58" ht="18.75" customHeight="1" x14ac:dyDescent="0.25">
      <c r="A511" s="30" t="inlineStr">
        <is>
          <t xml:space="preserve">CANON-202607-010214</t>
        </is>
      </c>
      <c r="B511" s="30" t="inlineStr">
        <is>
          <t xml:space="preserve">Delphine Harrington</t>
        </is>
      </c>
      <c r="C511" s="31">
        <v>46206</v>
      </c>
      <c r="D511" s="32" t="inlineStr">
        <is>
          <t xml:space="preserve">Bound - within authority</t>
        </is>
      </c>
      <c r="E511" s="32" t="inlineStr">
        <is>
          <t xml:space="preserve">New business</t>
        </is>
      </c>
      <c r="F511" s="30" t="inlineStr">
        <is>
          <t xml:space="preserve">B1234EXOTIC26</t>
        </is>
      </c>
      <c r="G511" s="33">
        <f>IF($A511="","",IF($C511="","",YEAR($C511)))</f>
      </c>
      <c r="H511" s="34">
        <v>1978</v>
      </c>
      <c r="I511" s="30" t="inlineStr">
        <is>
          <t xml:space="preserve">Aston Martin</t>
        </is>
      </c>
      <c r="J511" s="30" t="inlineStr">
        <is>
          <t xml:space="preserve">DB12</t>
        </is>
      </c>
      <c r="K511" s="30" t="inlineStr">
        <is>
          <t xml:space="preserve">C5SUYXKLWFTAWCW0D</t>
        </is>
      </c>
      <c r="L511" s="32" t="inlineStr">
        <is>
          <t xml:space="preserve">02 - Sports / GT</t>
        </is>
      </c>
      <c r="M511" s="35">
        <v>620000</v>
      </c>
      <c r="N511" s="32" t="inlineStr">
        <is>
          <t xml:space="preserve">Personal</t>
        </is>
      </c>
      <c r="O511" s="30" t="inlineStr">
        <is>
          <t xml:space="preserve">Personal - regular use</t>
        </is>
      </c>
      <c r="P511" s="30" t="inlineStr">
        <is>
          <t xml:space="preserve">1,000 - 2,500</t>
        </is>
      </c>
      <c r="Q511" s="30" t="inlineStr">
        <is>
          <t xml:space="preserve">Pennsylvania</t>
        </is>
      </c>
      <c r="R511" s="30" t="inlineStr">
        <is>
          <t xml:space="preserve">19103</t>
        </is>
      </c>
      <c r="S511" s="32" t="inlineStr">
        <is>
          <t xml:space="preserve">Low hazard - inland benign</t>
        </is>
      </c>
      <c r="T511" s="36">
        <f>IF($A511="","",IF($S511="","",IFERROR(INDEX('[1]natural catastrophe'!$D$6:$D$17,MATCH($S511,'[1]natural catastrophe'!$B$6:$B$17,0)),"?")))</f>
      </c>
      <c r="U511" s="30" t="inlineStr">
        <is>
          <t xml:space="preserve">$5,000</t>
        </is>
      </c>
      <c r="V511" s="32" t="inlineStr">
        <is>
          <t xml:space="preserve">Agreed Value</t>
        </is>
      </c>
      <c r="W511" s="30" t="inlineStr">
        <is>
          <t xml:space="preserve">$1,000</t>
        </is>
      </c>
      <c r="X511" s="32" t="inlineStr">
        <is>
          <t xml:space="preserve">$1,000,000 CSL</t>
        </is>
      </c>
      <c r="Y511" s="30"/>
      <c r="Z511" s="30"/>
      <c r="AA511" s="32" t="inlineStr">
        <is>
          <t xml:space="preserve">Surplus Lines</t>
        </is>
      </c>
      <c r="AB511" s="35">
        <v>5786.47</v>
      </c>
      <c r="AC511" s="37">
        <v>0</v>
      </c>
      <c r="AD511" s="38">
        <f>IF(ISNUMBER($AB511),$AB511*(1+N($AC511)),"")</f>
      </c>
      <c r="AE511" s="35">
        <v>350</v>
      </c>
      <c r="AF511" s="35">
        <v>0</v>
      </c>
      <c r="AG511" s="37"/>
      <c r="AH511" s="39">
        <f>IF(ISNUMBER($AD511),($AD511+$AE511+$AF511)*$AG511,"")</f>
      </c>
      <c r="AI511" s="35"/>
      <c r="AJ511" s="38">
        <f>IF(ISNUMBER($AD511),SUM($AD511:$AH511),"")</f>
      </c>
      <c r="AK511" s="40">
        <f>IF(AND(ISNUMBER($AB511),ISNUMBER($AD511)),IF($AB511&gt;0,$AD511/$AB511,""),"")</f>
      </c>
      <c r="AL511" s="32" t="inlineStr">
        <is>
          <t xml:space="preserve">At technical</t>
        </is>
      </c>
      <c r="AM511" s="41">
        <f>IF(ISNUMBER($AD511),Header!$I$3,"")</f>
      </c>
      <c r="AN511" s="39">
        <f>IF(ISNUMBER($AD511),$AO511+$AP511,"")</f>
      </c>
      <c r="AO511" s="39">
        <f>IF(ISNUMBER($AD511),ROUND($AD511*Header!$K$3,2),"")</f>
      </c>
      <c r="AP511" s="39">
        <f>IF(ISNUMBER($AD511),ROUND($AD511*Header!$M$3,2),"")</f>
      </c>
      <c r="AQ511" s="38">
        <f>IF(ISNUMBER($AD511),ROUND($AD511,2)-$AO511-$AP511,"")</f>
      </c>
      <c r="AR511" s="39">
        <f>IF(ISNUMBER($AD511),IF(Header!$D$34="","?",$AD511*Header!$D$34),"")</f>
      </c>
      <c r="AS511" s="39">
        <f>IF(ISNUMBER($AB511),IF(Header!$D$34="","?",$AB511*Header!$D$34),"")</f>
      </c>
      <c r="AT511" s="42">
        <f>IF(AND(ISNUMBER($AB511),$M511&gt;0),$AB511/$M511*100,"")</f>
      </c>
      <c r="AU511" s="42">
        <f>IF(AND(ISNUMBER($AD511),$M511&gt;0),$AD511/$M511*100,"")</f>
      </c>
      <c r="AV511" s="40">
        <f>IF(AND(ISNUMBER($AB511),ISNUMBER($AD511),ABS($AB511)&gt;0),$AD511/$AB511,"")</f>
      </c>
      <c r="AW511" s="39">
        <f>IF(ISNUMBER($AD511),MAX(0,(1-0.55-Header!$O$3)*Header!$Q$3*$AQ511),"")</f>
      </c>
      <c r="AX511" s="43">
        <f>IF($A511="","",IF(TRIM(IF($A511="","Missing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",""))="","PASS","FAIL: "&amp;TRIM(IF($A511="","Missing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f>
      </c>
      <c r="AY511" s="44">
        <f>IF($M511="","",IF(ISNUMBER($M511),IF($M511&gt;=Header!$C$18,"YES — refer","No"),""))</f>
      </c>
      <c r="AZ511" s="44">
        <f>IF($AD511="","",IF(ISNUMBER($AD511),IF($AD511&lt;Header!$C$20,"BELOW MIN PREMIUM","OK"),""))</f>
      </c>
      <c r="BA511" s="32" t="inlineStr">
        <is>
          <t xml:space="preserve">Yes</t>
        </is>
      </c>
      <c r="BB511" s="32" t="inlineStr">
        <is>
          <t xml:space="preserve">Yes</t>
        </is>
      </c>
      <c r="BC511" s="30" t="inlineStr">
        <is>
          <t xml:space="preserve">Synthetic demo data</t>
        </is>
      </c>
      <c r="BE511" s="45">
        <f>IF(OR($A511="",$L511="",$H511=""),"",IF(AND(LEFT($L511,2)="06",$H511&gt;1945),"FAIL - pre-war class, year "&amp;$H511,IF(AND(LEFT($L511,2)="07",OR($H511&lt;1946,$H511&gt;1972)),"FAIL - 1946-72 class, year "&amp;$H511,IF(AND(LEFT($L511,2)="08",OR($H511&lt;1973,$H511&gt;1999)),"FAIL - 1973-99 class, year "&amp;$H511,IF(AND(LEFT($L511,2)="09",OR($H511&lt;2000,$H511&gt;2010)),"FAIL - 2000-10 class, year "&amp;$H511,"OK")))))</f>
      </c>
      <c r="BF511" s="45">
        <f>IF($AD511="","",IF(ROUND($AO511+$AP511+$AQ511-$AD511,2)=0,"OK","FAIL - out by "&amp;TEXT($AO511+$AP511+$AQ511-$AD511,"$0.00")))</f>
      </c>
    </row>
    <row r="512" spans="1:58" ht="18.75" customHeight="1" x14ac:dyDescent="0.25">
      <c r="A512" s="46" t="inlineStr">
        <is>
          <t xml:space="preserve">CANON-202607-010215</t>
        </is>
      </c>
      <c r="B512" s="46" t="inlineStr">
        <is>
          <t xml:space="preserve">Ottilie Okonkwo</t>
        </is>
      </c>
      <c r="C512" s="47">
        <v>46225</v>
      </c>
      <c r="D512" s="48" t="inlineStr">
        <is>
          <t xml:space="preserve">Bound - within authority</t>
        </is>
      </c>
      <c r="E512" s="48" t="inlineStr">
        <is>
          <t xml:space="preserve">New business</t>
        </is>
      </c>
      <c r="F512" s="46" t="inlineStr">
        <is>
          <t xml:space="preserve">B1234EXOTIC26</t>
        </is>
      </c>
      <c r="G512" s="33">
        <f>IF($A512="","",IF($C512="","",YEAR($C512)))</f>
      </c>
      <c r="H512" s="49">
        <v>2008</v>
      </c>
      <c r="I512" s="46" t="inlineStr">
        <is>
          <t xml:space="preserve">BMW</t>
        </is>
      </c>
      <c r="J512" s="46" t="inlineStr">
        <is>
          <t xml:space="preserve">M8 Competition</t>
        </is>
      </c>
      <c r="K512" s="46" t="inlineStr">
        <is>
          <t xml:space="preserve">P15DNNWW7REWE5ZUV</t>
        </is>
      </c>
      <c r="L512" s="48" t="inlineStr">
        <is>
          <t xml:space="preserve">02 - Sports / GT</t>
        </is>
      </c>
      <c r="M512" s="50">
        <v>245000</v>
      </c>
      <c r="N512" s="48" t="inlineStr">
        <is>
          <t xml:space="preserve">Personal</t>
        </is>
      </c>
      <c r="O512" s="46" t="inlineStr">
        <is>
          <t xml:space="preserve">Personal - regular use</t>
        </is>
      </c>
      <c r="P512" s="46" t="inlineStr">
        <is>
          <t xml:space="preserve">1,000 - 2,500</t>
        </is>
      </c>
      <c r="Q512" s="46" t="inlineStr">
        <is>
          <t xml:space="preserve">Washington</t>
        </is>
      </c>
      <c r="R512" s="46" t="inlineStr">
        <is>
          <t xml:space="preserve">98101</t>
        </is>
      </c>
      <c r="S512" s="48" t="inlineStr">
        <is>
          <t xml:space="preserve">Earthquake - high (CA, Cascadia, New Madrid)</t>
        </is>
      </c>
      <c r="T512" s="36">
        <f>IF($A512="","",IF($S512="","",IFERROR(INDEX('[1]natural catastrophe'!$D$6:$D$17,MATCH($S512,'[1]natural catastrophe'!$B$6:$B$17,0)),"?")))</f>
      </c>
      <c r="U512" s="46" t="inlineStr">
        <is>
          <t xml:space="preserve">$5,000</t>
        </is>
      </c>
      <c r="V512" s="48" t="inlineStr">
        <is>
          <t xml:space="preserve">Agreed Value</t>
        </is>
      </c>
      <c r="W512" s="46" t="inlineStr">
        <is>
          <t xml:space="preserve">$1,000</t>
        </is>
      </c>
      <c r="X512" s="48" t="inlineStr">
        <is>
          <t xml:space="preserve">$1,000,000 CSL</t>
        </is>
      </c>
      <c r="Y512" s="46"/>
      <c r="Z512" s="46"/>
      <c r="AA512" s="48" t="inlineStr">
        <is>
          <t xml:space="preserve">Surplus Lines</t>
        </is>
      </c>
      <c r="AB512" s="50">
        <v>3106.95</v>
      </c>
      <c r="AC512" s="51">
        <v>0</v>
      </c>
      <c r="AD512" s="38">
        <f>IF(ISNUMBER($AB512),$AB512*(1+N($AC512)),"")</f>
      </c>
      <c r="AE512" s="50">
        <v>350</v>
      </c>
      <c r="AF512" s="50">
        <v>0</v>
      </c>
      <c r="AG512" s="51"/>
      <c r="AH512" s="39">
        <f>IF(ISNUMBER($AD512),($AD512+$AE512+$AF512)*$AG512,"")</f>
      </c>
      <c r="AI512" s="50"/>
      <c r="AJ512" s="38">
        <f>IF(ISNUMBER($AD512),SUM($AD512:$AH512),"")</f>
      </c>
      <c r="AK512" s="40">
        <f>IF(AND(ISNUMBER($AB512),ISNUMBER($AD512)),IF($AB512&gt;0,$AD512/$AB512,""),"")</f>
      </c>
      <c r="AL512" s="48" t="inlineStr">
        <is>
          <t xml:space="preserve">At technical</t>
        </is>
      </c>
      <c r="AM512" s="41">
        <f>IF(ISNUMBER($AD512),Header!$I$3,"")</f>
      </c>
      <c r="AN512" s="39">
        <f>IF(ISNUMBER($AD512),$AO512+$AP512,"")</f>
      </c>
      <c r="AO512" s="39">
        <f>IF(ISNUMBER($AD512),ROUND($AD512*Header!$K$3,2),"")</f>
      </c>
      <c r="AP512" s="39">
        <f>IF(ISNUMBER($AD512),ROUND($AD512*Header!$M$3,2),"")</f>
      </c>
      <c r="AQ512" s="38">
        <f>IF(ISNUMBER($AD512),ROUND($AD512,2)-$AO512-$AP512,"")</f>
      </c>
      <c r="AR512" s="39">
        <f>IF(ISNUMBER($AD512),IF(Header!$D$34="","?",$AD512*Header!$D$34),"")</f>
      </c>
      <c r="AS512" s="39">
        <f>IF(ISNUMBER($AB512),IF(Header!$D$34="","?",$AB512*Header!$D$34),"")</f>
      </c>
      <c r="AT512" s="42">
        <f>IF(AND(ISNUMBER($AB512),$M512&gt;0),$AB512/$M512*100,"")</f>
      </c>
      <c r="AU512" s="42">
        <f>IF(AND(ISNUMBER($AD512),$M512&gt;0),$AD512/$M512*100,"")</f>
      </c>
      <c r="AV512" s="40">
        <f>IF(AND(ISNUMBER($AB512),ISNUMBER($AD512),ABS($AB512)&gt;0),$AD512/$AB512,"")</f>
      </c>
      <c r="AW512" s="39">
        <f>IF(ISNUMBER($AD512),MAX(0,(1-0.55-Header!$O$3)*Header!$Q$3*$AQ512),"")</f>
      </c>
      <c r="AX512" s="43">
        <f>IF($A512="","",IF(TRIM(IF($A512="","Missing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",""))="","PASS","FAIL: "&amp;TRIM(IF($A512="","Missing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f>
      </c>
      <c r="AY512" s="44">
        <f>IF($M512="","",IF(ISNUMBER($M512),IF($M512&gt;=Header!$C$18,"YES — refer","No"),""))</f>
      </c>
      <c r="AZ512" s="44">
        <f>IF($AD512="","",IF(ISNUMBER($AD512),IF($AD512&lt;Header!$C$20,"BELOW MIN PREMIUM","OK"),""))</f>
      </c>
      <c r="BA512" s="48" t="inlineStr">
        <is>
          <t xml:space="preserve">Yes</t>
        </is>
      </c>
      <c r="BB512" s="48" t="inlineStr">
        <is>
          <t xml:space="preserve">Yes</t>
        </is>
      </c>
      <c r="BC512" s="46" t="inlineStr">
        <is>
          <t xml:space="preserve">Synthetic demo data</t>
        </is>
      </c>
      <c r="BE512" s="45">
        <f>IF(OR($A512="",$L512="",$H512=""),"",IF(AND(LEFT($L512,2)="06",$H512&gt;1945),"FAIL - pre-war class, year "&amp;$H512,IF(AND(LEFT($L512,2)="07",OR($H512&lt;1946,$H512&gt;1972)),"FAIL - 1946-72 class, year "&amp;$H512,IF(AND(LEFT($L512,2)="08",OR($H512&lt;1973,$H512&gt;1999)),"FAIL - 1973-99 class, year "&amp;$H512,IF(AND(LEFT($L512,2)="09",OR($H512&lt;2000,$H512&gt;2010)),"FAIL - 2000-10 class, year "&amp;$H512,"OK")))))</f>
      </c>
      <c r="BF512" s="45">
        <f>IF($AD512="","",IF(ROUND($AO512+$AP512+$AQ512-$AD512,2)=0,"OK","FAIL - out by "&amp;TEXT($AO512+$AP512+$AQ512-$AD512,"$0.00")))</f>
      </c>
    </row>
    <row r="513" spans="1:58" ht="18.75" customHeight="1" x14ac:dyDescent="0.25">
      <c r="A513" s="30" t="inlineStr">
        <is>
          <t xml:space="preserve">CANON-202607-010216</t>
        </is>
      </c>
      <c r="B513" s="30" t="inlineStr">
        <is>
          <t xml:space="preserve">Fenwick Delacroix</t>
        </is>
      </c>
      <c r="C513" s="31">
        <v>46234</v>
      </c>
      <c r="D513" s="32" t="inlineStr">
        <is>
          <t xml:space="preserve">Bound - within authority</t>
        </is>
      </c>
      <c r="E513" s="32" t="inlineStr">
        <is>
          <t xml:space="preserve">New business</t>
        </is>
      </c>
      <c r="F513" s="30" t="inlineStr">
        <is>
          <t xml:space="preserve">B1234EXOTIC26</t>
        </is>
      </c>
      <c r="G513" s="33">
        <f>IF($A513="","",IF($C513="","",YEAR($C513)))</f>
      </c>
      <c r="H513" s="34">
        <v>1964</v>
      </c>
      <c r="I513" s="30" t="inlineStr">
        <is>
          <t xml:space="preserve">McLaren</t>
        </is>
      </c>
      <c r="J513" s="30" t="inlineStr">
        <is>
          <t xml:space="preserve">750S</t>
        </is>
      </c>
      <c r="K513" s="30" t="inlineStr">
        <is>
          <t xml:space="preserve">7BH0EVFNETWLDTTVL</t>
        </is>
      </c>
      <c r="L513" s="32" t="inlineStr">
        <is>
          <t xml:space="preserve">03 - Supercar</t>
        </is>
      </c>
      <c r="M513" s="35">
        <v>1080000</v>
      </c>
      <c r="N513" s="32" t="inlineStr">
        <is>
          <t xml:space="preserve">Personal</t>
        </is>
      </c>
      <c r="O513" s="30" t="inlineStr">
        <is>
          <t xml:space="preserve">Personal - regular use</t>
        </is>
      </c>
      <c r="P513" s="30" t="inlineStr">
        <is>
          <t xml:space="preserve">2,500 - 5,000</t>
        </is>
      </c>
      <c r="Q513" s="30" t="inlineStr">
        <is>
          <t xml:space="preserve">Montana</t>
        </is>
      </c>
      <c r="R513" s="30" t="inlineStr">
        <is>
          <t xml:space="preserve">59601</t>
        </is>
      </c>
      <c r="S513" s="32" t="inlineStr">
        <is>
          <t xml:space="preserve">Wildfire - WUI high hazard</t>
        </is>
      </c>
      <c r="T513" s="36">
        <f>IF($A513="","",IF($S513="","",IFERROR(INDEX('[1]natural catastrophe'!$D$6:$D$17,MATCH($S513,'[1]natural catastrophe'!$B$6:$B$17,0)),"?")))</f>
      </c>
      <c r="U513" s="30" t="inlineStr">
        <is>
          <t xml:space="preserve">$5,000</t>
        </is>
      </c>
      <c r="V513" s="32" t="inlineStr">
        <is>
          <t xml:space="preserve">Agreed Value</t>
        </is>
      </c>
      <c r="W513" s="30" t="inlineStr">
        <is>
          <t xml:space="preserve">$1,000</t>
        </is>
      </c>
      <c r="X513" s="32" t="inlineStr">
        <is>
          <t xml:space="preserve">$1,000,000 CSL</t>
        </is>
      </c>
      <c r="Y513" s="30"/>
      <c r="Z513" s="30"/>
      <c r="AA513" s="32" t="inlineStr">
        <is>
          <t xml:space="preserve">Surplus Lines</t>
        </is>
      </c>
      <c r="AB513" s="35">
        <v>11537.33</v>
      </c>
      <c r="AC513" s="37">
        <v>0</v>
      </c>
      <c r="AD513" s="38">
        <f>IF(ISNUMBER($AB513),$AB513*(1+N($AC513)),"")</f>
      </c>
      <c r="AE513" s="35">
        <v>350</v>
      </c>
      <c r="AF513" s="35">
        <v>250</v>
      </c>
      <c r="AG513" s="37"/>
      <c r="AH513" s="39">
        <f>IF(ISNUMBER($AD513),($AD513+$AE513+$AF513)*$AG513,"")</f>
      </c>
      <c r="AI513" s="35"/>
      <c r="AJ513" s="38">
        <f>IF(ISNUMBER($AD513),SUM($AD513:$AH513),"")</f>
      </c>
      <c r="AK513" s="40">
        <f>IF(AND(ISNUMBER($AB513),ISNUMBER($AD513)),IF($AB513&gt;0,$AD513/$AB513,""),"")</f>
      </c>
      <c r="AL513" s="32" t="inlineStr">
        <is>
          <t xml:space="preserve">At technical</t>
        </is>
      </c>
      <c r="AM513" s="41">
        <f>IF(ISNUMBER($AD513),Header!$I$3,"")</f>
      </c>
      <c r="AN513" s="39">
        <f>IF(ISNUMBER($AD513),$AO513+$AP513,"")</f>
      </c>
      <c r="AO513" s="39">
        <f>IF(ISNUMBER($AD513),ROUND($AD513*Header!$K$3,2),"")</f>
      </c>
      <c r="AP513" s="39">
        <f>IF(ISNUMBER($AD513),ROUND($AD513*Header!$M$3,2),"")</f>
      </c>
      <c r="AQ513" s="38">
        <f>IF(ISNUMBER($AD513),ROUND($AD513,2)-$AO513-$AP513,"")</f>
      </c>
      <c r="AR513" s="39">
        <f>IF(ISNUMBER($AD513),IF(Header!$D$34="","?",$AD513*Header!$D$34),"")</f>
      </c>
      <c r="AS513" s="39">
        <f>IF(ISNUMBER($AB513),IF(Header!$D$34="","?",$AB513*Header!$D$34),"")</f>
      </c>
      <c r="AT513" s="42">
        <f>IF(AND(ISNUMBER($AB513),$M513&gt;0),$AB513/$M513*100,"")</f>
      </c>
      <c r="AU513" s="42">
        <f>IF(AND(ISNUMBER($AD513),$M513&gt;0),$AD513/$M513*100,"")</f>
      </c>
      <c r="AV513" s="40">
        <f>IF(AND(ISNUMBER($AB513),ISNUMBER($AD513),ABS($AB513)&gt;0),$AD513/$AB513,"")</f>
      </c>
      <c r="AW513" s="39">
        <f>IF(ISNUMBER($AD513),MAX(0,(1-0.55-Header!$O$3)*Header!$Q$3*$AQ513),"")</f>
      </c>
      <c r="AX513" s="43">
        <f>IF($A513="","",IF(TRIM(IF($A513="","Missing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",""))="","PASS","FAIL: "&amp;TRIM(IF($A513="","Missing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f>
      </c>
      <c r="AY513" s="44">
        <f>IF($M513="","",IF(ISNUMBER($M513),IF($M513&gt;=Header!$C$18,"YES — refer","No"),""))</f>
      </c>
      <c r="AZ513" s="44">
        <f>IF($AD513="","",IF(ISNUMBER($AD513),IF($AD513&lt;Header!$C$20,"BELOW MIN PREMIUM","OK"),""))</f>
      </c>
      <c r="BA513" s="32" t="inlineStr">
        <is>
          <t xml:space="preserve">Yes</t>
        </is>
      </c>
      <c r="BB513" s="32" t="inlineStr">
        <is>
          <t xml:space="preserve">Yes</t>
        </is>
      </c>
      <c r="BC513" s="30" t="inlineStr">
        <is>
          <t xml:space="preserve">Synthetic demo data</t>
        </is>
      </c>
      <c r="BE513" s="45">
        <f>IF(OR($A513="",$L513="",$H513=""),"",IF(AND(LEFT($L513,2)="06",$H513&gt;1945),"FAIL - pre-war class, year "&amp;$H513,IF(AND(LEFT($L513,2)="07",OR($H513&lt;1946,$H513&gt;1972)),"FAIL - 1946-72 class, year "&amp;$H513,IF(AND(LEFT($L513,2)="08",OR($H513&lt;1973,$H513&gt;1999)),"FAIL - 1973-99 class, year "&amp;$H513,IF(AND(LEFT($L513,2)="09",OR($H513&lt;2000,$H513&gt;2010)),"FAIL - 2000-10 class, year "&amp;$H513,"OK")))))</f>
      </c>
      <c r="BF513" s="45">
        <f>IF($AD513="","",IF(ROUND($AO513+$AP513+$AQ513-$AD513,2)=0,"OK","FAIL - out by "&amp;TEXT($AO513+$AP513+$AQ513-$AD513,"$0.00")))</f>
      </c>
    </row>
    <row r="514" spans="1:58" ht="18.75" customHeight="1" x14ac:dyDescent="0.25">
      <c r="A514" s="46" t="inlineStr">
        <is>
          <t xml:space="preserve">CANON-202607-010217</t>
        </is>
      </c>
      <c r="B514" s="46" t="inlineStr">
        <is>
          <t xml:space="preserve">Aurelio Castellanos</t>
        </is>
      </c>
      <c r="C514" s="47">
        <v>46233</v>
      </c>
      <c r="D514" s="48" t="inlineStr">
        <is>
          <t xml:space="preserve">Bound - within authority</t>
        </is>
      </c>
      <c r="E514" s="48" t="inlineStr">
        <is>
          <t xml:space="preserve">New business</t>
        </is>
      </c>
      <c r="F514" s="46" t="inlineStr">
        <is>
          <t xml:space="preserve">B1234EXOTIC26</t>
        </is>
      </c>
      <c r="G514" s="33">
        <f>IF($A514="","",IF($C514="","",YEAR($C514)))</f>
      </c>
      <c r="H514" s="49">
        <v>1958</v>
      </c>
      <c r="I514" s="46" t="inlineStr">
        <is>
          <t xml:space="preserve">Ferrari</t>
        </is>
      </c>
      <c r="J514" s="46" t="inlineStr">
        <is>
          <t xml:space="preserve">275 GTB/4</t>
        </is>
      </c>
      <c r="K514" s="46" t="inlineStr">
        <is>
          <t xml:space="preserve">2PMMFFW9HTR84V6RS</t>
        </is>
      </c>
      <c r="L514" s="48" t="inlineStr">
        <is>
          <t xml:space="preserve">07 - Post-War Classic (1946-1972)</t>
        </is>
      </c>
      <c r="M514" s="50">
        <v>1055000</v>
      </c>
      <c r="N514" s="48" t="inlineStr">
        <is>
          <t xml:space="preserve">Personal</t>
        </is>
      </c>
      <c r="O514" s="46" t="inlineStr">
        <is>
          <t xml:space="preserve">Personal - regular use</t>
        </is>
      </c>
      <c r="P514" s="46" t="inlineStr">
        <is>
          <t xml:space="preserve">1,000 - 2,500</t>
        </is>
      </c>
      <c r="Q514" s="46" t="inlineStr">
        <is>
          <t xml:space="preserve">Massachusetts</t>
        </is>
      </c>
      <c r="R514" s="46" t="inlineStr">
        <is>
          <t xml:space="preserve">02108</t>
        </is>
      </c>
      <c r="S514" s="48" t="inlineStr">
        <is>
          <t xml:space="preserve">Tier 3 - Coastal wind (25-100 miles)</t>
        </is>
      </c>
      <c r="T514" s="36">
        <f>IF($A514="","",IF($S514="","",IFERROR(INDEX('[1]natural catastrophe'!$D$6:$D$17,MATCH($S514,'[1]natural catastrophe'!$B$6:$B$17,0)),"?")))</f>
      </c>
      <c r="U514" s="46" t="inlineStr">
        <is>
          <t xml:space="preserve">2% of agreed value, minimum $10,000</t>
        </is>
      </c>
      <c r="V514" s="48" t="inlineStr">
        <is>
          <t xml:space="preserve">Agreed Value</t>
        </is>
      </c>
      <c r="W514" s="46" t="inlineStr">
        <is>
          <t xml:space="preserve">$1,000</t>
        </is>
      </c>
      <c r="X514" s="48" t="inlineStr">
        <is>
          <t xml:space="preserve">$1,000,000 CSL</t>
        </is>
      </c>
      <c r="Y514" s="46"/>
      <c r="Z514" s="46"/>
      <c r="AA514" s="48" t="inlineStr">
        <is>
          <t xml:space="preserve">Surplus Lines</t>
        </is>
      </c>
      <c r="AB514" s="50">
        <v>7195.4</v>
      </c>
      <c r="AC514" s="51">
        <v>0</v>
      </c>
      <c r="AD514" s="38">
        <f>IF(ISNUMBER($AB514),$AB514*(1+N($AC514)),"")</f>
      </c>
      <c r="AE514" s="50">
        <v>350</v>
      </c>
      <c r="AF514" s="50">
        <v>250</v>
      </c>
      <c r="AG514" s="51"/>
      <c r="AH514" s="39">
        <f>IF(ISNUMBER($AD514),($AD514+$AE514+$AF514)*$AG514,"")</f>
      </c>
      <c r="AI514" s="50"/>
      <c r="AJ514" s="38">
        <f>IF(ISNUMBER($AD514),SUM($AD514:$AH514),"")</f>
      </c>
      <c r="AK514" s="40">
        <f>IF(AND(ISNUMBER($AB514),ISNUMBER($AD514)),IF($AB514&gt;0,$AD514/$AB514,""),"")</f>
      </c>
      <c r="AL514" s="48" t="inlineStr">
        <is>
          <t xml:space="preserve">At technical</t>
        </is>
      </c>
      <c r="AM514" s="41">
        <f>IF(ISNUMBER($AD514),Header!$I$3,"")</f>
      </c>
      <c r="AN514" s="39">
        <f>IF(ISNUMBER($AD514),$AO514+$AP514,"")</f>
      </c>
      <c r="AO514" s="39">
        <f>IF(ISNUMBER($AD514),ROUND($AD514*Header!$K$3,2),"")</f>
      </c>
      <c r="AP514" s="39">
        <f>IF(ISNUMBER($AD514),ROUND($AD514*Header!$M$3,2),"")</f>
      </c>
      <c r="AQ514" s="38">
        <f>IF(ISNUMBER($AD514),ROUND($AD514,2)-$AO514-$AP514,"")</f>
      </c>
      <c r="AR514" s="39">
        <f>IF(ISNUMBER($AD514),IF(Header!$D$34="","?",$AD514*Header!$D$34),"")</f>
      </c>
      <c r="AS514" s="39">
        <f>IF(ISNUMBER($AB514),IF(Header!$D$34="","?",$AB514*Header!$D$34),"")</f>
      </c>
      <c r="AT514" s="42">
        <f>IF(AND(ISNUMBER($AB514),$M514&gt;0),$AB514/$M514*100,"")</f>
      </c>
      <c r="AU514" s="42">
        <f>IF(AND(ISNUMBER($AD514),$M514&gt;0),$AD514/$M514*100,"")</f>
      </c>
      <c r="AV514" s="40">
        <f>IF(AND(ISNUMBER($AB514),ISNUMBER($AD514),ABS($AB514)&gt;0),$AD514/$AB514,"")</f>
      </c>
      <c r="AW514" s="39">
        <f>IF(ISNUMBER($AD514),MAX(0,(1-0.55-Header!$O$3)*Header!$Q$3*$AQ514),"")</f>
      </c>
      <c r="AX514" s="43">
        <f>IF($A514="","",IF(TRIM(IF($A514="","Missing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",""))="","PASS","FAIL: "&amp;TRIM(IF($A514="","Missing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f>
      </c>
      <c r="AY514" s="44">
        <f>IF($M514="","",IF(ISNUMBER($M514),IF($M514&gt;=Header!$C$18,"YES — refer","No"),""))</f>
      </c>
      <c r="AZ514" s="44">
        <f>IF($AD514="","",IF(ISNUMBER($AD514),IF($AD514&lt;Header!$C$20,"BELOW MIN PREMIUM","OK"),""))</f>
      </c>
      <c r="BA514" s="48" t="inlineStr">
        <is>
          <t xml:space="preserve">Yes</t>
        </is>
      </c>
      <c r="BB514" s="48" t="inlineStr">
        <is>
          <t xml:space="preserve">Yes</t>
        </is>
      </c>
      <c r="BC514" s="46" t="inlineStr">
        <is>
          <t xml:space="preserve">Synthetic demo data</t>
        </is>
      </c>
      <c r="BE514" s="45">
        <f>IF(OR($A514="",$L514="",$H514=""),"",IF(AND(LEFT($L514,2)="06",$H514&gt;1945),"FAIL - pre-war class, year "&amp;$H514,IF(AND(LEFT($L514,2)="07",OR($H514&lt;1946,$H514&gt;1972)),"FAIL - 1946-72 class, year "&amp;$H514,IF(AND(LEFT($L514,2)="08",OR($H514&lt;1973,$H514&gt;1999)),"FAIL - 1973-99 class, year "&amp;$H514,IF(AND(LEFT($L514,2)="09",OR($H514&lt;2000,$H514&gt;2010)),"FAIL - 2000-10 class, year "&amp;$H514,"OK")))))</f>
      </c>
      <c r="BF514" s="45">
        <f>IF($AD514="","",IF(ROUND($AO514+$AP514+$AQ514-$AD514,2)=0,"OK","FAIL - out by "&amp;TEXT($AO514+$AP514+$AQ514-$AD514,"$0.00")))</f>
      </c>
    </row>
    <row r="515" spans="1:58" ht="18.75" customHeight="1" x14ac:dyDescent="0.25">
      <c r="A515" s="30" t="inlineStr">
        <is>
          <t xml:space="preserve">CANON-202607-010218</t>
        </is>
      </c>
      <c r="B515" s="30" t="inlineStr">
        <is>
          <t xml:space="preserve">Horace Rourke</t>
        </is>
      </c>
      <c r="C515" s="31">
        <v>46223</v>
      </c>
      <c r="D515" s="32" t="inlineStr">
        <is>
          <t xml:space="preserve">Bound - within authority</t>
        </is>
      </c>
      <c r="E515" s="32" t="inlineStr">
        <is>
          <t xml:space="preserve">New business</t>
        </is>
      </c>
      <c r="F515" s="30" t="inlineStr">
        <is>
          <t xml:space="preserve">B1234EXOTIC26</t>
        </is>
      </c>
      <c r="G515" s="33">
        <f>IF($A515="","",IF($C515="","",YEAR($C515)))</f>
      </c>
      <c r="H515" s="34">
        <v>1991</v>
      </c>
      <c r="I515" s="30" t="inlineStr">
        <is>
          <t xml:space="preserve">Porsche</t>
        </is>
      </c>
      <c r="J515" s="30" t="inlineStr">
        <is>
          <t xml:space="preserve">911 Turbo S</t>
        </is>
      </c>
      <c r="K515" s="30" t="inlineStr">
        <is>
          <t xml:space="preserve">FEU3NSME41KC93J9S</t>
        </is>
      </c>
      <c r="L515" s="32" t="inlineStr">
        <is>
          <t xml:space="preserve">02 - Sports / GT</t>
        </is>
      </c>
      <c r="M515" s="35">
        <v>820000</v>
      </c>
      <c r="N515" s="32" t="inlineStr">
        <is>
          <t xml:space="preserve">Personal</t>
        </is>
      </c>
      <c r="O515" s="30" t="inlineStr">
        <is>
          <t xml:space="preserve">Personal - regular use</t>
        </is>
      </c>
      <c r="P515" s="30" t="inlineStr">
        <is>
          <t xml:space="preserve">Under 1,000</t>
        </is>
      </c>
      <c r="Q515" s="30" t="inlineStr">
        <is>
          <t xml:space="preserve">New Hampshire</t>
        </is>
      </c>
      <c r="R515" s="30" t="inlineStr">
        <is>
          <t xml:space="preserve">03301</t>
        </is>
      </c>
      <c r="S515" s="32" t="inlineStr">
        <is>
          <t xml:space="preserve">Tier 3 - Coastal wind (25-100 miles)</t>
        </is>
      </c>
      <c r="T515" s="36">
        <f>IF($A515="","",IF($S515="","",IFERROR(INDEX('[1]natural catastrophe'!$D$6:$D$17,MATCH($S515,'[1]natural catastrophe'!$B$6:$B$17,0)),"?")))</f>
      </c>
      <c r="U515" s="30" t="inlineStr">
        <is>
          <t xml:space="preserve">2% of agreed value, minimum $10,000</t>
        </is>
      </c>
      <c r="V515" s="32" t="inlineStr">
        <is>
          <t xml:space="preserve">Agreed Value</t>
        </is>
      </c>
      <c r="W515" s="30" t="inlineStr">
        <is>
          <t xml:space="preserve">$1,000</t>
        </is>
      </c>
      <c r="X515" s="32" t="inlineStr">
        <is>
          <t xml:space="preserve">$1,000,000 CSL</t>
        </is>
      </c>
      <c r="Y515" s="30"/>
      <c r="Z515" s="30"/>
      <c r="AA515" s="32" t="inlineStr">
        <is>
          <t xml:space="preserve">Surplus Lines</t>
        </is>
      </c>
      <c r="AB515" s="35">
        <v>7959.2</v>
      </c>
      <c r="AC515" s="37">
        <v>0</v>
      </c>
      <c r="AD515" s="38">
        <f>IF(ISNUMBER($AB515),$AB515*(1+N($AC515)),"")</f>
      </c>
      <c r="AE515" s="35">
        <v>350</v>
      </c>
      <c r="AF515" s="35">
        <v>0</v>
      </c>
      <c r="AG515" s="37"/>
      <c r="AH515" s="39">
        <f>IF(ISNUMBER($AD515),($AD515+$AE515+$AF515)*$AG515,"")</f>
      </c>
      <c r="AI515" s="35"/>
      <c r="AJ515" s="38">
        <f>IF(ISNUMBER($AD515),SUM($AD515:$AH515),"")</f>
      </c>
      <c r="AK515" s="40">
        <f>IF(AND(ISNUMBER($AB515),ISNUMBER($AD515)),IF($AB515&gt;0,$AD515/$AB515,""),"")</f>
      </c>
      <c r="AL515" s="32" t="inlineStr">
        <is>
          <t xml:space="preserve">At technical</t>
        </is>
      </c>
      <c r="AM515" s="41">
        <f>IF(ISNUMBER($AD515),Header!$I$3,"")</f>
      </c>
      <c r="AN515" s="39">
        <f>IF(ISNUMBER($AD515),$AO515+$AP515,"")</f>
      </c>
      <c r="AO515" s="39">
        <f>IF(ISNUMBER($AD515),ROUND($AD515*Header!$K$3,2),"")</f>
      </c>
      <c r="AP515" s="39">
        <f>IF(ISNUMBER($AD515),ROUND($AD515*Header!$M$3,2),"")</f>
      </c>
      <c r="AQ515" s="38">
        <f>IF(ISNUMBER($AD515),ROUND($AD515,2)-$AO515-$AP515,"")</f>
      </c>
      <c r="AR515" s="39">
        <f>IF(ISNUMBER($AD515),IF(Header!$D$34="","?",$AD515*Header!$D$34),"")</f>
      </c>
      <c r="AS515" s="39">
        <f>IF(ISNUMBER($AB515),IF(Header!$D$34="","?",$AB515*Header!$D$34),"")</f>
      </c>
      <c r="AT515" s="42">
        <f>IF(AND(ISNUMBER($AB515),$M515&gt;0),$AB515/$M515*100,"")</f>
      </c>
      <c r="AU515" s="42">
        <f>IF(AND(ISNUMBER($AD515),$M515&gt;0),$AD515/$M515*100,"")</f>
      </c>
      <c r="AV515" s="40">
        <f>IF(AND(ISNUMBER($AB515),ISNUMBER($AD515),ABS($AB515)&gt;0),$AD515/$AB515,"")</f>
      </c>
      <c r="AW515" s="39">
        <f>IF(ISNUMBER($AD515),MAX(0,(1-0.55-Header!$O$3)*Header!$Q$3*$AQ515),"")</f>
      </c>
      <c r="AX515" s="43">
        <f>IF($A515="","",IF(TRIM(IF($A515="","Missing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",""))="","PASS","FAIL: "&amp;TRIM(IF($A515="","Missing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f>
      </c>
      <c r="AY515" s="44">
        <f>IF($M515="","",IF(ISNUMBER($M515),IF($M515&gt;=Header!$C$18,"YES — refer","No"),""))</f>
      </c>
      <c r="AZ515" s="44">
        <f>IF($AD515="","",IF(ISNUMBER($AD515),IF($AD515&lt;Header!$C$20,"BELOW MIN PREMIUM","OK"),""))</f>
      </c>
      <c r="BA515" s="32" t="inlineStr">
        <is>
          <t xml:space="preserve">Yes</t>
        </is>
      </c>
      <c r="BB515" s="32" t="inlineStr">
        <is>
          <t xml:space="preserve">Yes</t>
        </is>
      </c>
      <c r="BC515" s="30" t="inlineStr">
        <is>
          <t xml:space="preserve">Synthetic demo data</t>
        </is>
      </c>
      <c r="BE515" s="45">
        <f>IF(OR($A515="",$L515="",$H515=""),"",IF(AND(LEFT($L515,2)="06",$H515&gt;1945),"FAIL - pre-war class, year "&amp;$H515,IF(AND(LEFT($L515,2)="07",OR($H515&lt;1946,$H515&gt;1972)),"FAIL - 1946-72 class, year "&amp;$H515,IF(AND(LEFT($L515,2)="08",OR($H515&lt;1973,$H515&gt;1999)),"FAIL - 1973-99 class, year "&amp;$H515,IF(AND(LEFT($L515,2)="09",OR($H515&lt;2000,$H515&gt;2010)),"FAIL - 2000-10 class, year "&amp;$H515,"OK")))))</f>
      </c>
      <c r="BF515" s="45">
        <f>IF($AD515="","",IF(ROUND($AO515+$AP515+$AQ515-$AD515,2)=0,"OK","FAIL - out by "&amp;TEXT($AO515+$AP515+$AQ515-$AD515,"$0.00")))</f>
      </c>
    </row>
    <row r="516" spans="1:58" ht="18.75" customHeight="1" x14ac:dyDescent="0.25">
      <c r="A516" s="46" t="inlineStr">
        <is>
          <t xml:space="preserve">CANON-202607-010219</t>
        </is>
      </c>
      <c r="B516" s="46" t="inlineStr">
        <is>
          <t xml:space="preserve">Mireille Montoya</t>
        </is>
      </c>
      <c r="C516" s="47">
        <v>46225</v>
      </c>
      <c r="D516" s="48" t="inlineStr">
        <is>
          <t xml:space="preserve">Bound - within authority</t>
        </is>
      </c>
      <c r="E516" s="48" t="inlineStr">
        <is>
          <t xml:space="preserve">New business</t>
        </is>
      </c>
      <c r="F516" s="46" t="inlineStr">
        <is>
          <t xml:space="preserve">B1234EXOTIC26</t>
        </is>
      </c>
      <c r="G516" s="33">
        <f>IF($A516="","",IF($C516="","",YEAR($C516)))</f>
      </c>
      <c r="H516" s="49">
        <v>1970</v>
      </c>
      <c r="I516" s="46" t="inlineStr">
        <is>
          <t xml:space="preserve">Aston Martin</t>
        </is>
      </c>
      <c r="J516" s="46" t="inlineStr">
        <is>
          <t xml:space="preserve">DB5</t>
        </is>
      </c>
      <c r="K516" s="46" t="inlineStr">
        <is>
          <t xml:space="preserve">5UCV7Y6BBUZK7T4WD</t>
        </is>
      </c>
      <c r="L516" s="48" t="inlineStr">
        <is>
          <t xml:space="preserve">07 - Post-War Classic (1946-1972)</t>
        </is>
      </c>
      <c r="M516" s="50">
        <v>390000</v>
      </c>
      <c r="N516" s="48" t="inlineStr">
        <is>
          <t xml:space="preserve">Personal</t>
        </is>
      </c>
      <c r="O516" s="46" t="inlineStr">
        <is>
          <t xml:space="preserve">Personal - regular use</t>
        </is>
      </c>
      <c r="P516" s="46" t="inlineStr">
        <is>
          <t xml:space="preserve">Under 1,000</t>
        </is>
      </c>
      <c r="Q516" s="46" t="inlineStr">
        <is>
          <t xml:space="preserve">Illinois</t>
        </is>
      </c>
      <c r="R516" s="46" t="inlineStr">
        <is>
          <t xml:space="preserve">60601</t>
        </is>
      </c>
      <c r="S516" s="48" t="inlineStr">
        <is>
          <t xml:space="preserve">Severe convective - hail / tornado (moderate)</t>
        </is>
      </c>
      <c r="T516" s="36">
        <f>IF($A516="","",IF($S516="","",IFERROR(INDEX('[1]natural catastrophe'!$D$6:$D$17,MATCH($S516,'[1]natural catastrophe'!$B$6:$B$17,0)),"?")))</f>
      </c>
      <c r="U516" s="46" t="inlineStr">
        <is>
          <t xml:space="preserve">$5,000</t>
        </is>
      </c>
      <c r="V516" s="48" t="inlineStr">
        <is>
          <t xml:space="preserve">Agreed Value</t>
        </is>
      </c>
      <c r="W516" s="46" t="inlineStr">
        <is>
          <t xml:space="preserve">$1,000</t>
        </is>
      </c>
      <c r="X516" s="48" t="inlineStr">
        <is>
          <t xml:space="preserve">$1,000,000 CSL</t>
        </is>
      </c>
      <c r="Y516" s="46"/>
      <c r="Z516" s="46"/>
      <c r="AA516" s="48" t="inlineStr">
        <is>
          <t xml:space="preserve">Surplus Lines</t>
        </is>
      </c>
      <c r="AB516" s="50">
        <v>3655.55</v>
      </c>
      <c r="AC516" s="51">
        <v>0</v>
      </c>
      <c r="AD516" s="38">
        <f>IF(ISNUMBER($AB516),$AB516*(1+N($AC516)),"")</f>
      </c>
      <c r="AE516" s="50">
        <v>350</v>
      </c>
      <c r="AF516" s="50">
        <v>0</v>
      </c>
      <c r="AG516" s="51"/>
      <c r="AH516" s="39">
        <f>IF(ISNUMBER($AD516),($AD516+$AE516+$AF516)*$AG516,"")</f>
      </c>
      <c r="AI516" s="50"/>
      <c r="AJ516" s="38">
        <f>IF(ISNUMBER($AD516),SUM($AD516:$AH516),"")</f>
      </c>
      <c r="AK516" s="40">
        <f>IF(AND(ISNUMBER($AB516),ISNUMBER($AD516)),IF($AB516&gt;0,$AD516/$AB516,""),"")</f>
      </c>
      <c r="AL516" s="48" t="inlineStr">
        <is>
          <t xml:space="preserve">At technical</t>
        </is>
      </c>
      <c r="AM516" s="41">
        <f>IF(ISNUMBER($AD516),Header!$I$3,"")</f>
      </c>
      <c r="AN516" s="39">
        <f>IF(ISNUMBER($AD516),$AO516+$AP516,"")</f>
      </c>
      <c r="AO516" s="39">
        <f>IF(ISNUMBER($AD516),ROUND($AD516*Header!$K$3,2),"")</f>
      </c>
      <c r="AP516" s="39">
        <f>IF(ISNUMBER($AD516),ROUND($AD516*Header!$M$3,2),"")</f>
      </c>
      <c r="AQ516" s="38">
        <f>IF(ISNUMBER($AD516),ROUND($AD516,2)-$AO516-$AP516,"")</f>
      </c>
      <c r="AR516" s="39">
        <f>IF(ISNUMBER($AD516),IF(Header!$D$34="","?",$AD516*Header!$D$34),"")</f>
      </c>
      <c r="AS516" s="39">
        <f>IF(ISNUMBER($AB516),IF(Header!$D$34="","?",$AB516*Header!$D$34),"")</f>
      </c>
      <c r="AT516" s="42">
        <f>IF(AND(ISNUMBER($AB516),$M516&gt;0),$AB516/$M516*100,"")</f>
      </c>
      <c r="AU516" s="42">
        <f>IF(AND(ISNUMBER($AD516),$M516&gt;0),$AD516/$M516*100,"")</f>
      </c>
      <c r="AV516" s="40">
        <f>IF(AND(ISNUMBER($AB516),ISNUMBER($AD516),ABS($AB516)&gt;0),$AD516/$AB516,"")</f>
      </c>
      <c r="AW516" s="39">
        <f>IF(ISNUMBER($AD516),MAX(0,(1-0.55-Header!$O$3)*Header!$Q$3*$AQ516),"")</f>
      </c>
      <c r="AX516" s="43">
        <f>IF($A516="","",IF(TRIM(IF($A516="","Missing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",""))="","PASS","FAIL: "&amp;TRIM(IF($A516="","Missing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f>
      </c>
      <c r="AY516" s="44">
        <f>IF($M516="","",IF(ISNUMBER($M516),IF($M516&gt;=Header!$C$18,"YES — refer","No"),""))</f>
      </c>
      <c r="AZ516" s="44">
        <f>IF($AD516="","",IF(ISNUMBER($AD516),IF($AD516&lt;Header!$C$20,"BELOW MIN PREMIUM","OK"),""))</f>
      </c>
      <c r="BA516" s="48" t="inlineStr">
        <is>
          <t xml:space="preserve">Yes</t>
        </is>
      </c>
      <c r="BB516" s="48" t="inlineStr">
        <is>
          <t xml:space="preserve">Yes</t>
        </is>
      </c>
      <c r="BC516" s="46" t="inlineStr">
        <is>
          <t xml:space="preserve">Synthetic demo data</t>
        </is>
      </c>
      <c r="BE516" s="45">
        <f>IF(OR($A516="",$L516="",$H516=""),"",IF(AND(LEFT($L516,2)="06",$H516&gt;1945),"FAIL - pre-war class, year "&amp;$H516,IF(AND(LEFT($L516,2)="07",OR($H516&lt;1946,$H516&gt;1972)),"FAIL - 1946-72 class, year "&amp;$H516,IF(AND(LEFT($L516,2)="08",OR($H516&lt;1973,$H516&gt;1999)),"FAIL - 1973-99 class, year "&amp;$H516,IF(AND(LEFT($L516,2)="09",OR($H516&lt;2000,$H516&gt;2010)),"FAIL - 2000-10 class, year "&amp;$H516,"OK")))))</f>
      </c>
      <c r="BF516" s="45">
        <f>IF($AD516="","",IF(ROUND($AO516+$AP516+$AQ516-$AD516,2)=0,"OK","FAIL - out by "&amp;TEXT($AO516+$AP516+$AQ516-$AD516,"$0.00")))</f>
      </c>
    </row>
    <row r="517" spans="1:58" ht="18.75" customHeight="1" x14ac:dyDescent="0.25">
      <c r="A517" s="30" t="inlineStr">
        <is>
          <t xml:space="preserve">CANON-202607-010220</t>
        </is>
      </c>
      <c r="B517" s="30" t="inlineStr">
        <is>
          <t xml:space="preserve">Callum Pennington</t>
        </is>
      </c>
      <c r="C517" s="31">
        <v>46224</v>
      </c>
      <c r="D517" s="32" t="inlineStr">
        <is>
          <t xml:space="preserve">Bound - within authority</t>
        </is>
      </c>
      <c r="E517" s="32" t="inlineStr">
        <is>
          <t xml:space="preserve">New business</t>
        </is>
      </c>
      <c r="F517" s="30" t="inlineStr">
        <is>
          <t xml:space="preserve">B1234EXOTIC26</t>
        </is>
      </c>
      <c r="G517" s="33">
        <f>IF($A517="","",IF($C517="","",YEAR($C517)))</f>
      </c>
      <c r="H517" s="34">
        <v>1959</v>
      </c>
      <c r="I517" s="30" t="inlineStr">
        <is>
          <t xml:space="preserve">Mercedes-Benz</t>
        </is>
      </c>
      <c r="J517" s="30" t="inlineStr">
        <is>
          <t xml:space="preserve">AMG GT</t>
        </is>
      </c>
      <c r="K517" s="30" t="inlineStr">
        <is>
          <t xml:space="preserve">BTPTLAS36MBE40693</t>
        </is>
      </c>
      <c r="L517" s="32" t="inlineStr">
        <is>
          <t xml:space="preserve">02 - Sports / GT</t>
        </is>
      </c>
      <c r="M517" s="35">
        <v>950000</v>
      </c>
      <c r="N517" s="32" t="inlineStr">
        <is>
          <t xml:space="preserve">Personal</t>
        </is>
      </c>
      <c r="O517" s="30" t="inlineStr">
        <is>
          <t xml:space="preserve">Personal - regular use</t>
        </is>
      </c>
      <c r="P517" s="30" t="inlineStr">
        <is>
          <t xml:space="preserve">1,000 - 2,500</t>
        </is>
      </c>
      <c r="Q517" s="30" t="inlineStr">
        <is>
          <t xml:space="preserve">Rhode Island</t>
        </is>
      </c>
      <c r="R517" s="30" t="inlineStr">
        <is>
          <t xml:space="preserve">02903</t>
        </is>
      </c>
      <c r="S517" s="32" t="inlineStr">
        <is>
          <t xml:space="preserve">Tier 3 - Coastal wind (25-100 miles)</t>
        </is>
      </c>
      <c r="T517" s="36">
        <f>IF($A517="","",IF($S517="","",IFERROR(INDEX('[1]natural catastrophe'!$D$6:$D$17,MATCH($S517,'[1]natural catastrophe'!$B$6:$B$17,0)),"?")))</f>
      </c>
      <c r="U517" s="30" t="inlineStr">
        <is>
          <t xml:space="preserve">2% of agreed value, minimum $10,000</t>
        </is>
      </c>
      <c r="V517" s="32" t="inlineStr">
        <is>
          <t xml:space="preserve">Agreed Value</t>
        </is>
      </c>
      <c r="W517" s="30" t="inlineStr">
        <is>
          <t xml:space="preserve">$1,000</t>
        </is>
      </c>
      <c r="X517" s="32" t="inlineStr">
        <is>
          <t xml:space="preserve">$1,000,000 CSL</t>
        </is>
      </c>
      <c r="Y517" s="30"/>
      <c r="Z517" s="30"/>
      <c r="AA517" s="32" t="inlineStr">
        <is>
          <t xml:space="preserve">Surplus Lines</t>
        </is>
      </c>
      <c r="AB517" s="35">
        <v>12146.92</v>
      </c>
      <c r="AC517" s="37">
        <v>0</v>
      </c>
      <c r="AD517" s="38">
        <f>IF(ISNUMBER($AB517),$AB517*(1+N($AC517)),"")</f>
      </c>
      <c r="AE517" s="35">
        <v>350</v>
      </c>
      <c r="AF517" s="35">
        <v>0</v>
      </c>
      <c r="AG517" s="37"/>
      <c r="AH517" s="39">
        <f>IF(ISNUMBER($AD517),($AD517+$AE517+$AF517)*$AG517,"")</f>
      </c>
      <c r="AI517" s="35"/>
      <c r="AJ517" s="38">
        <f>IF(ISNUMBER($AD517),SUM($AD517:$AH517),"")</f>
      </c>
      <c r="AK517" s="40">
        <f>IF(AND(ISNUMBER($AB517),ISNUMBER($AD517)),IF($AB517&gt;0,$AD517/$AB517,""),"")</f>
      </c>
      <c r="AL517" s="32" t="inlineStr">
        <is>
          <t xml:space="preserve">At technical</t>
        </is>
      </c>
      <c r="AM517" s="41">
        <f>IF(ISNUMBER($AD517),Header!$I$3,"")</f>
      </c>
      <c r="AN517" s="39">
        <f>IF(ISNUMBER($AD517),$AO517+$AP517,"")</f>
      </c>
      <c r="AO517" s="39">
        <f>IF(ISNUMBER($AD517),ROUND($AD517*Header!$K$3,2),"")</f>
      </c>
      <c r="AP517" s="39">
        <f>IF(ISNUMBER($AD517),ROUND($AD517*Header!$M$3,2),"")</f>
      </c>
      <c r="AQ517" s="38">
        <f>IF(ISNUMBER($AD517),ROUND($AD517,2)-$AO517-$AP517,"")</f>
      </c>
      <c r="AR517" s="39">
        <f>IF(ISNUMBER($AD517),IF(Header!$D$34="","?",$AD517*Header!$D$34),"")</f>
      </c>
      <c r="AS517" s="39">
        <f>IF(ISNUMBER($AB517),IF(Header!$D$34="","?",$AB517*Header!$D$34),"")</f>
      </c>
      <c r="AT517" s="42">
        <f>IF(AND(ISNUMBER($AB517),$M517&gt;0),$AB517/$M517*100,"")</f>
      </c>
      <c r="AU517" s="42">
        <f>IF(AND(ISNUMBER($AD517),$M517&gt;0),$AD517/$M517*100,"")</f>
      </c>
      <c r="AV517" s="40">
        <f>IF(AND(ISNUMBER($AB517),ISNUMBER($AD517),ABS($AB517)&gt;0),$AD517/$AB517,"")</f>
      </c>
      <c r="AW517" s="39">
        <f>IF(ISNUMBER($AD517),MAX(0,(1-0.55-Header!$O$3)*Header!$Q$3*$AQ517),"")</f>
      </c>
      <c r="AX517" s="43">
        <f>IF($A517="","",IF(TRIM(IF($A517="","Missing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",""))="","PASS","FAIL: "&amp;TRIM(IF($A517="","Missing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f>
      </c>
      <c r="AY517" s="44">
        <f>IF($M517="","",IF(ISNUMBER($M517),IF($M517&gt;=Header!$C$18,"YES — refer","No"),""))</f>
      </c>
      <c r="AZ517" s="44">
        <f>IF($AD517="","",IF(ISNUMBER($AD517),IF($AD517&lt;Header!$C$20,"BELOW MIN PREMIUM","OK"),""))</f>
      </c>
      <c r="BA517" s="32" t="inlineStr">
        <is>
          <t xml:space="preserve">Yes</t>
        </is>
      </c>
      <c r="BB517" s="32" t="inlineStr">
        <is>
          <t xml:space="preserve">Yes</t>
        </is>
      </c>
      <c r="BC517" s="30" t="inlineStr">
        <is>
          <t xml:space="preserve">Synthetic demo data</t>
        </is>
      </c>
      <c r="BE517" s="45">
        <f>IF(OR($A517="",$L517="",$H517=""),"",IF(AND(LEFT($L517,2)="06",$H517&gt;1945),"FAIL - pre-war class, year "&amp;$H517,IF(AND(LEFT($L517,2)="07",OR($H517&lt;1946,$H517&gt;1972)),"FAIL - 1946-72 class, year "&amp;$H517,IF(AND(LEFT($L517,2)="08",OR($H517&lt;1973,$H517&gt;1999)),"FAIL - 1973-99 class, year "&amp;$H517,IF(AND(LEFT($L517,2)="09",OR($H517&lt;2000,$H517&gt;2010)),"FAIL - 2000-10 class, year "&amp;$H517,"OK")))))</f>
      </c>
      <c r="BF517" s="45">
        <f>IF($AD517="","",IF(ROUND($AO517+$AP517+$AQ517-$AD517,2)=0,"OK","FAIL - out by "&amp;TEXT($AO517+$AP517+$AQ517-$AD517,"$0.00")))</f>
      </c>
    </row>
    <row r="518" spans="1:58" ht="18.75" customHeight="1" x14ac:dyDescent="0.25">
      <c r="A518" s="46" t="inlineStr">
        <is>
          <t xml:space="preserve">CANON-202607-010225</t>
        </is>
      </c>
      <c r="B518" s="46" t="inlineStr">
        <is>
          <t xml:space="preserve">Everett Rourke</t>
        </is>
      </c>
      <c r="C518" s="47">
        <v>46234</v>
      </c>
      <c r="D518" s="48" t="inlineStr">
        <is>
          <t xml:space="preserve">Bound - within authority</t>
        </is>
      </c>
      <c r="E518" s="48" t="inlineStr">
        <is>
          <t xml:space="preserve">New business</t>
        </is>
      </c>
      <c r="F518" s="46" t="inlineStr">
        <is>
          <t xml:space="preserve">B1234EXOTIC26</t>
        </is>
      </c>
      <c r="G518" s="33">
        <f>IF($A518="","",IF($C518="","",YEAR($C518)))</f>
      </c>
      <c r="H518" s="49">
        <v>1958</v>
      </c>
      <c r="I518" s="46" t="inlineStr">
        <is>
          <t xml:space="preserve">Aston Martin</t>
        </is>
      </c>
      <c r="J518" s="46" t="inlineStr">
        <is>
          <t xml:space="preserve">DB12</t>
        </is>
      </c>
      <c r="K518" s="46" t="inlineStr">
        <is>
          <t xml:space="preserve">CFF3E2UNBL5SDMTR5</t>
        </is>
      </c>
      <c r="L518" s="48" t="inlineStr">
        <is>
          <t xml:space="preserve">02 - Sports / GT</t>
        </is>
      </c>
      <c r="M518" s="50">
        <v>190000</v>
      </c>
      <c r="N518" s="48" t="inlineStr">
        <is>
          <t xml:space="preserve">Personal</t>
        </is>
      </c>
      <c r="O518" s="46" t="inlineStr">
        <is>
          <t xml:space="preserve">Personal - regular use</t>
        </is>
      </c>
      <c r="P518" s="46" t="inlineStr">
        <is>
          <t xml:space="preserve">1,000 - 2,500</t>
        </is>
      </c>
      <c r="Q518" s="46" t="inlineStr">
        <is>
          <t xml:space="preserve">North Dakota</t>
        </is>
      </c>
      <c r="R518" s="46" t="inlineStr">
        <is>
          <t xml:space="preserve">58501</t>
        </is>
      </c>
      <c r="S518" s="48" t="inlineStr">
        <is>
          <t xml:space="preserve">Severe convective - hail alley (high)</t>
        </is>
      </c>
      <c r="T518" s="36">
        <f>IF($A518="","",IF($S518="","",IFERROR(INDEX('[1]natural catastrophe'!$D$6:$D$17,MATCH($S518,'[1]natural catastrophe'!$B$6:$B$17,0)),"?")))</f>
      </c>
      <c r="U518" s="46" t="inlineStr">
        <is>
          <t xml:space="preserve">$5,000</t>
        </is>
      </c>
      <c r="V518" s="48" t="inlineStr">
        <is>
          <t xml:space="preserve">Agreed Value</t>
        </is>
      </c>
      <c r="W518" s="46" t="inlineStr">
        <is>
          <t xml:space="preserve">$1,000</t>
        </is>
      </c>
      <c r="X518" s="48" t="inlineStr">
        <is>
          <t xml:space="preserve">$1,000,000 CSL</t>
        </is>
      </c>
      <c r="Y518" s="46"/>
      <c r="Z518" s="46"/>
      <c r="AA518" s="48" t="inlineStr">
        <is>
          <t xml:space="preserve">Surplus Lines</t>
        </is>
      </c>
      <c r="AB518" s="50">
        <v>2560.06</v>
      </c>
      <c r="AC518" s="51">
        <v>0</v>
      </c>
      <c r="AD518" s="38">
        <f>IF(ISNUMBER($AB518),$AB518*(1+N($AC518)),"")</f>
      </c>
      <c r="AE518" s="50">
        <v>350</v>
      </c>
      <c r="AF518" s="50">
        <v>0</v>
      </c>
      <c r="AG518" s="51"/>
      <c r="AH518" s="39">
        <f>IF(ISNUMBER($AD518),($AD518+$AE518+$AF518)*$AG518,"")</f>
      </c>
      <c r="AI518" s="50"/>
      <c r="AJ518" s="38">
        <f>IF(ISNUMBER($AD518),SUM($AD518:$AH518),"")</f>
      </c>
      <c r="AK518" s="40">
        <f>IF(AND(ISNUMBER($AB518),ISNUMBER($AD518)),IF($AB518&gt;0,$AD518/$AB518,""),"")</f>
      </c>
      <c r="AL518" s="48" t="inlineStr">
        <is>
          <t xml:space="preserve">At technical</t>
        </is>
      </c>
      <c r="AM518" s="41">
        <f>IF(ISNUMBER($AD518),Header!$I$3,"")</f>
      </c>
      <c r="AN518" s="39">
        <f>IF(ISNUMBER($AD518),$AO518+$AP518,"")</f>
      </c>
      <c r="AO518" s="39">
        <f>IF(ISNUMBER($AD518),ROUND($AD518*Header!$K$3,2),"")</f>
      </c>
      <c r="AP518" s="39">
        <f>IF(ISNUMBER($AD518),ROUND($AD518*Header!$M$3,2),"")</f>
      </c>
      <c r="AQ518" s="38">
        <f>IF(ISNUMBER($AD518),ROUND($AD518,2)-$AO518-$AP518,"")</f>
      </c>
      <c r="AR518" s="39">
        <f>IF(ISNUMBER($AD518),IF(Header!$D$34="","?",$AD518*Header!$D$34),"")</f>
      </c>
      <c r="AS518" s="39">
        <f>IF(ISNUMBER($AB518),IF(Header!$D$34="","?",$AB518*Header!$D$34),"")</f>
      </c>
      <c r="AT518" s="42">
        <f>IF(AND(ISNUMBER($AB518),$M518&gt;0),$AB518/$M518*100,"")</f>
      </c>
      <c r="AU518" s="42">
        <f>IF(AND(ISNUMBER($AD518),$M518&gt;0),$AD518/$M518*100,"")</f>
      </c>
      <c r="AV518" s="40">
        <f>IF(AND(ISNUMBER($AB518),ISNUMBER($AD518),ABS($AB518)&gt;0),$AD518/$AB518,"")</f>
      </c>
      <c r="AW518" s="39">
        <f>IF(ISNUMBER($AD518),MAX(0,(1-0.55-Header!$O$3)*Header!$Q$3*$AQ518),"")</f>
      </c>
      <c r="AX518" s="43">
        <f>IF($A518="","",IF(TRIM(IF($A518="","Missing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",""))="","PASS","FAIL: "&amp;TRIM(IF($A518="","Missing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f>
      </c>
      <c r="AY518" s="44">
        <f>IF($M518="","",IF(ISNUMBER($M518),IF($M518&gt;=Header!$C$18,"YES — refer","No"),""))</f>
      </c>
      <c r="AZ518" s="44">
        <f>IF($AD518="","",IF(ISNUMBER($AD518),IF($AD518&lt;Header!$C$20,"BELOW MIN PREMIUM","OK"),""))</f>
      </c>
      <c r="BA518" s="48" t="inlineStr">
        <is>
          <t xml:space="preserve">Yes</t>
        </is>
      </c>
      <c r="BB518" s="48" t="inlineStr">
        <is>
          <t xml:space="preserve">Yes</t>
        </is>
      </c>
      <c r="BC518" s="46" t="inlineStr">
        <is>
          <t xml:space="preserve">Synthetic demo data</t>
        </is>
      </c>
      <c r="BE518" s="45">
        <f>IF(OR($A518="",$L518="",$H518=""),"",IF(AND(LEFT($L518,2)="06",$H518&gt;1945),"FAIL - pre-war class, year "&amp;$H518,IF(AND(LEFT($L518,2)="07",OR($H518&lt;1946,$H518&gt;1972)),"FAIL - 1946-72 class, year "&amp;$H518,IF(AND(LEFT($L518,2)="08",OR($H518&lt;1973,$H518&gt;1999)),"FAIL - 1973-99 class, year "&amp;$H518,IF(AND(LEFT($L518,2)="09",OR($H518&lt;2000,$H518&gt;2010)),"FAIL - 2000-10 class, year "&amp;$H518,"OK")))))</f>
      </c>
      <c r="BF518" s="45">
        <f>IF($AD518="","",IF(ROUND($AO518+$AP518+$AQ518-$AD518,2)=0,"OK","FAIL - out by "&amp;TEXT($AO518+$AP518+$AQ518-$AD518,"$0.00")))</f>
      </c>
    </row>
    <row r="519" spans="1:58" ht="18.75" customHeight="1" x14ac:dyDescent="0.25">
      <c r="A519" s="30" t="inlineStr">
        <is>
          <t xml:space="preserve">CANON-202607-010227</t>
        </is>
      </c>
      <c r="B519" s="30" t="inlineStr">
        <is>
          <t xml:space="preserve">Noor Thistlewood</t>
        </is>
      </c>
      <c r="C519" s="31">
        <v>46222</v>
      </c>
      <c r="D519" s="32" t="inlineStr">
        <is>
          <t xml:space="preserve">Bound - within authority</t>
        </is>
      </c>
      <c r="E519" s="32" t="inlineStr">
        <is>
          <t xml:space="preserve">New business</t>
        </is>
      </c>
      <c r="F519" s="30" t="inlineStr">
        <is>
          <t xml:space="preserve">B1234EXOTIC26</t>
        </is>
      </c>
      <c r="G519" s="33">
        <f>IF($A519="","",IF($C519="","",YEAR($C519)))</f>
      </c>
      <c r="H519" s="34">
        <v>1956</v>
      </c>
      <c r="I519" s="30" t="inlineStr">
        <is>
          <t xml:space="preserve">Maserati</t>
        </is>
      </c>
      <c r="J519" s="30" t="inlineStr">
        <is>
          <t xml:space="preserve">GranTurismo</t>
        </is>
      </c>
      <c r="K519" s="30" t="inlineStr">
        <is>
          <t xml:space="preserve">ZZWWWHBAXNA52S5S9</t>
        </is>
      </c>
      <c r="L519" s="32" t="inlineStr">
        <is>
          <t xml:space="preserve">02 - Sports / GT</t>
        </is>
      </c>
      <c r="M519" s="35">
        <v>410000</v>
      </c>
      <c r="N519" s="32" t="inlineStr">
        <is>
          <t xml:space="preserve">Personal</t>
        </is>
      </c>
      <c r="O519" s="30" t="inlineStr">
        <is>
          <t xml:space="preserve">Personal - regular use</t>
        </is>
      </c>
      <c r="P519" s="30" t="inlineStr">
        <is>
          <t xml:space="preserve">1,000 - 2,500</t>
        </is>
      </c>
      <c r="Q519" s="30" t="inlineStr">
        <is>
          <t xml:space="preserve">California</t>
        </is>
      </c>
      <c r="R519" s="30" t="inlineStr">
        <is>
          <t xml:space="preserve">90012</t>
        </is>
      </c>
      <c r="S519" s="32" t="inlineStr">
        <is>
          <t xml:space="preserve">Earthquake - high (CA, Cascadia, New Madrid)</t>
        </is>
      </c>
      <c r="T519" s="36">
        <f>IF($A519="","",IF($S519="","",IFERROR(INDEX('[1]natural catastrophe'!$D$6:$D$17,MATCH($S519,'[1]natural catastrophe'!$B$6:$B$17,0)),"?")))</f>
      </c>
      <c r="U519" s="30" t="inlineStr">
        <is>
          <t xml:space="preserve">$5,000</t>
        </is>
      </c>
      <c r="V519" s="32" t="inlineStr">
        <is>
          <t xml:space="preserve">Agreed Value</t>
        </is>
      </c>
      <c r="W519" s="30" t="inlineStr">
        <is>
          <t xml:space="preserve">$1,000</t>
        </is>
      </c>
      <c r="X519" s="32" t="inlineStr">
        <is>
          <t xml:space="preserve">$1,000,000 CSL</t>
        </is>
      </c>
      <c r="Y519" s="30"/>
      <c r="Z519" s="30"/>
      <c r="AA519" s="32" t="inlineStr">
        <is>
          <t xml:space="preserve">Surplus Lines</t>
        </is>
      </c>
      <c r="AB519" s="35">
        <v>5960.57</v>
      </c>
      <c r="AC519" s="37">
        <v>0</v>
      </c>
      <c r="AD519" s="38">
        <f>IF(ISNUMBER($AB519),$AB519*(1+N($AC519)),"")</f>
      </c>
      <c r="AE519" s="35">
        <v>350</v>
      </c>
      <c r="AF519" s="35">
        <v>0</v>
      </c>
      <c r="AG519" s="37"/>
      <c r="AH519" s="39">
        <f>IF(ISNUMBER($AD519),($AD519+$AE519+$AF519)*$AG519,"")</f>
      </c>
      <c r="AI519" s="35"/>
      <c r="AJ519" s="38">
        <f>IF(ISNUMBER($AD519),SUM($AD519:$AH519),"")</f>
      </c>
      <c r="AK519" s="40">
        <f>IF(AND(ISNUMBER($AB519),ISNUMBER($AD519)),IF($AB519&gt;0,$AD519/$AB519,""),"")</f>
      </c>
      <c r="AL519" s="32" t="inlineStr">
        <is>
          <t xml:space="preserve">At technical</t>
        </is>
      </c>
      <c r="AM519" s="41">
        <f>IF(ISNUMBER($AD519),Header!$I$3,"")</f>
      </c>
      <c r="AN519" s="39">
        <f>IF(ISNUMBER($AD519),$AO519+$AP519,"")</f>
      </c>
      <c r="AO519" s="39">
        <f>IF(ISNUMBER($AD519),ROUND($AD519*Header!$K$3,2),"")</f>
      </c>
      <c r="AP519" s="39">
        <f>IF(ISNUMBER($AD519),ROUND($AD519*Header!$M$3,2),"")</f>
      </c>
      <c r="AQ519" s="38">
        <f>IF(ISNUMBER($AD519),ROUND($AD519,2)-$AO519-$AP519,"")</f>
      </c>
      <c r="AR519" s="39">
        <f>IF(ISNUMBER($AD519),IF(Header!$D$34="","?",$AD519*Header!$D$34),"")</f>
      </c>
      <c r="AS519" s="39">
        <f>IF(ISNUMBER($AB519),IF(Header!$D$34="","?",$AB519*Header!$D$34),"")</f>
      </c>
      <c r="AT519" s="42">
        <f>IF(AND(ISNUMBER($AB519),$M519&gt;0),$AB519/$M519*100,"")</f>
      </c>
      <c r="AU519" s="42">
        <f>IF(AND(ISNUMBER($AD519),$M519&gt;0),$AD519/$M519*100,"")</f>
      </c>
      <c r="AV519" s="40">
        <f>IF(AND(ISNUMBER($AB519),ISNUMBER($AD519),ABS($AB519)&gt;0),$AD519/$AB519,"")</f>
      </c>
      <c r="AW519" s="39">
        <f>IF(ISNUMBER($AD519),MAX(0,(1-0.55-Header!$O$3)*Header!$Q$3*$AQ519),"")</f>
      </c>
      <c r="AX519" s="43">
        <f>IF($A519="","",IF(TRIM(IF($A519="","Missing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",""))="","PASS","FAIL: "&amp;TRIM(IF($A519="","Missing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f>
      </c>
      <c r="AY519" s="44">
        <f>IF($M519="","",IF(ISNUMBER($M519),IF($M519&gt;=Header!$C$18,"YES — refer","No"),""))</f>
      </c>
      <c r="AZ519" s="44">
        <f>IF($AD519="","",IF(ISNUMBER($AD519),IF($AD519&lt;Header!$C$20,"BELOW MIN PREMIUM","OK"),""))</f>
      </c>
      <c r="BA519" s="32" t="inlineStr">
        <is>
          <t xml:space="preserve">Yes</t>
        </is>
      </c>
      <c r="BB519" s="32" t="inlineStr">
        <is>
          <t xml:space="preserve">Yes</t>
        </is>
      </c>
      <c r="BC519" s="30" t="inlineStr">
        <is>
          <t xml:space="preserve">Synthetic demo data</t>
        </is>
      </c>
      <c r="BE519" s="45">
        <f>IF(OR($A519="",$L519="",$H519=""),"",IF(AND(LEFT($L519,2)="06",$H519&gt;1945),"FAIL - pre-war class, year "&amp;$H519,IF(AND(LEFT($L519,2)="07",OR($H519&lt;1946,$H519&gt;1972)),"FAIL - 1946-72 class, year "&amp;$H519,IF(AND(LEFT($L519,2)="08",OR($H519&lt;1973,$H519&gt;1999)),"FAIL - 1973-99 class, year "&amp;$H519,IF(AND(LEFT($L519,2)="09",OR($H519&lt;2000,$H519&gt;2010)),"FAIL - 2000-10 class, year "&amp;$H519,"OK")))))</f>
      </c>
      <c r="BF519" s="45">
        <f>IF($AD519="","",IF(ROUND($AO519+$AP519+$AQ519-$AD519,2)=0,"OK","FAIL - out by "&amp;TEXT($AO519+$AP519+$AQ519-$AD519,"$0.00")))</f>
      </c>
    </row>
    <row r="520" spans="1:58" ht="18.75" customHeight="1" x14ac:dyDescent="0.25">
      <c r="A520" s="46" t="inlineStr">
        <is>
          <t xml:space="preserve">CANON-202607-010228</t>
        </is>
      </c>
      <c r="B520" s="46" t="inlineStr">
        <is>
          <t xml:space="preserve">Ottilie Vandermeer</t>
        </is>
      </c>
      <c r="C520" s="47">
        <v>46205</v>
      </c>
      <c r="D520" s="48" t="inlineStr">
        <is>
          <t xml:space="preserve">Bound - within authority</t>
        </is>
      </c>
      <c r="E520" s="48" t="inlineStr">
        <is>
          <t xml:space="preserve">New business</t>
        </is>
      </c>
      <c r="F520" s="46" t="inlineStr">
        <is>
          <t xml:space="preserve">B1234EXOTIC26</t>
        </is>
      </c>
      <c r="G520" s="33">
        <f>IF($A520="","",IF($C520="","",YEAR($C520)))</f>
      </c>
      <c r="H520" s="49">
        <v>1985</v>
      </c>
      <c r="I520" s="46" t="inlineStr">
        <is>
          <t xml:space="preserve">Bentley</t>
        </is>
      </c>
      <c r="J520" s="46" t="inlineStr">
        <is>
          <t xml:space="preserve">Continental GT</t>
        </is>
      </c>
      <c r="K520" s="46" t="inlineStr">
        <is>
          <t xml:space="preserve">2AK6GWB7SAKBWV4ME</t>
        </is>
      </c>
      <c r="L520" s="48" t="inlineStr">
        <is>
          <t xml:space="preserve">02 - Sports / GT</t>
        </is>
      </c>
      <c r="M520" s="50">
        <v>270000</v>
      </c>
      <c r="N520" s="48" t="inlineStr">
        <is>
          <t xml:space="preserve">Personal</t>
        </is>
      </c>
      <c r="O520" s="46" t="inlineStr">
        <is>
          <t xml:space="preserve">Personal - regular use</t>
        </is>
      </c>
      <c r="P520" s="46" t="inlineStr">
        <is>
          <t xml:space="preserve">1,000 - 2,500</t>
        </is>
      </c>
      <c r="Q520" s="46" t="inlineStr">
        <is>
          <t xml:space="preserve">Vermont</t>
        </is>
      </c>
      <c r="R520" s="46" t="inlineStr">
        <is>
          <t xml:space="preserve">05601</t>
        </is>
      </c>
      <c r="S520" s="48" t="inlineStr">
        <is>
          <t xml:space="preserve">Low hazard - inland benign</t>
        </is>
      </c>
      <c r="T520" s="36">
        <f>IF($A520="","",IF($S520="","",IFERROR(INDEX('[1]natural catastrophe'!$D$6:$D$17,MATCH($S520,'[1]natural catastrophe'!$B$6:$B$17,0)),"?")))</f>
      </c>
      <c r="U520" s="46" t="inlineStr">
        <is>
          <t xml:space="preserve">$5,000</t>
        </is>
      </c>
      <c r="V520" s="48" t="inlineStr">
        <is>
          <t xml:space="preserve">Agreed Value</t>
        </is>
      </c>
      <c r="W520" s="46" t="inlineStr">
        <is>
          <t xml:space="preserve">$1,000</t>
        </is>
      </c>
      <c r="X520" s="48" t="inlineStr">
        <is>
          <t xml:space="preserve">$1,000,000 CSL</t>
        </is>
      </c>
      <c r="Y520" s="46"/>
      <c r="Z520" s="46"/>
      <c r="AA520" s="48" t="inlineStr">
        <is>
          <t xml:space="preserve">Surplus Lines</t>
        </is>
      </c>
      <c r="AB520" s="50">
        <v>3547.26</v>
      </c>
      <c r="AC520" s="51">
        <v>0</v>
      </c>
      <c r="AD520" s="38">
        <f>IF(ISNUMBER($AB520),$AB520*(1+N($AC520)),"")</f>
      </c>
      <c r="AE520" s="50">
        <v>350</v>
      </c>
      <c r="AF520" s="50">
        <v>0</v>
      </c>
      <c r="AG520" s="51"/>
      <c r="AH520" s="39">
        <f>IF(ISNUMBER($AD520),($AD520+$AE520+$AF520)*$AG520,"")</f>
      </c>
      <c r="AI520" s="50"/>
      <c r="AJ520" s="38">
        <f>IF(ISNUMBER($AD520),SUM($AD520:$AH520),"")</f>
      </c>
      <c r="AK520" s="40">
        <f>IF(AND(ISNUMBER($AB520),ISNUMBER($AD520)),IF($AB520&gt;0,$AD520/$AB520,""),"")</f>
      </c>
      <c r="AL520" s="48" t="inlineStr">
        <is>
          <t xml:space="preserve">At technical</t>
        </is>
      </c>
      <c r="AM520" s="41">
        <f>IF(ISNUMBER($AD520),Header!$I$3,"")</f>
      </c>
      <c r="AN520" s="39">
        <f>IF(ISNUMBER($AD520),$AO520+$AP520,"")</f>
      </c>
      <c r="AO520" s="39">
        <f>IF(ISNUMBER($AD520),ROUND($AD520*Header!$K$3,2),"")</f>
      </c>
      <c r="AP520" s="39">
        <f>IF(ISNUMBER($AD520),ROUND($AD520*Header!$M$3,2),"")</f>
      </c>
      <c r="AQ520" s="38">
        <f>IF(ISNUMBER($AD520),ROUND($AD520,2)-$AO520-$AP520,"")</f>
      </c>
      <c r="AR520" s="39">
        <f>IF(ISNUMBER($AD520),IF(Header!$D$34="","?",$AD520*Header!$D$34),"")</f>
      </c>
      <c r="AS520" s="39">
        <f>IF(ISNUMBER($AB520),IF(Header!$D$34="","?",$AB520*Header!$D$34),"")</f>
      </c>
      <c r="AT520" s="42">
        <f>IF(AND(ISNUMBER($AB520),$M520&gt;0),$AB520/$M520*100,"")</f>
      </c>
      <c r="AU520" s="42">
        <f>IF(AND(ISNUMBER($AD520),$M520&gt;0),$AD520/$M520*100,"")</f>
      </c>
      <c r="AV520" s="40">
        <f>IF(AND(ISNUMBER($AB520),ISNUMBER($AD520),ABS($AB520)&gt;0),$AD520/$AB520,"")</f>
      </c>
      <c r="AW520" s="39">
        <f>IF(ISNUMBER($AD520),MAX(0,(1-0.55-Header!$O$3)*Header!$Q$3*$AQ520),"")</f>
      </c>
      <c r="AX520" s="43">
        <f>IF($A520="","",IF(TRIM(IF($A520="","Missing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",""))="","PASS","FAIL: "&amp;TRIM(IF($A520="","Missing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f>
      </c>
      <c r="AY520" s="44">
        <f>IF($M520="","",IF(ISNUMBER($M520),IF($M520&gt;=Header!$C$18,"YES — refer","No"),""))</f>
      </c>
      <c r="AZ520" s="44">
        <f>IF($AD520="","",IF(ISNUMBER($AD520),IF($AD520&lt;Header!$C$20,"BELOW MIN PREMIUM","OK"),""))</f>
      </c>
      <c r="BA520" s="48" t="inlineStr">
        <is>
          <t xml:space="preserve">Yes</t>
        </is>
      </c>
      <c r="BB520" s="48" t="inlineStr">
        <is>
          <t xml:space="preserve">Yes</t>
        </is>
      </c>
      <c r="BC520" s="46" t="inlineStr">
        <is>
          <t xml:space="preserve">Synthetic demo data</t>
        </is>
      </c>
      <c r="BE520" s="45">
        <f>IF(OR($A520="",$L520="",$H520=""),"",IF(AND(LEFT($L520,2)="06",$H520&gt;1945),"FAIL - pre-war class, year "&amp;$H520,IF(AND(LEFT($L520,2)="07",OR($H520&lt;1946,$H520&gt;1972)),"FAIL - 1946-72 class, year "&amp;$H520,IF(AND(LEFT($L520,2)="08",OR($H520&lt;1973,$H520&gt;1999)),"FAIL - 1973-99 class, year "&amp;$H520,IF(AND(LEFT($L520,2)="09",OR($H520&lt;2000,$H520&gt;2010)),"FAIL - 2000-10 class, year "&amp;$H520,"OK")))))</f>
      </c>
      <c r="BF520" s="45">
        <f>IF($AD520="","",IF(ROUND($AO520+$AP520+$AQ520-$AD520,2)=0,"OK","FAIL - out by "&amp;TEXT($AO520+$AP520+$AQ520-$AD520,"$0.00")))</f>
      </c>
    </row>
    <row r="521" spans="1:58" ht="18.75" customHeight="1" x14ac:dyDescent="0.25">
      <c r="A521" s="30" t="inlineStr">
        <is>
          <t xml:space="preserve">CANON-202607-010230</t>
        </is>
      </c>
      <c r="B521" s="30" t="inlineStr">
        <is>
          <t xml:space="preserve">Ingrid Vandermeer</t>
        </is>
      </c>
      <c r="C521" s="31">
        <v>46224</v>
      </c>
      <c r="D521" s="32" t="inlineStr">
        <is>
          <t xml:space="preserve">Bound - within authority</t>
        </is>
      </c>
      <c r="E521" s="32" t="inlineStr">
        <is>
          <t xml:space="preserve">New business</t>
        </is>
      </c>
      <c r="F521" s="30" t="inlineStr">
        <is>
          <t xml:space="preserve">B1234EXOTIC26</t>
        </is>
      </c>
      <c r="G521" s="33">
        <f>IF($A521="","",IF($C521="","",YEAR($C521)))</f>
      </c>
      <c r="H521" s="34">
        <v>1984</v>
      </c>
      <c r="I521" s="30" t="inlineStr">
        <is>
          <t xml:space="preserve">Jaguar</t>
        </is>
      </c>
      <c r="J521" s="30" t="inlineStr">
        <is>
          <t xml:space="preserve">E-Type Series 1</t>
        </is>
      </c>
      <c r="K521" s="30" t="inlineStr">
        <is>
          <t xml:space="preserve">W6S6ECKSB44HGPTCV</t>
        </is>
      </c>
      <c r="L521" s="32" t="inlineStr">
        <is>
          <t xml:space="preserve">08 - Modern Classic (1973-1999)</t>
        </is>
      </c>
      <c r="M521" s="35">
        <v>630000</v>
      </c>
      <c r="N521" s="32" t="inlineStr">
        <is>
          <t xml:space="preserve">Personal</t>
        </is>
      </c>
      <c r="O521" s="30" t="inlineStr">
        <is>
          <t xml:space="preserve">Personal - regular use</t>
        </is>
      </c>
      <c r="P521" s="30" t="inlineStr">
        <is>
          <t xml:space="preserve">2,500 - 5,000</t>
        </is>
      </c>
      <c r="Q521" s="30" t="inlineStr">
        <is>
          <t xml:space="preserve">New Jersey</t>
        </is>
      </c>
      <c r="R521" s="30" t="inlineStr">
        <is>
          <t xml:space="preserve">07102</t>
        </is>
      </c>
      <c r="S521" s="32" t="inlineStr">
        <is>
          <t xml:space="preserve">Tier 3 - Coastal wind (25-100 miles)</t>
        </is>
      </c>
      <c r="T521" s="36">
        <f>IF($A521="","",IF($S521="","",IFERROR(INDEX('[1]natural catastrophe'!$D$6:$D$17,MATCH($S521,'[1]natural catastrophe'!$B$6:$B$17,0)),"?")))</f>
      </c>
      <c r="U521" s="30" t="inlineStr">
        <is>
          <t xml:space="preserve">2% of agreed value, minimum $10,000</t>
        </is>
      </c>
      <c r="V521" s="32" t="inlineStr">
        <is>
          <t xml:space="preserve">Agreed Value</t>
        </is>
      </c>
      <c r="W521" s="30" t="inlineStr">
        <is>
          <t xml:space="preserve">$1,000</t>
        </is>
      </c>
      <c r="X521" s="32" t="inlineStr">
        <is>
          <t xml:space="preserve">$1,000,000 CSL</t>
        </is>
      </c>
      <c r="Y521" s="30"/>
      <c r="Z521" s="30"/>
      <c r="AA521" s="32" t="inlineStr">
        <is>
          <t xml:space="preserve">Surplus Lines</t>
        </is>
      </c>
      <c r="AB521" s="35">
        <v>3539.64</v>
      </c>
      <c r="AC521" s="37">
        <v>0</v>
      </c>
      <c r="AD521" s="38">
        <f>IF(ISNUMBER($AB521),$AB521*(1+N($AC521)),"")</f>
      </c>
      <c r="AE521" s="35">
        <v>350</v>
      </c>
      <c r="AF521" s="35">
        <v>0</v>
      </c>
      <c r="AG521" s="37"/>
      <c r="AH521" s="39">
        <f>IF(ISNUMBER($AD521),($AD521+$AE521+$AF521)*$AG521,"")</f>
      </c>
      <c r="AI521" s="35"/>
      <c r="AJ521" s="38">
        <f>IF(ISNUMBER($AD521),SUM($AD521:$AH521),"")</f>
      </c>
      <c r="AK521" s="40">
        <f>IF(AND(ISNUMBER($AB521),ISNUMBER($AD521)),IF($AB521&gt;0,$AD521/$AB521,""),"")</f>
      </c>
      <c r="AL521" s="32" t="inlineStr">
        <is>
          <t xml:space="preserve">At technical</t>
        </is>
      </c>
      <c r="AM521" s="41">
        <f>IF(ISNUMBER($AD521),Header!$I$3,"")</f>
      </c>
      <c r="AN521" s="39">
        <f>IF(ISNUMBER($AD521),$AO521+$AP521,"")</f>
      </c>
      <c r="AO521" s="39">
        <f>IF(ISNUMBER($AD521),ROUND($AD521*Header!$K$3,2),"")</f>
      </c>
      <c r="AP521" s="39">
        <f>IF(ISNUMBER($AD521),ROUND($AD521*Header!$M$3,2),"")</f>
      </c>
      <c r="AQ521" s="38">
        <f>IF(ISNUMBER($AD521),ROUND($AD521,2)-$AO521-$AP521,"")</f>
      </c>
      <c r="AR521" s="39">
        <f>IF(ISNUMBER($AD521),IF(Header!$D$34="","?",$AD521*Header!$D$34),"")</f>
      </c>
      <c r="AS521" s="39">
        <f>IF(ISNUMBER($AB521),IF(Header!$D$34="","?",$AB521*Header!$D$34),"")</f>
      </c>
      <c r="AT521" s="42">
        <f>IF(AND(ISNUMBER($AB521),$M521&gt;0),$AB521/$M521*100,"")</f>
      </c>
      <c r="AU521" s="42">
        <f>IF(AND(ISNUMBER($AD521),$M521&gt;0),$AD521/$M521*100,"")</f>
      </c>
      <c r="AV521" s="40">
        <f>IF(AND(ISNUMBER($AB521),ISNUMBER($AD521),ABS($AB521)&gt;0),$AD521/$AB521,"")</f>
      </c>
      <c r="AW521" s="39">
        <f>IF(ISNUMBER($AD521),MAX(0,(1-0.55-Header!$O$3)*Header!$Q$3*$AQ521),"")</f>
      </c>
      <c r="AX521" s="43">
        <f>IF($A521="","",IF(TRIM(IF($A521="","Missing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",""))="","PASS","FAIL: "&amp;TRIM(IF($A521="","Missing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f>
      </c>
      <c r="AY521" s="44">
        <f>IF($M521="","",IF(ISNUMBER($M521),IF($M521&gt;=Header!$C$18,"YES — refer","No"),""))</f>
      </c>
      <c r="AZ521" s="44">
        <f>IF($AD521="","",IF(ISNUMBER($AD521),IF($AD521&lt;Header!$C$20,"BELOW MIN PREMIUM","OK"),""))</f>
      </c>
      <c r="BA521" s="32" t="inlineStr">
        <is>
          <t xml:space="preserve">Yes</t>
        </is>
      </c>
      <c r="BB521" s="32" t="inlineStr">
        <is>
          <t xml:space="preserve">Yes</t>
        </is>
      </c>
      <c r="BC521" s="30" t="inlineStr">
        <is>
          <t xml:space="preserve">Synthetic demo data</t>
        </is>
      </c>
      <c r="BE521" s="45">
        <f>IF(OR($A521="",$L521="",$H521=""),"",IF(AND(LEFT($L521,2)="06",$H521&gt;1945),"FAIL - pre-war class, year "&amp;$H521,IF(AND(LEFT($L521,2)="07",OR($H521&lt;1946,$H521&gt;1972)),"FAIL - 1946-72 class, year "&amp;$H521,IF(AND(LEFT($L521,2)="08",OR($H521&lt;1973,$H521&gt;1999)),"FAIL - 1973-99 class, year "&amp;$H521,IF(AND(LEFT($L521,2)="09",OR($H521&lt;2000,$H521&gt;2010)),"FAIL - 2000-10 class, year "&amp;$H521,"OK")))))</f>
      </c>
      <c r="BF521" s="45">
        <f>IF($AD521="","",IF(ROUND($AO521+$AP521+$AQ521-$AD521,2)=0,"OK","FAIL - out by "&amp;TEXT($AO521+$AP521+$AQ521-$AD521,"$0.00")))</f>
      </c>
    </row>
    <row r="522" spans="1:58" ht="18.75" customHeight="1" x14ac:dyDescent="0.25">
      <c r="A522" s="46" t="inlineStr">
        <is>
          <t xml:space="preserve">CANON-202607-010231</t>
        </is>
      </c>
      <c r="B522" s="46" t="inlineStr">
        <is>
          <t xml:space="preserve">Ramona Farkas</t>
        </is>
      </c>
      <c r="C522" s="47">
        <v>46215</v>
      </c>
      <c r="D522" s="48" t="inlineStr">
        <is>
          <t xml:space="preserve">Bound - within authority</t>
        </is>
      </c>
      <c r="E522" s="48" t="inlineStr">
        <is>
          <t xml:space="preserve">New business</t>
        </is>
      </c>
      <c r="F522" s="46" t="inlineStr">
        <is>
          <t xml:space="preserve">B1234EXOTIC26</t>
        </is>
      </c>
      <c r="G522" s="33">
        <f>IF($A522="","",IF($C522="","",YEAR($C522)))</f>
      </c>
      <c r="H522" s="49">
        <v>1995</v>
      </c>
      <c r="I522" s="46" t="inlineStr">
        <is>
          <t xml:space="preserve">Aston Martin</t>
        </is>
      </c>
      <c r="J522" s="46" t="inlineStr">
        <is>
          <t xml:space="preserve">DB12</t>
        </is>
      </c>
      <c r="K522" s="46" t="inlineStr">
        <is>
          <t xml:space="preserve">B07DLCVJ3P7Y42FXK</t>
        </is>
      </c>
      <c r="L522" s="48" t="inlineStr">
        <is>
          <t xml:space="preserve">02 - Sports / GT</t>
        </is>
      </c>
      <c r="M522" s="50">
        <v>695000</v>
      </c>
      <c r="N522" s="48" t="inlineStr">
        <is>
          <t xml:space="preserve">Personal</t>
        </is>
      </c>
      <c r="O522" s="46" t="inlineStr">
        <is>
          <t xml:space="preserve">Personal - regular use</t>
        </is>
      </c>
      <c r="P522" s="46" t="inlineStr">
        <is>
          <t xml:space="preserve">2,500 - 5,000</t>
        </is>
      </c>
      <c r="Q522" s="46" t="inlineStr">
        <is>
          <t xml:space="preserve">Iowa</t>
        </is>
      </c>
      <c r="R522" s="46" t="inlineStr">
        <is>
          <t xml:space="preserve">50309</t>
        </is>
      </c>
      <c r="S522" s="48" t="inlineStr">
        <is>
          <t xml:space="preserve">Severe convective - hail alley (high)</t>
        </is>
      </c>
      <c r="T522" s="36">
        <f>IF($A522="","",IF($S522="","",IFERROR(INDEX('[1]natural catastrophe'!$D$6:$D$17,MATCH($S522,'[1]natural catastrophe'!$B$6:$B$17,0)),"?")))</f>
      </c>
      <c r="U522" s="46" t="inlineStr">
        <is>
          <t xml:space="preserve">$5,000</t>
        </is>
      </c>
      <c r="V522" s="48" t="inlineStr">
        <is>
          <t xml:space="preserve">Agreed Value</t>
        </is>
      </c>
      <c r="W522" s="46" t="inlineStr">
        <is>
          <t xml:space="preserve">$1,000</t>
        </is>
      </c>
      <c r="X522" s="48" t="inlineStr">
        <is>
          <t xml:space="preserve">$1,000,000 CSL</t>
        </is>
      </c>
      <c r="Y522" s="46"/>
      <c r="Z522" s="46"/>
      <c r="AA522" s="48" t="inlineStr">
        <is>
          <t xml:space="preserve">Surplus Lines</t>
        </is>
      </c>
      <c r="AB522" s="50">
        <v>7135.09</v>
      </c>
      <c r="AC522" s="51">
        <v>0</v>
      </c>
      <c r="AD522" s="38">
        <f>IF(ISNUMBER($AB522),$AB522*(1+N($AC522)),"")</f>
      </c>
      <c r="AE522" s="50">
        <v>350</v>
      </c>
      <c r="AF522" s="50">
        <v>0</v>
      </c>
      <c r="AG522" s="51"/>
      <c r="AH522" s="39">
        <f>IF(ISNUMBER($AD522),($AD522+$AE522+$AF522)*$AG522,"")</f>
      </c>
      <c r="AI522" s="50"/>
      <c r="AJ522" s="38">
        <f>IF(ISNUMBER($AD522),SUM($AD522:$AH522),"")</f>
      </c>
      <c r="AK522" s="40">
        <f>IF(AND(ISNUMBER($AB522),ISNUMBER($AD522)),IF($AB522&gt;0,$AD522/$AB522,""),"")</f>
      </c>
      <c r="AL522" s="48" t="inlineStr">
        <is>
          <t xml:space="preserve">At technical</t>
        </is>
      </c>
      <c r="AM522" s="41">
        <f>IF(ISNUMBER($AD522),Header!$I$3,"")</f>
      </c>
      <c r="AN522" s="39">
        <f>IF(ISNUMBER($AD522),$AO522+$AP522,"")</f>
      </c>
      <c r="AO522" s="39">
        <f>IF(ISNUMBER($AD522),ROUND($AD522*Header!$K$3,2),"")</f>
      </c>
      <c r="AP522" s="39">
        <f>IF(ISNUMBER($AD522),ROUND($AD522*Header!$M$3,2),"")</f>
      </c>
      <c r="AQ522" s="38">
        <f>IF(ISNUMBER($AD522),ROUND($AD522,2)-$AO522-$AP522,"")</f>
      </c>
      <c r="AR522" s="39">
        <f>IF(ISNUMBER($AD522),IF(Header!$D$34="","?",$AD522*Header!$D$34),"")</f>
      </c>
      <c r="AS522" s="39">
        <f>IF(ISNUMBER($AB522),IF(Header!$D$34="","?",$AB522*Header!$D$34),"")</f>
      </c>
      <c r="AT522" s="42">
        <f>IF(AND(ISNUMBER($AB522),$M522&gt;0),$AB522/$M522*100,"")</f>
      </c>
      <c r="AU522" s="42">
        <f>IF(AND(ISNUMBER($AD522),$M522&gt;0),$AD522/$M522*100,"")</f>
      </c>
      <c r="AV522" s="40">
        <f>IF(AND(ISNUMBER($AB522),ISNUMBER($AD522),ABS($AB522)&gt;0),$AD522/$AB522,"")</f>
      </c>
      <c r="AW522" s="39">
        <f>IF(ISNUMBER($AD522),MAX(0,(1-0.55-Header!$O$3)*Header!$Q$3*$AQ522),"")</f>
      </c>
      <c r="AX522" s="43">
        <f>IF($A522="","",IF(TRIM(IF($A522="","Missing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",""))="","PASS","FAIL: "&amp;TRIM(IF($A522="","Missing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f>
      </c>
      <c r="AY522" s="44">
        <f>IF($M522="","",IF(ISNUMBER($M522),IF($M522&gt;=Header!$C$18,"YES — refer","No"),""))</f>
      </c>
      <c r="AZ522" s="44">
        <f>IF($AD522="","",IF(ISNUMBER($AD522),IF($AD522&lt;Header!$C$20,"BELOW MIN PREMIUM","OK"),""))</f>
      </c>
      <c r="BA522" s="48" t="inlineStr">
        <is>
          <t xml:space="preserve">Yes</t>
        </is>
      </c>
      <c r="BB522" s="48" t="inlineStr">
        <is>
          <t xml:space="preserve">Yes</t>
        </is>
      </c>
      <c r="BC522" s="46" t="inlineStr">
        <is>
          <t xml:space="preserve">Synthetic demo data</t>
        </is>
      </c>
      <c r="BE522" s="45">
        <f>IF(OR($A522="",$L522="",$H522=""),"",IF(AND(LEFT($L522,2)="06",$H522&gt;1945),"FAIL - pre-war class, year "&amp;$H522,IF(AND(LEFT($L522,2)="07",OR($H522&lt;1946,$H522&gt;1972)),"FAIL - 1946-72 class, year "&amp;$H522,IF(AND(LEFT($L522,2)="08",OR($H522&lt;1973,$H522&gt;1999)),"FAIL - 1973-99 class, year "&amp;$H522,IF(AND(LEFT($L522,2)="09",OR($H522&lt;2000,$H522&gt;2010)),"FAIL - 2000-10 class, year "&amp;$H522,"OK")))))</f>
      </c>
      <c r="BF522" s="45">
        <f>IF($AD522="","",IF(ROUND($AO522+$AP522+$AQ522-$AD522,2)=0,"OK","FAIL - out by "&amp;TEXT($AO522+$AP522+$AQ522-$AD522,"$0.00")))</f>
      </c>
    </row>
    <row r="523" spans="1:58" ht="18.75" customHeight="1" x14ac:dyDescent="0.25">
      <c r="A523" s="30" t="inlineStr">
        <is>
          <t xml:space="preserve">CANON-202607-010232</t>
        </is>
      </c>
      <c r="B523" s="30" t="inlineStr">
        <is>
          <t xml:space="preserve">Thaddeus Thistlewood</t>
        </is>
      </c>
      <c r="C523" s="31">
        <v>46220</v>
      </c>
      <c r="D523" s="32" t="inlineStr">
        <is>
          <t xml:space="preserve">Bound - within authority</t>
        </is>
      </c>
      <c r="E523" s="32" t="inlineStr">
        <is>
          <t xml:space="preserve">New business</t>
        </is>
      </c>
      <c r="F523" s="30" t="inlineStr">
        <is>
          <t xml:space="preserve">B1234EXOTIC26</t>
        </is>
      </c>
      <c r="G523" s="33">
        <f>IF($A523="","",IF($C523="","",YEAR($C523)))</f>
      </c>
      <c r="H523" s="34">
        <v>1973</v>
      </c>
      <c r="I523" s="30" t="inlineStr">
        <is>
          <t xml:space="preserve">Ferrari</t>
        </is>
      </c>
      <c r="J523" s="30" t="inlineStr">
        <is>
          <t xml:space="preserve">SF90 Stradale</t>
        </is>
      </c>
      <c r="K523" s="30" t="inlineStr">
        <is>
          <t xml:space="preserve">GW9NWWGJ81WKLZLRE</t>
        </is>
      </c>
      <c r="L523" s="32" t="inlineStr">
        <is>
          <t xml:space="preserve">03 - Supercar</t>
        </is>
      </c>
      <c r="M523" s="35">
        <v>445000</v>
      </c>
      <c r="N523" s="32" t="inlineStr">
        <is>
          <t xml:space="preserve">Personal</t>
        </is>
      </c>
      <c r="O523" s="30" t="inlineStr">
        <is>
          <t xml:space="preserve">Personal - regular use</t>
        </is>
      </c>
      <c r="P523" s="30" t="inlineStr">
        <is>
          <t xml:space="preserve">2,500 - 5,000</t>
        </is>
      </c>
      <c r="Q523" s="30" t="inlineStr">
        <is>
          <t xml:space="preserve">Louisiana</t>
        </is>
      </c>
      <c r="R523" s="30" t="inlineStr">
        <is>
          <t xml:space="preserve">70112</t>
        </is>
      </c>
      <c r="S523" s="32" t="inlineStr">
        <is>
          <t xml:space="preserve">Tier 2 - Coastal wind (1-25 miles)</t>
        </is>
      </c>
      <c r="T523" s="36">
        <f>IF($A523="","",IF($S523="","",IFERROR(INDEX('[1]natural catastrophe'!$D$6:$D$17,MATCH($S523,'[1]natural catastrophe'!$B$6:$B$17,0)),"?")))</f>
      </c>
      <c r="U523" s="30" t="inlineStr">
        <is>
          <t xml:space="preserve">2% of agreed value, minimum $10,000</t>
        </is>
      </c>
      <c r="V523" s="32" t="inlineStr">
        <is>
          <t xml:space="preserve">Agreed Value</t>
        </is>
      </c>
      <c r="W523" s="30" t="inlineStr">
        <is>
          <t xml:space="preserve">$1,000</t>
        </is>
      </c>
      <c r="X523" s="32" t="inlineStr">
        <is>
          <t xml:space="preserve">$1,000,000 CSL</t>
        </is>
      </c>
      <c r="Y523" s="30"/>
      <c r="Z523" s="30"/>
      <c r="AA523" s="32" t="inlineStr">
        <is>
          <t xml:space="preserve">Surplus Lines</t>
        </is>
      </c>
      <c r="AB523" s="35">
        <v>8891.03</v>
      </c>
      <c r="AC523" s="37">
        <v>0</v>
      </c>
      <c r="AD523" s="38">
        <f>IF(ISNUMBER($AB523),$AB523*(1+N($AC523)),"")</f>
      </c>
      <c r="AE523" s="35">
        <v>350</v>
      </c>
      <c r="AF523" s="35">
        <v>0</v>
      </c>
      <c r="AG523" s="37"/>
      <c r="AH523" s="39">
        <f>IF(ISNUMBER($AD523),($AD523+$AE523+$AF523)*$AG523,"")</f>
      </c>
      <c r="AI523" s="35"/>
      <c r="AJ523" s="38">
        <f>IF(ISNUMBER($AD523),SUM($AD523:$AH523),"")</f>
      </c>
      <c r="AK523" s="40">
        <f>IF(AND(ISNUMBER($AB523),ISNUMBER($AD523)),IF($AB523&gt;0,$AD523/$AB523,""),"")</f>
      </c>
      <c r="AL523" s="32" t="inlineStr">
        <is>
          <t xml:space="preserve">At technical</t>
        </is>
      </c>
      <c r="AM523" s="41">
        <f>IF(ISNUMBER($AD523),Header!$I$3,"")</f>
      </c>
      <c r="AN523" s="39">
        <f>IF(ISNUMBER($AD523),$AO523+$AP523,"")</f>
      </c>
      <c r="AO523" s="39">
        <f>IF(ISNUMBER($AD523),ROUND($AD523*Header!$K$3,2),"")</f>
      </c>
      <c r="AP523" s="39">
        <f>IF(ISNUMBER($AD523),ROUND($AD523*Header!$M$3,2),"")</f>
      </c>
      <c r="AQ523" s="38">
        <f>IF(ISNUMBER($AD523),ROUND($AD523,2)-$AO523-$AP523,"")</f>
      </c>
      <c r="AR523" s="39">
        <f>IF(ISNUMBER($AD523),IF(Header!$D$34="","?",$AD523*Header!$D$34),"")</f>
      </c>
      <c r="AS523" s="39">
        <f>IF(ISNUMBER($AB523),IF(Header!$D$34="","?",$AB523*Header!$D$34),"")</f>
      </c>
      <c r="AT523" s="42">
        <f>IF(AND(ISNUMBER($AB523),$M523&gt;0),$AB523/$M523*100,"")</f>
      </c>
      <c r="AU523" s="42">
        <f>IF(AND(ISNUMBER($AD523),$M523&gt;0),$AD523/$M523*100,"")</f>
      </c>
      <c r="AV523" s="40">
        <f>IF(AND(ISNUMBER($AB523),ISNUMBER($AD523),ABS($AB523)&gt;0),$AD523/$AB523,"")</f>
      </c>
      <c r="AW523" s="39">
        <f>IF(ISNUMBER($AD523),MAX(0,(1-0.55-Header!$O$3)*Header!$Q$3*$AQ523),"")</f>
      </c>
      <c r="AX523" s="43">
        <f>IF($A523="","",IF(TRIM(IF($A523="","Missing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",""))="","PASS","FAIL: "&amp;TRIM(IF($A523="","Missing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f>
      </c>
      <c r="AY523" s="44">
        <f>IF($M523="","",IF(ISNUMBER($M523),IF($M523&gt;=Header!$C$18,"YES — refer","No"),""))</f>
      </c>
      <c r="AZ523" s="44">
        <f>IF($AD523="","",IF(ISNUMBER($AD523),IF($AD523&lt;Header!$C$20,"BELOW MIN PREMIUM","OK"),""))</f>
      </c>
      <c r="BA523" s="32" t="inlineStr">
        <is>
          <t xml:space="preserve">Yes</t>
        </is>
      </c>
      <c r="BB523" s="32" t="inlineStr">
        <is>
          <t xml:space="preserve">Yes</t>
        </is>
      </c>
      <c r="BC523" s="30" t="inlineStr">
        <is>
          <t xml:space="preserve">Synthetic demo data</t>
        </is>
      </c>
      <c r="BE523" s="45">
        <f>IF(OR($A523="",$L523="",$H523=""),"",IF(AND(LEFT($L523,2)="06",$H523&gt;1945),"FAIL - pre-war class, year "&amp;$H523,IF(AND(LEFT($L523,2)="07",OR($H523&lt;1946,$H523&gt;1972)),"FAIL - 1946-72 class, year "&amp;$H523,IF(AND(LEFT($L523,2)="08",OR($H523&lt;1973,$H523&gt;1999)),"FAIL - 1973-99 class, year "&amp;$H523,IF(AND(LEFT($L523,2)="09",OR($H523&lt;2000,$H523&gt;2010)),"FAIL - 2000-10 class, year "&amp;$H523,"OK")))))</f>
      </c>
      <c r="BF523" s="45">
        <f>IF($AD523="","",IF(ROUND($AO523+$AP523+$AQ523-$AD523,2)=0,"OK","FAIL - out by "&amp;TEXT($AO523+$AP523+$AQ523-$AD523,"$0.00")))</f>
      </c>
    </row>
    <row r="524" spans="1:58" ht="18.75" customHeight="1" x14ac:dyDescent="0.25">
      <c r="A524" s="46" t="inlineStr">
        <is>
          <t xml:space="preserve">CANON-202607-010233</t>
        </is>
      </c>
      <c r="B524" s="46" t="inlineStr">
        <is>
          <t xml:space="preserve">Emiliano Chattopadhyay</t>
        </is>
      </c>
      <c r="C524" s="47">
        <v>46228</v>
      </c>
      <c r="D524" s="48" t="inlineStr">
        <is>
          <t xml:space="preserve">Bound - within authority</t>
        </is>
      </c>
      <c r="E524" s="48" t="inlineStr">
        <is>
          <t xml:space="preserve">New business</t>
        </is>
      </c>
      <c r="F524" s="46" t="inlineStr">
        <is>
          <t xml:space="preserve">B1234EXOTIC26</t>
        </is>
      </c>
      <c r="G524" s="33">
        <f>IF($A524="","",IF($C524="","",YEAR($C524)))</f>
      </c>
      <c r="H524" s="49">
        <v>1992</v>
      </c>
      <c r="I524" s="46" t="inlineStr">
        <is>
          <t xml:space="preserve">Porsche</t>
        </is>
      </c>
      <c r="J524" s="46" t="inlineStr">
        <is>
          <t xml:space="preserve">911 Turbo S</t>
        </is>
      </c>
      <c r="K524" s="46" t="inlineStr">
        <is>
          <t xml:space="preserve">HP06J43L9CGXT7UH0</t>
        </is>
      </c>
      <c r="L524" s="48" t="inlineStr">
        <is>
          <t xml:space="preserve">02 - Sports / GT</t>
        </is>
      </c>
      <c r="M524" s="50">
        <v>970000</v>
      </c>
      <c r="N524" s="48" t="inlineStr">
        <is>
          <t xml:space="preserve">Personal</t>
        </is>
      </c>
      <c r="O524" s="46" t="inlineStr">
        <is>
          <t xml:space="preserve">Personal - regular use</t>
        </is>
      </c>
      <c r="P524" s="46" t="inlineStr">
        <is>
          <t xml:space="preserve">Under 1,000</t>
        </is>
      </c>
      <c r="Q524" s="46" t="inlineStr">
        <is>
          <t xml:space="preserve">Texas</t>
        </is>
      </c>
      <c r="R524" s="46" t="inlineStr">
        <is>
          <t xml:space="preserve">75201</t>
        </is>
      </c>
      <c r="S524" s="48" t="inlineStr">
        <is>
          <t xml:space="preserve">Tier 2 - Coastal wind (1-25 miles)</t>
        </is>
      </c>
      <c r="T524" s="36">
        <f>IF($A524="","",IF($S524="","",IFERROR(INDEX('[1]natural catastrophe'!$D$6:$D$17,MATCH($S524,'[1]natural catastrophe'!$B$6:$B$17,0)),"?")))</f>
      </c>
      <c r="U524" s="46" t="inlineStr">
        <is>
          <t xml:space="preserve">2% of agreed value, minimum $10,000</t>
        </is>
      </c>
      <c r="V524" s="48" t="inlineStr">
        <is>
          <t xml:space="preserve">Agreed Value</t>
        </is>
      </c>
      <c r="W524" s="46" t="inlineStr">
        <is>
          <t xml:space="preserve">$1,000</t>
        </is>
      </c>
      <c r="X524" s="48" t="inlineStr">
        <is>
          <t xml:space="preserve">$1,000,000 CSL</t>
        </is>
      </c>
      <c r="Y524" s="46"/>
      <c r="Z524" s="46"/>
      <c r="AA524" s="48" t="inlineStr">
        <is>
          <t xml:space="preserve">Surplus Lines</t>
        </is>
      </c>
      <c r="AB524" s="50">
        <v>10410.98</v>
      </c>
      <c r="AC524" s="51">
        <v>0</v>
      </c>
      <c r="AD524" s="38">
        <f>IF(ISNUMBER($AB524),$AB524*(1+N($AC524)),"")</f>
      </c>
      <c r="AE524" s="50">
        <v>350</v>
      </c>
      <c r="AF524" s="50">
        <v>0</v>
      </c>
      <c r="AG524" s="51"/>
      <c r="AH524" s="39">
        <f>IF(ISNUMBER($AD524),($AD524+$AE524+$AF524)*$AG524,"")</f>
      </c>
      <c r="AI524" s="50"/>
      <c r="AJ524" s="38">
        <f>IF(ISNUMBER($AD524),SUM($AD524:$AH524),"")</f>
      </c>
      <c r="AK524" s="40">
        <f>IF(AND(ISNUMBER($AB524),ISNUMBER($AD524)),IF($AB524&gt;0,$AD524/$AB524,""),"")</f>
      </c>
      <c r="AL524" s="48" t="inlineStr">
        <is>
          <t xml:space="preserve">At technical</t>
        </is>
      </c>
      <c r="AM524" s="41">
        <f>IF(ISNUMBER($AD524),Header!$I$3,"")</f>
      </c>
      <c r="AN524" s="39">
        <f>IF(ISNUMBER($AD524),$AO524+$AP524,"")</f>
      </c>
      <c r="AO524" s="39">
        <f>IF(ISNUMBER($AD524),ROUND($AD524*Header!$K$3,2),"")</f>
      </c>
      <c r="AP524" s="39">
        <f>IF(ISNUMBER($AD524),ROUND($AD524*Header!$M$3,2),"")</f>
      </c>
      <c r="AQ524" s="38">
        <f>IF(ISNUMBER($AD524),ROUND($AD524,2)-$AO524-$AP524,"")</f>
      </c>
      <c r="AR524" s="39">
        <f>IF(ISNUMBER($AD524),IF(Header!$D$34="","?",$AD524*Header!$D$34),"")</f>
      </c>
      <c r="AS524" s="39">
        <f>IF(ISNUMBER($AB524),IF(Header!$D$34="","?",$AB524*Header!$D$34),"")</f>
      </c>
      <c r="AT524" s="42">
        <f>IF(AND(ISNUMBER($AB524),$M524&gt;0),$AB524/$M524*100,"")</f>
      </c>
      <c r="AU524" s="42">
        <f>IF(AND(ISNUMBER($AD524),$M524&gt;0),$AD524/$M524*100,"")</f>
      </c>
      <c r="AV524" s="40">
        <f>IF(AND(ISNUMBER($AB524),ISNUMBER($AD524),ABS($AB524)&gt;0),$AD524/$AB524,"")</f>
      </c>
      <c r="AW524" s="39">
        <f>IF(ISNUMBER($AD524),MAX(0,(1-0.55-Header!$O$3)*Header!$Q$3*$AQ524),"")</f>
      </c>
      <c r="AX524" s="43">
        <f>IF($A524="","",IF(TRIM(IF($A524="","Missing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",""))="","PASS","FAIL: "&amp;TRIM(IF($A524="","Missing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f>
      </c>
      <c r="AY524" s="44">
        <f>IF($M524="","",IF(ISNUMBER($M524),IF($M524&gt;=Header!$C$18,"YES — refer","No"),""))</f>
      </c>
      <c r="AZ524" s="44">
        <f>IF($AD524="","",IF(ISNUMBER($AD524),IF($AD524&lt;Header!$C$20,"BELOW MIN PREMIUM","OK"),""))</f>
      </c>
      <c r="BA524" s="48" t="inlineStr">
        <is>
          <t xml:space="preserve">Yes</t>
        </is>
      </c>
      <c r="BB524" s="48" t="inlineStr">
        <is>
          <t xml:space="preserve">Yes</t>
        </is>
      </c>
      <c r="BC524" s="46" t="inlineStr">
        <is>
          <t xml:space="preserve">Synthetic demo data</t>
        </is>
      </c>
      <c r="BE524" s="45">
        <f>IF(OR($A524="",$L524="",$H524=""),"",IF(AND(LEFT($L524,2)="06",$H524&gt;1945),"FAIL - pre-war class, year "&amp;$H524,IF(AND(LEFT($L524,2)="07",OR($H524&lt;1946,$H524&gt;1972)),"FAIL - 1946-72 class, year "&amp;$H524,IF(AND(LEFT($L524,2)="08",OR($H524&lt;1973,$H524&gt;1999)),"FAIL - 1973-99 class, year "&amp;$H524,IF(AND(LEFT($L524,2)="09",OR($H524&lt;2000,$H524&gt;2010)),"FAIL - 2000-10 class, year "&amp;$H524,"OK")))))</f>
      </c>
      <c r="BF524" s="45">
        <f>IF($AD524="","",IF(ROUND($AO524+$AP524+$AQ524-$AD524,2)=0,"OK","FAIL - out by "&amp;TEXT($AO524+$AP524+$AQ524-$AD524,"$0.00")))</f>
      </c>
    </row>
    <row r="525" spans="1:58" ht="18.75" customHeight="1" x14ac:dyDescent="0.25">
      <c r="A525" s="30" t="inlineStr">
        <is>
          <t xml:space="preserve">CANON-202607-010234</t>
        </is>
      </c>
      <c r="B525" s="30" t="inlineStr">
        <is>
          <t xml:space="preserve">Noor Kingsford</t>
        </is>
      </c>
      <c r="C525" s="31">
        <v>46209</v>
      </c>
      <c r="D525" s="32" t="inlineStr">
        <is>
          <t xml:space="preserve">Bound - within authority</t>
        </is>
      </c>
      <c r="E525" s="32" t="inlineStr">
        <is>
          <t xml:space="preserve">New business</t>
        </is>
      </c>
      <c r="F525" s="30" t="inlineStr">
        <is>
          <t xml:space="preserve">B1234EXOTIC26</t>
        </is>
      </c>
      <c r="G525" s="33">
        <f>IF($A525="","",IF($C525="","",YEAR($C525)))</f>
      </c>
      <c r="H525" s="34">
        <v>1955</v>
      </c>
      <c r="I525" s="30" t="inlineStr">
        <is>
          <t xml:space="preserve">Bentley</t>
        </is>
      </c>
      <c r="J525" s="30" t="inlineStr">
        <is>
          <t xml:space="preserve">Continental GT</t>
        </is>
      </c>
      <c r="K525" s="30" t="inlineStr">
        <is>
          <t xml:space="preserve">J7DBWF1J81U9KD3W2</t>
        </is>
      </c>
      <c r="L525" s="32" t="inlineStr">
        <is>
          <t xml:space="preserve">02 - Sports / GT</t>
        </is>
      </c>
      <c r="M525" s="35">
        <v>340000</v>
      </c>
      <c r="N525" s="32" t="inlineStr">
        <is>
          <t xml:space="preserve">Personal</t>
        </is>
      </c>
      <c r="O525" s="30" t="inlineStr">
        <is>
          <t xml:space="preserve">Personal - regular use</t>
        </is>
      </c>
      <c r="P525" s="30" t="inlineStr">
        <is>
          <t xml:space="preserve">1,000 - 2,500</t>
        </is>
      </c>
      <c r="Q525" s="30" t="inlineStr">
        <is>
          <t xml:space="preserve">Pennsylvania</t>
        </is>
      </c>
      <c r="R525" s="30" t="inlineStr">
        <is>
          <t xml:space="preserve">19103</t>
        </is>
      </c>
      <c r="S525" s="32" t="inlineStr">
        <is>
          <t xml:space="preserve">Low hazard - inland benign</t>
        </is>
      </c>
      <c r="T525" s="36">
        <f>IF($A525="","",IF($S525="","",IFERROR(INDEX('[1]natural catastrophe'!$D$6:$D$17,MATCH($S525,'[1]natural catastrophe'!$B$6:$B$17,0)),"?")))</f>
      </c>
      <c r="U525" s="30" t="inlineStr">
        <is>
          <t xml:space="preserve">$5,000</t>
        </is>
      </c>
      <c r="V525" s="32" t="inlineStr">
        <is>
          <t xml:space="preserve">Agreed Value</t>
        </is>
      </c>
      <c r="W525" s="30" t="inlineStr">
        <is>
          <t xml:space="preserve">$1,000</t>
        </is>
      </c>
      <c r="X525" s="32" t="inlineStr">
        <is>
          <t xml:space="preserve">$1,000,000 CSL</t>
        </is>
      </c>
      <c r="Y525" s="30"/>
      <c r="Z525" s="30"/>
      <c r="AA525" s="32" t="inlineStr">
        <is>
          <t xml:space="preserve">Surplus Lines</t>
        </is>
      </c>
      <c r="AB525" s="35">
        <v>3661.41</v>
      </c>
      <c r="AC525" s="37">
        <v>0</v>
      </c>
      <c r="AD525" s="38">
        <f>IF(ISNUMBER($AB525),$AB525*(1+N($AC525)),"")</f>
      </c>
      <c r="AE525" s="35">
        <v>350</v>
      </c>
      <c r="AF525" s="35">
        <v>0</v>
      </c>
      <c r="AG525" s="37"/>
      <c r="AH525" s="39">
        <f>IF(ISNUMBER($AD525),($AD525+$AE525+$AF525)*$AG525,"")</f>
      </c>
      <c r="AI525" s="35"/>
      <c r="AJ525" s="38">
        <f>IF(ISNUMBER($AD525),SUM($AD525:$AH525),"")</f>
      </c>
      <c r="AK525" s="40">
        <f>IF(AND(ISNUMBER($AB525),ISNUMBER($AD525)),IF($AB525&gt;0,$AD525/$AB525,""),"")</f>
      </c>
      <c r="AL525" s="32" t="inlineStr">
        <is>
          <t xml:space="preserve">At technical</t>
        </is>
      </c>
      <c r="AM525" s="41">
        <f>IF(ISNUMBER($AD525),Header!$I$3,"")</f>
      </c>
      <c r="AN525" s="39">
        <f>IF(ISNUMBER($AD525),$AO525+$AP525,"")</f>
      </c>
      <c r="AO525" s="39">
        <f>IF(ISNUMBER($AD525),ROUND($AD525*Header!$K$3,2),"")</f>
      </c>
      <c r="AP525" s="39">
        <f>IF(ISNUMBER($AD525),ROUND($AD525*Header!$M$3,2),"")</f>
      </c>
      <c r="AQ525" s="38">
        <f>IF(ISNUMBER($AD525),ROUND($AD525,2)-$AO525-$AP525,"")</f>
      </c>
      <c r="AR525" s="39">
        <f>IF(ISNUMBER($AD525),IF(Header!$D$34="","?",$AD525*Header!$D$34),"")</f>
      </c>
      <c r="AS525" s="39">
        <f>IF(ISNUMBER($AB525),IF(Header!$D$34="","?",$AB525*Header!$D$34),"")</f>
      </c>
      <c r="AT525" s="42">
        <f>IF(AND(ISNUMBER($AB525),$M525&gt;0),$AB525/$M525*100,"")</f>
      </c>
      <c r="AU525" s="42">
        <f>IF(AND(ISNUMBER($AD525),$M525&gt;0),$AD525/$M525*100,"")</f>
      </c>
      <c r="AV525" s="40">
        <f>IF(AND(ISNUMBER($AB525),ISNUMBER($AD525),ABS($AB525)&gt;0),$AD525/$AB525,"")</f>
      </c>
      <c r="AW525" s="39">
        <f>IF(ISNUMBER($AD525),MAX(0,(1-0.55-Header!$O$3)*Header!$Q$3*$AQ525),"")</f>
      </c>
      <c r="AX525" s="43">
        <f>IF($A525="","",IF(TRIM(IF($A525="","Missing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",""))="","PASS","FAIL: "&amp;TRIM(IF($A525="","Missing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f>
      </c>
      <c r="AY525" s="44">
        <f>IF($M525="","",IF(ISNUMBER($M525),IF($M525&gt;=Header!$C$18,"YES — refer","No"),""))</f>
      </c>
      <c r="AZ525" s="44">
        <f>IF($AD525="","",IF(ISNUMBER($AD525),IF($AD525&lt;Header!$C$20,"BELOW MIN PREMIUM","OK"),""))</f>
      </c>
      <c r="BA525" s="32" t="inlineStr">
        <is>
          <t xml:space="preserve">Yes</t>
        </is>
      </c>
      <c r="BB525" s="32" t="inlineStr">
        <is>
          <t xml:space="preserve">Yes</t>
        </is>
      </c>
      <c r="BC525" s="30" t="inlineStr">
        <is>
          <t xml:space="preserve">Synthetic demo data</t>
        </is>
      </c>
      <c r="BE525" s="45">
        <f>IF(OR($A525="",$L525="",$H525=""),"",IF(AND(LEFT($L525,2)="06",$H525&gt;1945),"FAIL - pre-war class, year "&amp;$H525,IF(AND(LEFT($L525,2)="07",OR($H525&lt;1946,$H525&gt;1972)),"FAIL - 1946-72 class, year "&amp;$H525,IF(AND(LEFT($L525,2)="08",OR($H525&lt;1973,$H525&gt;1999)),"FAIL - 1973-99 class, year "&amp;$H525,IF(AND(LEFT($L525,2)="09",OR($H525&lt;2000,$H525&gt;2010)),"FAIL - 2000-10 class, year "&amp;$H525,"OK")))))</f>
      </c>
      <c r="BF525" s="45">
        <f>IF($AD525="","",IF(ROUND($AO525+$AP525+$AQ525-$AD525,2)=0,"OK","FAIL - out by "&amp;TEXT($AO525+$AP525+$AQ525-$AD525,"$0.00")))</f>
      </c>
    </row>
    <row r="526" spans="1:58" ht="18.75" customHeight="1" x14ac:dyDescent="0.25">
      <c r="A526" s="46" t="inlineStr">
        <is>
          <t xml:space="preserve">CANON-202607-010236</t>
        </is>
      </c>
      <c r="B526" s="46" t="inlineStr">
        <is>
          <t xml:space="preserve">Leopold Pennington</t>
        </is>
      </c>
      <c r="C526" s="47">
        <v>46204</v>
      </c>
      <c r="D526" s="48" t="inlineStr">
        <is>
          <t xml:space="preserve">Bound - within authority</t>
        </is>
      </c>
      <c r="E526" s="48" t="inlineStr">
        <is>
          <t xml:space="preserve">New business</t>
        </is>
      </c>
      <c r="F526" s="46" t="inlineStr">
        <is>
          <t xml:space="preserve">B1234EXOTIC26</t>
        </is>
      </c>
      <c r="G526" s="33">
        <f>IF($A526="","",IF($C526="","",YEAR($C526)))</f>
      </c>
      <c r="H526" s="49">
        <v>1971</v>
      </c>
      <c r="I526" s="46" t="inlineStr">
        <is>
          <t xml:space="preserve">Bugatti</t>
        </is>
      </c>
      <c r="J526" s="46" t="inlineStr">
        <is>
          <t xml:space="preserve">Type 57</t>
        </is>
      </c>
      <c r="K526" s="46" t="inlineStr">
        <is>
          <t xml:space="preserve">FPH8HDZUZG688VGG3</t>
        </is>
      </c>
      <c r="L526" s="48" t="inlineStr">
        <is>
          <t xml:space="preserve">07 - Post-War Classic (1946-1972)</t>
        </is>
      </c>
      <c r="M526" s="50">
        <v>370000</v>
      </c>
      <c r="N526" s="48" t="inlineStr">
        <is>
          <t xml:space="preserve">Personal</t>
        </is>
      </c>
      <c r="O526" s="46" t="inlineStr">
        <is>
          <t xml:space="preserve">Personal - regular use</t>
        </is>
      </c>
      <c r="P526" s="46" t="inlineStr">
        <is>
          <t xml:space="preserve">1,000 - 2,500</t>
        </is>
      </c>
      <c r="Q526" s="46" t="inlineStr">
        <is>
          <t xml:space="preserve">Florida</t>
        </is>
      </c>
      <c r="R526" s="46" t="inlineStr">
        <is>
          <t xml:space="preserve">33139</t>
        </is>
      </c>
      <c r="S526" s="48" t="inlineStr">
        <is>
          <t xml:space="preserve">Tier 2 - Coastal wind (1-25 miles)</t>
        </is>
      </c>
      <c r="T526" s="36">
        <f>IF($A526="","",IF($S526="","",IFERROR(INDEX('[1]natural catastrophe'!$D$6:$D$17,MATCH($S526,'[1]natural catastrophe'!$B$6:$B$17,0)),"?")))</f>
      </c>
      <c r="U526" s="46" t="inlineStr">
        <is>
          <t xml:space="preserve">2% of agreed value, minimum $10,000</t>
        </is>
      </c>
      <c r="V526" s="48" t="inlineStr">
        <is>
          <t xml:space="preserve">Agreed Value</t>
        </is>
      </c>
      <c r="W526" s="46" t="inlineStr">
        <is>
          <t xml:space="preserve">$1,000</t>
        </is>
      </c>
      <c r="X526" s="48" t="inlineStr">
        <is>
          <t xml:space="preserve">$1,000,000 CSL</t>
        </is>
      </c>
      <c r="Y526" s="46"/>
      <c r="Z526" s="46"/>
      <c r="AA526" s="48" t="inlineStr">
        <is>
          <t xml:space="preserve">Surplus Lines</t>
        </is>
      </c>
      <c r="AB526" s="50">
        <v>3168.46</v>
      </c>
      <c r="AC526" s="51">
        <v>0</v>
      </c>
      <c r="AD526" s="38">
        <f>IF(ISNUMBER($AB526),$AB526*(1+N($AC526)),"")</f>
      </c>
      <c r="AE526" s="50">
        <v>350</v>
      </c>
      <c r="AF526" s="50">
        <v>0</v>
      </c>
      <c r="AG526" s="51"/>
      <c r="AH526" s="39">
        <f>IF(ISNUMBER($AD526),($AD526+$AE526+$AF526)*$AG526,"")</f>
      </c>
      <c r="AI526" s="50"/>
      <c r="AJ526" s="38">
        <f>IF(ISNUMBER($AD526),SUM($AD526:$AH526),"")</f>
      </c>
      <c r="AK526" s="40">
        <f>IF(AND(ISNUMBER($AB526),ISNUMBER($AD526)),IF($AB526&gt;0,$AD526/$AB526,""),"")</f>
      </c>
      <c r="AL526" s="48" t="inlineStr">
        <is>
          <t xml:space="preserve">At technical</t>
        </is>
      </c>
      <c r="AM526" s="41">
        <f>IF(ISNUMBER($AD526),Header!$I$3,"")</f>
      </c>
      <c r="AN526" s="39">
        <f>IF(ISNUMBER($AD526),$AO526+$AP526,"")</f>
      </c>
      <c r="AO526" s="39">
        <f>IF(ISNUMBER($AD526),ROUND($AD526*Header!$K$3,2),"")</f>
      </c>
      <c r="AP526" s="39">
        <f>IF(ISNUMBER($AD526),ROUND($AD526*Header!$M$3,2),"")</f>
      </c>
      <c r="AQ526" s="38">
        <f>IF(ISNUMBER($AD526),ROUND($AD526,2)-$AO526-$AP526,"")</f>
      </c>
      <c r="AR526" s="39">
        <f>IF(ISNUMBER($AD526),IF(Header!$D$34="","?",$AD526*Header!$D$34),"")</f>
      </c>
      <c r="AS526" s="39">
        <f>IF(ISNUMBER($AB526),IF(Header!$D$34="","?",$AB526*Header!$D$34),"")</f>
      </c>
      <c r="AT526" s="42">
        <f>IF(AND(ISNUMBER($AB526),$M526&gt;0),$AB526/$M526*100,"")</f>
      </c>
      <c r="AU526" s="42">
        <f>IF(AND(ISNUMBER($AD526),$M526&gt;0),$AD526/$M526*100,"")</f>
      </c>
      <c r="AV526" s="40">
        <f>IF(AND(ISNUMBER($AB526),ISNUMBER($AD526),ABS($AB526)&gt;0),$AD526/$AB526,"")</f>
      </c>
      <c r="AW526" s="39">
        <f>IF(ISNUMBER($AD526),MAX(0,(1-0.55-Header!$O$3)*Header!$Q$3*$AQ526),"")</f>
      </c>
      <c r="AX526" s="43">
        <f>IF($A526="","",IF(TRIM(IF($A526="","Missing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",""))="","PASS","FAIL: "&amp;TRIM(IF($A526="","Missing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f>
      </c>
      <c r="AY526" s="44">
        <f>IF($M526="","",IF(ISNUMBER($M526),IF($M526&gt;=Header!$C$18,"YES — refer","No"),""))</f>
      </c>
      <c r="AZ526" s="44">
        <f>IF($AD526="","",IF(ISNUMBER($AD526),IF($AD526&lt;Header!$C$20,"BELOW MIN PREMIUM","OK"),""))</f>
      </c>
      <c r="BA526" s="48" t="inlineStr">
        <is>
          <t xml:space="preserve">Yes</t>
        </is>
      </c>
      <c r="BB526" s="48" t="inlineStr">
        <is>
          <t xml:space="preserve">Yes</t>
        </is>
      </c>
      <c r="BC526" s="46" t="inlineStr">
        <is>
          <t xml:space="preserve">Synthetic demo data</t>
        </is>
      </c>
      <c r="BE526" s="45">
        <f>IF(OR($A526="",$L526="",$H526=""),"",IF(AND(LEFT($L526,2)="06",$H526&gt;1945),"FAIL - pre-war class, year "&amp;$H526,IF(AND(LEFT($L526,2)="07",OR($H526&lt;1946,$H526&gt;1972)),"FAIL - 1946-72 class, year "&amp;$H526,IF(AND(LEFT($L526,2)="08",OR($H526&lt;1973,$H526&gt;1999)),"FAIL - 1973-99 class, year "&amp;$H526,IF(AND(LEFT($L526,2)="09",OR($H526&lt;2000,$H526&gt;2010)),"FAIL - 2000-10 class, year "&amp;$H526,"OK")))))</f>
      </c>
      <c r="BF526" s="45">
        <f>IF($AD526="","",IF(ROUND($AO526+$AP526+$AQ526-$AD526,2)=0,"OK","FAIL - out by "&amp;TEXT($AO526+$AP526+$AQ526-$AD526,"$0.00")))</f>
      </c>
    </row>
    <row r="527" spans="1:58" ht="18.75" customHeight="1" x14ac:dyDescent="0.25">
      <c r="A527" s="30" t="inlineStr">
        <is>
          <t xml:space="preserve">CANON-202607-010237</t>
        </is>
      </c>
      <c r="B527" s="30" t="inlineStr">
        <is>
          <t xml:space="preserve">Lorenzo Blackwood</t>
        </is>
      </c>
      <c r="C527" s="31">
        <v>46228</v>
      </c>
      <c r="D527" s="32" t="inlineStr">
        <is>
          <t xml:space="preserve">Bound - within authority</t>
        </is>
      </c>
      <c r="E527" s="32" t="inlineStr">
        <is>
          <t xml:space="preserve">New business</t>
        </is>
      </c>
      <c r="F527" s="30" t="inlineStr">
        <is>
          <t xml:space="preserve">B1234EXOTIC26</t>
        </is>
      </c>
      <c r="G527" s="33">
        <f>IF($A527="","",IF($C527="","",YEAR($C527)))</f>
      </c>
      <c r="H527" s="34">
        <v>1992</v>
      </c>
      <c r="I527" s="30" t="inlineStr">
        <is>
          <t xml:space="preserve">Aston Martin</t>
        </is>
      </c>
      <c r="J527" s="30" t="inlineStr">
        <is>
          <t xml:space="preserve">DB12</t>
        </is>
      </c>
      <c r="K527" s="30" t="inlineStr">
        <is>
          <t xml:space="preserve">ZY3K32R2D95H99HHZ</t>
        </is>
      </c>
      <c r="L527" s="32" t="inlineStr">
        <is>
          <t xml:space="preserve">02 - Sports / GT</t>
        </is>
      </c>
      <c r="M527" s="35">
        <v>1505000</v>
      </c>
      <c r="N527" s="32" t="inlineStr">
        <is>
          <t xml:space="preserve">Personal</t>
        </is>
      </c>
      <c r="O527" s="30" t="inlineStr">
        <is>
          <t xml:space="preserve">Personal - regular use</t>
        </is>
      </c>
      <c r="P527" s="30" t="inlineStr">
        <is>
          <t xml:space="preserve">1,000 - 2,500</t>
        </is>
      </c>
      <c r="Q527" s="30" t="inlineStr">
        <is>
          <t xml:space="preserve">Louisiana</t>
        </is>
      </c>
      <c r="R527" s="30" t="inlineStr">
        <is>
          <t xml:space="preserve">70112</t>
        </is>
      </c>
      <c r="S527" s="32" t="inlineStr">
        <is>
          <t xml:space="preserve">Tier 2 - Coastal wind (1-25 miles)</t>
        </is>
      </c>
      <c r="T527" s="36">
        <f>IF($A527="","",IF($S527="","",IFERROR(INDEX('[1]natural catastrophe'!$D$6:$D$17,MATCH($S527,'[1]natural catastrophe'!$B$6:$B$17,0)),"?")))</f>
      </c>
      <c r="U527" s="30" t="inlineStr">
        <is>
          <t xml:space="preserve">2% of agreed value, minimum $10,000</t>
        </is>
      </c>
      <c r="V527" s="32" t="inlineStr">
        <is>
          <t xml:space="preserve">Agreed Value</t>
        </is>
      </c>
      <c r="W527" s="30" t="inlineStr">
        <is>
          <t xml:space="preserve">$1,000</t>
        </is>
      </c>
      <c r="X527" s="32" t="inlineStr">
        <is>
          <t xml:space="preserve">$1,000,000 CSL</t>
        </is>
      </c>
      <c r="Y527" s="30"/>
      <c r="Z527" s="30"/>
      <c r="AA527" s="32" t="inlineStr">
        <is>
          <t xml:space="preserve">Surplus Lines</t>
        </is>
      </c>
      <c r="AB527" s="35">
        <v>14381.14</v>
      </c>
      <c r="AC527" s="37">
        <v>0</v>
      </c>
      <c r="AD527" s="38">
        <f>IF(ISNUMBER($AB527),$AB527*(1+N($AC527)),"")</f>
      </c>
      <c r="AE527" s="35">
        <v>350</v>
      </c>
      <c r="AF527" s="35">
        <v>250</v>
      </c>
      <c r="AG527" s="37"/>
      <c r="AH527" s="39">
        <f>IF(ISNUMBER($AD527),($AD527+$AE527+$AF527)*$AG527,"")</f>
      </c>
      <c r="AI527" s="35"/>
      <c r="AJ527" s="38">
        <f>IF(ISNUMBER($AD527),SUM($AD527:$AH527),"")</f>
      </c>
      <c r="AK527" s="40">
        <f>IF(AND(ISNUMBER($AB527),ISNUMBER($AD527)),IF($AB527&gt;0,$AD527/$AB527,""),"")</f>
      </c>
      <c r="AL527" s="32" t="inlineStr">
        <is>
          <t xml:space="preserve">At technical</t>
        </is>
      </c>
      <c r="AM527" s="41">
        <f>IF(ISNUMBER($AD527),Header!$I$3,"")</f>
      </c>
      <c r="AN527" s="39">
        <f>IF(ISNUMBER($AD527),$AO527+$AP527,"")</f>
      </c>
      <c r="AO527" s="39">
        <f>IF(ISNUMBER($AD527),ROUND($AD527*Header!$K$3,2),"")</f>
      </c>
      <c r="AP527" s="39">
        <f>IF(ISNUMBER($AD527),ROUND($AD527*Header!$M$3,2),"")</f>
      </c>
      <c r="AQ527" s="38">
        <f>IF(ISNUMBER($AD527),ROUND($AD527,2)-$AO527-$AP527,"")</f>
      </c>
      <c r="AR527" s="39">
        <f>IF(ISNUMBER($AD527),IF(Header!$D$34="","?",$AD527*Header!$D$34),"")</f>
      </c>
      <c r="AS527" s="39">
        <f>IF(ISNUMBER($AB527),IF(Header!$D$34="","?",$AB527*Header!$D$34),"")</f>
      </c>
      <c r="AT527" s="42">
        <f>IF(AND(ISNUMBER($AB527),$M527&gt;0),$AB527/$M527*100,"")</f>
      </c>
      <c r="AU527" s="42">
        <f>IF(AND(ISNUMBER($AD527),$M527&gt;0),$AD527/$M527*100,"")</f>
      </c>
      <c r="AV527" s="40">
        <f>IF(AND(ISNUMBER($AB527),ISNUMBER($AD527),ABS($AB527)&gt;0),$AD527/$AB527,"")</f>
      </c>
      <c r="AW527" s="39">
        <f>IF(ISNUMBER($AD527),MAX(0,(1-0.55-Header!$O$3)*Header!$Q$3*$AQ527),"")</f>
      </c>
      <c r="AX527" s="43">
        <f>IF($A527="","",IF(TRIM(IF($A527="","Missing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",""))="","PASS","FAIL: "&amp;TRIM(IF($A527="","Missing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f>
      </c>
      <c r="AY527" s="44">
        <f>IF($M527="","",IF(ISNUMBER($M527),IF($M527&gt;=Header!$C$18,"YES — refer","No"),""))</f>
      </c>
      <c r="AZ527" s="44">
        <f>IF($AD527="","",IF(ISNUMBER($AD527),IF($AD527&lt;Header!$C$20,"BELOW MIN PREMIUM","OK"),""))</f>
      </c>
      <c r="BA527" s="32" t="inlineStr">
        <is>
          <t xml:space="preserve">Yes</t>
        </is>
      </c>
      <c r="BB527" s="32" t="inlineStr">
        <is>
          <t xml:space="preserve">Yes</t>
        </is>
      </c>
      <c r="BC527" s="30" t="inlineStr">
        <is>
          <t xml:space="preserve">Synthetic demo data</t>
        </is>
      </c>
      <c r="BE527" s="45">
        <f>IF(OR($A527="",$L527="",$H527=""),"",IF(AND(LEFT($L527,2)="06",$H527&gt;1945),"FAIL - pre-war class, year "&amp;$H527,IF(AND(LEFT($L527,2)="07",OR($H527&lt;1946,$H527&gt;1972)),"FAIL - 1946-72 class, year "&amp;$H527,IF(AND(LEFT($L527,2)="08",OR($H527&lt;1973,$H527&gt;1999)),"FAIL - 1973-99 class, year "&amp;$H527,IF(AND(LEFT($L527,2)="09",OR($H527&lt;2000,$H527&gt;2010)),"FAIL - 2000-10 class, year "&amp;$H527,"OK")))))</f>
      </c>
      <c r="BF527" s="45">
        <f>IF($AD527="","",IF(ROUND($AO527+$AP527+$AQ527-$AD527,2)=0,"OK","FAIL - out by "&amp;TEXT($AO527+$AP527+$AQ527-$AD527,"$0.00")))</f>
      </c>
    </row>
    <row r="528" spans="1:58" ht="18.75" customHeight="1" x14ac:dyDescent="0.25">
      <c r="A528" s="46" t="inlineStr">
        <is>
          <t xml:space="preserve">CANON-202607-010238</t>
        </is>
      </c>
      <c r="B528" s="46" t="inlineStr">
        <is>
          <t xml:space="preserve">Fenwick Ashcombe</t>
        </is>
      </c>
      <c r="C528" s="47">
        <v>46216</v>
      </c>
      <c r="D528" s="48" t="inlineStr">
        <is>
          <t xml:space="preserve">Bound - within authority</t>
        </is>
      </c>
      <c r="E528" s="48" t="inlineStr">
        <is>
          <t xml:space="preserve">New business</t>
        </is>
      </c>
      <c r="F528" s="46" t="inlineStr">
        <is>
          <t xml:space="preserve">B1234EXOTIC26</t>
        </is>
      </c>
      <c r="G528" s="33">
        <f>IF($A528="","",IF($C528="","",YEAR($C528)))</f>
      </c>
      <c r="H528" s="49">
        <v>1997</v>
      </c>
      <c r="I528" s="46" t="inlineStr">
        <is>
          <t xml:space="preserve">BMW</t>
        </is>
      </c>
      <c r="J528" s="46" t="inlineStr">
        <is>
          <t xml:space="preserve">M8 Competition</t>
        </is>
      </c>
      <c r="K528" s="46" t="inlineStr">
        <is>
          <t xml:space="preserve">XWA74M9YEN8MK8D03</t>
        </is>
      </c>
      <c r="L528" s="48" t="inlineStr">
        <is>
          <t xml:space="preserve">02 - Sports / GT</t>
        </is>
      </c>
      <c r="M528" s="50">
        <v>575000</v>
      </c>
      <c r="N528" s="48" t="inlineStr">
        <is>
          <t xml:space="preserve">Personal</t>
        </is>
      </c>
      <c r="O528" s="46" t="inlineStr">
        <is>
          <t xml:space="preserve">Personal - regular use</t>
        </is>
      </c>
      <c r="P528" s="46" t="inlineStr">
        <is>
          <t xml:space="preserve">Under 1,000</t>
        </is>
      </c>
      <c r="Q528" s="46" t="inlineStr">
        <is>
          <t xml:space="preserve">Georgia</t>
        </is>
      </c>
      <c r="R528" s="46" t="inlineStr">
        <is>
          <t xml:space="preserve">30303</t>
        </is>
      </c>
      <c r="S528" s="48" t="inlineStr">
        <is>
          <t xml:space="preserve">Tier 2 - Coastal wind (1-25 miles)</t>
        </is>
      </c>
      <c r="T528" s="36">
        <f>IF($A528="","",IF($S528="","",IFERROR(INDEX('[1]natural catastrophe'!$D$6:$D$17,MATCH($S528,'[1]natural catastrophe'!$B$6:$B$17,0)),"?")))</f>
      </c>
      <c r="U528" s="46" t="inlineStr">
        <is>
          <t xml:space="preserve">2% of agreed value, minimum $10,000</t>
        </is>
      </c>
      <c r="V528" s="48" t="inlineStr">
        <is>
          <t xml:space="preserve">Agreed Value</t>
        </is>
      </c>
      <c r="W528" s="46" t="inlineStr">
        <is>
          <t xml:space="preserve">$1,000</t>
        </is>
      </c>
      <c r="X528" s="48" t="inlineStr">
        <is>
          <t xml:space="preserve">$1,000,000 CSL</t>
        </is>
      </c>
      <c r="Y528" s="46"/>
      <c r="Z528" s="46"/>
      <c r="AA528" s="48" t="inlineStr">
        <is>
          <t xml:space="preserve">Surplus Lines</t>
        </is>
      </c>
      <c r="AB528" s="50">
        <v>6010.46</v>
      </c>
      <c r="AC528" s="51">
        <v>0</v>
      </c>
      <c r="AD528" s="38">
        <f>IF(ISNUMBER($AB528),$AB528*(1+N($AC528)),"")</f>
      </c>
      <c r="AE528" s="50">
        <v>350</v>
      </c>
      <c r="AF528" s="50">
        <v>0</v>
      </c>
      <c r="AG528" s="51"/>
      <c r="AH528" s="39">
        <f>IF(ISNUMBER($AD528),($AD528+$AE528+$AF528)*$AG528,"")</f>
      </c>
      <c r="AI528" s="50"/>
      <c r="AJ528" s="38">
        <f>IF(ISNUMBER($AD528),SUM($AD528:$AH528),"")</f>
      </c>
      <c r="AK528" s="40">
        <f>IF(AND(ISNUMBER($AB528),ISNUMBER($AD528)),IF($AB528&gt;0,$AD528/$AB528,""),"")</f>
      </c>
      <c r="AL528" s="48" t="inlineStr">
        <is>
          <t xml:space="preserve">At technical</t>
        </is>
      </c>
      <c r="AM528" s="41">
        <f>IF(ISNUMBER($AD528),Header!$I$3,"")</f>
      </c>
      <c r="AN528" s="39">
        <f>IF(ISNUMBER($AD528),$AO528+$AP528,"")</f>
      </c>
      <c r="AO528" s="39">
        <f>IF(ISNUMBER($AD528),ROUND($AD528*Header!$K$3,2),"")</f>
      </c>
      <c r="AP528" s="39">
        <f>IF(ISNUMBER($AD528),ROUND($AD528*Header!$M$3,2),"")</f>
      </c>
      <c r="AQ528" s="38">
        <f>IF(ISNUMBER($AD528),ROUND($AD528,2)-$AO528-$AP528,"")</f>
      </c>
      <c r="AR528" s="39">
        <f>IF(ISNUMBER($AD528),IF(Header!$D$34="","?",$AD528*Header!$D$34),"")</f>
      </c>
      <c r="AS528" s="39">
        <f>IF(ISNUMBER($AB528),IF(Header!$D$34="","?",$AB528*Header!$D$34),"")</f>
      </c>
      <c r="AT528" s="42">
        <f>IF(AND(ISNUMBER($AB528),$M528&gt;0),$AB528/$M528*100,"")</f>
      </c>
      <c r="AU528" s="42">
        <f>IF(AND(ISNUMBER($AD528),$M528&gt;0),$AD528/$M528*100,"")</f>
      </c>
      <c r="AV528" s="40">
        <f>IF(AND(ISNUMBER($AB528),ISNUMBER($AD528),ABS($AB528)&gt;0),$AD528/$AB528,"")</f>
      </c>
      <c r="AW528" s="39">
        <f>IF(ISNUMBER($AD528),MAX(0,(1-0.55-Header!$O$3)*Header!$Q$3*$AQ528),"")</f>
      </c>
      <c r="AX528" s="43">
        <f>IF($A528="","",IF(TRIM(IF($A528="","Missing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",""))="","PASS","FAIL: "&amp;TRIM(IF($A528="","Missing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f>
      </c>
      <c r="AY528" s="44">
        <f>IF($M528="","",IF(ISNUMBER($M528),IF($M528&gt;=Header!$C$18,"YES — refer","No"),""))</f>
      </c>
      <c r="AZ528" s="44">
        <f>IF($AD528="","",IF(ISNUMBER($AD528),IF($AD528&lt;Header!$C$20,"BELOW MIN PREMIUM","OK"),""))</f>
      </c>
      <c r="BA528" s="48" t="inlineStr">
        <is>
          <t xml:space="preserve">Yes</t>
        </is>
      </c>
      <c r="BB528" s="48" t="inlineStr">
        <is>
          <t xml:space="preserve">Yes</t>
        </is>
      </c>
      <c r="BC528" s="46" t="inlineStr">
        <is>
          <t xml:space="preserve">Synthetic demo data</t>
        </is>
      </c>
      <c r="BE528" s="45">
        <f>IF(OR($A528="",$L528="",$H528=""),"",IF(AND(LEFT($L528,2)="06",$H528&gt;1945),"FAIL - pre-war class, year "&amp;$H528,IF(AND(LEFT($L528,2)="07",OR($H528&lt;1946,$H528&gt;1972)),"FAIL - 1946-72 class, year "&amp;$H528,IF(AND(LEFT($L528,2)="08",OR($H528&lt;1973,$H528&gt;1999)),"FAIL - 1973-99 class, year "&amp;$H528,IF(AND(LEFT($L528,2)="09",OR($H528&lt;2000,$H528&gt;2010)),"FAIL - 2000-10 class, year "&amp;$H528,"OK")))))</f>
      </c>
      <c r="BF528" s="45">
        <f>IF($AD528="","",IF(ROUND($AO528+$AP528+$AQ528-$AD528,2)=0,"OK","FAIL - out by "&amp;TEXT($AO528+$AP528+$AQ528-$AD528,"$0.00")))</f>
      </c>
    </row>
    <row r="529" spans="1:58" ht="18.75" customHeight="1" x14ac:dyDescent="0.25">
      <c r="A529" s="30" t="inlineStr">
        <is>
          <t xml:space="preserve">CANON-202607-010239</t>
        </is>
      </c>
      <c r="B529" s="30" t="inlineStr">
        <is>
          <t xml:space="preserve">Ingrid Blackwood</t>
        </is>
      </c>
      <c r="C529" s="31">
        <v>46206</v>
      </c>
      <c r="D529" s="32" t="inlineStr">
        <is>
          <t xml:space="preserve">Bound - within authority</t>
        </is>
      </c>
      <c r="E529" s="32" t="inlineStr">
        <is>
          <t xml:space="preserve">New business</t>
        </is>
      </c>
      <c r="F529" s="30" t="inlineStr">
        <is>
          <t xml:space="preserve">B1234EXOTIC26</t>
        </is>
      </c>
      <c r="G529" s="33">
        <f>IF($A529="","",IF($C529="","",YEAR($C529)))</f>
      </c>
      <c r="H529" s="34">
        <v>1967</v>
      </c>
      <c r="I529" s="30" t="inlineStr">
        <is>
          <t xml:space="preserve">Lamborghini</t>
        </is>
      </c>
      <c r="J529" s="30" t="inlineStr">
        <is>
          <t xml:space="preserve">Huracan EVO</t>
        </is>
      </c>
      <c r="K529" s="30" t="inlineStr">
        <is>
          <t xml:space="preserve">S6UWNM8GAFW4FH302</t>
        </is>
      </c>
      <c r="L529" s="32" t="inlineStr">
        <is>
          <t xml:space="preserve">03 - Supercar</t>
        </is>
      </c>
      <c r="M529" s="35">
        <v>860000</v>
      </c>
      <c r="N529" s="32" t="inlineStr">
        <is>
          <t xml:space="preserve">Personal</t>
        </is>
      </c>
      <c r="O529" s="30" t="inlineStr">
        <is>
          <t xml:space="preserve">Personal - regular use</t>
        </is>
      </c>
      <c r="P529" s="30" t="inlineStr">
        <is>
          <t xml:space="preserve">Under 1,000</t>
        </is>
      </c>
      <c r="Q529" s="30" t="inlineStr">
        <is>
          <t xml:space="preserve">Texas</t>
        </is>
      </c>
      <c r="R529" s="30" t="inlineStr">
        <is>
          <t xml:space="preserve">75201</t>
        </is>
      </c>
      <c r="S529" s="32" t="inlineStr">
        <is>
          <t xml:space="preserve">Tier 2 - Coastal wind (1-25 miles)</t>
        </is>
      </c>
      <c r="T529" s="36">
        <f>IF($A529="","",IF($S529="","",IFERROR(INDEX('[1]natural catastrophe'!$D$6:$D$17,MATCH($S529,'[1]natural catastrophe'!$B$6:$B$17,0)),"?")))</f>
      </c>
      <c r="U529" s="30" t="inlineStr">
        <is>
          <t xml:space="preserve">2% of agreed value, minimum $10,000</t>
        </is>
      </c>
      <c r="V529" s="32" t="inlineStr">
        <is>
          <t xml:space="preserve">Agreed Value</t>
        </is>
      </c>
      <c r="W529" s="30" t="inlineStr">
        <is>
          <t xml:space="preserve">$1,000</t>
        </is>
      </c>
      <c r="X529" s="32" t="inlineStr">
        <is>
          <t xml:space="preserve">$1,000,000 CSL</t>
        </is>
      </c>
      <c r="Y529" s="30"/>
      <c r="Z529" s="30"/>
      <c r="AA529" s="32" t="inlineStr">
        <is>
          <t xml:space="preserve">Surplus Lines</t>
        </is>
      </c>
      <c r="AB529" s="35">
        <v>13490.52</v>
      </c>
      <c r="AC529" s="37">
        <v>0</v>
      </c>
      <c r="AD529" s="38">
        <f>IF(ISNUMBER($AB529),$AB529*(1+N($AC529)),"")</f>
      </c>
      <c r="AE529" s="35">
        <v>350</v>
      </c>
      <c r="AF529" s="35">
        <v>0</v>
      </c>
      <c r="AG529" s="37"/>
      <c r="AH529" s="39">
        <f>IF(ISNUMBER($AD529),($AD529+$AE529+$AF529)*$AG529,"")</f>
      </c>
      <c r="AI529" s="35"/>
      <c r="AJ529" s="38">
        <f>IF(ISNUMBER($AD529),SUM($AD529:$AH529),"")</f>
      </c>
      <c r="AK529" s="40">
        <f>IF(AND(ISNUMBER($AB529),ISNUMBER($AD529)),IF($AB529&gt;0,$AD529/$AB529,""),"")</f>
      </c>
      <c r="AL529" s="32" t="inlineStr">
        <is>
          <t xml:space="preserve">At technical</t>
        </is>
      </c>
      <c r="AM529" s="41">
        <f>IF(ISNUMBER($AD529),Header!$I$3,"")</f>
      </c>
      <c r="AN529" s="39">
        <f>IF(ISNUMBER($AD529),$AO529+$AP529,"")</f>
      </c>
      <c r="AO529" s="39">
        <f>IF(ISNUMBER($AD529),ROUND($AD529*Header!$K$3,2),"")</f>
      </c>
      <c r="AP529" s="39">
        <f>IF(ISNUMBER($AD529),ROUND($AD529*Header!$M$3,2),"")</f>
      </c>
      <c r="AQ529" s="38">
        <f>IF(ISNUMBER($AD529),ROUND($AD529,2)-$AO529-$AP529,"")</f>
      </c>
      <c r="AR529" s="39">
        <f>IF(ISNUMBER($AD529),IF(Header!$D$34="","?",$AD529*Header!$D$34),"")</f>
      </c>
      <c r="AS529" s="39">
        <f>IF(ISNUMBER($AB529),IF(Header!$D$34="","?",$AB529*Header!$D$34),"")</f>
      </c>
      <c r="AT529" s="42">
        <f>IF(AND(ISNUMBER($AB529),$M529&gt;0),$AB529/$M529*100,"")</f>
      </c>
      <c r="AU529" s="42">
        <f>IF(AND(ISNUMBER($AD529),$M529&gt;0),$AD529/$M529*100,"")</f>
      </c>
      <c r="AV529" s="40">
        <f>IF(AND(ISNUMBER($AB529),ISNUMBER($AD529),ABS($AB529)&gt;0),$AD529/$AB529,"")</f>
      </c>
      <c r="AW529" s="39">
        <f>IF(ISNUMBER($AD529),MAX(0,(1-0.55-Header!$O$3)*Header!$Q$3*$AQ529),"")</f>
      </c>
      <c r="AX529" s="43">
        <f>IF($A529="","",IF(TRIM(IF($A529="","Missing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",""))="","PASS","FAIL: "&amp;TRIM(IF($A529="","Missing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f>
      </c>
      <c r="AY529" s="44">
        <f>IF($M529="","",IF(ISNUMBER($M529),IF($M529&gt;=Header!$C$18,"YES — refer","No"),""))</f>
      </c>
      <c r="AZ529" s="44">
        <f>IF($AD529="","",IF(ISNUMBER($AD529),IF($AD529&lt;Header!$C$20,"BELOW MIN PREMIUM","OK"),""))</f>
      </c>
      <c r="BA529" s="32" t="inlineStr">
        <is>
          <t xml:space="preserve">Yes</t>
        </is>
      </c>
      <c r="BB529" s="32" t="inlineStr">
        <is>
          <t xml:space="preserve">Yes</t>
        </is>
      </c>
      <c r="BC529" s="30" t="inlineStr">
        <is>
          <t xml:space="preserve">Synthetic demo data</t>
        </is>
      </c>
      <c r="BE529" s="45">
        <f>IF(OR($A529="",$L529="",$H529=""),"",IF(AND(LEFT($L529,2)="06",$H529&gt;1945),"FAIL - pre-war class, year "&amp;$H529,IF(AND(LEFT($L529,2)="07",OR($H529&lt;1946,$H529&gt;1972)),"FAIL - 1946-72 class, year "&amp;$H529,IF(AND(LEFT($L529,2)="08",OR($H529&lt;1973,$H529&gt;1999)),"FAIL - 1973-99 class, year "&amp;$H529,IF(AND(LEFT($L529,2)="09",OR($H529&lt;2000,$H529&gt;2010)),"FAIL - 2000-10 class, year "&amp;$H529,"OK")))))</f>
      </c>
      <c r="BF529" s="45">
        <f>IF($AD529="","",IF(ROUND($AO529+$AP529+$AQ529-$AD529,2)=0,"OK","FAIL - out by "&amp;TEXT($AO529+$AP529+$AQ529-$AD529,"$0.00")))</f>
      </c>
    </row>
    <row r="530" spans="1:58" ht="18.75" customHeight="1" x14ac:dyDescent="0.25">
      <c r="A530" s="46" t="inlineStr">
        <is>
          <t xml:space="preserve">CANON-202607-010240</t>
        </is>
      </c>
      <c r="B530" s="46" t="inlineStr">
        <is>
          <t xml:space="preserve">Wilhelmina Fairweather</t>
        </is>
      </c>
      <c r="C530" s="47">
        <v>46208</v>
      </c>
      <c r="D530" s="48" t="inlineStr">
        <is>
          <t xml:space="preserve">Bound - within authority</t>
        </is>
      </c>
      <c r="E530" s="48" t="inlineStr">
        <is>
          <t xml:space="preserve">New business</t>
        </is>
      </c>
      <c r="F530" s="46" t="inlineStr">
        <is>
          <t xml:space="preserve">B1234EXOTIC26</t>
        </is>
      </c>
      <c r="G530" s="33">
        <f>IF($A530="","",IF($C530="","",YEAR($C530)))</f>
      </c>
      <c r="H530" s="49">
        <v>1982</v>
      </c>
      <c r="I530" s="46" t="inlineStr">
        <is>
          <t xml:space="preserve">Maserati</t>
        </is>
      </c>
      <c r="J530" s="46" t="inlineStr">
        <is>
          <t xml:space="preserve">GranTurismo</t>
        </is>
      </c>
      <c r="K530" s="46" t="inlineStr">
        <is>
          <t xml:space="preserve">PCNVVHVMGL0JLV4XS</t>
        </is>
      </c>
      <c r="L530" s="48" t="inlineStr">
        <is>
          <t xml:space="preserve">02 - Sports / GT</t>
        </is>
      </c>
      <c r="M530" s="50">
        <v>275000</v>
      </c>
      <c r="N530" s="48" t="inlineStr">
        <is>
          <t xml:space="preserve">Personal</t>
        </is>
      </c>
      <c r="O530" s="46" t="inlineStr">
        <is>
          <t xml:space="preserve">Personal - regular use</t>
        </is>
      </c>
      <c r="P530" s="46" t="inlineStr">
        <is>
          <t xml:space="preserve">Under 1,000</t>
        </is>
      </c>
      <c r="Q530" s="46" t="inlineStr">
        <is>
          <t xml:space="preserve">Texas</t>
        </is>
      </c>
      <c r="R530" s="46" t="inlineStr">
        <is>
          <t xml:space="preserve">75201</t>
        </is>
      </c>
      <c r="S530" s="48" t="inlineStr">
        <is>
          <t xml:space="preserve">Tier 2 - Coastal wind (1-25 miles)</t>
        </is>
      </c>
      <c r="T530" s="36">
        <f>IF($A530="","",IF($S530="","",IFERROR(INDEX('[1]natural catastrophe'!$D$6:$D$17,MATCH($S530,'[1]natural catastrophe'!$B$6:$B$17,0)),"?")))</f>
      </c>
      <c r="U530" s="46" t="inlineStr">
        <is>
          <t xml:space="preserve">2% of agreed value, minimum $10,000</t>
        </is>
      </c>
      <c r="V530" s="48" t="inlineStr">
        <is>
          <t xml:space="preserve">Agreed Value</t>
        </is>
      </c>
      <c r="W530" s="46" t="inlineStr">
        <is>
          <t xml:space="preserve">$1,000</t>
        </is>
      </c>
      <c r="X530" s="48" t="inlineStr">
        <is>
          <t xml:space="preserve">$1,000,000 CSL</t>
        </is>
      </c>
      <c r="Y530" s="46"/>
      <c r="Z530" s="46"/>
      <c r="AA530" s="48" t="inlineStr">
        <is>
          <t xml:space="preserve">Surplus Lines</t>
        </is>
      </c>
      <c r="AB530" s="50">
        <v>3405.66</v>
      </c>
      <c r="AC530" s="51">
        <v>0</v>
      </c>
      <c r="AD530" s="38">
        <f>IF(ISNUMBER($AB530),$AB530*(1+N($AC530)),"")</f>
      </c>
      <c r="AE530" s="50">
        <v>350</v>
      </c>
      <c r="AF530" s="50">
        <v>0</v>
      </c>
      <c r="AG530" s="51"/>
      <c r="AH530" s="39">
        <f>IF(ISNUMBER($AD530),($AD530+$AE530+$AF530)*$AG530,"")</f>
      </c>
      <c r="AI530" s="50"/>
      <c r="AJ530" s="38">
        <f>IF(ISNUMBER($AD530),SUM($AD530:$AH530),"")</f>
      </c>
      <c r="AK530" s="40">
        <f>IF(AND(ISNUMBER($AB530),ISNUMBER($AD530)),IF($AB530&gt;0,$AD530/$AB530,""),"")</f>
      </c>
      <c r="AL530" s="48" t="inlineStr">
        <is>
          <t xml:space="preserve">At technical</t>
        </is>
      </c>
      <c r="AM530" s="41">
        <f>IF(ISNUMBER($AD530),Header!$I$3,"")</f>
      </c>
      <c r="AN530" s="39">
        <f>IF(ISNUMBER($AD530),$AO530+$AP530,"")</f>
      </c>
      <c r="AO530" s="39">
        <f>IF(ISNUMBER($AD530),ROUND($AD530*Header!$K$3,2),"")</f>
      </c>
      <c r="AP530" s="39">
        <f>IF(ISNUMBER($AD530),ROUND($AD530*Header!$M$3,2),"")</f>
      </c>
      <c r="AQ530" s="38">
        <f>IF(ISNUMBER($AD530),ROUND($AD530,2)-$AO530-$AP530,"")</f>
      </c>
      <c r="AR530" s="39">
        <f>IF(ISNUMBER($AD530),IF(Header!$D$34="","?",$AD530*Header!$D$34),"")</f>
      </c>
      <c r="AS530" s="39">
        <f>IF(ISNUMBER($AB530),IF(Header!$D$34="","?",$AB530*Header!$D$34),"")</f>
      </c>
      <c r="AT530" s="42">
        <f>IF(AND(ISNUMBER($AB530),$M530&gt;0),$AB530/$M530*100,"")</f>
      </c>
      <c r="AU530" s="42">
        <f>IF(AND(ISNUMBER($AD530),$M530&gt;0),$AD530/$M530*100,"")</f>
      </c>
      <c r="AV530" s="40">
        <f>IF(AND(ISNUMBER($AB530),ISNUMBER($AD530),ABS($AB530)&gt;0),$AD530/$AB530,"")</f>
      </c>
      <c r="AW530" s="39">
        <f>IF(ISNUMBER($AD530),MAX(0,(1-0.55-Header!$O$3)*Header!$Q$3*$AQ530),"")</f>
      </c>
      <c r="AX530" s="43">
        <f>IF($A530="","",IF(TRIM(IF($A530="","Missing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",""))="","PASS","FAIL: "&amp;TRIM(IF($A530="","Missing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f>
      </c>
      <c r="AY530" s="44">
        <f>IF($M530="","",IF(ISNUMBER($M530),IF($M530&gt;=Header!$C$18,"YES — refer","No"),""))</f>
      </c>
      <c r="AZ530" s="44">
        <f>IF($AD530="","",IF(ISNUMBER($AD530),IF($AD530&lt;Header!$C$20,"BELOW MIN PREMIUM","OK"),""))</f>
      </c>
      <c r="BA530" s="48" t="inlineStr">
        <is>
          <t xml:space="preserve">Yes</t>
        </is>
      </c>
      <c r="BB530" s="48" t="inlineStr">
        <is>
          <t xml:space="preserve">Yes</t>
        </is>
      </c>
      <c r="BC530" s="46" t="inlineStr">
        <is>
          <t xml:space="preserve">Synthetic demo data</t>
        </is>
      </c>
      <c r="BE530" s="45">
        <f>IF(OR($A530="",$L530="",$H530=""),"",IF(AND(LEFT($L530,2)="06",$H530&gt;1945),"FAIL - pre-war class, year "&amp;$H530,IF(AND(LEFT($L530,2)="07",OR($H530&lt;1946,$H530&gt;1972)),"FAIL - 1946-72 class, year "&amp;$H530,IF(AND(LEFT($L530,2)="08",OR($H530&lt;1973,$H530&gt;1999)),"FAIL - 1973-99 class, year "&amp;$H530,IF(AND(LEFT($L530,2)="09",OR($H530&lt;2000,$H530&gt;2010)),"FAIL - 2000-10 class, year "&amp;$H530,"OK")))))</f>
      </c>
      <c r="BF530" s="45">
        <f>IF($AD530="","",IF(ROUND($AO530+$AP530+$AQ530-$AD530,2)=0,"OK","FAIL - out by "&amp;TEXT($AO530+$AP530+$AQ530-$AD530,"$0.00")))</f>
      </c>
    </row>
    <row r="531" spans="1:58" ht="18.75" customHeight="1" x14ac:dyDescent="0.25">
      <c r="A531" s="30" t="inlineStr">
        <is>
          <t xml:space="preserve">CANON-202607-010242</t>
        </is>
      </c>
      <c r="B531" s="30" t="inlineStr">
        <is>
          <t xml:space="preserve">Fenwick Delacroix</t>
        </is>
      </c>
      <c r="C531" s="31">
        <v>46211</v>
      </c>
      <c r="D531" s="32" t="inlineStr">
        <is>
          <t xml:space="preserve">Bound - within authority</t>
        </is>
      </c>
      <c r="E531" s="32" t="inlineStr">
        <is>
          <t xml:space="preserve">New business</t>
        </is>
      </c>
      <c r="F531" s="30" t="inlineStr">
        <is>
          <t xml:space="preserve">B1234EXOTIC26</t>
        </is>
      </c>
      <c r="G531" s="33">
        <f>IF($A531="","",IF($C531="","",YEAR($C531)))</f>
      </c>
      <c r="H531" s="34">
        <v>2020</v>
      </c>
      <c r="I531" s="30" t="inlineStr">
        <is>
          <t xml:space="preserve">Bentley</t>
        </is>
      </c>
      <c r="J531" s="30" t="inlineStr">
        <is>
          <t xml:space="preserve">4.5 Litre</t>
        </is>
      </c>
      <c r="K531" s="30" t="inlineStr">
        <is>
          <t xml:space="preserve">KZ6K3PD40FSJCDDMD</t>
        </is>
      </c>
      <c r="L531" s="32" t="inlineStr">
        <is>
          <t xml:space="preserve">02 - Sports / GT</t>
        </is>
      </c>
      <c r="M531" s="35">
        <v>1395000</v>
      </c>
      <c r="N531" s="32" t="inlineStr">
        <is>
          <t xml:space="preserve">Personal</t>
        </is>
      </c>
      <c r="O531" s="30" t="inlineStr">
        <is>
          <t xml:space="preserve">Personal - regular use</t>
        </is>
      </c>
      <c r="P531" s="30" t="inlineStr">
        <is>
          <t xml:space="preserve">Under 1,000</t>
        </is>
      </c>
      <c r="Q531" s="30" t="inlineStr">
        <is>
          <t xml:space="preserve">Florida</t>
        </is>
      </c>
      <c r="R531" s="30" t="inlineStr">
        <is>
          <t xml:space="preserve">33139</t>
        </is>
      </c>
      <c r="S531" s="32" t="inlineStr">
        <is>
          <t xml:space="preserve">Tier 2 - Coastal wind (1-25 miles)</t>
        </is>
      </c>
      <c r="T531" s="36">
        <f>IF($A531="","",IF($S531="","",IFERROR(INDEX('[1]natural catastrophe'!$D$6:$D$17,MATCH($S531,'[1]natural catastrophe'!$B$6:$B$17,0)),"?")))</f>
      </c>
      <c r="U531" s="30" t="inlineStr">
        <is>
          <t xml:space="preserve">2% of agreed value, minimum $10,000</t>
        </is>
      </c>
      <c r="V531" s="32" t="inlineStr">
        <is>
          <t xml:space="preserve">Agreed Value</t>
        </is>
      </c>
      <c r="W531" s="30" t="inlineStr">
        <is>
          <t xml:space="preserve">$1,000</t>
        </is>
      </c>
      <c r="X531" s="32" t="inlineStr">
        <is>
          <t xml:space="preserve">$1,000,000 CSL</t>
        </is>
      </c>
      <c r="Y531" s="30"/>
      <c r="Z531" s="30"/>
      <c r="AA531" s="32" t="inlineStr">
        <is>
          <t xml:space="preserve">Surplus Lines</t>
        </is>
      </c>
      <c r="AB531" s="35">
        <v>9670.53</v>
      </c>
      <c r="AC531" s="37">
        <v>0</v>
      </c>
      <c r="AD531" s="38">
        <f>IF(ISNUMBER($AB531),$AB531*(1+N($AC531)),"")</f>
      </c>
      <c r="AE531" s="35">
        <v>350</v>
      </c>
      <c r="AF531" s="35">
        <v>250</v>
      </c>
      <c r="AG531" s="37"/>
      <c r="AH531" s="39">
        <f>IF(ISNUMBER($AD531),($AD531+$AE531+$AF531)*$AG531,"")</f>
      </c>
      <c r="AI531" s="35"/>
      <c r="AJ531" s="38">
        <f>IF(ISNUMBER($AD531),SUM($AD531:$AH531),"")</f>
      </c>
      <c r="AK531" s="40">
        <f>IF(AND(ISNUMBER($AB531),ISNUMBER($AD531)),IF($AB531&gt;0,$AD531/$AB531,""),"")</f>
      </c>
      <c r="AL531" s="32" t="inlineStr">
        <is>
          <t xml:space="preserve">At technical</t>
        </is>
      </c>
      <c r="AM531" s="41">
        <f>IF(ISNUMBER($AD531),Header!$I$3,"")</f>
      </c>
      <c r="AN531" s="39">
        <f>IF(ISNUMBER($AD531),$AO531+$AP531,"")</f>
      </c>
      <c r="AO531" s="39">
        <f>IF(ISNUMBER($AD531),ROUND($AD531*Header!$K$3,2),"")</f>
      </c>
      <c r="AP531" s="39">
        <f>IF(ISNUMBER($AD531),ROUND($AD531*Header!$M$3,2),"")</f>
      </c>
      <c r="AQ531" s="38">
        <f>IF(ISNUMBER($AD531),ROUND($AD531,2)-$AO531-$AP531,"")</f>
      </c>
      <c r="AR531" s="39">
        <f>IF(ISNUMBER($AD531),IF(Header!$D$34="","?",$AD531*Header!$D$34),"")</f>
      </c>
      <c r="AS531" s="39">
        <f>IF(ISNUMBER($AB531),IF(Header!$D$34="","?",$AB531*Header!$D$34),"")</f>
      </c>
      <c r="AT531" s="42">
        <f>IF(AND(ISNUMBER($AB531),$M531&gt;0),$AB531/$M531*100,"")</f>
      </c>
      <c r="AU531" s="42">
        <f>IF(AND(ISNUMBER($AD531),$M531&gt;0),$AD531/$M531*100,"")</f>
      </c>
      <c r="AV531" s="40">
        <f>IF(AND(ISNUMBER($AB531),ISNUMBER($AD531),ABS($AB531)&gt;0),$AD531/$AB531,"")</f>
      </c>
      <c r="AW531" s="39">
        <f>IF(ISNUMBER($AD531),MAX(0,(1-0.55-Header!$O$3)*Header!$Q$3*$AQ531),"")</f>
      </c>
      <c r="AX531" s="43">
        <f>IF($A531="","",IF(TRIM(IF($A531="","Missing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",""))="","PASS","FAIL: "&amp;TRIM(IF($A531="","Missing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f>
      </c>
      <c r="AY531" s="44">
        <f>IF($M531="","",IF(ISNUMBER($M531),IF($M531&gt;=Header!$C$18,"YES — refer","No"),""))</f>
      </c>
      <c r="AZ531" s="44">
        <f>IF($AD531="","",IF(ISNUMBER($AD531),IF($AD531&lt;Header!$C$20,"BELOW MIN PREMIUM","OK"),""))</f>
      </c>
      <c r="BA531" s="32" t="inlineStr">
        <is>
          <t xml:space="preserve">Yes</t>
        </is>
      </c>
      <c r="BB531" s="32" t="inlineStr">
        <is>
          <t xml:space="preserve">Yes</t>
        </is>
      </c>
      <c r="BC531" s="30" t="inlineStr">
        <is>
          <t xml:space="preserve">Synthetic demo data</t>
        </is>
      </c>
      <c r="BE531" s="45">
        <f>IF(OR($A531="",$L531="",$H531=""),"",IF(AND(LEFT($L531,2)="06",$H531&gt;1945),"FAIL - pre-war class, year "&amp;$H531,IF(AND(LEFT($L531,2)="07",OR($H531&lt;1946,$H531&gt;1972)),"FAIL - 1946-72 class, year "&amp;$H531,IF(AND(LEFT($L531,2)="08",OR($H531&lt;1973,$H531&gt;1999)),"FAIL - 1973-99 class, year "&amp;$H531,IF(AND(LEFT($L531,2)="09",OR($H531&lt;2000,$H531&gt;2010)),"FAIL - 2000-10 class, year "&amp;$H531,"OK")))))</f>
      </c>
      <c r="BF531" s="45">
        <f>IF($AD531="","",IF(ROUND($AO531+$AP531+$AQ531-$AD531,2)=0,"OK","FAIL - out by "&amp;TEXT($AO531+$AP531+$AQ531-$AD531,"$0.00")))</f>
      </c>
    </row>
    <row r="532" spans="1:58" ht="18.75" customHeight="1" x14ac:dyDescent="0.25">
      <c r="A532" s="46" t="inlineStr">
        <is>
          <t xml:space="preserve">CANON-202607-010243</t>
        </is>
      </c>
      <c r="B532" s="46" t="inlineStr">
        <is>
          <t xml:space="preserve">Fitzgerald Fairweather</t>
        </is>
      </c>
      <c r="C532" s="47">
        <v>46223</v>
      </c>
      <c r="D532" s="48" t="inlineStr">
        <is>
          <t xml:space="preserve">Bound - within authority</t>
        </is>
      </c>
      <c r="E532" s="48" t="inlineStr">
        <is>
          <t xml:space="preserve">New business</t>
        </is>
      </c>
      <c r="F532" s="46" t="inlineStr">
        <is>
          <t xml:space="preserve">B1234EXOTIC26</t>
        </is>
      </c>
      <c r="G532" s="33">
        <f>IF($A532="","",IF($C532="","",YEAR($C532)))</f>
      </c>
      <c r="H532" s="49">
        <v>2012</v>
      </c>
      <c r="I532" s="46" t="inlineStr">
        <is>
          <t xml:space="preserve">Porsche</t>
        </is>
      </c>
      <c r="J532" s="46" t="inlineStr">
        <is>
          <t xml:space="preserve">911 Turbo S</t>
        </is>
      </c>
      <c r="K532" s="46" t="inlineStr">
        <is>
          <t xml:space="preserve">DD5KMMW9ALJ6XD5EZ</t>
        </is>
      </c>
      <c r="L532" s="48" t="inlineStr">
        <is>
          <t xml:space="preserve">02 - Sports / GT</t>
        </is>
      </c>
      <c r="M532" s="50">
        <v>660000</v>
      </c>
      <c r="N532" s="48" t="inlineStr">
        <is>
          <t xml:space="preserve">Personal</t>
        </is>
      </c>
      <c r="O532" s="46" t="inlineStr">
        <is>
          <t xml:space="preserve">Personal - regular use</t>
        </is>
      </c>
      <c r="P532" s="46" t="inlineStr">
        <is>
          <t xml:space="preserve">2,500 - 5,000</t>
        </is>
      </c>
      <c r="Q532" s="46" t="inlineStr">
        <is>
          <t xml:space="preserve">Virginia</t>
        </is>
      </c>
      <c r="R532" s="46" t="inlineStr">
        <is>
          <t xml:space="preserve">23219</t>
        </is>
      </c>
      <c r="S532" s="48" t="inlineStr">
        <is>
          <t xml:space="preserve">Tier 3 - Coastal wind (25-100 miles)</t>
        </is>
      </c>
      <c r="T532" s="36">
        <f>IF($A532="","",IF($S532="","",IFERROR(INDEX('[1]natural catastrophe'!$D$6:$D$17,MATCH($S532,'[1]natural catastrophe'!$B$6:$B$17,0)),"?")))</f>
      </c>
      <c r="U532" s="46" t="inlineStr">
        <is>
          <t xml:space="preserve">2% of agreed value, minimum $10,000</t>
        </is>
      </c>
      <c r="V532" s="48" t="inlineStr">
        <is>
          <t xml:space="preserve">Agreed Value</t>
        </is>
      </c>
      <c r="W532" s="46" t="inlineStr">
        <is>
          <t xml:space="preserve">$1,000</t>
        </is>
      </c>
      <c r="X532" s="48" t="inlineStr">
        <is>
          <t xml:space="preserve">$1,000,000 CSL</t>
        </is>
      </c>
      <c r="Y532" s="46"/>
      <c r="Z532" s="46"/>
      <c r="AA532" s="48" t="inlineStr">
        <is>
          <t xml:space="preserve">Surplus Lines</t>
        </is>
      </c>
      <c r="AB532" s="50">
        <v>6714.17</v>
      </c>
      <c r="AC532" s="51">
        <v>0</v>
      </c>
      <c r="AD532" s="38">
        <f>IF(ISNUMBER($AB532),$AB532*(1+N($AC532)),"")</f>
      </c>
      <c r="AE532" s="50">
        <v>350</v>
      </c>
      <c r="AF532" s="50">
        <v>0</v>
      </c>
      <c r="AG532" s="51"/>
      <c r="AH532" s="39">
        <f>IF(ISNUMBER($AD532),($AD532+$AE532+$AF532)*$AG532,"")</f>
      </c>
      <c r="AI532" s="50"/>
      <c r="AJ532" s="38">
        <f>IF(ISNUMBER($AD532),SUM($AD532:$AH532),"")</f>
      </c>
      <c r="AK532" s="40">
        <f>IF(AND(ISNUMBER($AB532),ISNUMBER($AD532)),IF($AB532&gt;0,$AD532/$AB532,""),"")</f>
      </c>
      <c r="AL532" s="48" t="inlineStr">
        <is>
          <t xml:space="preserve">At technical</t>
        </is>
      </c>
      <c r="AM532" s="41">
        <f>IF(ISNUMBER($AD532),Header!$I$3,"")</f>
      </c>
      <c r="AN532" s="39">
        <f>IF(ISNUMBER($AD532),$AO532+$AP532,"")</f>
      </c>
      <c r="AO532" s="39">
        <f>IF(ISNUMBER($AD532),ROUND($AD532*Header!$K$3,2),"")</f>
      </c>
      <c r="AP532" s="39">
        <f>IF(ISNUMBER($AD532),ROUND($AD532*Header!$M$3,2),"")</f>
      </c>
      <c r="AQ532" s="38">
        <f>IF(ISNUMBER($AD532),ROUND($AD532,2)-$AO532-$AP532,"")</f>
      </c>
      <c r="AR532" s="39">
        <f>IF(ISNUMBER($AD532),IF(Header!$D$34="","?",$AD532*Header!$D$34),"")</f>
      </c>
      <c r="AS532" s="39">
        <f>IF(ISNUMBER($AB532),IF(Header!$D$34="","?",$AB532*Header!$D$34),"")</f>
      </c>
      <c r="AT532" s="42">
        <f>IF(AND(ISNUMBER($AB532),$M532&gt;0),$AB532/$M532*100,"")</f>
      </c>
      <c r="AU532" s="42">
        <f>IF(AND(ISNUMBER($AD532),$M532&gt;0),$AD532/$M532*100,"")</f>
      </c>
      <c r="AV532" s="40">
        <f>IF(AND(ISNUMBER($AB532),ISNUMBER($AD532),ABS($AB532)&gt;0),$AD532/$AB532,"")</f>
      </c>
      <c r="AW532" s="39">
        <f>IF(ISNUMBER($AD532),MAX(0,(1-0.55-Header!$O$3)*Header!$Q$3*$AQ532),"")</f>
      </c>
      <c r="AX532" s="43">
        <f>IF($A532="","",IF(TRIM(IF($A532="","Missing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",""))="","PASS","FAIL: "&amp;TRIM(IF($A532="","Missing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f>
      </c>
      <c r="AY532" s="44">
        <f>IF($M532="","",IF(ISNUMBER($M532),IF($M532&gt;=Header!$C$18,"YES — refer","No"),""))</f>
      </c>
      <c r="AZ532" s="44">
        <f>IF($AD532="","",IF(ISNUMBER($AD532),IF($AD532&lt;Header!$C$20,"BELOW MIN PREMIUM","OK"),""))</f>
      </c>
      <c r="BA532" s="48" t="inlineStr">
        <is>
          <t xml:space="preserve">Yes</t>
        </is>
      </c>
      <c r="BB532" s="48" t="inlineStr">
        <is>
          <t xml:space="preserve">Yes</t>
        </is>
      </c>
      <c r="BC532" s="46" t="inlineStr">
        <is>
          <t xml:space="preserve">Synthetic demo data</t>
        </is>
      </c>
      <c r="BE532" s="45">
        <f>IF(OR($A532="",$L532="",$H532=""),"",IF(AND(LEFT($L532,2)="06",$H532&gt;1945),"FAIL - pre-war class, year "&amp;$H532,IF(AND(LEFT($L532,2)="07",OR($H532&lt;1946,$H532&gt;1972)),"FAIL - 1946-72 class, year "&amp;$H532,IF(AND(LEFT($L532,2)="08",OR($H532&lt;1973,$H532&gt;1999)),"FAIL - 1973-99 class, year "&amp;$H532,IF(AND(LEFT($L532,2)="09",OR($H532&lt;2000,$H532&gt;2010)),"FAIL - 2000-10 class, year "&amp;$H532,"OK")))))</f>
      </c>
      <c r="BF532" s="45">
        <f>IF($AD532="","",IF(ROUND($AO532+$AP532+$AQ532-$AD532,2)=0,"OK","FAIL - out by "&amp;TEXT($AO532+$AP532+$AQ532-$AD532,"$0.00")))</f>
      </c>
    </row>
    <row r="533" spans="1:58" ht="18.75" customHeight="1" x14ac:dyDescent="0.25">
      <c r="A533" s="30" t="inlineStr">
        <is>
          <t xml:space="preserve">CANON-202607-010244</t>
        </is>
      </c>
      <c r="B533" s="30" t="inlineStr">
        <is>
          <t xml:space="preserve">Ramona Rourke</t>
        </is>
      </c>
      <c r="C533" s="31">
        <v>46208</v>
      </c>
      <c r="D533" s="32" t="inlineStr">
        <is>
          <t xml:space="preserve">Bound - within authority</t>
        </is>
      </c>
      <c r="E533" s="32" t="inlineStr">
        <is>
          <t xml:space="preserve">New business</t>
        </is>
      </c>
      <c r="F533" s="30" t="inlineStr">
        <is>
          <t xml:space="preserve">B1234EXOTIC26</t>
        </is>
      </c>
      <c r="G533" s="33">
        <f>IF($A533="","",IF($C533="","",YEAR($C533)))</f>
      </c>
      <c r="H533" s="34">
        <v>2000</v>
      </c>
      <c r="I533" s="30" t="inlineStr">
        <is>
          <t xml:space="preserve">Ferrari</t>
        </is>
      </c>
      <c r="J533" s="30" t="inlineStr">
        <is>
          <t xml:space="preserve">SF90 Stradale</t>
        </is>
      </c>
      <c r="K533" s="30" t="inlineStr">
        <is>
          <t xml:space="preserve">M66H9J5UN78BU5AFD</t>
        </is>
      </c>
      <c r="L533" s="32" t="inlineStr">
        <is>
          <t xml:space="preserve">03 - Supercar</t>
        </is>
      </c>
      <c r="M533" s="35">
        <v>1745000</v>
      </c>
      <c r="N533" s="32" t="inlineStr">
        <is>
          <t xml:space="preserve">Personal</t>
        </is>
      </c>
      <c r="O533" s="30" t="inlineStr">
        <is>
          <t xml:space="preserve">Personal - regular use</t>
        </is>
      </c>
      <c r="P533" s="30" t="inlineStr">
        <is>
          <t xml:space="preserve">1,000 - 2,500</t>
        </is>
      </c>
      <c r="Q533" s="30" t="inlineStr">
        <is>
          <t xml:space="preserve">Tennessee</t>
        </is>
      </c>
      <c r="R533" s="30" t="inlineStr">
        <is>
          <t xml:space="preserve">37203</t>
        </is>
      </c>
      <c r="S533" s="32" t="inlineStr">
        <is>
          <t xml:space="preserve">Severe convective - hail / tornado (moderate)</t>
        </is>
      </c>
      <c r="T533" s="36">
        <f>IF($A533="","",IF($S533="","",IFERROR(INDEX('[1]natural catastrophe'!$D$6:$D$17,MATCH($S533,'[1]natural catastrophe'!$B$6:$B$17,0)),"?")))</f>
      </c>
      <c r="U533" s="30" t="inlineStr">
        <is>
          <t xml:space="preserve">$5,000</t>
        </is>
      </c>
      <c r="V533" s="32" t="inlineStr">
        <is>
          <t xml:space="preserve">Agreed Value</t>
        </is>
      </c>
      <c r="W533" s="30" t="inlineStr">
        <is>
          <t xml:space="preserve">$1,000</t>
        </is>
      </c>
      <c r="X533" s="32" t="inlineStr">
        <is>
          <t xml:space="preserve">$1,000,000 CSL</t>
        </is>
      </c>
      <c r="Y533" s="30"/>
      <c r="Z533" s="30"/>
      <c r="AA533" s="32" t="inlineStr">
        <is>
          <t xml:space="preserve">Surplus Lines</t>
        </is>
      </c>
      <c r="AB533" s="35">
        <v>19643.56</v>
      </c>
      <c r="AC533" s="37">
        <v>0</v>
      </c>
      <c r="AD533" s="38">
        <f>IF(ISNUMBER($AB533),$AB533*(1+N($AC533)),"")</f>
      </c>
      <c r="AE533" s="35">
        <v>350</v>
      </c>
      <c r="AF533" s="35">
        <v>250</v>
      </c>
      <c r="AG533" s="37"/>
      <c r="AH533" s="39">
        <f>IF(ISNUMBER($AD533),($AD533+$AE533+$AF533)*$AG533,"")</f>
      </c>
      <c r="AI533" s="35"/>
      <c r="AJ533" s="38">
        <f>IF(ISNUMBER($AD533),SUM($AD533:$AH533),"")</f>
      </c>
      <c r="AK533" s="40">
        <f>IF(AND(ISNUMBER($AB533),ISNUMBER($AD533)),IF($AB533&gt;0,$AD533/$AB533,""),"")</f>
      </c>
      <c r="AL533" s="32" t="inlineStr">
        <is>
          <t xml:space="preserve">At technical</t>
        </is>
      </c>
      <c r="AM533" s="41">
        <f>IF(ISNUMBER($AD533),Header!$I$3,"")</f>
      </c>
      <c r="AN533" s="39">
        <f>IF(ISNUMBER($AD533),$AO533+$AP533,"")</f>
      </c>
      <c r="AO533" s="39">
        <f>IF(ISNUMBER($AD533),ROUND($AD533*Header!$K$3,2),"")</f>
      </c>
      <c r="AP533" s="39">
        <f>IF(ISNUMBER($AD533),ROUND($AD533*Header!$M$3,2),"")</f>
      </c>
      <c r="AQ533" s="38">
        <f>IF(ISNUMBER($AD533),ROUND($AD533,2)-$AO533-$AP533,"")</f>
      </c>
      <c r="AR533" s="39">
        <f>IF(ISNUMBER($AD533),IF(Header!$D$34="","?",$AD533*Header!$D$34),"")</f>
      </c>
      <c r="AS533" s="39">
        <f>IF(ISNUMBER($AB533),IF(Header!$D$34="","?",$AB533*Header!$D$34),"")</f>
      </c>
      <c r="AT533" s="42">
        <f>IF(AND(ISNUMBER($AB533),$M533&gt;0),$AB533/$M533*100,"")</f>
      </c>
      <c r="AU533" s="42">
        <f>IF(AND(ISNUMBER($AD533),$M533&gt;0),$AD533/$M533*100,"")</f>
      </c>
      <c r="AV533" s="40">
        <f>IF(AND(ISNUMBER($AB533),ISNUMBER($AD533),ABS($AB533)&gt;0),$AD533/$AB533,"")</f>
      </c>
      <c r="AW533" s="39">
        <f>IF(ISNUMBER($AD533),MAX(0,(1-0.55-Header!$O$3)*Header!$Q$3*$AQ533),"")</f>
      </c>
      <c r="AX533" s="43">
        <f>IF($A533="","",IF(TRIM(IF($A533="","Missing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",""))="","PASS","FAIL: "&amp;TRIM(IF($A533="","Missing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f>
      </c>
      <c r="AY533" s="44">
        <f>IF($M533="","",IF(ISNUMBER($M533),IF($M533&gt;=Header!$C$18,"YES — refer","No"),""))</f>
      </c>
      <c r="AZ533" s="44">
        <f>IF($AD533="","",IF(ISNUMBER($AD533),IF($AD533&lt;Header!$C$20,"BELOW MIN PREMIUM","OK"),""))</f>
      </c>
      <c r="BA533" s="32" t="inlineStr">
        <is>
          <t xml:space="preserve">Yes</t>
        </is>
      </c>
      <c r="BB533" s="32" t="inlineStr">
        <is>
          <t xml:space="preserve">Yes</t>
        </is>
      </c>
      <c r="BC533" s="30" t="inlineStr">
        <is>
          <t xml:space="preserve">Synthetic demo data</t>
        </is>
      </c>
      <c r="BE533" s="45">
        <f>IF(OR($A533="",$L533="",$H533=""),"",IF(AND(LEFT($L533,2)="06",$H533&gt;1945),"FAIL - pre-war class, year "&amp;$H533,IF(AND(LEFT($L533,2)="07",OR($H533&lt;1946,$H533&gt;1972)),"FAIL - 1946-72 class, year "&amp;$H533,IF(AND(LEFT($L533,2)="08",OR($H533&lt;1973,$H533&gt;1999)),"FAIL - 1973-99 class, year "&amp;$H533,IF(AND(LEFT($L533,2)="09",OR($H533&lt;2000,$H533&gt;2010)),"FAIL - 2000-10 class, year "&amp;$H533,"OK")))))</f>
      </c>
      <c r="BF533" s="45">
        <f>IF($AD533="","",IF(ROUND($AO533+$AP533+$AQ533-$AD533,2)=0,"OK","FAIL - out by "&amp;TEXT($AO533+$AP533+$AQ533-$AD533,"$0.00")))</f>
      </c>
    </row>
    <row r="534" spans="1:58" ht="18.75" customHeight="1" x14ac:dyDescent="0.25">
      <c r="A534" s="46" t="inlineStr">
        <is>
          <t xml:space="preserve">CANON-202607-010245</t>
        </is>
      </c>
      <c r="B534" s="46" t="inlineStr">
        <is>
          <t xml:space="preserve">Mireille Harrington</t>
        </is>
      </c>
      <c r="C534" s="47">
        <v>46229</v>
      </c>
      <c r="D534" s="48" t="inlineStr">
        <is>
          <t xml:space="preserve">Bound - within authority</t>
        </is>
      </c>
      <c r="E534" s="48" t="inlineStr">
        <is>
          <t xml:space="preserve">New business</t>
        </is>
      </c>
      <c r="F534" s="46" t="inlineStr">
        <is>
          <t xml:space="preserve">B1234EXOTIC26</t>
        </is>
      </c>
      <c r="G534" s="33">
        <f>IF($A534="","",IF($C534="","",YEAR($C534)))</f>
      </c>
      <c r="H534" s="49">
        <v>2001</v>
      </c>
      <c r="I534" s="46" t="inlineStr">
        <is>
          <t xml:space="preserve">Maserati</t>
        </is>
      </c>
      <c r="J534" s="46" t="inlineStr">
        <is>
          <t xml:space="preserve">GranTurismo</t>
        </is>
      </c>
      <c r="K534" s="46" t="inlineStr">
        <is>
          <t xml:space="preserve">HD43SYJXJLKRFNWBP</t>
        </is>
      </c>
      <c r="L534" s="48" t="inlineStr">
        <is>
          <t xml:space="preserve">02 - Sports / GT</t>
        </is>
      </c>
      <c r="M534" s="50">
        <v>265000</v>
      </c>
      <c r="N534" s="48" t="inlineStr">
        <is>
          <t xml:space="preserve">Personal</t>
        </is>
      </c>
      <c r="O534" s="46" t="inlineStr">
        <is>
          <t xml:space="preserve">Personal - regular use</t>
        </is>
      </c>
      <c r="P534" s="46" t="inlineStr">
        <is>
          <t xml:space="preserve">Under 1,000</t>
        </is>
      </c>
      <c r="Q534" s="46" t="inlineStr">
        <is>
          <t xml:space="preserve">New Jersey</t>
        </is>
      </c>
      <c r="R534" s="46" t="inlineStr">
        <is>
          <t xml:space="preserve">07102</t>
        </is>
      </c>
      <c r="S534" s="48" t="inlineStr">
        <is>
          <t xml:space="preserve">Tier 3 - Coastal wind (25-100 miles)</t>
        </is>
      </c>
      <c r="T534" s="36">
        <f>IF($A534="","",IF($S534="","",IFERROR(INDEX('[1]natural catastrophe'!$D$6:$D$17,MATCH($S534,'[1]natural catastrophe'!$B$6:$B$17,0)),"?")))</f>
      </c>
      <c r="U534" s="46" t="inlineStr">
        <is>
          <t xml:space="preserve">2% of agreed value, minimum $10,000</t>
        </is>
      </c>
      <c r="V534" s="48" t="inlineStr">
        <is>
          <t xml:space="preserve">Agreed Value</t>
        </is>
      </c>
      <c r="W534" s="46" t="inlineStr">
        <is>
          <t xml:space="preserve">$1,000</t>
        </is>
      </c>
      <c r="X534" s="48" t="inlineStr">
        <is>
          <t xml:space="preserve">$1,000,000 CSL</t>
        </is>
      </c>
      <c r="Y534" s="46"/>
      <c r="Z534" s="46"/>
      <c r="AA534" s="48" t="inlineStr">
        <is>
          <t xml:space="preserve">Surplus Lines</t>
        </is>
      </c>
      <c r="AB534" s="50">
        <v>2596.91</v>
      </c>
      <c r="AC534" s="51">
        <v>0</v>
      </c>
      <c r="AD534" s="38">
        <f>IF(ISNUMBER($AB534),$AB534*(1+N($AC534)),"")</f>
      </c>
      <c r="AE534" s="50">
        <v>350</v>
      </c>
      <c r="AF534" s="50">
        <v>0</v>
      </c>
      <c r="AG534" s="51"/>
      <c r="AH534" s="39">
        <f>IF(ISNUMBER($AD534),($AD534+$AE534+$AF534)*$AG534,"")</f>
      </c>
      <c r="AI534" s="50"/>
      <c r="AJ534" s="38">
        <f>IF(ISNUMBER($AD534),SUM($AD534:$AH534),"")</f>
      </c>
      <c r="AK534" s="40">
        <f>IF(AND(ISNUMBER($AB534),ISNUMBER($AD534)),IF($AB534&gt;0,$AD534/$AB534,""),"")</f>
      </c>
      <c r="AL534" s="48" t="inlineStr">
        <is>
          <t xml:space="preserve">At technical</t>
        </is>
      </c>
      <c r="AM534" s="41">
        <f>IF(ISNUMBER($AD534),Header!$I$3,"")</f>
      </c>
      <c r="AN534" s="39">
        <f>IF(ISNUMBER($AD534),$AO534+$AP534,"")</f>
      </c>
      <c r="AO534" s="39">
        <f>IF(ISNUMBER($AD534),ROUND($AD534*Header!$K$3,2),"")</f>
      </c>
      <c r="AP534" s="39">
        <f>IF(ISNUMBER($AD534),ROUND($AD534*Header!$M$3,2),"")</f>
      </c>
      <c r="AQ534" s="38">
        <f>IF(ISNUMBER($AD534),ROUND($AD534,2)-$AO534-$AP534,"")</f>
      </c>
      <c r="AR534" s="39">
        <f>IF(ISNUMBER($AD534),IF(Header!$D$34="","?",$AD534*Header!$D$34),"")</f>
      </c>
      <c r="AS534" s="39">
        <f>IF(ISNUMBER($AB534),IF(Header!$D$34="","?",$AB534*Header!$D$34),"")</f>
      </c>
      <c r="AT534" s="42">
        <f>IF(AND(ISNUMBER($AB534),$M534&gt;0),$AB534/$M534*100,"")</f>
      </c>
      <c r="AU534" s="42">
        <f>IF(AND(ISNUMBER($AD534),$M534&gt;0),$AD534/$M534*100,"")</f>
      </c>
      <c r="AV534" s="40">
        <f>IF(AND(ISNUMBER($AB534),ISNUMBER($AD534),ABS($AB534)&gt;0),$AD534/$AB534,"")</f>
      </c>
      <c r="AW534" s="39">
        <f>IF(ISNUMBER($AD534),MAX(0,(1-0.55-Header!$O$3)*Header!$Q$3*$AQ534),"")</f>
      </c>
      <c r="AX534" s="43">
        <f>IF($A534="","",IF(TRIM(IF($A534="","Missing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",""))="","PASS","FAIL: "&amp;TRIM(IF($A534="","Missing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f>
      </c>
      <c r="AY534" s="44">
        <f>IF($M534="","",IF(ISNUMBER($M534),IF($M534&gt;=Header!$C$18,"YES — refer","No"),""))</f>
      </c>
      <c r="AZ534" s="44">
        <f>IF($AD534="","",IF(ISNUMBER($AD534),IF($AD534&lt;Header!$C$20,"BELOW MIN PREMIUM","OK"),""))</f>
      </c>
      <c r="BA534" s="48" t="inlineStr">
        <is>
          <t xml:space="preserve">Yes</t>
        </is>
      </c>
      <c r="BB534" s="48" t="inlineStr">
        <is>
          <t xml:space="preserve">Yes</t>
        </is>
      </c>
      <c r="BC534" s="46" t="inlineStr">
        <is>
          <t xml:space="preserve">Synthetic demo data</t>
        </is>
      </c>
      <c r="BE534" s="45">
        <f>IF(OR($A534="",$L534="",$H534=""),"",IF(AND(LEFT($L534,2)="06",$H534&gt;1945),"FAIL - pre-war class, year "&amp;$H534,IF(AND(LEFT($L534,2)="07",OR($H534&lt;1946,$H534&gt;1972)),"FAIL - 1946-72 class, year "&amp;$H534,IF(AND(LEFT($L534,2)="08",OR($H534&lt;1973,$H534&gt;1999)),"FAIL - 1973-99 class, year "&amp;$H534,IF(AND(LEFT($L534,2)="09",OR($H534&lt;2000,$H534&gt;2010)),"FAIL - 2000-10 class, year "&amp;$H534,"OK")))))</f>
      </c>
      <c r="BF534" s="45">
        <f>IF($AD534="","",IF(ROUND($AO534+$AP534+$AQ534-$AD534,2)=0,"OK","FAIL - out by "&amp;TEXT($AO534+$AP534+$AQ534-$AD534,"$0.00")))</f>
      </c>
    </row>
    <row r="535" spans="1:58" ht="18.75" customHeight="1" x14ac:dyDescent="0.25">
      <c r="A535" s="30" t="inlineStr">
        <is>
          <t xml:space="preserve">CANON-202607-010246</t>
        </is>
      </c>
      <c r="B535" s="30" t="inlineStr">
        <is>
          <t xml:space="preserve">Delphine Bellandi</t>
        </is>
      </c>
      <c r="C535" s="31">
        <v>46219</v>
      </c>
      <c r="D535" s="32" t="inlineStr">
        <is>
          <t xml:space="preserve">Bound - within authority</t>
        </is>
      </c>
      <c r="E535" s="32" t="inlineStr">
        <is>
          <t xml:space="preserve">New business</t>
        </is>
      </c>
      <c r="F535" s="30" t="inlineStr">
        <is>
          <t xml:space="preserve">B1234EXOTIC26</t>
        </is>
      </c>
      <c r="G535" s="33">
        <f>IF($A535="","",IF($C535="","",YEAR($C535)))</f>
      </c>
      <c r="H535" s="34">
        <v>1956</v>
      </c>
      <c r="I535" s="30" t="inlineStr">
        <is>
          <t xml:space="preserve">Ferrari</t>
        </is>
      </c>
      <c r="J535" s="30" t="inlineStr">
        <is>
          <t xml:space="preserve">275 GTB/4</t>
        </is>
      </c>
      <c r="K535" s="30" t="inlineStr">
        <is>
          <t xml:space="preserve">TKLG621M08XXHBUNR</t>
        </is>
      </c>
      <c r="L535" s="32" t="inlineStr">
        <is>
          <t xml:space="preserve">07 - Post-War Classic (1946-1972)</t>
        </is>
      </c>
      <c r="M535" s="35">
        <v>830000</v>
      </c>
      <c r="N535" s="32" t="inlineStr">
        <is>
          <t xml:space="preserve">Personal</t>
        </is>
      </c>
      <c r="O535" s="30" t="inlineStr">
        <is>
          <t xml:space="preserve">Personal - regular use</t>
        </is>
      </c>
      <c r="P535" s="30" t="inlineStr">
        <is>
          <t xml:space="preserve">Under 1,000</t>
        </is>
      </c>
      <c r="Q535" s="30" t="inlineStr">
        <is>
          <t xml:space="preserve">California</t>
        </is>
      </c>
      <c r="R535" s="30" t="inlineStr">
        <is>
          <t xml:space="preserve">90012</t>
        </is>
      </c>
      <c r="S535" s="32" t="inlineStr">
        <is>
          <t xml:space="preserve">Earthquake - high (CA, Cascadia, New Madrid)</t>
        </is>
      </c>
      <c r="T535" s="36">
        <f>IF($A535="","",IF($S535="","",IFERROR(INDEX('[1]natural catastrophe'!$D$6:$D$17,MATCH($S535,'[1]natural catastrophe'!$B$6:$B$17,0)),"?")))</f>
      </c>
      <c r="U535" s="30" t="inlineStr">
        <is>
          <t xml:space="preserve">$5,000</t>
        </is>
      </c>
      <c r="V535" s="32" t="inlineStr">
        <is>
          <t xml:space="preserve">Agreed Value</t>
        </is>
      </c>
      <c r="W535" s="30" t="inlineStr">
        <is>
          <t xml:space="preserve">$1,000</t>
        </is>
      </c>
      <c r="X535" s="32" t="inlineStr">
        <is>
          <t xml:space="preserve">$1,000,000 CSL</t>
        </is>
      </c>
      <c r="Y535" s="30"/>
      <c r="Z535" s="30"/>
      <c r="AA535" s="32" t="inlineStr">
        <is>
          <t xml:space="preserve">Surplus Lines</t>
        </is>
      </c>
      <c r="AB535" s="35">
        <v>6918.14</v>
      </c>
      <c r="AC535" s="37">
        <v>0</v>
      </c>
      <c r="AD535" s="38">
        <f>IF(ISNUMBER($AB535),$AB535*(1+N($AC535)),"")</f>
      </c>
      <c r="AE535" s="35">
        <v>350</v>
      </c>
      <c r="AF535" s="35">
        <v>0</v>
      </c>
      <c r="AG535" s="37"/>
      <c r="AH535" s="39">
        <f>IF(ISNUMBER($AD535),($AD535+$AE535+$AF535)*$AG535,"")</f>
      </c>
      <c r="AI535" s="35"/>
      <c r="AJ535" s="38">
        <f>IF(ISNUMBER($AD535),SUM($AD535:$AH535),"")</f>
      </c>
      <c r="AK535" s="40">
        <f>IF(AND(ISNUMBER($AB535),ISNUMBER($AD535)),IF($AB535&gt;0,$AD535/$AB535,""),"")</f>
      </c>
      <c r="AL535" s="32" t="inlineStr">
        <is>
          <t xml:space="preserve">At technical</t>
        </is>
      </c>
      <c r="AM535" s="41">
        <f>IF(ISNUMBER($AD535),Header!$I$3,"")</f>
      </c>
      <c r="AN535" s="39">
        <f>IF(ISNUMBER($AD535),$AO535+$AP535,"")</f>
      </c>
      <c r="AO535" s="39">
        <f>IF(ISNUMBER($AD535),ROUND($AD535*Header!$K$3,2),"")</f>
      </c>
      <c r="AP535" s="39">
        <f>IF(ISNUMBER($AD535),ROUND($AD535*Header!$M$3,2),"")</f>
      </c>
      <c r="AQ535" s="38">
        <f>IF(ISNUMBER($AD535),ROUND($AD535,2)-$AO535-$AP535,"")</f>
      </c>
      <c r="AR535" s="39">
        <f>IF(ISNUMBER($AD535),IF(Header!$D$34="","?",$AD535*Header!$D$34),"")</f>
      </c>
      <c r="AS535" s="39">
        <f>IF(ISNUMBER($AB535),IF(Header!$D$34="","?",$AB535*Header!$D$34),"")</f>
      </c>
      <c r="AT535" s="42">
        <f>IF(AND(ISNUMBER($AB535),$M535&gt;0),$AB535/$M535*100,"")</f>
      </c>
      <c r="AU535" s="42">
        <f>IF(AND(ISNUMBER($AD535),$M535&gt;0),$AD535/$M535*100,"")</f>
      </c>
      <c r="AV535" s="40">
        <f>IF(AND(ISNUMBER($AB535),ISNUMBER($AD535),ABS($AB535)&gt;0),$AD535/$AB535,"")</f>
      </c>
      <c r="AW535" s="39">
        <f>IF(ISNUMBER($AD535),MAX(0,(1-0.55-Header!$O$3)*Header!$Q$3*$AQ535),"")</f>
      </c>
      <c r="AX535" s="43">
        <f>IF($A535="","",IF(TRIM(IF($A535="","Missing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",""))="","PASS","FAIL: "&amp;TRIM(IF($A535="","Missing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f>
      </c>
      <c r="AY535" s="44">
        <f>IF($M535="","",IF(ISNUMBER($M535),IF($M535&gt;=Header!$C$18,"YES — refer","No"),""))</f>
      </c>
      <c r="AZ535" s="44">
        <f>IF($AD535="","",IF(ISNUMBER($AD535),IF($AD535&lt;Header!$C$20,"BELOW MIN PREMIUM","OK"),""))</f>
      </c>
      <c r="BA535" s="32" t="inlineStr">
        <is>
          <t xml:space="preserve">Yes</t>
        </is>
      </c>
      <c r="BB535" s="32" t="inlineStr">
        <is>
          <t xml:space="preserve">Yes</t>
        </is>
      </c>
      <c r="BC535" s="30" t="inlineStr">
        <is>
          <t xml:space="preserve">Synthetic demo data</t>
        </is>
      </c>
      <c r="BE535" s="45">
        <f>IF(OR($A535="",$L535="",$H535=""),"",IF(AND(LEFT($L535,2)="06",$H535&gt;1945),"FAIL - pre-war class, year "&amp;$H535,IF(AND(LEFT($L535,2)="07",OR($H535&lt;1946,$H535&gt;1972)),"FAIL - 1946-72 class, year "&amp;$H535,IF(AND(LEFT($L535,2)="08",OR($H535&lt;1973,$H535&gt;1999)),"FAIL - 1973-99 class, year "&amp;$H535,IF(AND(LEFT($L535,2)="09",OR($H535&lt;2000,$H535&gt;2010)),"FAIL - 2000-10 class, year "&amp;$H535,"OK")))))</f>
      </c>
      <c r="BF535" s="45">
        <f>IF($AD535="","",IF(ROUND($AO535+$AP535+$AQ535-$AD535,2)=0,"OK","FAIL - out by "&amp;TEXT($AO535+$AP535+$AQ535-$AD535,"$0.00")))</f>
      </c>
    </row>
    <row r="536" spans="1:58" ht="18.75" customHeight="1" x14ac:dyDescent="0.25">
      <c r="A536" s="46" t="inlineStr">
        <is>
          <t xml:space="preserve">CANON-202607-010248</t>
        </is>
      </c>
      <c r="B536" s="46" t="inlineStr">
        <is>
          <t xml:space="preserve">Sunniva Rourke</t>
        </is>
      </c>
      <c r="C536" s="47">
        <v>46219</v>
      </c>
      <c r="D536" s="48" t="inlineStr">
        <is>
          <t xml:space="preserve">Bound - within authority</t>
        </is>
      </c>
      <c r="E536" s="48" t="inlineStr">
        <is>
          <t xml:space="preserve">New business</t>
        </is>
      </c>
      <c r="F536" s="46" t="inlineStr">
        <is>
          <t xml:space="preserve">B1234EXOTIC26</t>
        </is>
      </c>
      <c r="G536" s="33">
        <f>IF($A536="","",IF($C536="","",YEAR($C536)))</f>
      </c>
      <c r="H536" s="49">
        <v>2016</v>
      </c>
      <c r="I536" s="46" t="inlineStr">
        <is>
          <t xml:space="preserve">Aston Martin</t>
        </is>
      </c>
      <c r="J536" s="46" t="inlineStr">
        <is>
          <t xml:space="preserve">DB5</t>
        </is>
      </c>
      <c r="K536" s="46" t="inlineStr">
        <is>
          <t xml:space="preserve">1VG6PJGXPBL5PD0P0</t>
        </is>
      </c>
      <c r="L536" s="48" t="inlineStr">
        <is>
          <t xml:space="preserve">02 - Sports / GT</t>
        </is>
      </c>
      <c r="M536" s="50">
        <v>950000</v>
      </c>
      <c r="N536" s="48" t="inlineStr">
        <is>
          <t xml:space="preserve">Personal</t>
        </is>
      </c>
      <c r="O536" s="46" t="inlineStr">
        <is>
          <t xml:space="preserve">Personal - regular use</t>
        </is>
      </c>
      <c r="P536" s="46" t="inlineStr">
        <is>
          <t xml:space="preserve">2,500 - 5,000</t>
        </is>
      </c>
      <c r="Q536" s="46" t="inlineStr">
        <is>
          <t xml:space="preserve">Missouri</t>
        </is>
      </c>
      <c r="R536" s="46" t="inlineStr">
        <is>
          <t xml:space="preserve">63101</t>
        </is>
      </c>
      <c r="S536" s="48" t="inlineStr">
        <is>
          <t xml:space="preserve">Severe convective - hail / tornado (moderate)</t>
        </is>
      </c>
      <c r="T536" s="36">
        <f>IF($A536="","",IF($S536="","",IFERROR(INDEX('[1]natural catastrophe'!$D$6:$D$17,MATCH($S536,'[1]natural catastrophe'!$B$6:$B$17,0)),"?")))</f>
      </c>
      <c r="U536" s="46" t="inlineStr">
        <is>
          <t xml:space="preserve">$5,000</t>
        </is>
      </c>
      <c r="V536" s="48" t="inlineStr">
        <is>
          <t xml:space="preserve">Agreed Value</t>
        </is>
      </c>
      <c r="W536" s="46" t="inlineStr">
        <is>
          <t xml:space="preserve">$1,000</t>
        </is>
      </c>
      <c r="X536" s="48" t="inlineStr">
        <is>
          <t xml:space="preserve">$1,000,000 CSL</t>
        </is>
      </c>
      <c r="Y536" s="46"/>
      <c r="Z536" s="46"/>
      <c r="AA536" s="48" t="inlineStr">
        <is>
          <t xml:space="preserve">Surplus Lines</t>
        </is>
      </c>
      <c r="AB536" s="50">
        <v>6217.37</v>
      </c>
      <c r="AC536" s="51">
        <v>0</v>
      </c>
      <c r="AD536" s="38">
        <f>IF(ISNUMBER($AB536),$AB536*(1+N($AC536)),"")</f>
      </c>
      <c r="AE536" s="50">
        <v>350</v>
      </c>
      <c r="AF536" s="50">
        <v>0</v>
      </c>
      <c r="AG536" s="51"/>
      <c r="AH536" s="39">
        <f>IF(ISNUMBER($AD536),($AD536+$AE536+$AF536)*$AG536,"")</f>
      </c>
      <c r="AI536" s="50"/>
      <c r="AJ536" s="38">
        <f>IF(ISNUMBER($AD536),SUM($AD536:$AH536),"")</f>
      </c>
      <c r="AK536" s="40">
        <f>IF(AND(ISNUMBER($AB536),ISNUMBER($AD536)),IF($AB536&gt;0,$AD536/$AB536,""),"")</f>
      </c>
      <c r="AL536" s="48" t="inlineStr">
        <is>
          <t xml:space="preserve">At technical</t>
        </is>
      </c>
      <c r="AM536" s="41">
        <f>IF(ISNUMBER($AD536),Header!$I$3,"")</f>
      </c>
      <c r="AN536" s="39">
        <f>IF(ISNUMBER($AD536),$AO536+$AP536,"")</f>
      </c>
      <c r="AO536" s="39">
        <f>IF(ISNUMBER($AD536),ROUND($AD536*Header!$K$3,2),"")</f>
      </c>
      <c r="AP536" s="39">
        <f>IF(ISNUMBER($AD536),ROUND($AD536*Header!$M$3,2),"")</f>
      </c>
      <c r="AQ536" s="38">
        <f>IF(ISNUMBER($AD536),ROUND($AD536,2)-$AO536-$AP536,"")</f>
      </c>
      <c r="AR536" s="39">
        <f>IF(ISNUMBER($AD536),IF(Header!$D$34="","?",$AD536*Header!$D$34),"")</f>
      </c>
      <c r="AS536" s="39">
        <f>IF(ISNUMBER($AB536),IF(Header!$D$34="","?",$AB536*Header!$D$34),"")</f>
      </c>
      <c r="AT536" s="42">
        <f>IF(AND(ISNUMBER($AB536),$M536&gt;0),$AB536/$M536*100,"")</f>
      </c>
      <c r="AU536" s="42">
        <f>IF(AND(ISNUMBER($AD536),$M536&gt;0),$AD536/$M536*100,"")</f>
      </c>
      <c r="AV536" s="40">
        <f>IF(AND(ISNUMBER($AB536),ISNUMBER($AD536),ABS($AB536)&gt;0),$AD536/$AB536,"")</f>
      </c>
      <c r="AW536" s="39">
        <f>IF(ISNUMBER($AD536),MAX(0,(1-0.55-Header!$O$3)*Header!$Q$3*$AQ536),"")</f>
      </c>
      <c r="AX536" s="43">
        <f>IF($A536="","",IF(TRIM(IF($A536="","Missing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",""))="","PASS","FAIL: "&amp;TRIM(IF($A536="","Missing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f>
      </c>
      <c r="AY536" s="44">
        <f>IF($M536="","",IF(ISNUMBER($M536),IF($M536&gt;=Header!$C$18,"YES — refer","No"),""))</f>
      </c>
      <c r="AZ536" s="44">
        <f>IF($AD536="","",IF(ISNUMBER($AD536),IF($AD536&lt;Header!$C$20,"BELOW MIN PREMIUM","OK"),""))</f>
      </c>
      <c r="BA536" s="48" t="inlineStr">
        <is>
          <t xml:space="preserve">Yes</t>
        </is>
      </c>
      <c r="BB536" s="48" t="inlineStr">
        <is>
          <t xml:space="preserve">Yes</t>
        </is>
      </c>
      <c r="BC536" s="46" t="inlineStr">
        <is>
          <t xml:space="preserve">Synthetic demo data</t>
        </is>
      </c>
      <c r="BE536" s="45">
        <f>IF(OR($A536="",$L536="",$H536=""),"",IF(AND(LEFT($L536,2)="06",$H536&gt;1945),"FAIL - pre-war class, year "&amp;$H536,IF(AND(LEFT($L536,2)="07",OR($H536&lt;1946,$H536&gt;1972)),"FAIL - 1946-72 class, year "&amp;$H536,IF(AND(LEFT($L536,2)="08",OR($H536&lt;1973,$H536&gt;1999)),"FAIL - 1973-99 class, year "&amp;$H536,IF(AND(LEFT($L536,2)="09",OR($H536&lt;2000,$H536&gt;2010)),"FAIL - 2000-10 class, year "&amp;$H536,"OK")))))</f>
      </c>
      <c r="BF536" s="45">
        <f>IF($AD536="","",IF(ROUND($AO536+$AP536+$AQ536-$AD536,2)=0,"OK","FAIL - out by "&amp;TEXT($AO536+$AP536+$AQ536-$AD536,"$0.00")))</f>
      </c>
    </row>
    <row r="537" spans="1:58" ht="18.75" customHeight="1" x14ac:dyDescent="0.25">
      <c r="A537" s="30" t="inlineStr">
        <is>
          <t xml:space="preserve">CANON-202607-010250</t>
        </is>
      </c>
      <c r="B537" s="30" t="inlineStr">
        <is>
          <t xml:space="preserve">Noor Delacroix</t>
        </is>
      </c>
      <c r="C537" s="31">
        <v>46218</v>
      </c>
      <c r="D537" s="32" t="inlineStr">
        <is>
          <t xml:space="preserve">Bound - within authority</t>
        </is>
      </c>
      <c r="E537" s="32" t="inlineStr">
        <is>
          <t xml:space="preserve">New business</t>
        </is>
      </c>
      <c r="F537" s="30" t="inlineStr">
        <is>
          <t xml:space="preserve">B1234EXOTIC26</t>
        </is>
      </c>
      <c r="G537" s="33">
        <f>IF($A537="","",IF($C537="","",YEAR($C537)))</f>
      </c>
      <c r="H537" s="34">
        <v>1987</v>
      </c>
      <c r="I537" s="30" t="inlineStr">
        <is>
          <t xml:space="preserve">McLaren</t>
        </is>
      </c>
      <c r="J537" s="30" t="inlineStr">
        <is>
          <t xml:space="preserve">750S</t>
        </is>
      </c>
      <c r="K537" s="30" t="inlineStr">
        <is>
          <t xml:space="preserve">GK25EE63AJY2FZHTG</t>
        </is>
      </c>
      <c r="L537" s="32" t="inlineStr">
        <is>
          <t xml:space="preserve">03 - Supercar</t>
        </is>
      </c>
      <c r="M537" s="35">
        <v>775000</v>
      </c>
      <c r="N537" s="32" t="inlineStr">
        <is>
          <t xml:space="preserve">Personal</t>
        </is>
      </c>
      <c r="O537" s="30" t="inlineStr">
        <is>
          <t xml:space="preserve">Personal - regular use</t>
        </is>
      </c>
      <c r="P537" s="30" t="inlineStr">
        <is>
          <t xml:space="preserve">1,000 - 2,500</t>
        </is>
      </c>
      <c r="Q537" s="30" t="inlineStr">
        <is>
          <t xml:space="preserve">Colorado</t>
        </is>
      </c>
      <c r="R537" s="30" t="inlineStr">
        <is>
          <t xml:space="preserve">80202</t>
        </is>
      </c>
      <c r="S537" s="32" t="inlineStr">
        <is>
          <t xml:space="preserve">Severe convective - hail alley (high)</t>
        </is>
      </c>
      <c r="T537" s="36">
        <f>IF($A537="","",IF($S537="","",IFERROR(INDEX('[1]natural catastrophe'!$D$6:$D$17,MATCH($S537,'[1]natural catastrophe'!$B$6:$B$17,0)),"?")))</f>
      </c>
      <c r="U537" s="30" t="inlineStr">
        <is>
          <t xml:space="preserve">$5,000</t>
        </is>
      </c>
      <c r="V537" s="32" t="inlineStr">
        <is>
          <t xml:space="preserve">Agreed Value</t>
        </is>
      </c>
      <c r="W537" s="30" t="inlineStr">
        <is>
          <t xml:space="preserve">$1,000</t>
        </is>
      </c>
      <c r="X537" s="32" t="inlineStr">
        <is>
          <t xml:space="preserve">$1,000,000 CSL</t>
        </is>
      </c>
      <c r="Y537" s="30"/>
      <c r="Z537" s="30"/>
      <c r="AA537" s="32" t="inlineStr">
        <is>
          <t xml:space="preserve">Surplus Lines</t>
        </is>
      </c>
      <c r="AB537" s="35">
        <v>11628.58</v>
      </c>
      <c r="AC537" s="37">
        <v>0</v>
      </c>
      <c r="AD537" s="38">
        <f>IF(ISNUMBER($AB537),$AB537*(1+N($AC537)),"")</f>
      </c>
      <c r="AE537" s="35">
        <v>350</v>
      </c>
      <c r="AF537" s="35">
        <v>0</v>
      </c>
      <c r="AG537" s="37"/>
      <c r="AH537" s="39">
        <f>IF(ISNUMBER($AD537),($AD537+$AE537+$AF537)*$AG537,"")</f>
      </c>
      <c r="AI537" s="35"/>
      <c r="AJ537" s="38">
        <f>IF(ISNUMBER($AD537),SUM($AD537:$AH537),"")</f>
      </c>
      <c r="AK537" s="40">
        <f>IF(AND(ISNUMBER($AB537),ISNUMBER($AD537)),IF($AB537&gt;0,$AD537/$AB537,""),"")</f>
      </c>
      <c r="AL537" s="32" t="inlineStr">
        <is>
          <t xml:space="preserve">At technical</t>
        </is>
      </c>
      <c r="AM537" s="41">
        <f>IF(ISNUMBER($AD537),Header!$I$3,"")</f>
      </c>
      <c r="AN537" s="39">
        <f>IF(ISNUMBER($AD537),$AO537+$AP537,"")</f>
      </c>
      <c r="AO537" s="39">
        <f>IF(ISNUMBER($AD537),ROUND($AD537*Header!$K$3,2),"")</f>
      </c>
      <c r="AP537" s="39">
        <f>IF(ISNUMBER($AD537),ROUND($AD537*Header!$M$3,2),"")</f>
      </c>
      <c r="AQ537" s="38">
        <f>IF(ISNUMBER($AD537),ROUND($AD537,2)-$AO537-$AP537,"")</f>
      </c>
      <c r="AR537" s="39">
        <f>IF(ISNUMBER($AD537),IF(Header!$D$34="","?",$AD537*Header!$D$34),"")</f>
      </c>
      <c r="AS537" s="39">
        <f>IF(ISNUMBER($AB537),IF(Header!$D$34="","?",$AB537*Header!$D$34),"")</f>
      </c>
      <c r="AT537" s="42">
        <f>IF(AND(ISNUMBER($AB537),$M537&gt;0),$AB537/$M537*100,"")</f>
      </c>
      <c r="AU537" s="42">
        <f>IF(AND(ISNUMBER($AD537),$M537&gt;0),$AD537/$M537*100,"")</f>
      </c>
      <c r="AV537" s="40">
        <f>IF(AND(ISNUMBER($AB537),ISNUMBER($AD537),ABS($AB537)&gt;0),$AD537/$AB537,"")</f>
      </c>
      <c r="AW537" s="39">
        <f>IF(ISNUMBER($AD537),MAX(0,(1-0.55-Header!$O$3)*Header!$Q$3*$AQ537),"")</f>
      </c>
      <c r="AX537" s="43">
        <f>IF($A537="","",IF(TRIM(IF($A537="","Missing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",""))="","PASS","FAIL: "&amp;TRIM(IF($A537="","Missing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f>
      </c>
      <c r="AY537" s="44">
        <f>IF($M537="","",IF(ISNUMBER($M537),IF($M537&gt;=Header!$C$18,"YES — refer","No"),""))</f>
      </c>
      <c r="AZ537" s="44">
        <f>IF($AD537="","",IF(ISNUMBER($AD537),IF($AD537&lt;Header!$C$20,"BELOW MIN PREMIUM","OK"),""))</f>
      </c>
      <c r="BA537" s="32" t="inlineStr">
        <is>
          <t xml:space="preserve">Yes</t>
        </is>
      </c>
      <c r="BB537" s="32" t="inlineStr">
        <is>
          <t xml:space="preserve">Yes</t>
        </is>
      </c>
      <c r="BC537" s="30" t="inlineStr">
        <is>
          <t xml:space="preserve">Synthetic demo data</t>
        </is>
      </c>
      <c r="BE537" s="45">
        <f>IF(OR($A537="",$L537="",$H537=""),"",IF(AND(LEFT($L537,2)="06",$H537&gt;1945),"FAIL - pre-war class, year "&amp;$H537,IF(AND(LEFT($L537,2)="07",OR($H537&lt;1946,$H537&gt;1972)),"FAIL - 1946-72 class, year "&amp;$H537,IF(AND(LEFT($L537,2)="08",OR($H537&lt;1973,$H537&gt;1999)),"FAIL - 1973-99 class, year "&amp;$H537,IF(AND(LEFT($L537,2)="09",OR($H537&lt;2000,$H537&gt;2010)),"FAIL - 2000-10 class, year "&amp;$H537,"OK")))))</f>
      </c>
      <c r="BF537" s="45">
        <f>IF($AD537="","",IF(ROUND($AO537+$AP537+$AQ537-$AD537,2)=0,"OK","FAIL - out by "&amp;TEXT($AO537+$AP537+$AQ537-$AD537,"$0.00")))</f>
      </c>
    </row>
    <row r="538" spans="1:58" ht="18.75" customHeight="1" x14ac:dyDescent="0.25">
      <c r="A538" s="46" t="inlineStr">
        <is>
          <t xml:space="preserve">CANON-202607-010251</t>
        </is>
      </c>
      <c r="B538" s="46" t="inlineStr">
        <is>
          <t xml:space="preserve">Beatrix Fairweather</t>
        </is>
      </c>
      <c r="C538" s="47">
        <v>46225</v>
      </c>
      <c r="D538" s="48" t="inlineStr">
        <is>
          <t xml:space="preserve">Bound - within authority</t>
        </is>
      </c>
      <c r="E538" s="48" t="inlineStr">
        <is>
          <t xml:space="preserve">New business</t>
        </is>
      </c>
      <c r="F538" s="46" t="inlineStr">
        <is>
          <t xml:space="preserve">B1234EXOTIC26</t>
        </is>
      </c>
      <c r="G538" s="33">
        <f>IF($A538="","",IF($C538="","",YEAR($C538)))</f>
      </c>
      <c r="H538" s="49">
        <v>2001</v>
      </c>
      <c r="I538" s="46" t="inlineStr">
        <is>
          <t xml:space="preserve">Mercedes-Benz</t>
        </is>
      </c>
      <c r="J538" s="46" t="inlineStr">
        <is>
          <t xml:space="preserve">AMG GT</t>
        </is>
      </c>
      <c r="K538" s="46" t="inlineStr">
        <is>
          <t xml:space="preserve">78F0GRKVBCHK0TAMS</t>
        </is>
      </c>
      <c r="L538" s="48" t="inlineStr">
        <is>
          <t xml:space="preserve">02 - Sports / GT</t>
        </is>
      </c>
      <c r="M538" s="50">
        <v>960000</v>
      </c>
      <c r="N538" s="48" t="inlineStr">
        <is>
          <t xml:space="preserve">Personal</t>
        </is>
      </c>
      <c r="O538" s="46" t="inlineStr">
        <is>
          <t xml:space="preserve">Personal - regular use</t>
        </is>
      </c>
      <c r="P538" s="46" t="inlineStr">
        <is>
          <t xml:space="preserve">2,500 - 5,000</t>
        </is>
      </c>
      <c r="Q538" s="46" t="inlineStr">
        <is>
          <t xml:space="preserve">New Jersey</t>
        </is>
      </c>
      <c r="R538" s="46" t="inlineStr">
        <is>
          <t xml:space="preserve">07102</t>
        </is>
      </c>
      <c r="S538" s="48" t="inlineStr">
        <is>
          <t xml:space="preserve">Tier 3 - Coastal wind (25-100 miles)</t>
        </is>
      </c>
      <c r="T538" s="36">
        <f>IF($A538="","",IF($S538="","",IFERROR(INDEX('[1]natural catastrophe'!$D$6:$D$17,MATCH($S538,'[1]natural catastrophe'!$B$6:$B$17,0)),"?")))</f>
      </c>
      <c r="U538" s="46" t="inlineStr">
        <is>
          <t xml:space="preserve">2% of agreed value, minimum $10,000</t>
        </is>
      </c>
      <c r="V538" s="48" t="inlineStr">
        <is>
          <t xml:space="preserve">Agreed Value</t>
        </is>
      </c>
      <c r="W538" s="46" t="inlineStr">
        <is>
          <t xml:space="preserve">$1,000</t>
        </is>
      </c>
      <c r="X538" s="48" t="inlineStr">
        <is>
          <t xml:space="preserve">$1,000,000 CSL</t>
        </is>
      </c>
      <c r="Y538" s="46"/>
      <c r="Z538" s="46"/>
      <c r="AA538" s="48" t="inlineStr">
        <is>
          <t xml:space="preserve">Surplus Lines</t>
        </is>
      </c>
      <c r="AB538" s="50">
        <v>8153.32</v>
      </c>
      <c r="AC538" s="51">
        <v>0</v>
      </c>
      <c r="AD538" s="38">
        <f>IF(ISNUMBER($AB538),$AB538*(1+N($AC538)),"")</f>
      </c>
      <c r="AE538" s="50">
        <v>350</v>
      </c>
      <c r="AF538" s="50">
        <v>0</v>
      </c>
      <c r="AG538" s="51"/>
      <c r="AH538" s="39">
        <f>IF(ISNUMBER($AD538),($AD538+$AE538+$AF538)*$AG538,"")</f>
      </c>
      <c r="AI538" s="50"/>
      <c r="AJ538" s="38">
        <f>IF(ISNUMBER($AD538),SUM($AD538:$AH538),"")</f>
      </c>
      <c r="AK538" s="40">
        <f>IF(AND(ISNUMBER($AB538),ISNUMBER($AD538)),IF($AB538&gt;0,$AD538/$AB538,""),"")</f>
      </c>
      <c r="AL538" s="48" t="inlineStr">
        <is>
          <t xml:space="preserve">At technical</t>
        </is>
      </c>
      <c r="AM538" s="41">
        <f>IF(ISNUMBER($AD538),Header!$I$3,"")</f>
      </c>
      <c r="AN538" s="39">
        <f>IF(ISNUMBER($AD538),$AO538+$AP538,"")</f>
      </c>
      <c r="AO538" s="39">
        <f>IF(ISNUMBER($AD538),ROUND($AD538*Header!$K$3,2),"")</f>
      </c>
      <c r="AP538" s="39">
        <f>IF(ISNUMBER($AD538),ROUND($AD538*Header!$M$3,2),"")</f>
      </c>
      <c r="AQ538" s="38">
        <f>IF(ISNUMBER($AD538),ROUND($AD538,2)-$AO538-$AP538,"")</f>
      </c>
      <c r="AR538" s="39">
        <f>IF(ISNUMBER($AD538),IF(Header!$D$34="","?",$AD538*Header!$D$34),"")</f>
      </c>
      <c r="AS538" s="39">
        <f>IF(ISNUMBER($AB538),IF(Header!$D$34="","?",$AB538*Header!$D$34),"")</f>
      </c>
      <c r="AT538" s="42">
        <f>IF(AND(ISNUMBER($AB538),$M538&gt;0),$AB538/$M538*100,"")</f>
      </c>
      <c r="AU538" s="42">
        <f>IF(AND(ISNUMBER($AD538),$M538&gt;0),$AD538/$M538*100,"")</f>
      </c>
      <c r="AV538" s="40">
        <f>IF(AND(ISNUMBER($AB538),ISNUMBER($AD538),ABS($AB538)&gt;0),$AD538/$AB538,"")</f>
      </c>
      <c r="AW538" s="39">
        <f>IF(ISNUMBER($AD538),MAX(0,(1-0.55-Header!$O$3)*Header!$Q$3*$AQ538),"")</f>
      </c>
      <c r="AX538" s="43">
        <f>IF($A538="","",IF(TRIM(IF($A538="","Missing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",""))="","PASS","FAIL: "&amp;TRIM(IF($A538="","Missing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f>
      </c>
      <c r="AY538" s="44">
        <f>IF($M538="","",IF(ISNUMBER($M538),IF($M538&gt;=Header!$C$18,"YES — refer","No"),""))</f>
      </c>
      <c r="AZ538" s="44">
        <f>IF($AD538="","",IF(ISNUMBER($AD538),IF($AD538&lt;Header!$C$20,"BELOW MIN PREMIUM","OK"),""))</f>
      </c>
      <c r="BA538" s="48" t="inlineStr">
        <is>
          <t xml:space="preserve">Yes</t>
        </is>
      </c>
      <c r="BB538" s="48" t="inlineStr">
        <is>
          <t xml:space="preserve">Yes</t>
        </is>
      </c>
      <c r="BC538" s="46" t="inlineStr">
        <is>
          <t xml:space="preserve">Synthetic demo data</t>
        </is>
      </c>
      <c r="BE538" s="45">
        <f>IF(OR($A538="",$L538="",$H538=""),"",IF(AND(LEFT($L538,2)="06",$H538&gt;1945),"FAIL - pre-war class, year "&amp;$H538,IF(AND(LEFT($L538,2)="07",OR($H538&lt;1946,$H538&gt;1972)),"FAIL - 1946-72 class, year "&amp;$H538,IF(AND(LEFT($L538,2)="08",OR($H538&lt;1973,$H538&gt;1999)),"FAIL - 1973-99 class, year "&amp;$H538,IF(AND(LEFT($L538,2)="09",OR($H538&lt;2000,$H538&gt;2010)),"FAIL - 2000-10 class, year "&amp;$H538,"OK")))))</f>
      </c>
      <c r="BF538" s="45">
        <f>IF($AD538="","",IF(ROUND($AO538+$AP538+$AQ538-$AD538,2)=0,"OK","FAIL - out by "&amp;TEXT($AO538+$AP538+$AQ538-$AD538,"$0.00")))</f>
      </c>
    </row>
    <row r="539" spans="1:58" ht="18.75" customHeight="1" x14ac:dyDescent="0.25">
      <c r="A539" s="30" t="inlineStr">
        <is>
          <t xml:space="preserve">CANON-202607-010252</t>
        </is>
      </c>
      <c r="B539" s="30" t="inlineStr">
        <is>
          <t xml:space="preserve">Anouk Nakashima</t>
        </is>
      </c>
      <c r="C539" s="31">
        <v>46214</v>
      </c>
      <c r="D539" s="32" t="inlineStr">
        <is>
          <t xml:space="preserve">Bound - within authority</t>
        </is>
      </c>
      <c r="E539" s="32" t="inlineStr">
        <is>
          <t xml:space="preserve">New business</t>
        </is>
      </c>
      <c r="F539" s="30" t="inlineStr">
        <is>
          <t xml:space="preserve">B1234EXOTIC26</t>
        </is>
      </c>
      <c r="G539" s="33">
        <f>IF($A539="","",IF($C539="","",YEAR($C539)))</f>
      </c>
      <c r="H539" s="34">
        <v>1982</v>
      </c>
      <c r="I539" s="30" t="inlineStr">
        <is>
          <t xml:space="preserve">BMW</t>
        </is>
      </c>
      <c r="J539" s="30" t="inlineStr">
        <is>
          <t xml:space="preserve">M8 Competition</t>
        </is>
      </c>
      <c r="K539" s="30" t="inlineStr">
        <is>
          <t xml:space="preserve">RATLXFTRGFYE30KYS</t>
        </is>
      </c>
      <c r="L539" s="32" t="inlineStr">
        <is>
          <t xml:space="preserve">02 - Sports / GT</t>
        </is>
      </c>
      <c r="M539" s="35">
        <v>715000</v>
      </c>
      <c r="N539" s="32" t="inlineStr">
        <is>
          <t xml:space="preserve">Personal</t>
        </is>
      </c>
      <c r="O539" s="30" t="inlineStr">
        <is>
          <t xml:space="preserve">Personal - regular use</t>
        </is>
      </c>
      <c r="P539" s="30" t="inlineStr">
        <is>
          <t xml:space="preserve">Under 1,000</t>
        </is>
      </c>
      <c r="Q539" s="30" t="inlineStr">
        <is>
          <t xml:space="preserve">Ohio</t>
        </is>
      </c>
      <c r="R539" s="30" t="inlineStr">
        <is>
          <t xml:space="preserve">43215</t>
        </is>
      </c>
      <c r="S539" s="32" t="inlineStr">
        <is>
          <t xml:space="preserve">Severe convective - hail / tornado (moderate)</t>
        </is>
      </c>
      <c r="T539" s="36">
        <f>IF($A539="","",IF($S539="","",IFERROR(INDEX('[1]natural catastrophe'!$D$6:$D$17,MATCH($S539,'[1]natural catastrophe'!$B$6:$B$17,0)),"?")))</f>
      </c>
      <c r="U539" s="30" t="inlineStr">
        <is>
          <t xml:space="preserve">$5,000</t>
        </is>
      </c>
      <c r="V539" s="32" t="inlineStr">
        <is>
          <t xml:space="preserve">Agreed Value</t>
        </is>
      </c>
      <c r="W539" s="30" t="inlineStr">
        <is>
          <t xml:space="preserve">$1,000</t>
        </is>
      </c>
      <c r="X539" s="32" t="inlineStr">
        <is>
          <t xml:space="preserve">$1,000,000 CSL</t>
        </is>
      </c>
      <c r="Y539" s="30"/>
      <c r="Z539" s="30"/>
      <c r="AA539" s="32" t="inlineStr">
        <is>
          <t xml:space="preserve">Surplus Lines</t>
        </is>
      </c>
      <c r="AB539" s="35">
        <v>9275.62</v>
      </c>
      <c r="AC539" s="37">
        <v>0</v>
      </c>
      <c r="AD539" s="38">
        <f>IF(ISNUMBER($AB539),$AB539*(1+N($AC539)),"")</f>
      </c>
      <c r="AE539" s="35">
        <v>350</v>
      </c>
      <c r="AF539" s="35">
        <v>0</v>
      </c>
      <c r="AG539" s="37"/>
      <c r="AH539" s="39">
        <f>IF(ISNUMBER($AD539),($AD539+$AE539+$AF539)*$AG539,"")</f>
      </c>
      <c r="AI539" s="35"/>
      <c r="AJ539" s="38">
        <f>IF(ISNUMBER($AD539),SUM($AD539:$AH539),"")</f>
      </c>
      <c r="AK539" s="40">
        <f>IF(AND(ISNUMBER($AB539),ISNUMBER($AD539)),IF($AB539&gt;0,$AD539/$AB539,""),"")</f>
      </c>
      <c r="AL539" s="32" t="inlineStr">
        <is>
          <t xml:space="preserve">At technical</t>
        </is>
      </c>
      <c r="AM539" s="41">
        <f>IF(ISNUMBER($AD539),Header!$I$3,"")</f>
      </c>
      <c r="AN539" s="39">
        <f>IF(ISNUMBER($AD539),$AO539+$AP539,"")</f>
      </c>
      <c r="AO539" s="39">
        <f>IF(ISNUMBER($AD539),ROUND($AD539*Header!$K$3,2),"")</f>
      </c>
      <c r="AP539" s="39">
        <f>IF(ISNUMBER($AD539),ROUND($AD539*Header!$M$3,2),"")</f>
      </c>
      <c r="AQ539" s="38">
        <f>IF(ISNUMBER($AD539),ROUND($AD539,2)-$AO539-$AP539,"")</f>
      </c>
      <c r="AR539" s="39">
        <f>IF(ISNUMBER($AD539),IF(Header!$D$34="","?",$AD539*Header!$D$34),"")</f>
      </c>
      <c r="AS539" s="39">
        <f>IF(ISNUMBER($AB539),IF(Header!$D$34="","?",$AB539*Header!$D$34),"")</f>
      </c>
      <c r="AT539" s="42">
        <f>IF(AND(ISNUMBER($AB539),$M539&gt;0),$AB539/$M539*100,"")</f>
      </c>
      <c r="AU539" s="42">
        <f>IF(AND(ISNUMBER($AD539),$M539&gt;0),$AD539/$M539*100,"")</f>
      </c>
      <c r="AV539" s="40">
        <f>IF(AND(ISNUMBER($AB539),ISNUMBER($AD539),ABS($AB539)&gt;0),$AD539/$AB539,"")</f>
      </c>
      <c r="AW539" s="39">
        <f>IF(ISNUMBER($AD539),MAX(0,(1-0.55-Header!$O$3)*Header!$Q$3*$AQ539),"")</f>
      </c>
      <c r="AX539" s="43">
        <f>IF($A539="","",IF(TRIM(IF($A539="","Missing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",""))="","PASS","FAIL: "&amp;TRIM(IF($A539="","Missing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f>
      </c>
      <c r="AY539" s="44">
        <f>IF($M539="","",IF(ISNUMBER($M539),IF($M539&gt;=Header!$C$18,"YES — refer","No"),""))</f>
      </c>
      <c r="AZ539" s="44">
        <f>IF($AD539="","",IF(ISNUMBER($AD539),IF($AD539&lt;Header!$C$20,"BELOW MIN PREMIUM","OK"),""))</f>
      </c>
      <c r="BA539" s="32" t="inlineStr">
        <is>
          <t xml:space="preserve">Yes</t>
        </is>
      </c>
      <c r="BB539" s="32" t="inlineStr">
        <is>
          <t xml:space="preserve">Yes</t>
        </is>
      </c>
      <c r="BC539" s="30" t="inlineStr">
        <is>
          <t xml:space="preserve">Synthetic demo data</t>
        </is>
      </c>
      <c r="BE539" s="45">
        <f>IF(OR($A539="",$L539="",$H539=""),"",IF(AND(LEFT($L539,2)="06",$H539&gt;1945),"FAIL - pre-war class, year "&amp;$H539,IF(AND(LEFT($L539,2)="07",OR($H539&lt;1946,$H539&gt;1972)),"FAIL - 1946-72 class, year "&amp;$H539,IF(AND(LEFT($L539,2)="08",OR($H539&lt;1973,$H539&gt;1999)),"FAIL - 1973-99 class, year "&amp;$H539,IF(AND(LEFT($L539,2)="09",OR($H539&lt;2000,$H539&gt;2010)),"FAIL - 2000-10 class, year "&amp;$H539,"OK")))))</f>
      </c>
      <c r="BF539" s="45">
        <f>IF($AD539="","",IF(ROUND($AO539+$AP539+$AQ539-$AD539,2)=0,"OK","FAIL - out by "&amp;TEXT($AO539+$AP539+$AQ539-$AD539,"$0.00")))</f>
      </c>
    </row>
    <row r="540" spans="1:58" ht="18.75" customHeight="1" x14ac:dyDescent="0.25">
      <c r="A540" s="46" t="inlineStr">
        <is>
          <t xml:space="preserve">CANON-202607-010253</t>
        </is>
      </c>
      <c r="B540" s="46" t="inlineStr">
        <is>
          <t xml:space="preserve">Lorenzo Thistlewood</t>
        </is>
      </c>
      <c r="C540" s="47">
        <v>46211</v>
      </c>
      <c r="D540" s="48" t="inlineStr">
        <is>
          <t xml:space="preserve">Bound - within authority</t>
        </is>
      </c>
      <c r="E540" s="48" t="inlineStr">
        <is>
          <t xml:space="preserve">New business</t>
        </is>
      </c>
      <c r="F540" s="46" t="inlineStr">
        <is>
          <t xml:space="preserve">B1234EXOTIC26</t>
        </is>
      </c>
      <c r="G540" s="33">
        <f>IF($A540="","",IF($C540="","",YEAR($C540)))</f>
      </c>
      <c r="H540" s="49">
        <v>1956</v>
      </c>
      <c r="I540" s="46" t="inlineStr">
        <is>
          <t xml:space="preserve">Mercedes-Benz</t>
        </is>
      </c>
      <c r="J540" s="46" t="inlineStr">
        <is>
          <t xml:space="preserve">AMG GT</t>
        </is>
      </c>
      <c r="K540" s="46" t="inlineStr">
        <is>
          <t xml:space="preserve">DE6UDD4Y62UKAFK39</t>
        </is>
      </c>
      <c r="L540" s="48" t="inlineStr">
        <is>
          <t xml:space="preserve">02 - Sports / GT</t>
        </is>
      </c>
      <c r="M540" s="50">
        <v>1380000</v>
      </c>
      <c r="N540" s="48" t="inlineStr">
        <is>
          <t xml:space="preserve">Personal</t>
        </is>
      </c>
      <c r="O540" s="46" t="inlineStr">
        <is>
          <t xml:space="preserve">Personal - regular use</t>
        </is>
      </c>
      <c r="P540" s="46" t="inlineStr">
        <is>
          <t xml:space="preserve">1,000 - 2,500</t>
        </is>
      </c>
      <c r="Q540" s="46" t="inlineStr">
        <is>
          <t xml:space="preserve">South Dakota</t>
        </is>
      </c>
      <c r="R540" s="46" t="inlineStr">
        <is>
          <t xml:space="preserve">57501</t>
        </is>
      </c>
      <c r="S540" s="48" t="inlineStr">
        <is>
          <t xml:space="preserve">Severe convective - hail alley (high)</t>
        </is>
      </c>
      <c r="T540" s="36">
        <f>IF($A540="","",IF($S540="","",IFERROR(INDEX('[1]natural catastrophe'!$D$6:$D$17,MATCH($S540,'[1]natural catastrophe'!$B$6:$B$17,0)),"?")))</f>
      </c>
      <c r="U540" s="46" t="inlineStr">
        <is>
          <t xml:space="preserve">$5,000</t>
        </is>
      </c>
      <c r="V540" s="48" t="inlineStr">
        <is>
          <t xml:space="preserve">Agreed Value</t>
        </is>
      </c>
      <c r="W540" s="46" t="inlineStr">
        <is>
          <t xml:space="preserve">$1,000</t>
        </is>
      </c>
      <c r="X540" s="48" t="inlineStr">
        <is>
          <t xml:space="preserve">$1,000,000 CSL</t>
        </is>
      </c>
      <c r="Y540" s="46"/>
      <c r="Z540" s="46"/>
      <c r="AA540" s="48" t="inlineStr">
        <is>
          <t xml:space="preserve">Surplus Lines</t>
        </is>
      </c>
      <c r="AB540" s="50">
        <v>12096.89</v>
      </c>
      <c r="AC540" s="51">
        <v>0</v>
      </c>
      <c r="AD540" s="38">
        <f>IF(ISNUMBER($AB540),$AB540*(1+N($AC540)),"")</f>
      </c>
      <c r="AE540" s="50">
        <v>350</v>
      </c>
      <c r="AF540" s="50">
        <v>250</v>
      </c>
      <c r="AG540" s="51"/>
      <c r="AH540" s="39">
        <f>IF(ISNUMBER($AD540),($AD540+$AE540+$AF540)*$AG540,"")</f>
      </c>
      <c r="AI540" s="50"/>
      <c r="AJ540" s="38">
        <f>IF(ISNUMBER($AD540),SUM($AD540:$AH540),"")</f>
      </c>
      <c r="AK540" s="40">
        <f>IF(AND(ISNUMBER($AB540),ISNUMBER($AD540)),IF($AB540&gt;0,$AD540/$AB540,""),"")</f>
      </c>
      <c r="AL540" s="48" t="inlineStr">
        <is>
          <t xml:space="preserve">At technical</t>
        </is>
      </c>
      <c r="AM540" s="41">
        <f>IF(ISNUMBER($AD540),Header!$I$3,"")</f>
      </c>
      <c r="AN540" s="39">
        <f>IF(ISNUMBER($AD540),$AO540+$AP540,"")</f>
      </c>
      <c r="AO540" s="39">
        <f>IF(ISNUMBER($AD540),ROUND($AD540*Header!$K$3,2),"")</f>
      </c>
      <c r="AP540" s="39">
        <f>IF(ISNUMBER($AD540),ROUND($AD540*Header!$M$3,2),"")</f>
      </c>
      <c r="AQ540" s="38">
        <f>IF(ISNUMBER($AD540),ROUND($AD540,2)-$AO540-$AP540,"")</f>
      </c>
      <c r="AR540" s="39">
        <f>IF(ISNUMBER($AD540),IF(Header!$D$34="","?",$AD540*Header!$D$34),"")</f>
      </c>
      <c r="AS540" s="39">
        <f>IF(ISNUMBER($AB540),IF(Header!$D$34="","?",$AB540*Header!$D$34),"")</f>
      </c>
      <c r="AT540" s="42">
        <f>IF(AND(ISNUMBER($AB540),$M540&gt;0),$AB540/$M540*100,"")</f>
      </c>
      <c r="AU540" s="42">
        <f>IF(AND(ISNUMBER($AD540),$M540&gt;0),$AD540/$M540*100,"")</f>
      </c>
      <c r="AV540" s="40">
        <f>IF(AND(ISNUMBER($AB540),ISNUMBER($AD540),ABS($AB540)&gt;0),$AD540/$AB540,"")</f>
      </c>
      <c r="AW540" s="39">
        <f>IF(ISNUMBER($AD540),MAX(0,(1-0.55-Header!$O$3)*Header!$Q$3*$AQ540),"")</f>
      </c>
      <c r="AX540" s="43">
        <f>IF($A540="","",IF(TRIM(IF($A540="","Missing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",""))="","PASS","FAIL: "&amp;TRIM(IF($A540="","Missing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f>
      </c>
      <c r="AY540" s="44">
        <f>IF($M540="","",IF(ISNUMBER($M540),IF($M540&gt;=Header!$C$18,"YES — refer","No"),""))</f>
      </c>
      <c r="AZ540" s="44">
        <f>IF($AD540="","",IF(ISNUMBER($AD540),IF($AD540&lt;Header!$C$20,"BELOW MIN PREMIUM","OK"),""))</f>
      </c>
      <c r="BA540" s="48" t="inlineStr">
        <is>
          <t xml:space="preserve">Yes</t>
        </is>
      </c>
      <c r="BB540" s="48" t="inlineStr">
        <is>
          <t xml:space="preserve">Yes</t>
        </is>
      </c>
      <c r="BC540" s="46" t="inlineStr">
        <is>
          <t xml:space="preserve">Synthetic demo data</t>
        </is>
      </c>
      <c r="BE540" s="45">
        <f>IF(OR($A540="",$L540="",$H540=""),"",IF(AND(LEFT($L540,2)="06",$H540&gt;1945),"FAIL - pre-war class, year "&amp;$H540,IF(AND(LEFT($L540,2)="07",OR($H540&lt;1946,$H540&gt;1972)),"FAIL - 1946-72 class, year "&amp;$H540,IF(AND(LEFT($L540,2)="08",OR($H540&lt;1973,$H540&gt;1999)),"FAIL - 1973-99 class, year "&amp;$H540,IF(AND(LEFT($L540,2)="09",OR($H540&lt;2000,$H540&gt;2010)),"FAIL - 2000-10 class, year "&amp;$H540,"OK")))))</f>
      </c>
      <c r="BF540" s="45">
        <f>IF($AD540="","",IF(ROUND($AO540+$AP540+$AQ540-$AD540,2)=0,"OK","FAIL - out by "&amp;TEXT($AO540+$AP540+$AQ540-$AD540,"$0.00")))</f>
      </c>
    </row>
    <row r="541" spans="1:58" ht="18.75" customHeight="1" x14ac:dyDescent="0.25">
      <c r="A541" s="30" t="inlineStr">
        <is>
          <t xml:space="preserve">CANON-202607-010254</t>
        </is>
      </c>
      <c r="B541" s="30" t="inlineStr">
        <is>
          <t xml:space="preserve">Anouk Underwood</t>
        </is>
      </c>
      <c r="C541" s="31">
        <v>46211</v>
      </c>
      <c r="D541" s="32" t="inlineStr">
        <is>
          <t xml:space="preserve">Bound - within authority</t>
        </is>
      </c>
      <c r="E541" s="32" t="inlineStr">
        <is>
          <t xml:space="preserve">New business</t>
        </is>
      </c>
      <c r="F541" s="30" t="inlineStr">
        <is>
          <t xml:space="preserve">B1234EXOTIC26</t>
        </is>
      </c>
      <c r="G541" s="33">
        <f>IF($A541="","",IF($C541="","",YEAR($C541)))</f>
      </c>
      <c r="H541" s="34">
        <v>1995</v>
      </c>
      <c r="I541" s="30" t="inlineStr">
        <is>
          <t xml:space="preserve">Bentley</t>
        </is>
      </c>
      <c r="J541" s="30" t="inlineStr">
        <is>
          <t xml:space="preserve">Continental GT</t>
        </is>
      </c>
      <c r="K541" s="30" t="inlineStr">
        <is>
          <t xml:space="preserve">AVR0YEVK0S7FDMJ0F</t>
        </is>
      </c>
      <c r="L541" s="32" t="inlineStr">
        <is>
          <t xml:space="preserve">02 - Sports / GT</t>
        </is>
      </c>
      <c r="M541" s="35">
        <v>195000</v>
      </c>
      <c r="N541" s="32" t="inlineStr">
        <is>
          <t xml:space="preserve">Personal</t>
        </is>
      </c>
      <c r="O541" s="30" t="inlineStr">
        <is>
          <t xml:space="preserve">Personal - regular use</t>
        </is>
      </c>
      <c r="P541" s="30" t="inlineStr">
        <is>
          <t xml:space="preserve">Under 1,000</t>
        </is>
      </c>
      <c r="Q541" s="30" t="inlineStr">
        <is>
          <t xml:space="preserve">Arkansas</t>
        </is>
      </c>
      <c r="R541" s="30" t="inlineStr">
        <is>
          <t xml:space="preserve">72201</t>
        </is>
      </c>
      <c r="S541" s="32" t="inlineStr">
        <is>
          <t xml:space="preserve">Severe convective - hail / tornado (moderate)</t>
        </is>
      </c>
      <c r="T541" s="36">
        <f>IF($A541="","",IF($S541="","",IFERROR(INDEX('[1]natural catastrophe'!$D$6:$D$17,MATCH($S541,'[1]natural catastrophe'!$B$6:$B$17,0)),"?")))</f>
      </c>
      <c r="U541" s="30" t="inlineStr">
        <is>
          <t xml:space="preserve">$5,000</t>
        </is>
      </c>
      <c r="V541" s="32" t="inlineStr">
        <is>
          <t xml:space="preserve">Agreed Value</t>
        </is>
      </c>
      <c r="W541" s="30" t="inlineStr">
        <is>
          <t xml:space="preserve">$1,000</t>
        </is>
      </c>
      <c r="X541" s="32" t="inlineStr">
        <is>
          <t xml:space="preserve">$1,000,000 CSL</t>
        </is>
      </c>
      <c r="Y541" s="30"/>
      <c r="Z541" s="30"/>
      <c r="AA541" s="32" t="inlineStr">
        <is>
          <t xml:space="preserve">Surplus Lines</t>
        </is>
      </c>
      <c r="AB541" s="35">
        <v>3554.76</v>
      </c>
      <c r="AC541" s="37">
        <v>0</v>
      </c>
      <c r="AD541" s="38">
        <f>IF(ISNUMBER($AB541),$AB541*(1+N($AC541)),"")</f>
      </c>
      <c r="AE541" s="35">
        <v>350</v>
      </c>
      <c r="AF541" s="35">
        <v>0</v>
      </c>
      <c r="AG541" s="37"/>
      <c r="AH541" s="39">
        <f>IF(ISNUMBER($AD541),($AD541+$AE541+$AF541)*$AG541,"")</f>
      </c>
      <c r="AI541" s="35"/>
      <c r="AJ541" s="38">
        <f>IF(ISNUMBER($AD541),SUM($AD541:$AH541),"")</f>
      </c>
      <c r="AK541" s="40">
        <f>IF(AND(ISNUMBER($AB541),ISNUMBER($AD541)),IF($AB541&gt;0,$AD541/$AB541,""),"")</f>
      </c>
      <c r="AL541" s="32" t="inlineStr">
        <is>
          <t xml:space="preserve">At technical</t>
        </is>
      </c>
      <c r="AM541" s="41">
        <f>IF(ISNUMBER($AD541),Header!$I$3,"")</f>
      </c>
      <c r="AN541" s="39">
        <f>IF(ISNUMBER($AD541),$AO541+$AP541,"")</f>
      </c>
      <c r="AO541" s="39">
        <f>IF(ISNUMBER($AD541),ROUND($AD541*Header!$K$3,2),"")</f>
      </c>
      <c r="AP541" s="39">
        <f>IF(ISNUMBER($AD541),ROUND($AD541*Header!$M$3,2),"")</f>
      </c>
      <c r="AQ541" s="38">
        <f>IF(ISNUMBER($AD541),ROUND($AD541,2)-$AO541-$AP541,"")</f>
      </c>
      <c r="AR541" s="39">
        <f>IF(ISNUMBER($AD541),IF(Header!$D$34="","?",$AD541*Header!$D$34),"")</f>
      </c>
      <c r="AS541" s="39">
        <f>IF(ISNUMBER($AB541),IF(Header!$D$34="","?",$AB541*Header!$D$34),"")</f>
      </c>
      <c r="AT541" s="42">
        <f>IF(AND(ISNUMBER($AB541),$M541&gt;0),$AB541/$M541*100,"")</f>
      </c>
      <c r="AU541" s="42">
        <f>IF(AND(ISNUMBER($AD541),$M541&gt;0),$AD541/$M541*100,"")</f>
      </c>
      <c r="AV541" s="40">
        <f>IF(AND(ISNUMBER($AB541),ISNUMBER($AD541),ABS($AB541)&gt;0),$AD541/$AB541,"")</f>
      </c>
      <c r="AW541" s="39">
        <f>IF(ISNUMBER($AD541),MAX(0,(1-0.55-Header!$O$3)*Header!$Q$3*$AQ541),"")</f>
      </c>
      <c r="AX541" s="43">
        <f>IF($A541="","",IF(TRIM(IF($A541="","Missing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",""))="","PASS","FAIL: "&amp;TRIM(IF($A541="","Missing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f>
      </c>
      <c r="AY541" s="44">
        <f>IF($M541="","",IF(ISNUMBER($M541),IF($M541&gt;=Header!$C$18,"YES — refer","No"),""))</f>
      </c>
      <c r="AZ541" s="44">
        <f>IF($AD541="","",IF(ISNUMBER($AD541),IF($AD541&lt;Header!$C$20,"BELOW MIN PREMIUM","OK"),""))</f>
      </c>
      <c r="BA541" s="32" t="inlineStr">
        <is>
          <t xml:space="preserve">Yes</t>
        </is>
      </c>
      <c r="BB541" s="32" t="inlineStr">
        <is>
          <t xml:space="preserve">Yes</t>
        </is>
      </c>
      <c r="BC541" s="30" t="inlineStr">
        <is>
          <t xml:space="preserve">Synthetic demo data</t>
        </is>
      </c>
      <c r="BE541" s="45">
        <f>IF(OR($A541="",$L541="",$H541=""),"",IF(AND(LEFT($L541,2)="06",$H541&gt;1945),"FAIL - pre-war class, year "&amp;$H541,IF(AND(LEFT($L541,2)="07",OR($H541&lt;1946,$H541&gt;1972)),"FAIL - 1946-72 class, year "&amp;$H541,IF(AND(LEFT($L541,2)="08",OR($H541&lt;1973,$H541&gt;1999)),"FAIL - 1973-99 class, year "&amp;$H541,IF(AND(LEFT($L541,2)="09",OR($H541&lt;2000,$H541&gt;2010)),"FAIL - 2000-10 class, year "&amp;$H541,"OK")))))</f>
      </c>
      <c r="BF541" s="45">
        <f>IF($AD541="","",IF(ROUND($AO541+$AP541+$AQ541-$AD541,2)=0,"OK","FAIL - out by "&amp;TEXT($AO541+$AP541+$AQ541-$AD541,"$0.00")))</f>
      </c>
    </row>
    <row r="542" spans="1:58" ht="18.75" customHeight="1" x14ac:dyDescent="0.25">
      <c r="A542" s="46" t="inlineStr">
        <is>
          <t xml:space="preserve">CANON-202607-010255</t>
        </is>
      </c>
      <c r="B542" s="46" t="inlineStr">
        <is>
          <t xml:space="preserve">Lorenzo Bellandi</t>
        </is>
      </c>
      <c r="C542" s="47">
        <v>46228</v>
      </c>
      <c r="D542" s="48" t="inlineStr">
        <is>
          <t xml:space="preserve">Bound - within authority</t>
        </is>
      </c>
      <c r="E542" s="48" t="inlineStr">
        <is>
          <t xml:space="preserve">New business</t>
        </is>
      </c>
      <c r="F542" s="46" t="inlineStr">
        <is>
          <t xml:space="preserve">B1234EXOTIC26</t>
        </is>
      </c>
      <c r="G542" s="33">
        <f>IF($A542="","",IF($C542="","",YEAR($C542)))</f>
      </c>
      <c r="H542" s="49">
        <v>2013</v>
      </c>
      <c r="I542" s="46" t="inlineStr">
        <is>
          <t xml:space="preserve">Aston Martin</t>
        </is>
      </c>
      <c r="J542" s="46" t="inlineStr">
        <is>
          <t xml:space="preserve">DB12</t>
        </is>
      </c>
      <c r="K542" s="46" t="inlineStr">
        <is>
          <t xml:space="preserve">44DHL8FTEBPPYH46N</t>
        </is>
      </c>
      <c r="L542" s="48" t="inlineStr">
        <is>
          <t xml:space="preserve">02 - Sports / GT</t>
        </is>
      </c>
      <c r="M542" s="50">
        <v>525000</v>
      </c>
      <c r="N542" s="48" t="inlineStr">
        <is>
          <t xml:space="preserve">Personal</t>
        </is>
      </c>
      <c r="O542" s="46" t="inlineStr">
        <is>
          <t xml:space="preserve">Personal - regular use</t>
        </is>
      </c>
      <c r="P542" s="46" t="inlineStr">
        <is>
          <t xml:space="preserve">2,500 - 5,000</t>
        </is>
      </c>
      <c r="Q542" s="46" t="inlineStr">
        <is>
          <t xml:space="preserve">Maryland</t>
        </is>
      </c>
      <c r="R542" s="46" t="inlineStr">
        <is>
          <t xml:space="preserve">21201</t>
        </is>
      </c>
      <c r="S542" s="48" t="inlineStr">
        <is>
          <t xml:space="preserve">Tier 3 - Coastal wind (25-100 miles)</t>
        </is>
      </c>
      <c r="T542" s="36">
        <f>IF($A542="","",IF($S542="","",IFERROR(INDEX('[1]natural catastrophe'!$D$6:$D$17,MATCH($S542,'[1]natural catastrophe'!$B$6:$B$17,0)),"?")))</f>
      </c>
      <c r="U542" s="46" t="inlineStr">
        <is>
          <t xml:space="preserve">2% of agreed value, minimum $10,000</t>
        </is>
      </c>
      <c r="V542" s="48" t="inlineStr">
        <is>
          <t xml:space="preserve">Agreed Value</t>
        </is>
      </c>
      <c r="W542" s="46" t="inlineStr">
        <is>
          <t xml:space="preserve">$1,000</t>
        </is>
      </c>
      <c r="X542" s="48" t="inlineStr">
        <is>
          <t xml:space="preserve">$1,000,000 CSL</t>
        </is>
      </c>
      <c r="Y542" s="46"/>
      <c r="Z542" s="46"/>
      <c r="AA542" s="48" t="inlineStr">
        <is>
          <t xml:space="preserve">Surplus Lines</t>
        </is>
      </c>
      <c r="AB542" s="50">
        <v>4654.85</v>
      </c>
      <c r="AC542" s="51">
        <v>0</v>
      </c>
      <c r="AD542" s="38">
        <f>IF(ISNUMBER($AB542),$AB542*(1+N($AC542)),"")</f>
      </c>
      <c r="AE542" s="50">
        <v>350</v>
      </c>
      <c r="AF542" s="50">
        <v>0</v>
      </c>
      <c r="AG542" s="51"/>
      <c r="AH542" s="39">
        <f>IF(ISNUMBER($AD542),($AD542+$AE542+$AF542)*$AG542,"")</f>
      </c>
      <c r="AI542" s="50"/>
      <c r="AJ542" s="38">
        <f>IF(ISNUMBER($AD542),SUM($AD542:$AH542),"")</f>
      </c>
      <c r="AK542" s="40">
        <f>IF(AND(ISNUMBER($AB542),ISNUMBER($AD542)),IF($AB542&gt;0,$AD542/$AB542,""),"")</f>
      </c>
      <c r="AL542" s="48" t="inlineStr">
        <is>
          <t xml:space="preserve">At technical</t>
        </is>
      </c>
      <c r="AM542" s="41">
        <f>IF(ISNUMBER($AD542),Header!$I$3,"")</f>
      </c>
      <c r="AN542" s="39">
        <f>IF(ISNUMBER($AD542),$AO542+$AP542,"")</f>
      </c>
      <c r="AO542" s="39">
        <f>IF(ISNUMBER($AD542),ROUND($AD542*Header!$K$3,2),"")</f>
      </c>
      <c r="AP542" s="39">
        <f>IF(ISNUMBER($AD542),ROUND($AD542*Header!$M$3,2),"")</f>
      </c>
      <c r="AQ542" s="38">
        <f>IF(ISNUMBER($AD542),ROUND($AD542,2)-$AO542-$AP542,"")</f>
      </c>
      <c r="AR542" s="39">
        <f>IF(ISNUMBER($AD542),IF(Header!$D$34="","?",$AD542*Header!$D$34),"")</f>
      </c>
      <c r="AS542" s="39">
        <f>IF(ISNUMBER($AB542),IF(Header!$D$34="","?",$AB542*Header!$D$34),"")</f>
      </c>
      <c r="AT542" s="42">
        <f>IF(AND(ISNUMBER($AB542),$M542&gt;0),$AB542/$M542*100,"")</f>
      </c>
      <c r="AU542" s="42">
        <f>IF(AND(ISNUMBER($AD542),$M542&gt;0),$AD542/$M542*100,"")</f>
      </c>
      <c r="AV542" s="40">
        <f>IF(AND(ISNUMBER($AB542),ISNUMBER($AD542),ABS($AB542)&gt;0),$AD542/$AB542,"")</f>
      </c>
      <c r="AW542" s="39">
        <f>IF(ISNUMBER($AD542),MAX(0,(1-0.55-Header!$O$3)*Header!$Q$3*$AQ542),"")</f>
      </c>
      <c r="AX542" s="43">
        <f>IF($A542="","",IF(TRIM(IF($A542="","Missing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",""))="","PASS","FAIL: "&amp;TRIM(IF($A542="","Missing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f>
      </c>
      <c r="AY542" s="44">
        <f>IF($M542="","",IF(ISNUMBER($M542),IF($M542&gt;=Header!$C$18,"YES — refer","No"),""))</f>
      </c>
      <c r="AZ542" s="44">
        <f>IF($AD542="","",IF(ISNUMBER($AD542),IF($AD542&lt;Header!$C$20,"BELOW MIN PREMIUM","OK"),""))</f>
      </c>
      <c r="BA542" s="48" t="inlineStr">
        <is>
          <t xml:space="preserve">Yes</t>
        </is>
      </c>
      <c r="BB542" s="48" t="inlineStr">
        <is>
          <t xml:space="preserve">Yes</t>
        </is>
      </c>
      <c r="BC542" s="46" t="inlineStr">
        <is>
          <t xml:space="preserve">Synthetic demo data</t>
        </is>
      </c>
      <c r="BE542" s="45">
        <f>IF(OR($A542="",$L542="",$H542=""),"",IF(AND(LEFT($L542,2)="06",$H542&gt;1945),"FAIL - pre-war class, year "&amp;$H542,IF(AND(LEFT($L542,2)="07",OR($H542&lt;1946,$H542&gt;1972)),"FAIL - 1946-72 class, year "&amp;$H542,IF(AND(LEFT($L542,2)="08",OR($H542&lt;1973,$H542&gt;1999)),"FAIL - 1973-99 class, year "&amp;$H542,IF(AND(LEFT($L542,2)="09",OR($H542&lt;2000,$H542&gt;2010)),"FAIL - 2000-10 class, year "&amp;$H542,"OK")))))</f>
      </c>
      <c r="BF542" s="45">
        <f>IF($AD542="","",IF(ROUND($AO542+$AP542+$AQ542-$AD542,2)=0,"OK","FAIL - out by "&amp;TEXT($AO542+$AP542+$AQ542-$AD542,"$0.00")))</f>
      </c>
    </row>
    <row r="543" spans="1:58" ht="18.75" customHeight="1" x14ac:dyDescent="0.25">
      <c r="A543" s="30" t="inlineStr">
        <is>
          <t xml:space="preserve">CANON-202607-010257</t>
        </is>
      </c>
      <c r="B543" s="30" t="inlineStr">
        <is>
          <t xml:space="preserve">Priya Ashcombe</t>
        </is>
      </c>
      <c r="C543" s="31">
        <v>46219</v>
      </c>
      <c r="D543" s="32" t="inlineStr">
        <is>
          <t xml:space="preserve">Bound - within authority</t>
        </is>
      </c>
      <c r="E543" s="32" t="inlineStr">
        <is>
          <t xml:space="preserve">New business</t>
        </is>
      </c>
      <c r="F543" s="30" t="inlineStr">
        <is>
          <t xml:space="preserve">B1234EXOTIC26</t>
        </is>
      </c>
      <c r="G543" s="33">
        <f>IF($A543="","",IF($C543="","",YEAR($C543)))</f>
      </c>
      <c r="H543" s="34">
        <v>2007</v>
      </c>
      <c r="I543" s="30" t="inlineStr">
        <is>
          <t xml:space="preserve">McLaren</t>
        </is>
      </c>
      <c r="J543" s="30" t="inlineStr">
        <is>
          <t xml:space="preserve">750S</t>
        </is>
      </c>
      <c r="K543" s="30" t="inlineStr">
        <is>
          <t xml:space="preserve">AW02FWCKLKAZC4EAV</t>
        </is>
      </c>
      <c r="L543" s="32" t="inlineStr">
        <is>
          <t xml:space="preserve">03 - Supercar</t>
        </is>
      </c>
      <c r="M543" s="35">
        <v>740000</v>
      </c>
      <c r="N543" s="32" t="inlineStr">
        <is>
          <t xml:space="preserve">Personal</t>
        </is>
      </c>
      <c r="O543" s="30" t="inlineStr">
        <is>
          <t xml:space="preserve">Personal - regular use</t>
        </is>
      </c>
      <c r="P543" s="30" t="inlineStr">
        <is>
          <t xml:space="preserve">1,000 - 2,500</t>
        </is>
      </c>
      <c r="Q543" s="30" t="inlineStr">
        <is>
          <t xml:space="preserve">Illinois</t>
        </is>
      </c>
      <c r="R543" s="30" t="inlineStr">
        <is>
          <t xml:space="preserve">60601</t>
        </is>
      </c>
      <c r="S543" s="32" t="inlineStr">
        <is>
          <t xml:space="preserve">Severe convective - hail / tornado (moderate)</t>
        </is>
      </c>
      <c r="T543" s="36">
        <f>IF($A543="","",IF($S543="","",IFERROR(INDEX('[1]natural catastrophe'!$D$6:$D$17,MATCH($S543,'[1]natural catastrophe'!$B$6:$B$17,0)),"?")))</f>
      </c>
      <c r="U543" s="30" t="inlineStr">
        <is>
          <t xml:space="preserve">$5,000</t>
        </is>
      </c>
      <c r="V543" s="32" t="inlineStr">
        <is>
          <t xml:space="preserve">Agreed Value</t>
        </is>
      </c>
      <c r="W543" s="30" t="inlineStr">
        <is>
          <t xml:space="preserve">$1,000</t>
        </is>
      </c>
      <c r="X543" s="32" t="inlineStr">
        <is>
          <t xml:space="preserve">$1,000,000 CSL</t>
        </is>
      </c>
      <c r="Y543" s="30"/>
      <c r="Z543" s="30"/>
      <c r="AA543" s="32" t="inlineStr">
        <is>
          <t xml:space="preserve">Surplus Lines</t>
        </is>
      </c>
      <c r="AB543" s="35">
        <v>13727.87</v>
      </c>
      <c r="AC543" s="37">
        <v>0</v>
      </c>
      <c r="AD543" s="38">
        <f>IF(ISNUMBER($AB543),$AB543*(1+N($AC543)),"")</f>
      </c>
      <c r="AE543" s="35">
        <v>350</v>
      </c>
      <c r="AF543" s="35">
        <v>0</v>
      </c>
      <c r="AG543" s="37"/>
      <c r="AH543" s="39">
        <f>IF(ISNUMBER($AD543),($AD543+$AE543+$AF543)*$AG543,"")</f>
      </c>
      <c r="AI543" s="35"/>
      <c r="AJ543" s="38">
        <f>IF(ISNUMBER($AD543),SUM($AD543:$AH543),"")</f>
      </c>
      <c r="AK543" s="40">
        <f>IF(AND(ISNUMBER($AB543),ISNUMBER($AD543)),IF($AB543&gt;0,$AD543/$AB543,""),"")</f>
      </c>
      <c r="AL543" s="32" t="inlineStr">
        <is>
          <t xml:space="preserve">At technical</t>
        </is>
      </c>
      <c r="AM543" s="41">
        <f>IF(ISNUMBER($AD543),Header!$I$3,"")</f>
      </c>
      <c r="AN543" s="39">
        <f>IF(ISNUMBER($AD543),$AO543+$AP543,"")</f>
      </c>
      <c r="AO543" s="39">
        <f>IF(ISNUMBER($AD543),ROUND($AD543*Header!$K$3,2),"")</f>
      </c>
      <c r="AP543" s="39">
        <f>IF(ISNUMBER($AD543),ROUND($AD543*Header!$M$3,2),"")</f>
      </c>
      <c r="AQ543" s="38">
        <f>IF(ISNUMBER($AD543),ROUND($AD543,2)-$AO543-$AP543,"")</f>
      </c>
      <c r="AR543" s="39">
        <f>IF(ISNUMBER($AD543),IF(Header!$D$34="","?",$AD543*Header!$D$34),"")</f>
      </c>
      <c r="AS543" s="39">
        <f>IF(ISNUMBER($AB543),IF(Header!$D$34="","?",$AB543*Header!$D$34),"")</f>
      </c>
      <c r="AT543" s="42">
        <f>IF(AND(ISNUMBER($AB543),$M543&gt;0),$AB543/$M543*100,"")</f>
      </c>
      <c r="AU543" s="42">
        <f>IF(AND(ISNUMBER($AD543),$M543&gt;0),$AD543/$M543*100,"")</f>
      </c>
      <c r="AV543" s="40">
        <f>IF(AND(ISNUMBER($AB543),ISNUMBER($AD543),ABS($AB543)&gt;0),$AD543/$AB543,"")</f>
      </c>
      <c r="AW543" s="39">
        <f>IF(ISNUMBER($AD543),MAX(0,(1-0.55-Header!$O$3)*Header!$Q$3*$AQ543),"")</f>
      </c>
      <c r="AX543" s="43">
        <f>IF($A543="","",IF(TRIM(IF($A543="","Missing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",""))="","PASS","FAIL: "&amp;TRIM(IF($A543="","Missing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f>
      </c>
      <c r="AY543" s="44">
        <f>IF($M543="","",IF(ISNUMBER($M543),IF($M543&gt;=Header!$C$18,"YES — refer","No"),""))</f>
      </c>
      <c r="AZ543" s="44">
        <f>IF($AD543="","",IF(ISNUMBER($AD543),IF($AD543&lt;Header!$C$20,"BELOW MIN PREMIUM","OK"),""))</f>
      </c>
      <c r="BA543" s="32" t="inlineStr">
        <is>
          <t xml:space="preserve">Yes</t>
        </is>
      </c>
      <c r="BB543" s="32" t="inlineStr">
        <is>
          <t xml:space="preserve">Yes</t>
        </is>
      </c>
      <c r="BC543" s="30" t="inlineStr">
        <is>
          <t xml:space="preserve">Synthetic demo data</t>
        </is>
      </c>
      <c r="BE543" s="45">
        <f>IF(OR($A543="",$L543="",$H543=""),"",IF(AND(LEFT($L543,2)="06",$H543&gt;1945),"FAIL - pre-war class, year "&amp;$H543,IF(AND(LEFT($L543,2)="07",OR($H543&lt;1946,$H543&gt;1972)),"FAIL - 1946-72 class, year "&amp;$H543,IF(AND(LEFT($L543,2)="08",OR($H543&lt;1973,$H543&gt;1999)),"FAIL - 1973-99 class, year "&amp;$H543,IF(AND(LEFT($L543,2)="09",OR($H543&lt;2000,$H543&gt;2010)),"FAIL - 2000-10 class, year "&amp;$H543,"OK")))))</f>
      </c>
      <c r="BF543" s="45">
        <f>IF($AD543="","",IF(ROUND($AO543+$AP543+$AQ543-$AD543,2)=0,"OK","FAIL - out by "&amp;TEXT($AO543+$AP543+$AQ543-$AD543,"$0.00")))</f>
      </c>
    </row>
    <row r="544" spans="1:58" ht="18.75" customHeight="1" x14ac:dyDescent="0.25">
      <c r="A544" s="46" t="inlineStr">
        <is>
          <t xml:space="preserve">CANON-202607-010258</t>
        </is>
      </c>
      <c r="B544" s="46" t="inlineStr">
        <is>
          <t xml:space="preserve">Ottilie Merriweather</t>
        </is>
      </c>
      <c r="C544" s="47">
        <v>46205</v>
      </c>
      <c r="D544" s="48" t="inlineStr">
        <is>
          <t xml:space="preserve">Bound - within authority</t>
        </is>
      </c>
      <c r="E544" s="48" t="inlineStr">
        <is>
          <t xml:space="preserve">New business</t>
        </is>
      </c>
      <c r="F544" s="46" t="inlineStr">
        <is>
          <t xml:space="preserve">B1234EXOTIC26</t>
        </is>
      </c>
      <c r="G544" s="33">
        <f>IF($A544="","",IF($C544="","",YEAR($C544)))</f>
      </c>
      <c r="H544" s="49">
        <v>1959</v>
      </c>
      <c r="I544" s="46" t="inlineStr">
        <is>
          <t xml:space="preserve">Icon</t>
        </is>
      </c>
      <c r="J544" s="46" t="inlineStr">
        <is>
          <t xml:space="preserve">Derelict</t>
        </is>
      </c>
      <c r="K544" s="46" t="inlineStr">
        <is>
          <t xml:space="preserve">SBWGUU57R12JDKYPC</t>
        </is>
      </c>
      <c r="L544" s="48" t="inlineStr">
        <is>
          <t xml:space="preserve">11 - Restomod / Coachbuilt / Bespoke</t>
        </is>
      </c>
      <c r="M544" s="50">
        <v>380000</v>
      </c>
      <c r="N544" s="48" t="inlineStr">
        <is>
          <t xml:space="preserve">Personal</t>
        </is>
      </c>
      <c r="O544" s="46" t="inlineStr">
        <is>
          <t xml:space="preserve">Personal - regular use</t>
        </is>
      </c>
      <c r="P544" s="46" t="inlineStr">
        <is>
          <t xml:space="preserve">Under 1,000</t>
        </is>
      </c>
      <c r="Q544" s="46" t="inlineStr">
        <is>
          <t xml:space="preserve">Minnesota</t>
        </is>
      </c>
      <c r="R544" s="46" t="inlineStr">
        <is>
          <t xml:space="preserve">55401</t>
        </is>
      </c>
      <c r="S544" s="48" t="inlineStr">
        <is>
          <t xml:space="preserve">Severe convective - hail / tornado (moderate)</t>
        </is>
      </c>
      <c r="T544" s="36">
        <f>IF($A544="","",IF($S544="","",IFERROR(INDEX('[1]natural catastrophe'!$D$6:$D$17,MATCH($S544,'[1]natural catastrophe'!$B$6:$B$17,0)),"?")))</f>
      </c>
      <c r="U544" s="46" t="inlineStr">
        <is>
          <t xml:space="preserve">$5,000</t>
        </is>
      </c>
      <c r="V544" s="48" t="inlineStr">
        <is>
          <t xml:space="preserve">Agreed Value</t>
        </is>
      </c>
      <c r="W544" s="46" t="inlineStr">
        <is>
          <t xml:space="preserve">$1,000</t>
        </is>
      </c>
      <c r="X544" s="48" t="inlineStr">
        <is>
          <t xml:space="preserve">$1,000,000 CSL</t>
        </is>
      </c>
      <c r="Y544" s="46"/>
      <c r="Z544" s="46"/>
      <c r="AA544" s="48" t="inlineStr">
        <is>
          <t xml:space="preserve">Surplus Lines</t>
        </is>
      </c>
      <c r="AB544" s="50">
        <v>6337.95</v>
      </c>
      <c r="AC544" s="51">
        <v>0</v>
      </c>
      <c r="AD544" s="38">
        <f>IF(ISNUMBER($AB544),$AB544*(1+N($AC544)),"")</f>
      </c>
      <c r="AE544" s="50">
        <v>350</v>
      </c>
      <c r="AF544" s="50">
        <v>0</v>
      </c>
      <c r="AG544" s="51"/>
      <c r="AH544" s="39">
        <f>IF(ISNUMBER($AD544),($AD544+$AE544+$AF544)*$AG544,"")</f>
      </c>
      <c r="AI544" s="50"/>
      <c r="AJ544" s="38">
        <f>IF(ISNUMBER($AD544),SUM($AD544:$AH544),"")</f>
      </c>
      <c r="AK544" s="40">
        <f>IF(AND(ISNUMBER($AB544),ISNUMBER($AD544)),IF($AB544&gt;0,$AD544/$AB544,""),"")</f>
      </c>
      <c r="AL544" s="48" t="inlineStr">
        <is>
          <t xml:space="preserve">At technical</t>
        </is>
      </c>
      <c r="AM544" s="41">
        <f>IF(ISNUMBER($AD544),Header!$I$3,"")</f>
      </c>
      <c r="AN544" s="39">
        <f>IF(ISNUMBER($AD544),$AO544+$AP544,"")</f>
      </c>
      <c r="AO544" s="39">
        <f>IF(ISNUMBER($AD544),ROUND($AD544*Header!$K$3,2),"")</f>
      </c>
      <c r="AP544" s="39">
        <f>IF(ISNUMBER($AD544),ROUND($AD544*Header!$M$3,2),"")</f>
      </c>
      <c r="AQ544" s="38">
        <f>IF(ISNUMBER($AD544),ROUND($AD544,2)-$AO544-$AP544,"")</f>
      </c>
      <c r="AR544" s="39">
        <f>IF(ISNUMBER($AD544),IF(Header!$D$34="","?",$AD544*Header!$D$34),"")</f>
      </c>
      <c r="AS544" s="39">
        <f>IF(ISNUMBER($AB544),IF(Header!$D$34="","?",$AB544*Header!$D$34),"")</f>
      </c>
      <c r="AT544" s="42">
        <f>IF(AND(ISNUMBER($AB544),$M544&gt;0),$AB544/$M544*100,"")</f>
      </c>
      <c r="AU544" s="42">
        <f>IF(AND(ISNUMBER($AD544),$M544&gt;0),$AD544/$M544*100,"")</f>
      </c>
      <c r="AV544" s="40">
        <f>IF(AND(ISNUMBER($AB544),ISNUMBER($AD544),ABS($AB544)&gt;0),$AD544/$AB544,"")</f>
      </c>
      <c r="AW544" s="39">
        <f>IF(ISNUMBER($AD544),MAX(0,(1-0.55-Header!$O$3)*Header!$Q$3*$AQ544),"")</f>
      </c>
      <c r="AX544" s="43">
        <f>IF($A544="","",IF(TRIM(IF($A544="","Missing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",""))="","PASS","FAIL: "&amp;TRIM(IF($A544="","Missing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f>
      </c>
      <c r="AY544" s="44">
        <f>IF($M544="","",IF(ISNUMBER($M544),IF($M544&gt;=Header!$C$18,"YES — refer","No"),""))</f>
      </c>
      <c r="AZ544" s="44">
        <f>IF($AD544="","",IF(ISNUMBER($AD544),IF($AD544&lt;Header!$C$20,"BELOW MIN PREMIUM","OK"),""))</f>
      </c>
      <c r="BA544" s="48" t="inlineStr">
        <is>
          <t xml:space="preserve">Yes</t>
        </is>
      </c>
      <c r="BB544" s="48" t="inlineStr">
        <is>
          <t xml:space="preserve">Yes</t>
        </is>
      </c>
      <c r="BC544" s="46" t="inlineStr">
        <is>
          <t xml:space="preserve">Synthetic demo data</t>
        </is>
      </c>
      <c r="BE544" s="45">
        <f>IF(OR($A544="",$L544="",$H544=""),"",IF(AND(LEFT($L544,2)="06",$H544&gt;1945),"FAIL - pre-war class, year "&amp;$H544,IF(AND(LEFT($L544,2)="07",OR($H544&lt;1946,$H544&gt;1972)),"FAIL - 1946-72 class, year "&amp;$H544,IF(AND(LEFT($L544,2)="08",OR($H544&lt;1973,$H544&gt;1999)),"FAIL - 1973-99 class, year "&amp;$H544,IF(AND(LEFT($L544,2)="09",OR($H544&lt;2000,$H544&gt;2010)),"FAIL - 2000-10 class, year "&amp;$H544,"OK")))))</f>
      </c>
      <c r="BF544" s="45">
        <f>IF($AD544="","",IF(ROUND($AO544+$AP544+$AQ544-$AD544,2)=0,"OK","FAIL - out by "&amp;TEXT($AO544+$AP544+$AQ544-$AD544,"$0.00")))</f>
      </c>
    </row>
    <row r="545" spans="1:58" ht="18.75" customHeight="1" x14ac:dyDescent="0.25">
      <c r="A545" s="30" t="inlineStr">
        <is>
          <t xml:space="preserve">CANON-202607-010260</t>
        </is>
      </c>
      <c r="B545" s="30" t="inlineStr">
        <is>
          <t xml:space="preserve">Lorenzo Pennington</t>
        </is>
      </c>
      <c r="C545" s="31">
        <v>46228</v>
      </c>
      <c r="D545" s="32" t="inlineStr">
        <is>
          <t xml:space="preserve">Bound - within authority</t>
        </is>
      </c>
      <c r="E545" s="32" t="inlineStr">
        <is>
          <t xml:space="preserve">New business</t>
        </is>
      </c>
      <c r="F545" s="30" t="inlineStr">
        <is>
          <t xml:space="preserve">B1234EXOTIC26</t>
        </is>
      </c>
      <c r="G545" s="33">
        <f>IF($A545="","",IF($C545="","",YEAR($C545)))</f>
      </c>
      <c r="H545" s="34">
        <v>1989</v>
      </c>
      <c r="I545" s="30" t="inlineStr">
        <is>
          <t xml:space="preserve">Bentley</t>
        </is>
      </c>
      <c r="J545" s="30" t="inlineStr">
        <is>
          <t xml:space="preserve">Continental GT</t>
        </is>
      </c>
      <c r="K545" s="30" t="inlineStr">
        <is>
          <t xml:space="preserve">5K7C1P2KNNMWKD0G8</t>
        </is>
      </c>
      <c r="L545" s="32" t="inlineStr">
        <is>
          <t xml:space="preserve">02 - Sports / GT</t>
        </is>
      </c>
      <c r="M545" s="35">
        <v>690000</v>
      </c>
      <c r="N545" s="32" t="inlineStr">
        <is>
          <t xml:space="preserve">Personal</t>
        </is>
      </c>
      <c r="O545" s="30" t="inlineStr">
        <is>
          <t xml:space="preserve">Personal - regular use</t>
        </is>
      </c>
      <c r="P545" s="30" t="inlineStr">
        <is>
          <t xml:space="preserve">2,500 - 5,000</t>
        </is>
      </c>
      <c r="Q545" s="30" t="inlineStr">
        <is>
          <t xml:space="preserve">New York</t>
        </is>
      </c>
      <c r="R545" s="30" t="inlineStr">
        <is>
          <t xml:space="preserve">10022</t>
        </is>
      </c>
      <c r="S545" s="32" t="inlineStr">
        <is>
          <t xml:space="preserve">Tier 3 - Coastal wind (25-100 miles)</t>
        </is>
      </c>
      <c r="T545" s="36">
        <f>IF($A545="","",IF($S545="","",IFERROR(INDEX('[1]natural catastrophe'!$D$6:$D$17,MATCH($S545,'[1]natural catastrophe'!$B$6:$B$17,0)),"?")))</f>
      </c>
      <c r="U545" s="30" t="inlineStr">
        <is>
          <t xml:space="preserve">2% of agreed value, minimum $10,000</t>
        </is>
      </c>
      <c r="V545" s="32" t="inlineStr">
        <is>
          <t xml:space="preserve">Agreed Value</t>
        </is>
      </c>
      <c r="W545" s="30" t="inlineStr">
        <is>
          <t xml:space="preserve">$1,000</t>
        </is>
      </c>
      <c r="X545" s="32" t="inlineStr">
        <is>
          <t xml:space="preserve">$1,000,000 CSL</t>
        </is>
      </c>
      <c r="Y545" s="30"/>
      <c r="Z545" s="30"/>
      <c r="AA545" s="32" t="inlineStr">
        <is>
          <t xml:space="preserve">Surplus Lines</t>
        </is>
      </c>
      <c r="AB545" s="35">
        <v>8242.92</v>
      </c>
      <c r="AC545" s="37">
        <v>0</v>
      </c>
      <c r="AD545" s="38">
        <f>IF(ISNUMBER($AB545),$AB545*(1+N($AC545)),"")</f>
      </c>
      <c r="AE545" s="35">
        <v>350</v>
      </c>
      <c r="AF545" s="35">
        <v>0</v>
      </c>
      <c r="AG545" s="37"/>
      <c r="AH545" s="39">
        <f>IF(ISNUMBER($AD545),($AD545+$AE545+$AF545)*$AG545,"")</f>
      </c>
      <c r="AI545" s="35"/>
      <c r="AJ545" s="38">
        <f>IF(ISNUMBER($AD545),SUM($AD545:$AH545),"")</f>
      </c>
      <c r="AK545" s="40">
        <f>IF(AND(ISNUMBER($AB545),ISNUMBER($AD545)),IF($AB545&gt;0,$AD545/$AB545,""),"")</f>
      </c>
      <c r="AL545" s="32" t="inlineStr">
        <is>
          <t xml:space="preserve">At technical</t>
        </is>
      </c>
      <c r="AM545" s="41">
        <f>IF(ISNUMBER($AD545),Header!$I$3,"")</f>
      </c>
      <c r="AN545" s="39">
        <f>IF(ISNUMBER($AD545),$AO545+$AP545,"")</f>
      </c>
      <c r="AO545" s="39">
        <f>IF(ISNUMBER($AD545),ROUND($AD545*Header!$K$3,2),"")</f>
      </c>
      <c r="AP545" s="39">
        <f>IF(ISNUMBER($AD545),ROUND($AD545*Header!$M$3,2),"")</f>
      </c>
      <c r="AQ545" s="38">
        <f>IF(ISNUMBER($AD545),ROUND($AD545,2)-$AO545-$AP545,"")</f>
      </c>
      <c r="AR545" s="39">
        <f>IF(ISNUMBER($AD545),IF(Header!$D$34="","?",$AD545*Header!$D$34),"")</f>
      </c>
      <c r="AS545" s="39">
        <f>IF(ISNUMBER($AB545),IF(Header!$D$34="","?",$AB545*Header!$D$34),"")</f>
      </c>
      <c r="AT545" s="42">
        <f>IF(AND(ISNUMBER($AB545),$M545&gt;0),$AB545/$M545*100,"")</f>
      </c>
      <c r="AU545" s="42">
        <f>IF(AND(ISNUMBER($AD545),$M545&gt;0),$AD545/$M545*100,"")</f>
      </c>
      <c r="AV545" s="40">
        <f>IF(AND(ISNUMBER($AB545),ISNUMBER($AD545),ABS($AB545)&gt;0),$AD545/$AB545,"")</f>
      </c>
      <c r="AW545" s="39">
        <f>IF(ISNUMBER($AD545),MAX(0,(1-0.55-Header!$O$3)*Header!$Q$3*$AQ545),"")</f>
      </c>
      <c r="AX545" s="43">
        <f>IF($A545="","",IF(TRIM(IF($A545="","Missing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",""))="","PASS","FAIL: "&amp;TRIM(IF($A545="","Missing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f>
      </c>
      <c r="AY545" s="44">
        <f>IF($M545="","",IF(ISNUMBER($M545),IF($M545&gt;=Header!$C$18,"YES — refer","No"),""))</f>
      </c>
      <c r="AZ545" s="44">
        <f>IF($AD545="","",IF(ISNUMBER($AD545),IF($AD545&lt;Header!$C$20,"BELOW MIN PREMIUM","OK"),""))</f>
      </c>
      <c r="BA545" s="32" t="inlineStr">
        <is>
          <t xml:space="preserve">Yes</t>
        </is>
      </c>
      <c r="BB545" s="32" t="inlineStr">
        <is>
          <t xml:space="preserve">Yes</t>
        </is>
      </c>
      <c r="BC545" s="30" t="inlineStr">
        <is>
          <t xml:space="preserve">Synthetic demo data</t>
        </is>
      </c>
      <c r="BE545" s="45">
        <f>IF(OR($A545="",$L545="",$H545=""),"",IF(AND(LEFT($L545,2)="06",$H545&gt;1945),"FAIL - pre-war class, year "&amp;$H545,IF(AND(LEFT($L545,2)="07",OR($H545&lt;1946,$H545&gt;1972)),"FAIL - 1946-72 class, year "&amp;$H545,IF(AND(LEFT($L545,2)="08",OR($H545&lt;1973,$H545&gt;1999)),"FAIL - 1973-99 class, year "&amp;$H545,IF(AND(LEFT($L545,2)="09",OR($H545&lt;2000,$H545&gt;2010)),"FAIL - 2000-10 class, year "&amp;$H545,"OK")))))</f>
      </c>
      <c r="BF545" s="45">
        <f>IF($AD545="","",IF(ROUND($AO545+$AP545+$AQ545-$AD545,2)=0,"OK","FAIL - out by "&amp;TEXT($AO545+$AP545+$AQ545-$AD545,"$0.00")))</f>
      </c>
    </row>
    <row r="546" spans="1:58" ht="18.75" customHeight="1" x14ac:dyDescent="0.25">
      <c r="A546" s="46" t="inlineStr">
        <is>
          <t xml:space="preserve">CANON-202607-010261</t>
        </is>
      </c>
      <c r="B546" s="46" t="inlineStr">
        <is>
          <t xml:space="preserve">Wilhelmina Fairweather</t>
        </is>
      </c>
      <c r="C546" s="47">
        <v>46225</v>
      </c>
      <c r="D546" s="48" t="inlineStr">
        <is>
          <t xml:space="preserve">Bound - within authority</t>
        </is>
      </c>
      <c r="E546" s="48" t="inlineStr">
        <is>
          <t xml:space="preserve">New business</t>
        </is>
      </c>
      <c r="F546" s="46" t="inlineStr">
        <is>
          <t xml:space="preserve">B1234EXOTIC26</t>
        </is>
      </c>
      <c r="G546" s="33">
        <f>IF($A546="","",IF($C546="","",YEAR($C546)))</f>
      </c>
      <c r="H546" s="49">
        <v>1989</v>
      </c>
      <c r="I546" s="46" t="inlineStr">
        <is>
          <t xml:space="preserve">Porsche</t>
        </is>
      </c>
      <c r="J546" s="46" t="inlineStr">
        <is>
          <t xml:space="preserve">911 Turbo S</t>
        </is>
      </c>
      <c r="K546" s="46" t="inlineStr">
        <is>
          <t xml:space="preserve">B6BEBUZ54ANXY1B4B</t>
        </is>
      </c>
      <c r="L546" s="48" t="inlineStr">
        <is>
          <t xml:space="preserve">02 - Sports / GT</t>
        </is>
      </c>
      <c r="M546" s="50">
        <v>235000</v>
      </c>
      <c r="N546" s="48" t="inlineStr">
        <is>
          <t xml:space="preserve">Personal</t>
        </is>
      </c>
      <c r="O546" s="46" t="inlineStr">
        <is>
          <t xml:space="preserve">Personal - regular use</t>
        </is>
      </c>
      <c r="P546" s="46" t="inlineStr">
        <is>
          <t xml:space="preserve">2,500 - 5,000</t>
        </is>
      </c>
      <c r="Q546" s="46" t="inlineStr">
        <is>
          <t xml:space="preserve">Maine</t>
        </is>
      </c>
      <c r="R546" s="46" t="inlineStr">
        <is>
          <t xml:space="preserve">04101</t>
        </is>
      </c>
      <c r="S546" s="48" t="inlineStr">
        <is>
          <t xml:space="preserve">Tier 3 - Coastal wind (25-100 miles)</t>
        </is>
      </c>
      <c r="T546" s="36">
        <f>IF($A546="","",IF($S546="","",IFERROR(INDEX('[1]natural catastrophe'!$D$6:$D$17,MATCH($S546,'[1]natural catastrophe'!$B$6:$B$17,0)),"?")))</f>
      </c>
      <c r="U546" s="46" t="inlineStr">
        <is>
          <t xml:space="preserve">2% of agreed value, minimum $10,000</t>
        </is>
      </c>
      <c r="V546" s="48" t="inlineStr">
        <is>
          <t xml:space="preserve">Agreed Value</t>
        </is>
      </c>
      <c r="W546" s="46" t="inlineStr">
        <is>
          <t xml:space="preserve">$1,000</t>
        </is>
      </c>
      <c r="X546" s="48" t="inlineStr">
        <is>
          <t xml:space="preserve">$1,000,000 CSL</t>
        </is>
      </c>
      <c r="Y546" s="46"/>
      <c r="Z546" s="46"/>
      <c r="AA546" s="48" t="inlineStr">
        <is>
          <t xml:space="preserve">Surplus Lines</t>
        </is>
      </c>
      <c r="AB546" s="50">
        <v>3352.65</v>
      </c>
      <c r="AC546" s="51">
        <v>0</v>
      </c>
      <c r="AD546" s="38">
        <f>IF(ISNUMBER($AB546),$AB546*(1+N($AC546)),"")</f>
      </c>
      <c r="AE546" s="50">
        <v>350</v>
      </c>
      <c r="AF546" s="50">
        <v>0</v>
      </c>
      <c r="AG546" s="51"/>
      <c r="AH546" s="39">
        <f>IF(ISNUMBER($AD546),($AD546+$AE546+$AF546)*$AG546,"")</f>
      </c>
      <c r="AI546" s="50"/>
      <c r="AJ546" s="38">
        <f>IF(ISNUMBER($AD546),SUM($AD546:$AH546),"")</f>
      </c>
      <c r="AK546" s="40">
        <f>IF(AND(ISNUMBER($AB546),ISNUMBER($AD546)),IF($AB546&gt;0,$AD546/$AB546,""),"")</f>
      </c>
      <c r="AL546" s="48" t="inlineStr">
        <is>
          <t xml:space="preserve">At technical</t>
        </is>
      </c>
      <c r="AM546" s="41">
        <f>IF(ISNUMBER($AD546),Header!$I$3,"")</f>
      </c>
      <c r="AN546" s="39">
        <f>IF(ISNUMBER($AD546),$AO546+$AP546,"")</f>
      </c>
      <c r="AO546" s="39">
        <f>IF(ISNUMBER($AD546),ROUND($AD546*Header!$K$3,2),"")</f>
      </c>
      <c r="AP546" s="39">
        <f>IF(ISNUMBER($AD546),ROUND($AD546*Header!$M$3,2),"")</f>
      </c>
      <c r="AQ546" s="38">
        <f>IF(ISNUMBER($AD546),ROUND($AD546,2)-$AO546-$AP546,"")</f>
      </c>
      <c r="AR546" s="39">
        <f>IF(ISNUMBER($AD546),IF(Header!$D$34="","?",$AD546*Header!$D$34),"")</f>
      </c>
      <c r="AS546" s="39">
        <f>IF(ISNUMBER($AB546),IF(Header!$D$34="","?",$AB546*Header!$D$34),"")</f>
      </c>
      <c r="AT546" s="42">
        <f>IF(AND(ISNUMBER($AB546),$M546&gt;0),$AB546/$M546*100,"")</f>
      </c>
      <c r="AU546" s="42">
        <f>IF(AND(ISNUMBER($AD546),$M546&gt;0),$AD546/$M546*100,"")</f>
      </c>
      <c r="AV546" s="40">
        <f>IF(AND(ISNUMBER($AB546),ISNUMBER($AD546),ABS($AB546)&gt;0),$AD546/$AB546,"")</f>
      </c>
      <c r="AW546" s="39">
        <f>IF(ISNUMBER($AD546),MAX(0,(1-0.55-Header!$O$3)*Header!$Q$3*$AQ546),"")</f>
      </c>
      <c r="AX546" s="43">
        <f>IF($A546="","",IF(TRIM(IF($A546="","Missing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",""))="","PASS","FAIL: "&amp;TRIM(IF($A546="","Missing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f>
      </c>
      <c r="AY546" s="44">
        <f>IF($M546="","",IF(ISNUMBER($M546),IF($M546&gt;=Header!$C$18,"YES — refer","No"),""))</f>
      </c>
      <c r="AZ546" s="44">
        <f>IF($AD546="","",IF(ISNUMBER($AD546),IF($AD546&lt;Header!$C$20,"BELOW MIN PREMIUM","OK"),""))</f>
      </c>
      <c r="BA546" s="48" t="inlineStr">
        <is>
          <t xml:space="preserve">Yes</t>
        </is>
      </c>
      <c r="BB546" s="48" t="inlineStr">
        <is>
          <t xml:space="preserve">Yes</t>
        </is>
      </c>
      <c r="BC546" s="46" t="inlineStr">
        <is>
          <t xml:space="preserve">Synthetic demo data</t>
        </is>
      </c>
      <c r="BE546" s="45">
        <f>IF(OR($A546="",$L546="",$H546=""),"",IF(AND(LEFT($L546,2)="06",$H546&gt;1945),"FAIL - pre-war class, year "&amp;$H546,IF(AND(LEFT($L546,2)="07",OR($H546&lt;1946,$H546&gt;1972)),"FAIL - 1946-72 class, year "&amp;$H546,IF(AND(LEFT($L546,2)="08",OR($H546&lt;1973,$H546&gt;1999)),"FAIL - 1973-99 class, year "&amp;$H546,IF(AND(LEFT($L546,2)="09",OR($H546&lt;2000,$H546&gt;2010)),"FAIL - 2000-10 class, year "&amp;$H546,"OK")))))</f>
      </c>
      <c r="BF546" s="45">
        <f>IF($AD546="","",IF(ROUND($AO546+$AP546+$AQ546-$AD546,2)=0,"OK","FAIL - out by "&amp;TEXT($AO546+$AP546+$AQ546-$AD546,"$0.00")))</f>
      </c>
    </row>
    <row r="547" spans="1:58" ht="18.75" customHeight="1" x14ac:dyDescent="0.25">
      <c r="A547" s="30" t="inlineStr">
        <is>
          <t xml:space="preserve">CANON-202607-010262</t>
        </is>
      </c>
      <c r="B547" s="30" t="inlineStr">
        <is>
          <t xml:space="preserve">Fenwick Blackwood</t>
        </is>
      </c>
      <c r="C547" s="31">
        <v>46220</v>
      </c>
      <c r="D547" s="32" t="inlineStr">
        <is>
          <t xml:space="preserve">Bound - within authority</t>
        </is>
      </c>
      <c r="E547" s="32" t="inlineStr">
        <is>
          <t xml:space="preserve">New business</t>
        </is>
      </c>
      <c r="F547" s="30" t="inlineStr">
        <is>
          <t xml:space="preserve">B1234EXOTIC26</t>
        </is>
      </c>
      <c r="G547" s="33">
        <f>IF($A547="","",IF($C547="","",YEAR($C547)))</f>
      </c>
      <c r="H547" s="34">
        <v>2015</v>
      </c>
      <c r="I547" s="30" t="inlineStr">
        <is>
          <t xml:space="preserve">Lamborghini</t>
        </is>
      </c>
      <c r="J547" s="30" t="inlineStr">
        <is>
          <t xml:space="preserve">Huracan EVO</t>
        </is>
      </c>
      <c r="K547" s="30" t="inlineStr">
        <is>
          <t xml:space="preserve">SRCPZ6A9BA3W30JEN</t>
        </is>
      </c>
      <c r="L547" s="32" t="inlineStr">
        <is>
          <t xml:space="preserve">03 - Supercar</t>
        </is>
      </c>
      <c r="M547" s="35">
        <v>495000</v>
      </c>
      <c r="N547" s="32" t="inlineStr">
        <is>
          <t xml:space="preserve">Personal</t>
        </is>
      </c>
      <c r="O547" s="30" t="inlineStr">
        <is>
          <t xml:space="preserve">Personal - regular use</t>
        </is>
      </c>
      <c r="P547" s="30" t="inlineStr">
        <is>
          <t xml:space="preserve">2,500 - 5,000</t>
        </is>
      </c>
      <c r="Q547" s="30" t="inlineStr">
        <is>
          <t xml:space="preserve">Minnesota</t>
        </is>
      </c>
      <c r="R547" s="30" t="inlineStr">
        <is>
          <t xml:space="preserve">55401</t>
        </is>
      </c>
      <c r="S547" s="32" t="inlineStr">
        <is>
          <t xml:space="preserve">Severe convective - hail / tornado (moderate)</t>
        </is>
      </c>
      <c r="T547" s="36">
        <f>IF($A547="","",IF($S547="","",IFERROR(INDEX('[1]natural catastrophe'!$D$6:$D$17,MATCH($S547,'[1]natural catastrophe'!$B$6:$B$17,0)),"?")))</f>
      </c>
      <c r="U547" s="30" t="inlineStr">
        <is>
          <t xml:space="preserve">$5,000</t>
        </is>
      </c>
      <c r="V547" s="32" t="inlineStr">
        <is>
          <t xml:space="preserve">Agreed Value</t>
        </is>
      </c>
      <c r="W547" s="30" t="inlineStr">
        <is>
          <t xml:space="preserve">$1,000</t>
        </is>
      </c>
      <c r="X547" s="32" t="inlineStr">
        <is>
          <t xml:space="preserve">$1,000,000 CSL</t>
        </is>
      </c>
      <c r="Y547" s="30"/>
      <c r="Z547" s="30"/>
      <c r="AA547" s="32" t="inlineStr">
        <is>
          <t xml:space="preserve">Surplus Lines</t>
        </is>
      </c>
      <c r="AB547" s="35">
        <v>10789.12</v>
      </c>
      <c r="AC547" s="37">
        <v>0</v>
      </c>
      <c r="AD547" s="38">
        <f>IF(ISNUMBER($AB547),$AB547*(1+N($AC547)),"")</f>
      </c>
      <c r="AE547" s="35">
        <v>350</v>
      </c>
      <c r="AF547" s="35">
        <v>0</v>
      </c>
      <c r="AG547" s="37"/>
      <c r="AH547" s="39">
        <f>IF(ISNUMBER($AD547),($AD547+$AE547+$AF547)*$AG547,"")</f>
      </c>
      <c r="AI547" s="35"/>
      <c r="AJ547" s="38">
        <f>IF(ISNUMBER($AD547),SUM($AD547:$AH547),"")</f>
      </c>
      <c r="AK547" s="40">
        <f>IF(AND(ISNUMBER($AB547),ISNUMBER($AD547)),IF($AB547&gt;0,$AD547/$AB547,""),"")</f>
      </c>
      <c r="AL547" s="32" t="inlineStr">
        <is>
          <t xml:space="preserve">At technical</t>
        </is>
      </c>
      <c r="AM547" s="41">
        <f>IF(ISNUMBER($AD547),Header!$I$3,"")</f>
      </c>
      <c r="AN547" s="39">
        <f>IF(ISNUMBER($AD547),$AO547+$AP547,"")</f>
      </c>
      <c r="AO547" s="39">
        <f>IF(ISNUMBER($AD547),ROUND($AD547*Header!$K$3,2),"")</f>
      </c>
      <c r="AP547" s="39">
        <f>IF(ISNUMBER($AD547),ROUND($AD547*Header!$M$3,2),"")</f>
      </c>
      <c r="AQ547" s="38">
        <f>IF(ISNUMBER($AD547),ROUND($AD547,2)-$AO547-$AP547,"")</f>
      </c>
      <c r="AR547" s="39">
        <f>IF(ISNUMBER($AD547),IF(Header!$D$34="","?",$AD547*Header!$D$34),"")</f>
      </c>
      <c r="AS547" s="39">
        <f>IF(ISNUMBER($AB547),IF(Header!$D$34="","?",$AB547*Header!$D$34),"")</f>
      </c>
      <c r="AT547" s="42">
        <f>IF(AND(ISNUMBER($AB547),$M547&gt;0),$AB547/$M547*100,"")</f>
      </c>
      <c r="AU547" s="42">
        <f>IF(AND(ISNUMBER($AD547),$M547&gt;0),$AD547/$M547*100,"")</f>
      </c>
      <c r="AV547" s="40">
        <f>IF(AND(ISNUMBER($AB547),ISNUMBER($AD547),ABS($AB547)&gt;0),$AD547/$AB547,"")</f>
      </c>
      <c r="AW547" s="39">
        <f>IF(ISNUMBER($AD547),MAX(0,(1-0.55-Header!$O$3)*Header!$Q$3*$AQ547),"")</f>
      </c>
      <c r="AX547" s="43">
        <f>IF($A547="","",IF(TRIM(IF($A547="","Missing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",""))="","PASS","FAIL: "&amp;TRIM(IF($A547="","Missing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f>
      </c>
      <c r="AY547" s="44">
        <f>IF($M547="","",IF(ISNUMBER($M547),IF($M547&gt;=Header!$C$18,"YES — refer","No"),""))</f>
      </c>
      <c r="AZ547" s="44">
        <f>IF($AD547="","",IF(ISNUMBER($AD547),IF($AD547&lt;Header!$C$20,"BELOW MIN PREMIUM","OK"),""))</f>
      </c>
      <c r="BA547" s="32" t="inlineStr">
        <is>
          <t xml:space="preserve">Yes</t>
        </is>
      </c>
      <c r="BB547" s="32" t="inlineStr">
        <is>
          <t xml:space="preserve">Yes</t>
        </is>
      </c>
      <c r="BC547" s="30" t="inlineStr">
        <is>
          <t xml:space="preserve">Synthetic demo data</t>
        </is>
      </c>
      <c r="BE547" s="45">
        <f>IF(OR($A547="",$L547="",$H547=""),"",IF(AND(LEFT($L547,2)="06",$H547&gt;1945),"FAIL - pre-war class, year "&amp;$H547,IF(AND(LEFT($L547,2)="07",OR($H547&lt;1946,$H547&gt;1972)),"FAIL - 1946-72 class, year "&amp;$H547,IF(AND(LEFT($L547,2)="08",OR($H547&lt;1973,$H547&gt;1999)),"FAIL - 1973-99 class, year "&amp;$H547,IF(AND(LEFT($L547,2)="09",OR($H547&lt;2000,$H547&gt;2010)),"FAIL - 2000-10 class, year "&amp;$H547,"OK")))))</f>
      </c>
      <c r="BF547" s="45">
        <f>IF($AD547="","",IF(ROUND($AO547+$AP547+$AQ547-$AD547,2)=0,"OK","FAIL - out by "&amp;TEXT($AO547+$AP547+$AQ547-$AD547,"$0.00")))</f>
      </c>
    </row>
    <row r="548" spans="1:58" ht="18.75" customHeight="1" x14ac:dyDescent="0.25">
      <c r="A548" s="46" t="inlineStr">
        <is>
          <t xml:space="preserve">CANON-202607-010265</t>
        </is>
      </c>
      <c r="B548" s="46" t="inlineStr">
        <is>
          <t xml:space="preserve">Desmond Merriweather</t>
        </is>
      </c>
      <c r="C548" s="47">
        <v>46227</v>
      </c>
      <c r="D548" s="48" t="inlineStr">
        <is>
          <t xml:space="preserve">Bound - within authority</t>
        </is>
      </c>
      <c r="E548" s="48" t="inlineStr">
        <is>
          <t xml:space="preserve">New business</t>
        </is>
      </c>
      <c r="F548" s="46" t="inlineStr">
        <is>
          <t xml:space="preserve">B1234EXOTIC26</t>
        </is>
      </c>
      <c r="G548" s="33">
        <f>IF($A548="","",IF($C548="","",YEAR($C548)))</f>
      </c>
      <c r="H548" s="49">
        <v>1961</v>
      </c>
      <c r="I548" s="46" t="inlineStr">
        <is>
          <t xml:space="preserve">Aston Martin</t>
        </is>
      </c>
      <c r="J548" s="46" t="inlineStr">
        <is>
          <t xml:space="preserve">DB12</t>
        </is>
      </c>
      <c r="K548" s="46" t="inlineStr">
        <is>
          <t xml:space="preserve">DE7RUHU7BMTRX7R4D</t>
        </is>
      </c>
      <c r="L548" s="48" t="inlineStr">
        <is>
          <t xml:space="preserve">02 - Sports / GT</t>
        </is>
      </c>
      <c r="M548" s="50">
        <v>590000</v>
      </c>
      <c r="N548" s="48" t="inlineStr">
        <is>
          <t xml:space="preserve">Personal</t>
        </is>
      </c>
      <c r="O548" s="46" t="inlineStr">
        <is>
          <t xml:space="preserve">Personal - regular use</t>
        </is>
      </c>
      <c r="P548" s="46" t="inlineStr">
        <is>
          <t xml:space="preserve">Under 1,000</t>
        </is>
      </c>
      <c r="Q548" s="46" t="inlineStr">
        <is>
          <t xml:space="preserve">Nebraska</t>
        </is>
      </c>
      <c r="R548" s="46" t="inlineStr">
        <is>
          <t xml:space="preserve">68102</t>
        </is>
      </c>
      <c r="S548" s="48" t="inlineStr">
        <is>
          <t xml:space="preserve">Severe convective - hail alley (high)</t>
        </is>
      </c>
      <c r="T548" s="36">
        <f>IF($A548="","",IF($S548="","",IFERROR(INDEX('[1]natural catastrophe'!$D$6:$D$17,MATCH($S548,'[1]natural catastrophe'!$B$6:$B$17,0)),"?")))</f>
      </c>
      <c r="U548" s="46" t="inlineStr">
        <is>
          <t xml:space="preserve">$5,000</t>
        </is>
      </c>
      <c r="V548" s="48" t="inlineStr">
        <is>
          <t xml:space="preserve">Agreed Value</t>
        </is>
      </c>
      <c r="W548" s="46" t="inlineStr">
        <is>
          <t xml:space="preserve">$1,000</t>
        </is>
      </c>
      <c r="X548" s="48" t="inlineStr">
        <is>
          <t xml:space="preserve">$1,000,000 CSL</t>
        </is>
      </c>
      <c r="Y548" s="46"/>
      <c r="Z548" s="46"/>
      <c r="AA548" s="48" t="inlineStr">
        <is>
          <t xml:space="preserve">Surplus Lines</t>
        </is>
      </c>
      <c r="AB548" s="50">
        <v>7158.42</v>
      </c>
      <c r="AC548" s="51">
        <v>0</v>
      </c>
      <c r="AD548" s="38">
        <f>IF(ISNUMBER($AB548),$AB548*(1+N($AC548)),"")</f>
      </c>
      <c r="AE548" s="50">
        <v>350</v>
      </c>
      <c r="AF548" s="50">
        <v>0</v>
      </c>
      <c r="AG548" s="51"/>
      <c r="AH548" s="39">
        <f>IF(ISNUMBER($AD548),($AD548+$AE548+$AF548)*$AG548,"")</f>
      </c>
      <c r="AI548" s="50"/>
      <c r="AJ548" s="38">
        <f>IF(ISNUMBER($AD548),SUM($AD548:$AH548),"")</f>
      </c>
      <c r="AK548" s="40">
        <f>IF(AND(ISNUMBER($AB548),ISNUMBER($AD548)),IF($AB548&gt;0,$AD548/$AB548,""),"")</f>
      </c>
      <c r="AL548" s="48" t="inlineStr">
        <is>
          <t xml:space="preserve">At technical</t>
        </is>
      </c>
      <c r="AM548" s="41">
        <f>IF(ISNUMBER($AD548),Header!$I$3,"")</f>
      </c>
      <c r="AN548" s="39">
        <f>IF(ISNUMBER($AD548),$AO548+$AP548,"")</f>
      </c>
      <c r="AO548" s="39">
        <f>IF(ISNUMBER($AD548),ROUND($AD548*Header!$K$3,2),"")</f>
      </c>
      <c r="AP548" s="39">
        <f>IF(ISNUMBER($AD548),ROUND($AD548*Header!$M$3,2),"")</f>
      </c>
      <c r="AQ548" s="38">
        <f>IF(ISNUMBER($AD548),ROUND($AD548,2)-$AO548-$AP548,"")</f>
      </c>
      <c r="AR548" s="39">
        <f>IF(ISNUMBER($AD548),IF(Header!$D$34="","?",$AD548*Header!$D$34),"")</f>
      </c>
      <c r="AS548" s="39">
        <f>IF(ISNUMBER($AB548),IF(Header!$D$34="","?",$AB548*Header!$D$34),"")</f>
      </c>
      <c r="AT548" s="42">
        <f>IF(AND(ISNUMBER($AB548),$M548&gt;0),$AB548/$M548*100,"")</f>
      </c>
      <c r="AU548" s="42">
        <f>IF(AND(ISNUMBER($AD548),$M548&gt;0),$AD548/$M548*100,"")</f>
      </c>
      <c r="AV548" s="40">
        <f>IF(AND(ISNUMBER($AB548),ISNUMBER($AD548),ABS($AB548)&gt;0),$AD548/$AB548,"")</f>
      </c>
      <c r="AW548" s="39">
        <f>IF(ISNUMBER($AD548),MAX(0,(1-0.55-Header!$O$3)*Header!$Q$3*$AQ548),"")</f>
      </c>
      <c r="AX548" s="43">
        <f>IF($A548="","",IF(TRIM(IF($A548="","Missing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",""))="","PASS","FAIL: "&amp;TRIM(IF($A548="","Missing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f>
      </c>
      <c r="AY548" s="44">
        <f>IF($M548="","",IF(ISNUMBER($M548),IF($M548&gt;=Header!$C$18,"YES — refer","No"),""))</f>
      </c>
      <c r="AZ548" s="44">
        <f>IF($AD548="","",IF(ISNUMBER($AD548),IF($AD548&lt;Header!$C$20,"BELOW MIN PREMIUM","OK"),""))</f>
      </c>
      <c r="BA548" s="48" t="inlineStr">
        <is>
          <t xml:space="preserve">Yes</t>
        </is>
      </c>
      <c r="BB548" s="48" t="inlineStr">
        <is>
          <t xml:space="preserve">Yes</t>
        </is>
      </c>
      <c r="BC548" s="46" t="inlineStr">
        <is>
          <t xml:space="preserve">Synthetic demo data</t>
        </is>
      </c>
      <c r="BE548" s="45">
        <f>IF(OR($A548="",$L548="",$H548=""),"",IF(AND(LEFT($L548,2)="06",$H548&gt;1945),"FAIL - pre-war class, year "&amp;$H548,IF(AND(LEFT($L548,2)="07",OR($H548&lt;1946,$H548&gt;1972)),"FAIL - 1946-72 class, year "&amp;$H548,IF(AND(LEFT($L548,2)="08",OR($H548&lt;1973,$H548&gt;1999)),"FAIL - 1973-99 class, year "&amp;$H548,IF(AND(LEFT($L548,2)="09",OR($H548&lt;2000,$H548&gt;2010)),"FAIL - 2000-10 class, year "&amp;$H548,"OK")))))</f>
      </c>
      <c r="BF548" s="45">
        <f>IF($AD548="","",IF(ROUND($AO548+$AP548+$AQ548-$AD548,2)=0,"OK","FAIL - out by "&amp;TEXT($AO548+$AP548+$AQ548-$AD548,"$0.00")))</f>
      </c>
    </row>
    <row r="549" spans="1:58" ht="18.75" customHeight="1" x14ac:dyDescent="0.25">
      <c r="A549" s="30" t="inlineStr">
        <is>
          <t xml:space="preserve">CANON-202607-010267</t>
        </is>
      </c>
      <c r="B549" s="30" t="inlineStr">
        <is>
          <t xml:space="preserve">Beatrix Rourke</t>
        </is>
      </c>
      <c r="C549" s="31">
        <v>46222</v>
      </c>
      <c r="D549" s="32" t="inlineStr">
        <is>
          <t xml:space="preserve">Bound - within authority</t>
        </is>
      </c>
      <c r="E549" s="32" t="inlineStr">
        <is>
          <t xml:space="preserve">New business</t>
        </is>
      </c>
      <c r="F549" s="30" t="inlineStr">
        <is>
          <t xml:space="preserve">B1234EXOTIC26</t>
        </is>
      </c>
      <c r="G549" s="33">
        <f>IF($A549="","",IF($C549="","",YEAR($C549)))</f>
      </c>
      <c r="H549" s="34">
        <v>1964</v>
      </c>
      <c r="I549" s="30" t="inlineStr">
        <is>
          <t xml:space="preserve">Porsche</t>
        </is>
      </c>
      <c r="J549" s="30" t="inlineStr">
        <is>
          <t xml:space="preserve">911 Turbo S</t>
        </is>
      </c>
      <c r="K549" s="30" t="inlineStr">
        <is>
          <t xml:space="preserve">0C4TL890A00X2JLPS</t>
        </is>
      </c>
      <c r="L549" s="32" t="inlineStr">
        <is>
          <t xml:space="preserve">02 - Sports / GT</t>
        </is>
      </c>
      <c r="M549" s="35">
        <v>520000</v>
      </c>
      <c r="N549" s="32" t="inlineStr">
        <is>
          <t xml:space="preserve">Personal</t>
        </is>
      </c>
      <c r="O549" s="30" t="inlineStr">
        <is>
          <t xml:space="preserve">Personal - regular use</t>
        </is>
      </c>
      <c r="P549" s="30" t="inlineStr">
        <is>
          <t xml:space="preserve">1,000 - 2,500</t>
        </is>
      </c>
      <c r="Q549" s="30" t="inlineStr">
        <is>
          <t xml:space="preserve">Virginia</t>
        </is>
      </c>
      <c r="R549" s="30" t="inlineStr">
        <is>
          <t xml:space="preserve">23219</t>
        </is>
      </c>
      <c r="S549" s="32" t="inlineStr">
        <is>
          <t xml:space="preserve">Tier 3 - Coastal wind (25-100 miles)</t>
        </is>
      </c>
      <c r="T549" s="36">
        <f>IF($A549="","",IF($S549="","",IFERROR(INDEX('[1]natural catastrophe'!$D$6:$D$17,MATCH($S549,'[1]natural catastrophe'!$B$6:$B$17,0)),"?")))</f>
      </c>
      <c r="U549" s="30" t="inlineStr">
        <is>
          <t xml:space="preserve">2% of agreed value, minimum $10,000</t>
        </is>
      </c>
      <c r="V549" s="32" t="inlineStr">
        <is>
          <t xml:space="preserve">Agreed Value</t>
        </is>
      </c>
      <c r="W549" s="30" t="inlineStr">
        <is>
          <t xml:space="preserve">$1,000</t>
        </is>
      </c>
      <c r="X549" s="32" t="inlineStr">
        <is>
          <t xml:space="preserve">$1,000,000 CSL</t>
        </is>
      </c>
      <c r="Y549" s="30"/>
      <c r="Z549" s="30"/>
      <c r="AA549" s="32" t="inlineStr">
        <is>
          <t xml:space="preserve">Surplus Lines</t>
        </is>
      </c>
      <c r="AB549" s="35">
        <v>5289.95</v>
      </c>
      <c r="AC549" s="37">
        <v>0</v>
      </c>
      <c r="AD549" s="38">
        <f>IF(ISNUMBER($AB549),$AB549*(1+N($AC549)),"")</f>
      </c>
      <c r="AE549" s="35">
        <v>350</v>
      </c>
      <c r="AF549" s="35">
        <v>0</v>
      </c>
      <c r="AG549" s="37"/>
      <c r="AH549" s="39">
        <f>IF(ISNUMBER($AD549),($AD549+$AE549+$AF549)*$AG549,"")</f>
      </c>
      <c r="AI549" s="35"/>
      <c r="AJ549" s="38">
        <f>IF(ISNUMBER($AD549),SUM($AD549:$AH549),"")</f>
      </c>
      <c r="AK549" s="40">
        <f>IF(AND(ISNUMBER($AB549),ISNUMBER($AD549)),IF($AB549&gt;0,$AD549/$AB549,""),"")</f>
      </c>
      <c r="AL549" s="32" t="inlineStr">
        <is>
          <t xml:space="preserve">At technical</t>
        </is>
      </c>
      <c r="AM549" s="41">
        <f>IF(ISNUMBER($AD549),Header!$I$3,"")</f>
      </c>
      <c r="AN549" s="39">
        <f>IF(ISNUMBER($AD549),$AO549+$AP549,"")</f>
      </c>
      <c r="AO549" s="39">
        <f>IF(ISNUMBER($AD549),ROUND($AD549*Header!$K$3,2),"")</f>
      </c>
      <c r="AP549" s="39">
        <f>IF(ISNUMBER($AD549),ROUND($AD549*Header!$M$3,2),"")</f>
      </c>
      <c r="AQ549" s="38">
        <f>IF(ISNUMBER($AD549),ROUND($AD549,2)-$AO549-$AP549,"")</f>
      </c>
      <c r="AR549" s="39">
        <f>IF(ISNUMBER($AD549),IF(Header!$D$34="","?",$AD549*Header!$D$34),"")</f>
      </c>
      <c r="AS549" s="39">
        <f>IF(ISNUMBER($AB549),IF(Header!$D$34="","?",$AB549*Header!$D$34),"")</f>
      </c>
      <c r="AT549" s="42">
        <f>IF(AND(ISNUMBER($AB549),$M549&gt;0),$AB549/$M549*100,"")</f>
      </c>
      <c r="AU549" s="42">
        <f>IF(AND(ISNUMBER($AD549),$M549&gt;0),$AD549/$M549*100,"")</f>
      </c>
      <c r="AV549" s="40">
        <f>IF(AND(ISNUMBER($AB549),ISNUMBER($AD549),ABS($AB549)&gt;0),$AD549/$AB549,"")</f>
      </c>
      <c r="AW549" s="39">
        <f>IF(ISNUMBER($AD549),MAX(0,(1-0.55-Header!$O$3)*Header!$Q$3*$AQ549),"")</f>
      </c>
      <c r="AX549" s="43">
        <f>IF($A549="","",IF(TRIM(IF($A549="","Missing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",""))="","PASS","FAIL: "&amp;TRIM(IF($A549="","Missing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f>
      </c>
      <c r="AY549" s="44">
        <f>IF($M549="","",IF(ISNUMBER($M549),IF($M549&gt;=Header!$C$18,"YES — refer","No"),""))</f>
      </c>
      <c r="AZ549" s="44">
        <f>IF($AD549="","",IF(ISNUMBER($AD549),IF($AD549&lt;Header!$C$20,"BELOW MIN PREMIUM","OK"),""))</f>
      </c>
      <c r="BA549" s="32" t="inlineStr">
        <is>
          <t xml:space="preserve">Yes</t>
        </is>
      </c>
      <c r="BB549" s="32" t="inlineStr">
        <is>
          <t xml:space="preserve">Yes</t>
        </is>
      </c>
      <c r="BC549" s="30" t="inlineStr">
        <is>
          <t xml:space="preserve">Synthetic demo data</t>
        </is>
      </c>
      <c r="BE549" s="45">
        <f>IF(OR($A549="",$L549="",$H549=""),"",IF(AND(LEFT($L549,2)="06",$H549&gt;1945),"FAIL - pre-war class, year "&amp;$H549,IF(AND(LEFT($L549,2)="07",OR($H549&lt;1946,$H549&gt;1972)),"FAIL - 1946-72 class, year "&amp;$H549,IF(AND(LEFT($L549,2)="08",OR($H549&lt;1973,$H549&gt;1999)),"FAIL - 1973-99 class, year "&amp;$H549,IF(AND(LEFT($L549,2)="09",OR($H549&lt;2000,$H549&gt;2010)),"FAIL - 2000-10 class, year "&amp;$H549,"OK")))))</f>
      </c>
      <c r="BF549" s="45">
        <f>IF($AD549="","",IF(ROUND($AO549+$AP549+$AQ549-$AD549,2)=0,"OK","FAIL - out by "&amp;TEXT($AO549+$AP549+$AQ549-$AD549,"$0.00")))</f>
      </c>
    </row>
    <row r="550" spans="1:58" ht="18.75" customHeight="1" x14ac:dyDescent="0.25">
      <c r="A550" s="46" t="inlineStr">
        <is>
          <t xml:space="preserve">CANON-202607-010268</t>
        </is>
      </c>
      <c r="B550" s="46" t="inlineStr">
        <is>
          <t xml:space="preserve">Delphine Delacroix</t>
        </is>
      </c>
      <c r="C550" s="47">
        <v>46217</v>
      </c>
      <c r="D550" s="48" t="inlineStr">
        <is>
          <t xml:space="preserve">Bound - within authority</t>
        </is>
      </c>
      <c r="E550" s="48" t="inlineStr">
        <is>
          <t xml:space="preserve">New business</t>
        </is>
      </c>
      <c r="F550" s="46" t="inlineStr">
        <is>
          <t xml:space="preserve">B1234EXOTIC26</t>
        </is>
      </c>
      <c r="G550" s="33">
        <f>IF($A550="","",IF($C550="","",YEAR($C550)))</f>
      </c>
      <c r="H550" s="49">
        <v>1977</v>
      </c>
      <c r="I550" s="46" t="inlineStr">
        <is>
          <t xml:space="preserve">Aston Martin</t>
        </is>
      </c>
      <c r="J550" s="46" t="inlineStr">
        <is>
          <t xml:space="preserve">DB5</t>
        </is>
      </c>
      <c r="K550" s="46" t="inlineStr">
        <is>
          <t xml:space="preserve">VTE2VCL35DRX0DAHZ</t>
        </is>
      </c>
      <c r="L550" s="48" t="inlineStr">
        <is>
          <t xml:space="preserve">08 - Modern Classic (1973-1999)</t>
        </is>
      </c>
      <c r="M550" s="50">
        <v>680000</v>
      </c>
      <c r="N550" s="48" t="inlineStr">
        <is>
          <t xml:space="preserve">Personal</t>
        </is>
      </c>
      <c r="O550" s="46" t="inlineStr">
        <is>
          <t xml:space="preserve">Personal - regular use</t>
        </is>
      </c>
      <c r="P550" s="46" t="inlineStr">
        <is>
          <t xml:space="preserve">2,500 - 5,000</t>
        </is>
      </c>
      <c r="Q550" s="46" t="inlineStr">
        <is>
          <t xml:space="preserve">Massachusetts</t>
        </is>
      </c>
      <c r="R550" s="46" t="inlineStr">
        <is>
          <t xml:space="preserve">02108</t>
        </is>
      </c>
      <c r="S550" s="48" t="inlineStr">
        <is>
          <t xml:space="preserve">Tier 3 - Coastal wind (25-100 miles)</t>
        </is>
      </c>
      <c r="T550" s="36">
        <f>IF($A550="","",IF($S550="","",IFERROR(INDEX('[1]natural catastrophe'!$D$6:$D$17,MATCH($S550,'[1]natural catastrophe'!$B$6:$B$17,0)),"?")))</f>
      </c>
      <c r="U550" s="46" t="inlineStr">
        <is>
          <t xml:space="preserve">2% of agreed value, minimum $10,000</t>
        </is>
      </c>
      <c r="V550" s="48" t="inlineStr">
        <is>
          <t xml:space="preserve">Agreed Value</t>
        </is>
      </c>
      <c r="W550" s="46" t="inlineStr">
        <is>
          <t xml:space="preserve">$1,000</t>
        </is>
      </c>
      <c r="X550" s="48" t="inlineStr">
        <is>
          <t xml:space="preserve">$1,000,000 CSL</t>
        </is>
      </c>
      <c r="Y550" s="46"/>
      <c r="Z550" s="46"/>
      <c r="AA550" s="48" t="inlineStr">
        <is>
          <t xml:space="preserve">Surplus Lines</t>
        </is>
      </c>
      <c r="AB550" s="50">
        <v>5248.03</v>
      </c>
      <c r="AC550" s="51">
        <v>0</v>
      </c>
      <c r="AD550" s="38">
        <f>IF(ISNUMBER($AB550),$AB550*(1+N($AC550)),"")</f>
      </c>
      <c r="AE550" s="50">
        <v>350</v>
      </c>
      <c r="AF550" s="50">
        <v>0</v>
      </c>
      <c r="AG550" s="51"/>
      <c r="AH550" s="39">
        <f>IF(ISNUMBER($AD550),($AD550+$AE550+$AF550)*$AG550,"")</f>
      </c>
      <c r="AI550" s="50"/>
      <c r="AJ550" s="38">
        <f>IF(ISNUMBER($AD550),SUM($AD550:$AH550),"")</f>
      </c>
      <c r="AK550" s="40">
        <f>IF(AND(ISNUMBER($AB550),ISNUMBER($AD550)),IF($AB550&gt;0,$AD550/$AB550,""),"")</f>
      </c>
      <c r="AL550" s="48" t="inlineStr">
        <is>
          <t xml:space="preserve">At technical</t>
        </is>
      </c>
      <c r="AM550" s="41">
        <f>IF(ISNUMBER($AD550),Header!$I$3,"")</f>
      </c>
      <c r="AN550" s="39">
        <f>IF(ISNUMBER($AD550),$AO550+$AP550,"")</f>
      </c>
      <c r="AO550" s="39">
        <f>IF(ISNUMBER($AD550),ROUND($AD550*Header!$K$3,2),"")</f>
      </c>
      <c r="AP550" s="39">
        <f>IF(ISNUMBER($AD550),ROUND($AD550*Header!$M$3,2),"")</f>
      </c>
      <c r="AQ550" s="38">
        <f>IF(ISNUMBER($AD550),ROUND($AD550,2)-$AO550-$AP550,"")</f>
      </c>
      <c r="AR550" s="39">
        <f>IF(ISNUMBER($AD550),IF(Header!$D$34="","?",$AD550*Header!$D$34),"")</f>
      </c>
      <c r="AS550" s="39">
        <f>IF(ISNUMBER($AB550),IF(Header!$D$34="","?",$AB550*Header!$D$34),"")</f>
      </c>
      <c r="AT550" s="42">
        <f>IF(AND(ISNUMBER($AB550),$M550&gt;0),$AB550/$M550*100,"")</f>
      </c>
      <c r="AU550" s="42">
        <f>IF(AND(ISNUMBER($AD550),$M550&gt;0),$AD550/$M550*100,"")</f>
      </c>
      <c r="AV550" s="40">
        <f>IF(AND(ISNUMBER($AB550),ISNUMBER($AD550),ABS($AB550)&gt;0),$AD550/$AB550,"")</f>
      </c>
      <c r="AW550" s="39">
        <f>IF(ISNUMBER($AD550),MAX(0,(1-0.55-Header!$O$3)*Header!$Q$3*$AQ550),"")</f>
      </c>
      <c r="AX550" s="43">
        <f>IF($A550="","",IF(TRIM(IF($A550="","Missing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",""))="","PASS","FAIL: "&amp;TRIM(IF($A550="","Missing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f>
      </c>
      <c r="AY550" s="44">
        <f>IF($M550="","",IF(ISNUMBER($M550),IF($M550&gt;=Header!$C$18,"YES — refer","No"),""))</f>
      </c>
      <c r="AZ550" s="44">
        <f>IF($AD550="","",IF(ISNUMBER($AD550),IF($AD550&lt;Header!$C$20,"BELOW MIN PREMIUM","OK"),""))</f>
      </c>
      <c r="BA550" s="48" t="inlineStr">
        <is>
          <t xml:space="preserve">Yes</t>
        </is>
      </c>
      <c r="BB550" s="48" t="inlineStr">
        <is>
          <t xml:space="preserve">Yes</t>
        </is>
      </c>
      <c r="BC550" s="46" t="inlineStr">
        <is>
          <t xml:space="preserve">Synthetic demo data</t>
        </is>
      </c>
      <c r="BE550" s="45">
        <f>IF(OR($A550="",$L550="",$H550=""),"",IF(AND(LEFT($L550,2)="06",$H550&gt;1945),"FAIL - pre-war class, year "&amp;$H550,IF(AND(LEFT($L550,2)="07",OR($H550&lt;1946,$H550&gt;1972)),"FAIL - 1946-72 class, year "&amp;$H550,IF(AND(LEFT($L550,2)="08",OR($H550&lt;1973,$H550&gt;1999)),"FAIL - 1973-99 class, year "&amp;$H550,IF(AND(LEFT($L550,2)="09",OR($H550&lt;2000,$H550&gt;2010)),"FAIL - 2000-10 class, year "&amp;$H550,"OK")))))</f>
      </c>
      <c r="BF550" s="45">
        <f>IF($AD550="","",IF(ROUND($AO550+$AP550+$AQ550-$AD550,2)=0,"OK","FAIL - out by "&amp;TEXT($AO550+$AP550+$AQ550-$AD550,"$0.00")))</f>
      </c>
    </row>
    <row r="551" spans="1:58" ht="18.75" customHeight="1" x14ac:dyDescent="0.25">
      <c r="A551" s="30" t="inlineStr">
        <is>
          <t xml:space="preserve">CANON-202607-010270</t>
        </is>
      </c>
      <c r="B551" s="30" t="inlineStr">
        <is>
          <t xml:space="preserve">Wilhelmina Merriweather</t>
        </is>
      </c>
      <c r="C551" s="31">
        <v>46230</v>
      </c>
      <c r="D551" s="32" t="inlineStr">
        <is>
          <t xml:space="preserve">Bound - within authority</t>
        </is>
      </c>
      <c r="E551" s="32" t="inlineStr">
        <is>
          <t xml:space="preserve">New business</t>
        </is>
      </c>
      <c r="F551" s="30" t="inlineStr">
        <is>
          <t xml:space="preserve">B1234EXOTIC26</t>
        </is>
      </c>
      <c r="G551" s="33">
        <f>IF($A551="","",IF($C551="","",YEAR($C551)))</f>
      </c>
      <c r="H551" s="34">
        <v>1956</v>
      </c>
      <c r="I551" s="30" t="inlineStr">
        <is>
          <t xml:space="preserve">Ferrari</t>
        </is>
      </c>
      <c r="J551" s="30" t="inlineStr">
        <is>
          <t xml:space="preserve">275 GTB/4</t>
        </is>
      </c>
      <c r="K551" s="30" t="inlineStr">
        <is>
          <t xml:space="preserve">RRRUA6HRS1EEPCUEJ</t>
        </is>
      </c>
      <c r="L551" s="32" t="inlineStr">
        <is>
          <t xml:space="preserve">07 - Post-War Classic (1946-1972)</t>
        </is>
      </c>
      <c r="M551" s="35">
        <v>1950000</v>
      </c>
      <c r="N551" s="32" t="inlineStr">
        <is>
          <t xml:space="preserve">Personal</t>
        </is>
      </c>
      <c r="O551" s="30" t="inlineStr">
        <is>
          <t xml:space="preserve">Personal - regular use</t>
        </is>
      </c>
      <c r="P551" s="30" t="inlineStr">
        <is>
          <t xml:space="preserve">1,000 - 2,500</t>
        </is>
      </c>
      <c r="Q551" s="30" t="inlineStr">
        <is>
          <t xml:space="preserve">Massachusetts</t>
        </is>
      </c>
      <c r="R551" s="30" t="inlineStr">
        <is>
          <t xml:space="preserve">02108</t>
        </is>
      </c>
      <c r="S551" s="32" t="inlineStr">
        <is>
          <t xml:space="preserve">Tier 3 - Coastal wind (25-100 miles)</t>
        </is>
      </c>
      <c r="T551" s="36">
        <f>IF($A551="","",IF($S551="","",IFERROR(INDEX('[1]natural catastrophe'!$D$6:$D$17,MATCH($S551,'[1]natural catastrophe'!$B$6:$B$17,0)),"?")))</f>
      </c>
      <c r="U551" s="30" t="inlineStr">
        <is>
          <t xml:space="preserve">2% of agreed value, minimum $10,000</t>
        </is>
      </c>
      <c r="V551" s="32" t="inlineStr">
        <is>
          <t xml:space="preserve">Agreed Value</t>
        </is>
      </c>
      <c r="W551" s="30" t="inlineStr">
        <is>
          <t xml:space="preserve">$1,000</t>
        </is>
      </c>
      <c r="X551" s="32" t="inlineStr">
        <is>
          <t xml:space="preserve">$1,000,000 CSL</t>
        </is>
      </c>
      <c r="Y551" s="30"/>
      <c r="Z551" s="30"/>
      <c r="AA551" s="32" t="inlineStr">
        <is>
          <t xml:space="preserve">Surplus Lines</t>
        </is>
      </c>
      <c r="AB551" s="35">
        <v>13299.56</v>
      </c>
      <c r="AC551" s="37">
        <v>0</v>
      </c>
      <c r="AD551" s="38">
        <f>IF(ISNUMBER($AB551),$AB551*(1+N($AC551)),"")</f>
      </c>
      <c r="AE551" s="35">
        <v>350</v>
      </c>
      <c r="AF551" s="35">
        <v>250</v>
      </c>
      <c r="AG551" s="37"/>
      <c r="AH551" s="39">
        <f>IF(ISNUMBER($AD551),($AD551+$AE551+$AF551)*$AG551,"")</f>
      </c>
      <c r="AI551" s="35"/>
      <c r="AJ551" s="38">
        <f>IF(ISNUMBER($AD551),SUM($AD551:$AH551),"")</f>
      </c>
      <c r="AK551" s="40">
        <f>IF(AND(ISNUMBER($AB551),ISNUMBER($AD551)),IF($AB551&gt;0,$AD551/$AB551,""),"")</f>
      </c>
      <c r="AL551" s="32" t="inlineStr">
        <is>
          <t xml:space="preserve">At technical</t>
        </is>
      </c>
      <c r="AM551" s="41">
        <f>IF(ISNUMBER($AD551),Header!$I$3,"")</f>
      </c>
      <c r="AN551" s="39">
        <f>IF(ISNUMBER($AD551),$AO551+$AP551,"")</f>
      </c>
      <c r="AO551" s="39">
        <f>IF(ISNUMBER($AD551),ROUND($AD551*Header!$K$3,2),"")</f>
      </c>
      <c r="AP551" s="39">
        <f>IF(ISNUMBER($AD551),ROUND($AD551*Header!$M$3,2),"")</f>
      </c>
      <c r="AQ551" s="38">
        <f>IF(ISNUMBER($AD551),ROUND($AD551,2)-$AO551-$AP551,"")</f>
      </c>
      <c r="AR551" s="39">
        <f>IF(ISNUMBER($AD551),IF(Header!$D$34="","?",$AD551*Header!$D$34),"")</f>
      </c>
      <c r="AS551" s="39">
        <f>IF(ISNUMBER($AB551),IF(Header!$D$34="","?",$AB551*Header!$D$34),"")</f>
      </c>
      <c r="AT551" s="42">
        <f>IF(AND(ISNUMBER($AB551),$M551&gt;0),$AB551/$M551*100,"")</f>
      </c>
      <c r="AU551" s="42">
        <f>IF(AND(ISNUMBER($AD551),$M551&gt;0),$AD551/$M551*100,"")</f>
      </c>
      <c r="AV551" s="40">
        <f>IF(AND(ISNUMBER($AB551),ISNUMBER($AD551),ABS($AB551)&gt;0),$AD551/$AB551,"")</f>
      </c>
      <c r="AW551" s="39">
        <f>IF(ISNUMBER($AD551),MAX(0,(1-0.55-Header!$O$3)*Header!$Q$3*$AQ551),"")</f>
      </c>
      <c r="AX551" s="43">
        <f>IF($A551="","",IF(TRIM(IF($A551="","Missing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",""))="","PASS","FAIL: "&amp;TRIM(IF($A551="","Missing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f>
      </c>
      <c r="AY551" s="44">
        <f>IF($M551="","",IF(ISNUMBER($M551),IF($M551&gt;=Header!$C$18,"YES — refer","No"),""))</f>
      </c>
      <c r="AZ551" s="44">
        <f>IF($AD551="","",IF(ISNUMBER($AD551),IF($AD551&lt;Header!$C$20,"BELOW MIN PREMIUM","OK"),""))</f>
      </c>
      <c r="BA551" s="32" t="inlineStr">
        <is>
          <t xml:space="preserve">Yes</t>
        </is>
      </c>
      <c r="BB551" s="32" t="inlineStr">
        <is>
          <t xml:space="preserve">Yes</t>
        </is>
      </c>
      <c r="BC551" s="30" t="inlineStr">
        <is>
          <t xml:space="preserve">Synthetic demo data</t>
        </is>
      </c>
      <c r="BE551" s="45">
        <f>IF(OR($A551="",$L551="",$H551=""),"",IF(AND(LEFT($L551,2)="06",$H551&gt;1945),"FAIL - pre-war class, year "&amp;$H551,IF(AND(LEFT($L551,2)="07",OR($H551&lt;1946,$H551&gt;1972)),"FAIL - 1946-72 class, year "&amp;$H551,IF(AND(LEFT($L551,2)="08",OR($H551&lt;1973,$H551&gt;1999)),"FAIL - 1973-99 class, year "&amp;$H551,IF(AND(LEFT($L551,2)="09",OR($H551&lt;2000,$H551&gt;2010)),"FAIL - 2000-10 class, year "&amp;$H551,"OK")))))</f>
      </c>
      <c r="BF551" s="45">
        <f>IF($AD551="","",IF(ROUND($AO551+$AP551+$AQ551-$AD551,2)=0,"OK","FAIL - out by "&amp;TEXT($AO551+$AP551+$AQ551-$AD551,"$0.00")))</f>
      </c>
    </row>
    <row r="552" spans="1:58" ht="18.75" customHeight="1" x14ac:dyDescent="0.25">
      <c r="A552" s="46" t="inlineStr">
        <is>
          <t xml:space="preserve">CANON-202607-010271</t>
        </is>
      </c>
      <c r="B552" s="46" t="inlineStr">
        <is>
          <t xml:space="preserve">Priya Harrington</t>
        </is>
      </c>
      <c r="C552" s="47">
        <v>46222</v>
      </c>
      <c r="D552" s="48" t="inlineStr">
        <is>
          <t xml:space="preserve">Bound - within authority</t>
        </is>
      </c>
      <c r="E552" s="48" t="inlineStr">
        <is>
          <t xml:space="preserve">New business</t>
        </is>
      </c>
      <c r="F552" s="46" t="inlineStr">
        <is>
          <t xml:space="preserve">B1234EXOTIC26</t>
        </is>
      </c>
      <c r="G552" s="33">
        <f>IF($A552="","",IF($C552="","",YEAR($C552)))</f>
      </c>
      <c r="H552" s="49">
        <v>2004</v>
      </c>
      <c r="I552" s="46" t="inlineStr">
        <is>
          <t xml:space="preserve">Aston Martin</t>
        </is>
      </c>
      <c r="J552" s="46" t="inlineStr">
        <is>
          <t xml:space="preserve">DB12</t>
        </is>
      </c>
      <c r="K552" s="46" t="inlineStr">
        <is>
          <t xml:space="preserve">DV4GCB0Z5TTDN1235</t>
        </is>
      </c>
      <c r="L552" s="48" t="inlineStr">
        <is>
          <t xml:space="preserve">02 - Sports / GT</t>
        </is>
      </c>
      <c r="M552" s="50">
        <v>325000</v>
      </c>
      <c r="N552" s="48" t="inlineStr">
        <is>
          <t xml:space="preserve">Personal</t>
        </is>
      </c>
      <c r="O552" s="46" t="inlineStr">
        <is>
          <t xml:space="preserve">Personal - regular use</t>
        </is>
      </c>
      <c r="P552" s="46" t="inlineStr">
        <is>
          <t xml:space="preserve">2,500 - 5,000</t>
        </is>
      </c>
      <c r="Q552" s="46" t="inlineStr">
        <is>
          <t xml:space="preserve">South Carolina</t>
        </is>
      </c>
      <c r="R552" s="46" t="inlineStr">
        <is>
          <t xml:space="preserve">29401</t>
        </is>
      </c>
      <c r="S552" s="48" t="inlineStr">
        <is>
          <t xml:space="preserve">Tier 2 - Coastal wind (1-25 miles)</t>
        </is>
      </c>
      <c r="T552" s="36">
        <f>IF($A552="","",IF($S552="","",IFERROR(INDEX('[1]natural catastrophe'!$D$6:$D$17,MATCH($S552,'[1]natural catastrophe'!$B$6:$B$17,0)),"?")))</f>
      </c>
      <c r="U552" s="46" t="inlineStr">
        <is>
          <t xml:space="preserve">2% of agreed value, minimum $10,000</t>
        </is>
      </c>
      <c r="V552" s="48" t="inlineStr">
        <is>
          <t xml:space="preserve">Agreed Value</t>
        </is>
      </c>
      <c r="W552" s="46" t="inlineStr">
        <is>
          <t xml:space="preserve">$1,000</t>
        </is>
      </c>
      <c r="X552" s="48" t="inlineStr">
        <is>
          <t xml:space="preserve">$1,000,000 CSL</t>
        </is>
      </c>
      <c r="Y552" s="46"/>
      <c r="Z552" s="46"/>
      <c r="AA552" s="48" t="inlineStr">
        <is>
          <t xml:space="preserve">Surplus Lines</t>
        </is>
      </c>
      <c r="AB552" s="50">
        <v>4339.85</v>
      </c>
      <c r="AC552" s="51">
        <v>0</v>
      </c>
      <c r="AD552" s="38">
        <f>IF(ISNUMBER($AB552),$AB552*(1+N($AC552)),"")</f>
      </c>
      <c r="AE552" s="50">
        <v>350</v>
      </c>
      <c r="AF552" s="50">
        <v>0</v>
      </c>
      <c r="AG552" s="51"/>
      <c r="AH552" s="39">
        <f>IF(ISNUMBER($AD552),($AD552+$AE552+$AF552)*$AG552,"")</f>
      </c>
      <c r="AI552" s="50"/>
      <c r="AJ552" s="38">
        <f>IF(ISNUMBER($AD552),SUM($AD552:$AH552),"")</f>
      </c>
      <c r="AK552" s="40">
        <f>IF(AND(ISNUMBER($AB552),ISNUMBER($AD552)),IF($AB552&gt;0,$AD552/$AB552,""),"")</f>
      </c>
      <c r="AL552" s="48" t="inlineStr">
        <is>
          <t xml:space="preserve">At technical</t>
        </is>
      </c>
      <c r="AM552" s="41">
        <f>IF(ISNUMBER($AD552),Header!$I$3,"")</f>
      </c>
      <c r="AN552" s="39">
        <f>IF(ISNUMBER($AD552),$AO552+$AP552,"")</f>
      </c>
      <c r="AO552" s="39">
        <f>IF(ISNUMBER($AD552),ROUND($AD552*Header!$K$3,2),"")</f>
      </c>
      <c r="AP552" s="39">
        <f>IF(ISNUMBER($AD552),ROUND($AD552*Header!$M$3,2),"")</f>
      </c>
      <c r="AQ552" s="38">
        <f>IF(ISNUMBER($AD552),ROUND($AD552,2)-$AO552-$AP552,"")</f>
      </c>
      <c r="AR552" s="39">
        <f>IF(ISNUMBER($AD552),IF(Header!$D$34="","?",$AD552*Header!$D$34),"")</f>
      </c>
      <c r="AS552" s="39">
        <f>IF(ISNUMBER($AB552),IF(Header!$D$34="","?",$AB552*Header!$D$34),"")</f>
      </c>
      <c r="AT552" s="42">
        <f>IF(AND(ISNUMBER($AB552),$M552&gt;0),$AB552/$M552*100,"")</f>
      </c>
      <c r="AU552" s="42">
        <f>IF(AND(ISNUMBER($AD552),$M552&gt;0),$AD552/$M552*100,"")</f>
      </c>
      <c r="AV552" s="40">
        <f>IF(AND(ISNUMBER($AB552),ISNUMBER($AD552),ABS($AB552)&gt;0),$AD552/$AB552,"")</f>
      </c>
      <c r="AW552" s="39">
        <f>IF(ISNUMBER($AD552),MAX(0,(1-0.55-Header!$O$3)*Header!$Q$3*$AQ552),"")</f>
      </c>
      <c r="AX552" s="43">
        <f>IF($A552="","",IF(TRIM(IF($A552="","Missing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",""))="","PASS","FAIL: "&amp;TRIM(IF($A552="","Missing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f>
      </c>
      <c r="AY552" s="44">
        <f>IF($M552="","",IF(ISNUMBER($M552),IF($M552&gt;=Header!$C$18,"YES — refer","No"),""))</f>
      </c>
      <c r="AZ552" s="44">
        <f>IF($AD552="","",IF(ISNUMBER($AD552),IF($AD552&lt;Header!$C$20,"BELOW MIN PREMIUM","OK"),""))</f>
      </c>
      <c r="BA552" s="48" t="inlineStr">
        <is>
          <t xml:space="preserve">Yes</t>
        </is>
      </c>
      <c r="BB552" s="48" t="inlineStr">
        <is>
          <t xml:space="preserve">Yes</t>
        </is>
      </c>
      <c r="BC552" s="46" t="inlineStr">
        <is>
          <t xml:space="preserve">Synthetic demo data</t>
        </is>
      </c>
      <c r="BE552" s="45">
        <f>IF(OR($A552="",$L552="",$H552=""),"",IF(AND(LEFT($L552,2)="06",$H552&gt;1945),"FAIL - pre-war class, year "&amp;$H552,IF(AND(LEFT($L552,2)="07",OR($H552&lt;1946,$H552&gt;1972)),"FAIL - 1946-72 class, year "&amp;$H552,IF(AND(LEFT($L552,2)="08",OR($H552&lt;1973,$H552&gt;1999)),"FAIL - 1973-99 class, year "&amp;$H552,IF(AND(LEFT($L552,2)="09",OR($H552&lt;2000,$H552&gt;2010)),"FAIL - 2000-10 class, year "&amp;$H552,"OK")))))</f>
      </c>
      <c r="BF552" s="45">
        <f>IF($AD552="","",IF(ROUND($AO552+$AP552+$AQ552-$AD552,2)=0,"OK","FAIL - out by "&amp;TEXT($AO552+$AP552+$AQ552-$AD552,"$0.00")))</f>
      </c>
    </row>
    <row r="553" spans="1:58" ht="18.75" customHeight="1" x14ac:dyDescent="0.25">
      <c r="A553" s="30" t="inlineStr">
        <is>
          <t xml:space="preserve">CANON-202607-010272</t>
        </is>
      </c>
      <c r="B553" s="30" t="inlineStr">
        <is>
          <t xml:space="preserve">Wilhelmina Vandermeer</t>
        </is>
      </c>
      <c r="C553" s="31">
        <v>46208</v>
      </c>
      <c r="D553" s="32" t="inlineStr">
        <is>
          <t xml:space="preserve">Bound - within authority</t>
        </is>
      </c>
      <c r="E553" s="32" t="inlineStr">
        <is>
          <t xml:space="preserve">New business</t>
        </is>
      </c>
      <c r="F553" s="30" t="inlineStr">
        <is>
          <t xml:space="preserve">B1234EXOTIC26</t>
        </is>
      </c>
      <c r="G553" s="33">
        <f>IF($A553="","",IF($C553="","",YEAR($C553)))</f>
      </c>
      <c r="H553" s="34">
        <v>1980</v>
      </c>
      <c r="I553" s="30" t="inlineStr">
        <is>
          <t xml:space="preserve">McLaren</t>
        </is>
      </c>
      <c r="J553" s="30" t="inlineStr">
        <is>
          <t xml:space="preserve">750S</t>
        </is>
      </c>
      <c r="K553" s="30" t="inlineStr">
        <is>
          <t xml:space="preserve">ZAWE5XMM1DYLZT9H0</t>
        </is>
      </c>
      <c r="L553" s="32" t="inlineStr">
        <is>
          <t xml:space="preserve">03 - Supercar</t>
        </is>
      </c>
      <c r="M553" s="35">
        <v>585000</v>
      </c>
      <c r="N553" s="32" t="inlineStr">
        <is>
          <t xml:space="preserve">Personal</t>
        </is>
      </c>
      <c r="O553" s="30" t="inlineStr">
        <is>
          <t xml:space="preserve">Personal - regular use</t>
        </is>
      </c>
      <c r="P553" s="30" t="inlineStr">
        <is>
          <t xml:space="preserve">1,000 - 2,500</t>
        </is>
      </c>
      <c r="Q553" s="30" t="inlineStr">
        <is>
          <t xml:space="preserve">Arkansas</t>
        </is>
      </c>
      <c r="R553" s="30" t="inlineStr">
        <is>
          <t xml:space="preserve">72201</t>
        </is>
      </c>
      <c r="S553" s="32" t="inlineStr">
        <is>
          <t xml:space="preserve">Severe convective - hail / tornado (moderate)</t>
        </is>
      </c>
      <c r="T553" s="36">
        <f>IF($A553="","",IF($S553="","",IFERROR(INDEX('[1]natural catastrophe'!$D$6:$D$17,MATCH($S553,'[1]natural catastrophe'!$B$6:$B$17,0)),"?")))</f>
      </c>
      <c r="U553" s="30" t="inlineStr">
        <is>
          <t xml:space="preserve">$5,000</t>
        </is>
      </c>
      <c r="V553" s="32" t="inlineStr">
        <is>
          <t xml:space="preserve">Agreed Value</t>
        </is>
      </c>
      <c r="W553" s="30" t="inlineStr">
        <is>
          <t xml:space="preserve">$1,000</t>
        </is>
      </c>
      <c r="X553" s="32" t="inlineStr">
        <is>
          <t xml:space="preserve">$1,000,000 CSL</t>
        </is>
      </c>
      <c r="Y553" s="30"/>
      <c r="Z553" s="30"/>
      <c r="AA553" s="32" t="inlineStr">
        <is>
          <t xml:space="preserve">Surplus Lines</t>
        </is>
      </c>
      <c r="AB553" s="35">
        <v>11012.03</v>
      </c>
      <c r="AC553" s="37">
        <v>0</v>
      </c>
      <c r="AD553" s="38">
        <f>IF(ISNUMBER($AB553),$AB553*(1+N($AC553)),"")</f>
      </c>
      <c r="AE553" s="35">
        <v>350</v>
      </c>
      <c r="AF553" s="35">
        <v>0</v>
      </c>
      <c r="AG553" s="37"/>
      <c r="AH553" s="39">
        <f>IF(ISNUMBER($AD553),($AD553+$AE553+$AF553)*$AG553,"")</f>
      </c>
      <c r="AI553" s="35"/>
      <c r="AJ553" s="38">
        <f>IF(ISNUMBER($AD553),SUM($AD553:$AH553),"")</f>
      </c>
      <c r="AK553" s="40">
        <f>IF(AND(ISNUMBER($AB553),ISNUMBER($AD553)),IF($AB553&gt;0,$AD553/$AB553,""),"")</f>
      </c>
      <c r="AL553" s="32" t="inlineStr">
        <is>
          <t xml:space="preserve">At technical</t>
        </is>
      </c>
      <c r="AM553" s="41">
        <f>IF(ISNUMBER($AD553),Header!$I$3,"")</f>
      </c>
      <c r="AN553" s="39">
        <f>IF(ISNUMBER($AD553),$AO553+$AP553,"")</f>
      </c>
      <c r="AO553" s="39">
        <f>IF(ISNUMBER($AD553),ROUND($AD553*Header!$K$3,2),"")</f>
      </c>
      <c r="AP553" s="39">
        <f>IF(ISNUMBER($AD553),ROUND($AD553*Header!$M$3,2),"")</f>
      </c>
      <c r="AQ553" s="38">
        <f>IF(ISNUMBER($AD553),ROUND($AD553,2)-$AO553-$AP553,"")</f>
      </c>
      <c r="AR553" s="39">
        <f>IF(ISNUMBER($AD553),IF(Header!$D$34="","?",$AD553*Header!$D$34),"")</f>
      </c>
      <c r="AS553" s="39">
        <f>IF(ISNUMBER($AB553),IF(Header!$D$34="","?",$AB553*Header!$D$34),"")</f>
      </c>
      <c r="AT553" s="42">
        <f>IF(AND(ISNUMBER($AB553),$M553&gt;0),$AB553/$M553*100,"")</f>
      </c>
      <c r="AU553" s="42">
        <f>IF(AND(ISNUMBER($AD553),$M553&gt;0),$AD553/$M553*100,"")</f>
      </c>
      <c r="AV553" s="40">
        <f>IF(AND(ISNUMBER($AB553),ISNUMBER($AD553),ABS($AB553)&gt;0),$AD553/$AB553,"")</f>
      </c>
      <c r="AW553" s="39">
        <f>IF(ISNUMBER($AD553),MAX(0,(1-0.55-Header!$O$3)*Header!$Q$3*$AQ553),"")</f>
      </c>
      <c r="AX553" s="43">
        <f>IF($A553="","",IF(TRIM(IF($A553="","Missing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",""))="","PASS","FAIL: "&amp;TRIM(IF($A553="","Missing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f>
      </c>
      <c r="AY553" s="44">
        <f>IF($M553="","",IF(ISNUMBER($M553),IF($M553&gt;=Header!$C$18,"YES — refer","No"),""))</f>
      </c>
      <c r="AZ553" s="44">
        <f>IF($AD553="","",IF(ISNUMBER($AD553),IF($AD553&lt;Header!$C$20,"BELOW MIN PREMIUM","OK"),""))</f>
      </c>
      <c r="BA553" s="32" t="inlineStr">
        <is>
          <t xml:space="preserve">Yes</t>
        </is>
      </c>
      <c r="BB553" s="32" t="inlineStr">
        <is>
          <t xml:space="preserve">Yes</t>
        </is>
      </c>
      <c r="BC553" s="30" t="inlineStr">
        <is>
          <t xml:space="preserve">Synthetic demo data</t>
        </is>
      </c>
      <c r="BE553" s="45">
        <f>IF(OR($A553="",$L553="",$H553=""),"",IF(AND(LEFT($L553,2)="06",$H553&gt;1945),"FAIL - pre-war class, year "&amp;$H553,IF(AND(LEFT($L553,2)="07",OR($H553&lt;1946,$H553&gt;1972)),"FAIL - 1946-72 class, year "&amp;$H553,IF(AND(LEFT($L553,2)="08",OR($H553&lt;1973,$H553&gt;1999)),"FAIL - 1973-99 class, year "&amp;$H553,IF(AND(LEFT($L553,2)="09",OR($H553&lt;2000,$H553&gt;2010)),"FAIL - 2000-10 class, year "&amp;$H553,"OK")))))</f>
      </c>
      <c r="BF553" s="45">
        <f>IF($AD553="","",IF(ROUND($AO553+$AP553+$AQ553-$AD553,2)=0,"OK","FAIL - out by "&amp;TEXT($AO553+$AP553+$AQ553-$AD553,"$0.00")))</f>
      </c>
    </row>
    <row r="554" spans="1:58" ht="18.75" customHeight="1" x14ac:dyDescent="0.25">
      <c r="A554" s="46" t="inlineStr">
        <is>
          <t xml:space="preserve">CANON-202607-010273</t>
        </is>
      </c>
      <c r="B554" s="46" t="inlineStr">
        <is>
          <t xml:space="preserve">Everett Chattopadhyay</t>
        </is>
      </c>
      <c r="C554" s="47">
        <v>46205</v>
      </c>
      <c r="D554" s="48" t="inlineStr">
        <is>
          <t xml:space="preserve">Bound - within authority</t>
        </is>
      </c>
      <c r="E554" s="48" t="inlineStr">
        <is>
          <t xml:space="preserve">New business</t>
        </is>
      </c>
      <c r="F554" s="46" t="inlineStr">
        <is>
          <t xml:space="preserve">B1234EXOTIC26</t>
        </is>
      </c>
      <c r="G554" s="33">
        <f>IF($A554="","",IF($C554="","",YEAR($C554)))</f>
      </c>
      <c r="H554" s="49">
        <v>1961</v>
      </c>
      <c r="I554" s="46" t="inlineStr">
        <is>
          <t xml:space="preserve">Aston Martin</t>
        </is>
      </c>
      <c r="J554" s="46" t="inlineStr">
        <is>
          <t xml:space="preserve">DB12</t>
        </is>
      </c>
      <c r="K554" s="46" t="inlineStr">
        <is>
          <t xml:space="preserve">ZHJT2LXN5LSPCV061</t>
        </is>
      </c>
      <c r="L554" s="48" t="inlineStr">
        <is>
          <t xml:space="preserve">02 - Sports / GT</t>
        </is>
      </c>
      <c r="M554" s="50">
        <v>615000</v>
      </c>
      <c r="N554" s="48" t="inlineStr">
        <is>
          <t xml:space="preserve">Personal</t>
        </is>
      </c>
      <c r="O554" s="46" t="inlineStr">
        <is>
          <t xml:space="preserve">Personal - regular use</t>
        </is>
      </c>
      <c r="P554" s="46" t="inlineStr">
        <is>
          <t xml:space="preserve">2,500 - 5,000</t>
        </is>
      </c>
      <c r="Q554" s="46" t="inlineStr">
        <is>
          <t xml:space="preserve">Arizona</t>
        </is>
      </c>
      <c r="R554" s="46" t="inlineStr">
        <is>
          <t xml:space="preserve">85001</t>
        </is>
      </c>
      <c r="S554" s="48" t="inlineStr">
        <is>
          <t xml:space="preserve">Wildfire - WUI high hazard</t>
        </is>
      </c>
      <c r="T554" s="36">
        <f>IF($A554="","",IF($S554="","",IFERROR(INDEX('[1]natural catastrophe'!$D$6:$D$17,MATCH($S554,'[1]natural catastrophe'!$B$6:$B$17,0)),"?")))</f>
      </c>
      <c r="U554" s="46" t="inlineStr">
        <is>
          <t xml:space="preserve">$5,000</t>
        </is>
      </c>
      <c r="V554" s="48" t="inlineStr">
        <is>
          <t xml:space="preserve">Agreed Value</t>
        </is>
      </c>
      <c r="W554" s="46" t="inlineStr">
        <is>
          <t xml:space="preserve">$1,000</t>
        </is>
      </c>
      <c r="X554" s="48" t="inlineStr">
        <is>
          <t xml:space="preserve">$1,000,000 CSL</t>
        </is>
      </c>
      <c r="Y554" s="46"/>
      <c r="Z554" s="46"/>
      <c r="AA554" s="48" t="inlineStr">
        <is>
          <t xml:space="preserve">Surplus Lines</t>
        </is>
      </c>
      <c r="AB554" s="50">
        <v>5797.21</v>
      </c>
      <c r="AC554" s="51">
        <v>0</v>
      </c>
      <c r="AD554" s="38">
        <f>IF(ISNUMBER($AB554),$AB554*(1+N($AC554)),"")</f>
      </c>
      <c r="AE554" s="50">
        <v>350</v>
      </c>
      <c r="AF554" s="50">
        <v>0</v>
      </c>
      <c r="AG554" s="51"/>
      <c r="AH554" s="39">
        <f>IF(ISNUMBER($AD554),($AD554+$AE554+$AF554)*$AG554,"")</f>
      </c>
      <c r="AI554" s="50"/>
      <c r="AJ554" s="38">
        <f>IF(ISNUMBER($AD554),SUM($AD554:$AH554),"")</f>
      </c>
      <c r="AK554" s="40">
        <f>IF(AND(ISNUMBER($AB554),ISNUMBER($AD554)),IF($AB554&gt;0,$AD554/$AB554,""),"")</f>
      </c>
      <c r="AL554" s="48" t="inlineStr">
        <is>
          <t xml:space="preserve">At technical</t>
        </is>
      </c>
      <c r="AM554" s="41">
        <f>IF(ISNUMBER($AD554),Header!$I$3,"")</f>
      </c>
      <c r="AN554" s="39">
        <f>IF(ISNUMBER($AD554),$AO554+$AP554,"")</f>
      </c>
      <c r="AO554" s="39">
        <f>IF(ISNUMBER($AD554),ROUND($AD554*Header!$K$3,2),"")</f>
      </c>
      <c r="AP554" s="39">
        <f>IF(ISNUMBER($AD554),ROUND($AD554*Header!$M$3,2),"")</f>
      </c>
      <c r="AQ554" s="38">
        <f>IF(ISNUMBER($AD554),ROUND($AD554,2)-$AO554-$AP554,"")</f>
      </c>
      <c r="AR554" s="39">
        <f>IF(ISNUMBER($AD554),IF(Header!$D$34="","?",$AD554*Header!$D$34),"")</f>
      </c>
      <c r="AS554" s="39">
        <f>IF(ISNUMBER($AB554),IF(Header!$D$34="","?",$AB554*Header!$D$34),"")</f>
      </c>
      <c r="AT554" s="42">
        <f>IF(AND(ISNUMBER($AB554),$M554&gt;0),$AB554/$M554*100,"")</f>
      </c>
      <c r="AU554" s="42">
        <f>IF(AND(ISNUMBER($AD554),$M554&gt;0),$AD554/$M554*100,"")</f>
      </c>
      <c r="AV554" s="40">
        <f>IF(AND(ISNUMBER($AB554),ISNUMBER($AD554),ABS($AB554)&gt;0),$AD554/$AB554,"")</f>
      </c>
      <c r="AW554" s="39">
        <f>IF(ISNUMBER($AD554),MAX(0,(1-0.55-Header!$O$3)*Header!$Q$3*$AQ554),"")</f>
      </c>
      <c r="AX554" s="43">
        <f>IF($A554="","",IF(TRIM(IF($A554="","Missing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",""))="","PASS","FAIL: "&amp;TRIM(IF($A554="","Missing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f>
      </c>
      <c r="AY554" s="44">
        <f>IF($M554="","",IF(ISNUMBER($M554),IF($M554&gt;=Header!$C$18,"YES — refer","No"),""))</f>
      </c>
      <c r="AZ554" s="44">
        <f>IF($AD554="","",IF(ISNUMBER($AD554),IF($AD554&lt;Header!$C$20,"BELOW MIN PREMIUM","OK"),""))</f>
      </c>
      <c r="BA554" s="48" t="inlineStr">
        <is>
          <t xml:space="preserve">Yes</t>
        </is>
      </c>
      <c r="BB554" s="48" t="inlineStr">
        <is>
          <t xml:space="preserve">Yes</t>
        </is>
      </c>
      <c r="BC554" s="46" t="inlineStr">
        <is>
          <t xml:space="preserve">Synthetic demo data</t>
        </is>
      </c>
      <c r="BE554" s="45">
        <f>IF(OR($A554="",$L554="",$H554=""),"",IF(AND(LEFT($L554,2)="06",$H554&gt;1945),"FAIL - pre-war class, year "&amp;$H554,IF(AND(LEFT($L554,2)="07",OR($H554&lt;1946,$H554&gt;1972)),"FAIL - 1946-72 class, year "&amp;$H554,IF(AND(LEFT($L554,2)="08",OR($H554&lt;1973,$H554&gt;1999)),"FAIL - 1973-99 class, year "&amp;$H554,IF(AND(LEFT($L554,2)="09",OR($H554&lt;2000,$H554&gt;2010)),"FAIL - 2000-10 class, year "&amp;$H554,"OK")))))</f>
      </c>
      <c r="BF554" s="45">
        <f>IF($AD554="","",IF(ROUND($AO554+$AP554+$AQ554-$AD554,2)=0,"OK","FAIL - out by "&amp;TEXT($AO554+$AP554+$AQ554-$AD554,"$0.00")))</f>
      </c>
    </row>
    <row r="555" spans="1:58" ht="18.75" customHeight="1" x14ac:dyDescent="0.25">
      <c r="A555" s="30" t="inlineStr">
        <is>
          <t xml:space="preserve">CANON-202607-010274</t>
        </is>
      </c>
      <c r="B555" s="30" t="inlineStr">
        <is>
          <t xml:space="preserve">Ingrid Rourke</t>
        </is>
      </c>
      <c r="C555" s="31">
        <v>46206</v>
      </c>
      <c r="D555" s="32" t="inlineStr">
        <is>
          <t xml:space="preserve">Bound - within authority</t>
        </is>
      </c>
      <c r="E555" s="32" t="inlineStr">
        <is>
          <t xml:space="preserve">New business</t>
        </is>
      </c>
      <c r="F555" s="30" t="inlineStr">
        <is>
          <t xml:space="preserve">B1234EXOTIC26</t>
        </is>
      </c>
      <c r="G555" s="33">
        <f>IF($A555="","",IF($C555="","",YEAR($C555)))</f>
      </c>
      <c r="H555" s="34">
        <v>1985</v>
      </c>
      <c r="I555" s="30" t="inlineStr">
        <is>
          <t xml:space="preserve">Porsche</t>
        </is>
      </c>
      <c r="J555" s="30" t="inlineStr">
        <is>
          <t xml:space="preserve">911 Turbo S</t>
        </is>
      </c>
      <c r="K555" s="30" t="inlineStr">
        <is>
          <t xml:space="preserve">FD3LYSH19BPLX1MUJ</t>
        </is>
      </c>
      <c r="L555" s="32" t="inlineStr">
        <is>
          <t xml:space="preserve">02 - Sports / GT</t>
        </is>
      </c>
      <c r="M555" s="35">
        <v>645000</v>
      </c>
      <c r="N555" s="32" t="inlineStr">
        <is>
          <t xml:space="preserve">Personal</t>
        </is>
      </c>
      <c r="O555" s="30" t="inlineStr">
        <is>
          <t xml:space="preserve">Personal - regular use</t>
        </is>
      </c>
      <c r="P555" s="30" t="inlineStr">
        <is>
          <t xml:space="preserve">Under 1,000</t>
        </is>
      </c>
      <c r="Q555" s="30" t="inlineStr">
        <is>
          <t xml:space="preserve">Tennessee</t>
        </is>
      </c>
      <c r="R555" s="30" t="inlineStr">
        <is>
          <t xml:space="preserve">37203</t>
        </is>
      </c>
      <c r="S555" s="32" t="inlineStr">
        <is>
          <t xml:space="preserve">Severe convective - hail / tornado (moderate)</t>
        </is>
      </c>
      <c r="T555" s="36">
        <f>IF($A555="","",IF($S555="","",IFERROR(INDEX('[1]natural catastrophe'!$D$6:$D$17,MATCH($S555,'[1]natural catastrophe'!$B$6:$B$17,0)),"?")))</f>
      </c>
      <c r="U555" s="30" t="inlineStr">
        <is>
          <t xml:space="preserve">$5,000</t>
        </is>
      </c>
      <c r="V555" s="32" t="inlineStr">
        <is>
          <t xml:space="preserve">Agreed Value</t>
        </is>
      </c>
      <c r="W555" s="30" t="inlineStr">
        <is>
          <t xml:space="preserve">$1,000</t>
        </is>
      </c>
      <c r="X555" s="32" t="inlineStr">
        <is>
          <t xml:space="preserve">$1,000,000 CSL</t>
        </is>
      </c>
      <c r="Y555" s="30"/>
      <c r="Z555" s="30"/>
      <c r="AA555" s="32" t="inlineStr">
        <is>
          <t xml:space="preserve">Surplus Lines</t>
        </is>
      </c>
      <c r="AB555" s="35">
        <v>5899.4</v>
      </c>
      <c r="AC555" s="37">
        <v>0</v>
      </c>
      <c r="AD555" s="38">
        <f>IF(ISNUMBER($AB555),$AB555*(1+N($AC555)),"")</f>
      </c>
      <c r="AE555" s="35">
        <v>350</v>
      </c>
      <c r="AF555" s="35">
        <v>0</v>
      </c>
      <c r="AG555" s="37"/>
      <c r="AH555" s="39">
        <f>IF(ISNUMBER($AD555),($AD555+$AE555+$AF555)*$AG555,"")</f>
      </c>
      <c r="AI555" s="35"/>
      <c r="AJ555" s="38">
        <f>IF(ISNUMBER($AD555),SUM($AD555:$AH555),"")</f>
      </c>
      <c r="AK555" s="40">
        <f>IF(AND(ISNUMBER($AB555),ISNUMBER($AD555)),IF($AB555&gt;0,$AD555/$AB555,""),"")</f>
      </c>
      <c r="AL555" s="32" t="inlineStr">
        <is>
          <t xml:space="preserve">At technical</t>
        </is>
      </c>
      <c r="AM555" s="41">
        <f>IF(ISNUMBER($AD555),Header!$I$3,"")</f>
      </c>
      <c r="AN555" s="39">
        <f>IF(ISNUMBER($AD555),$AO555+$AP555,"")</f>
      </c>
      <c r="AO555" s="39">
        <f>IF(ISNUMBER($AD555),ROUND($AD555*Header!$K$3,2),"")</f>
      </c>
      <c r="AP555" s="39">
        <f>IF(ISNUMBER($AD555),ROUND($AD555*Header!$M$3,2),"")</f>
      </c>
      <c r="AQ555" s="38">
        <f>IF(ISNUMBER($AD555),ROUND($AD555,2)-$AO555-$AP555,"")</f>
      </c>
      <c r="AR555" s="39">
        <f>IF(ISNUMBER($AD555),IF(Header!$D$34="","?",$AD555*Header!$D$34),"")</f>
      </c>
      <c r="AS555" s="39">
        <f>IF(ISNUMBER($AB555),IF(Header!$D$34="","?",$AB555*Header!$D$34),"")</f>
      </c>
      <c r="AT555" s="42">
        <f>IF(AND(ISNUMBER($AB555),$M555&gt;0),$AB555/$M555*100,"")</f>
      </c>
      <c r="AU555" s="42">
        <f>IF(AND(ISNUMBER($AD555),$M555&gt;0),$AD555/$M555*100,"")</f>
      </c>
      <c r="AV555" s="40">
        <f>IF(AND(ISNUMBER($AB555),ISNUMBER($AD555),ABS($AB555)&gt;0),$AD555/$AB555,"")</f>
      </c>
      <c r="AW555" s="39">
        <f>IF(ISNUMBER($AD555),MAX(0,(1-0.55-Header!$O$3)*Header!$Q$3*$AQ555),"")</f>
      </c>
      <c r="AX555" s="43">
        <f>IF($A555="","",IF(TRIM(IF($A555="","Missing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",""))="","PASS","FAIL: "&amp;TRIM(IF($A555="","Missing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f>
      </c>
      <c r="AY555" s="44">
        <f>IF($M555="","",IF(ISNUMBER($M555),IF($M555&gt;=Header!$C$18,"YES — refer","No"),""))</f>
      </c>
      <c r="AZ555" s="44">
        <f>IF($AD555="","",IF(ISNUMBER($AD555),IF($AD555&lt;Header!$C$20,"BELOW MIN PREMIUM","OK"),""))</f>
      </c>
      <c r="BA555" s="32" t="inlineStr">
        <is>
          <t xml:space="preserve">Yes</t>
        </is>
      </c>
      <c r="BB555" s="32" t="inlineStr">
        <is>
          <t xml:space="preserve">Yes</t>
        </is>
      </c>
      <c r="BC555" s="30" t="inlineStr">
        <is>
          <t xml:space="preserve">Synthetic demo data</t>
        </is>
      </c>
      <c r="BE555" s="45">
        <f>IF(OR($A555="",$L555="",$H555=""),"",IF(AND(LEFT($L555,2)="06",$H555&gt;1945),"FAIL - pre-war class, year "&amp;$H555,IF(AND(LEFT($L555,2)="07",OR($H555&lt;1946,$H555&gt;1972)),"FAIL - 1946-72 class, year "&amp;$H555,IF(AND(LEFT($L555,2)="08",OR($H555&lt;1973,$H555&gt;1999)),"FAIL - 1973-99 class, year "&amp;$H555,IF(AND(LEFT($L555,2)="09",OR($H555&lt;2000,$H555&gt;2010)),"FAIL - 2000-10 class, year "&amp;$H555,"OK")))))</f>
      </c>
      <c r="BF555" s="45">
        <f>IF($AD555="","",IF(ROUND($AO555+$AP555+$AQ555-$AD555,2)=0,"OK","FAIL - out by "&amp;TEXT($AO555+$AP555+$AQ555-$AD555,"$0.00")))</f>
      </c>
    </row>
    <row r="556" spans="1:58" ht="18.75" customHeight="1" x14ac:dyDescent="0.25">
      <c r="A556" s="46" t="inlineStr">
        <is>
          <t xml:space="preserve">CANON-202607-010275</t>
        </is>
      </c>
      <c r="B556" s="46" t="inlineStr">
        <is>
          <t xml:space="preserve">Marisol Underwood</t>
        </is>
      </c>
      <c r="C556" s="47">
        <v>46225</v>
      </c>
      <c r="D556" s="48" t="inlineStr">
        <is>
          <t xml:space="preserve">Bound - within authority</t>
        </is>
      </c>
      <c r="E556" s="48" t="inlineStr">
        <is>
          <t xml:space="preserve">New business</t>
        </is>
      </c>
      <c r="F556" s="46" t="inlineStr">
        <is>
          <t xml:space="preserve">B1234EXOTIC26</t>
        </is>
      </c>
      <c r="G556" s="33">
        <f>IF($A556="","",IF($C556="","",YEAR($C556)))</f>
      </c>
      <c r="H556" s="49">
        <v>1982</v>
      </c>
      <c r="I556" s="46" t="inlineStr">
        <is>
          <t xml:space="preserve">Maserati</t>
        </is>
      </c>
      <c r="J556" s="46" t="inlineStr">
        <is>
          <t xml:space="preserve">GranTurismo</t>
        </is>
      </c>
      <c r="K556" s="46" t="inlineStr">
        <is>
          <t xml:space="preserve">CZ8BVU2L12D51W92Y</t>
        </is>
      </c>
      <c r="L556" s="48" t="inlineStr">
        <is>
          <t xml:space="preserve">02 - Sports / GT</t>
        </is>
      </c>
      <c r="M556" s="50">
        <v>815000</v>
      </c>
      <c r="N556" s="48" t="inlineStr">
        <is>
          <t xml:space="preserve">Personal</t>
        </is>
      </c>
      <c r="O556" s="46" t="inlineStr">
        <is>
          <t xml:space="preserve">Personal - regular use</t>
        </is>
      </c>
      <c r="P556" s="46" t="inlineStr">
        <is>
          <t xml:space="preserve">1,000 - 2,500</t>
        </is>
      </c>
      <c r="Q556" s="46" t="inlineStr">
        <is>
          <t xml:space="preserve">North Carolina</t>
        </is>
      </c>
      <c r="R556" s="46" t="inlineStr">
        <is>
          <t xml:space="preserve">28202</t>
        </is>
      </c>
      <c r="S556" s="48" t="inlineStr">
        <is>
          <t xml:space="preserve">Tier 2 - Coastal wind (1-25 miles)</t>
        </is>
      </c>
      <c r="T556" s="36">
        <f>IF($A556="","",IF($S556="","",IFERROR(INDEX('[1]natural catastrophe'!$D$6:$D$17,MATCH($S556,'[1]natural catastrophe'!$B$6:$B$17,0)),"?")))</f>
      </c>
      <c r="U556" s="46" t="inlineStr">
        <is>
          <t xml:space="preserve">2% of agreed value, minimum $10,000</t>
        </is>
      </c>
      <c r="V556" s="48" t="inlineStr">
        <is>
          <t xml:space="preserve">Agreed Value</t>
        </is>
      </c>
      <c r="W556" s="46" t="inlineStr">
        <is>
          <t xml:space="preserve">$1,000</t>
        </is>
      </c>
      <c r="X556" s="48" t="inlineStr">
        <is>
          <t xml:space="preserve">$1,000,000 CSL</t>
        </is>
      </c>
      <c r="Y556" s="46"/>
      <c r="Z556" s="46"/>
      <c r="AA556" s="48" t="inlineStr">
        <is>
          <t xml:space="preserve">Surplus Lines</t>
        </is>
      </c>
      <c r="AB556" s="50">
        <v>8747.38</v>
      </c>
      <c r="AC556" s="51">
        <v>0</v>
      </c>
      <c r="AD556" s="38">
        <f>IF(ISNUMBER($AB556),$AB556*(1+N($AC556)),"")</f>
      </c>
      <c r="AE556" s="50">
        <v>350</v>
      </c>
      <c r="AF556" s="50">
        <v>0</v>
      </c>
      <c r="AG556" s="51"/>
      <c r="AH556" s="39">
        <f>IF(ISNUMBER($AD556),($AD556+$AE556+$AF556)*$AG556,"")</f>
      </c>
      <c r="AI556" s="50"/>
      <c r="AJ556" s="38">
        <f>IF(ISNUMBER($AD556),SUM($AD556:$AH556),"")</f>
      </c>
      <c r="AK556" s="40">
        <f>IF(AND(ISNUMBER($AB556),ISNUMBER($AD556)),IF($AB556&gt;0,$AD556/$AB556,""),"")</f>
      </c>
      <c r="AL556" s="48" t="inlineStr">
        <is>
          <t xml:space="preserve">At technical</t>
        </is>
      </c>
      <c r="AM556" s="41">
        <f>IF(ISNUMBER($AD556),Header!$I$3,"")</f>
      </c>
      <c r="AN556" s="39">
        <f>IF(ISNUMBER($AD556),$AO556+$AP556,"")</f>
      </c>
      <c r="AO556" s="39">
        <f>IF(ISNUMBER($AD556),ROUND($AD556*Header!$K$3,2),"")</f>
      </c>
      <c r="AP556" s="39">
        <f>IF(ISNUMBER($AD556),ROUND($AD556*Header!$M$3,2),"")</f>
      </c>
      <c r="AQ556" s="38">
        <f>IF(ISNUMBER($AD556),ROUND($AD556,2)-$AO556-$AP556,"")</f>
      </c>
      <c r="AR556" s="39">
        <f>IF(ISNUMBER($AD556),IF(Header!$D$34="","?",$AD556*Header!$D$34),"")</f>
      </c>
      <c r="AS556" s="39">
        <f>IF(ISNUMBER($AB556),IF(Header!$D$34="","?",$AB556*Header!$D$34),"")</f>
      </c>
      <c r="AT556" s="42">
        <f>IF(AND(ISNUMBER($AB556),$M556&gt;0),$AB556/$M556*100,"")</f>
      </c>
      <c r="AU556" s="42">
        <f>IF(AND(ISNUMBER($AD556),$M556&gt;0),$AD556/$M556*100,"")</f>
      </c>
      <c r="AV556" s="40">
        <f>IF(AND(ISNUMBER($AB556),ISNUMBER($AD556),ABS($AB556)&gt;0),$AD556/$AB556,"")</f>
      </c>
      <c r="AW556" s="39">
        <f>IF(ISNUMBER($AD556),MAX(0,(1-0.55-Header!$O$3)*Header!$Q$3*$AQ556),"")</f>
      </c>
      <c r="AX556" s="43">
        <f>IF($A556="","",IF(TRIM(IF($A556="","Missing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",""))="","PASS","FAIL: "&amp;TRIM(IF($A556="","Missing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f>
      </c>
      <c r="AY556" s="44">
        <f>IF($M556="","",IF(ISNUMBER($M556),IF($M556&gt;=Header!$C$18,"YES — refer","No"),""))</f>
      </c>
      <c r="AZ556" s="44">
        <f>IF($AD556="","",IF(ISNUMBER($AD556),IF($AD556&lt;Header!$C$20,"BELOW MIN PREMIUM","OK"),""))</f>
      </c>
      <c r="BA556" s="48" t="inlineStr">
        <is>
          <t xml:space="preserve">Yes</t>
        </is>
      </c>
      <c r="BB556" s="48" t="inlineStr">
        <is>
          <t xml:space="preserve">Yes</t>
        </is>
      </c>
      <c r="BC556" s="46" t="inlineStr">
        <is>
          <t xml:space="preserve">Synthetic demo data</t>
        </is>
      </c>
      <c r="BE556" s="45">
        <f>IF(OR($A556="",$L556="",$H556=""),"",IF(AND(LEFT($L556,2)="06",$H556&gt;1945),"FAIL - pre-war class, year "&amp;$H556,IF(AND(LEFT($L556,2)="07",OR($H556&lt;1946,$H556&gt;1972)),"FAIL - 1946-72 class, year "&amp;$H556,IF(AND(LEFT($L556,2)="08",OR($H556&lt;1973,$H556&gt;1999)),"FAIL - 1973-99 class, year "&amp;$H556,IF(AND(LEFT($L556,2)="09",OR($H556&lt;2000,$H556&gt;2010)),"FAIL - 2000-10 class, year "&amp;$H556,"OK")))))</f>
      </c>
      <c r="BF556" s="45">
        <f>IF($AD556="","",IF(ROUND($AO556+$AP556+$AQ556-$AD556,2)=0,"OK","FAIL - out by "&amp;TEXT($AO556+$AP556+$AQ556-$AD556,"$0.00")))</f>
      </c>
    </row>
    <row r="557" spans="1:58" ht="18.75" customHeight="1" x14ac:dyDescent="0.25">
      <c r="A557" s="30" t="inlineStr">
        <is>
          <t xml:space="preserve">CANON-202607-010278</t>
        </is>
      </c>
      <c r="B557" s="30" t="inlineStr">
        <is>
          <t xml:space="preserve">Fitzgerald Kingsford</t>
        </is>
      </c>
      <c r="C557" s="31">
        <v>46215</v>
      </c>
      <c r="D557" s="32" t="inlineStr">
        <is>
          <t xml:space="preserve">Bound - within authority</t>
        </is>
      </c>
      <c r="E557" s="32" t="inlineStr">
        <is>
          <t xml:space="preserve">New business</t>
        </is>
      </c>
      <c r="F557" s="30" t="inlineStr">
        <is>
          <t xml:space="preserve">B1234EXOTIC26</t>
        </is>
      </c>
      <c r="G557" s="33">
        <f>IF($A557="","",IF($C557="","",YEAR($C557)))</f>
      </c>
      <c r="H557" s="34">
        <v>2002</v>
      </c>
      <c r="I557" s="30" t="inlineStr">
        <is>
          <t xml:space="preserve">Lamborghini</t>
        </is>
      </c>
      <c r="J557" s="30" t="inlineStr">
        <is>
          <t xml:space="preserve">Huracan EVO</t>
        </is>
      </c>
      <c r="K557" s="30" t="inlineStr">
        <is>
          <t xml:space="preserve">VXLEZHS3KAM8JZNT3</t>
        </is>
      </c>
      <c r="L557" s="32" t="inlineStr">
        <is>
          <t xml:space="preserve">03 - Supercar</t>
        </is>
      </c>
      <c r="M557" s="35">
        <v>1605000</v>
      </c>
      <c r="N557" s="32" t="inlineStr">
        <is>
          <t xml:space="preserve">Personal</t>
        </is>
      </c>
      <c r="O557" s="30" t="inlineStr">
        <is>
          <t xml:space="preserve">Personal - regular use</t>
        </is>
      </c>
      <c r="P557" s="30" t="inlineStr">
        <is>
          <t xml:space="preserve">1,000 - 2,500</t>
        </is>
      </c>
      <c r="Q557" s="30" t="inlineStr">
        <is>
          <t xml:space="preserve">Kentucky</t>
        </is>
      </c>
      <c r="R557" s="30" t="inlineStr">
        <is>
          <t xml:space="preserve">40202</t>
        </is>
      </c>
      <c r="S557" s="32" t="inlineStr">
        <is>
          <t xml:space="preserve">Severe convective - hail / tornado (moderate)</t>
        </is>
      </c>
      <c r="T557" s="36">
        <f>IF($A557="","",IF($S557="","",IFERROR(INDEX('[1]natural catastrophe'!$D$6:$D$17,MATCH($S557,'[1]natural catastrophe'!$B$6:$B$17,0)),"?")))</f>
      </c>
      <c r="U557" s="30" t="inlineStr">
        <is>
          <t xml:space="preserve">$5,000</t>
        </is>
      </c>
      <c r="V557" s="32" t="inlineStr">
        <is>
          <t xml:space="preserve">Agreed Value</t>
        </is>
      </c>
      <c r="W557" s="30" t="inlineStr">
        <is>
          <t xml:space="preserve">$1,000</t>
        </is>
      </c>
      <c r="X557" s="32" t="inlineStr">
        <is>
          <t xml:space="preserve">$1,000,000 CSL</t>
        </is>
      </c>
      <c r="Y557" s="30"/>
      <c r="Z557" s="30"/>
      <c r="AA557" s="32" t="inlineStr">
        <is>
          <t xml:space="preserve">Surplus Lines</t>
        </is>
      </c>
      <c r="AB557" s="35">
        <v>24704.65</v>
      </c>
      <c r="AC557" s="37">
        <v>0</v>
      </c>
      <c r="AD557" s="38">
        <f>IF(ISNUMBER($AB557),$AB557*(1+N($AC557)),"")</f>
      </c>
      <c r="AE557" s="35">
        <v>350</v>
      </c>
      <c r="AF557" s="35">
        <v>250</v>
      </c>
      <c r="AG557" s="37"/>
      <c r="AH557" s="39">
        <f>IF(ISNUMBER($AD557),($AD557+$AE557+$AF557)*$AG557,"")</f>
      </c>
      <c r="AI557" s="35"/>
      <c r="AJ557" s="38">
        <f>IF(ISNUMBER($AD557),SUM($AD557:$AH557),"")</f>
      </c>
      <c r="AK557" s="40">
        <f>IF(AND(ISNUMBER($AB557),ISNUMBER($AD557)),IF($AB557&gt;0,$AD557/$AB557,""),"")</f>
      </c>
      <c r="AL557" s="32" t="inlineStr">
        <is>
          <t xml:space="preserve">At technical</t>
        </is>
      </c>
      <c r="AM557" s="41">
        <f>IF(ISNUMBER($AD557),Header!$I$3,"")</f>
      </c>
      <c r="AN557" s="39">
        <f>IF(ISNUMBER($AD557),$AO557+$AP557,"")</f>
      </c>
      <c r="AO557" s="39">
        <f>IF(ISNUMBER($AD557),ROUND($AD557*Header!$K$3,2),"")</f>
      </c>
      <c r="AP557" s="39">
        <f>IF(ISNUMBER($AD557),ROUND($AD557*Header!$M$3,2),"")</f>
      </c>
      <c r="AQ557" s="38">
        <f>IF(ISNUMBER($AD557),ROUND($AD557,2)-$AO557-$AP557,"")</f>
      </c>
      <c r="AR557" s="39">
        <f>IF(ISNUMBER($AD557),IF(Header!$D$34="","?",$AD557*Header!$D$34),"")</f>
      </c>
      <c r="AS557" s="39">
        <f>IF(ISNUMBER($AB557),IF(Header!$D$34="","?",$AB557*Header!$D$34),"")</f>
      </c>
      <c r="AT557" s="42">
        <f>IF(AND(ISNUMBER($AB557),$M557&gt;0),$AB557/$M557*100,"")</f>
      </c>
      <c r="AU557" s="42">
        <f>IF(AND(ISNUMBER($AD557),$M557&gt;0),$AD557/$M557*100,"")</f>
      </c>
      <c r="AV557" s="40">
        <f>IF(AND(ISNUMBER($AB557),ISNUMBER($AD557),ABS($AB557)&gt;0),$AD557/$AB557,"")</f>
      </c>
      <c r="AW557" s="39">
        <f>IF(ISNUMBER($AD557),MAX(0,(1-0.55-Header!$O$3)*Header!$Q$3*$AQ557),"")</f>
      </c>
      <c r="AX557" s="43">
        <f>IF($A557="","",IF(TRIM(IF($A557="","Missing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",""))="","PASS","FAIL: "&amp;TRIM(IF($A557="","Missing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f>
      </c>
      <c r="AY557" s="44">
        <f>IF($M557="","",IF(ISNUMBER($M557),IF($M557&gt;=Header!$C$18,"YES — refer","No"),""))</f>
      </c>
      <c r="AZ557" s="44">
        <f>IF($AD557="","",IF(ISNUMBER($AD557),IF($AD557&lt;Header!$C$20,"BELOW MIN PREMIUM","OK"),""))</f>
      </c>
      <c r="BA557" s="32" t="inlineStr">
        <is>
          <t xml:space="preserve">Yes</t>
        </is>
      </c>
      <c r="BB557" s="32" t="inlineStr">
        <is>
          <t xml:space="preserve">Yes</t>
        </is>
      </c>
      <c r="BC557" s="30" t="inlineStr">
        <is>
          <t xml:space="preserve">Synthetic demo data</t>
        </is>
      </c>
      <c r="BE557" s="45">
        <f>IF(OR($A557="",$L557="",$H557=""),"",IF(AND(LEFT($L557,2)="06",$H557&gt;1945),"FAIL - pre-war class, year "&amp;$H557,IF(AND(LEFT($L557,2)="07",OR($H557&lt;1946,$H557&gt;1972)),"FAIL - 1946-72 class, year "&amp;$H557,IF(AND(LEFT($L557,2)="08",OR($H557&lt;1973,$H557&gt;1999)),"FAIL - 1973-99 class, year "&amp;$H557,IF(AND(LEFT($L557,2)="09",OR($H557&lt;2000,$H557&gt;2010)),"FAIL - 2000-10 class, year "&amp;$H557,"OK")))))</f>
      </c>
      <c r="BF557" s="45">
        <f>IF($AD557="","",IF(ROUND($AO557+$AP557+$AQ557-$AD557,2)=0,"OK","FAIL - out by "&amp;TEXT($AO557+$AP557+$AQ557-$AD557,"$0.00")))</f>
      </c>
    </row>
    <row r="558" spans="1:58" ht="18.75" customHeight="1" x14ac:dyDescent="0.25">
      <c r="A558" s="46" t="inlineStr">
        <is>
          <t xml:space="preserve">CANON-202607-010279</t>
        </is>
      </c>
      <c r="B558" s="46" t="inlineStr">
        <is>
          <t xml:space="preserve">Anouk Montoya</t>
        </is>
      </c>
      <c r="C558" s="47">
        <v>46227</v>
      </c>
      <c r="D558" s="48" t="inlineStr">
        <is>
          <t xml:space="preserve">Bound - within authority</t>
        </is>
      </c>
      <c r="E558" s="48" t="inlineStr">
        <is>
          <t xml:space="preserve">New business</t>
        </is>
      </c>
      <c r="F558" s="46" t="inlineStr">
        <is>
          <t xml:space="preserve">B1234EXOTIC26</t>
        </is>
      </c>
      <c r="G558" s="33">
        <f>IF($A558="","",IF($C558="","",YEAR($C558)))</f>
      </c>
      <c r="H558" s="49">
        <v>1997</v>
      </c>
      <c r="I558" s="46" t="inlineStr">
        <is>
          <t xml:space="preserve">Lamborghini</t>
        </is>
      </c>
      <c r="J558" s="46" t="inlineStr">
        <is>
          <t xml:space="preserve">Huracan EVO</t>
        </is>
      </c>
      <c r="K558" s="46" t="inlineStr">
        <is>
          <t xml:space="preserve">90RTTVTFS7KW6LFP2</t>
        </is>
      </c>
      <c r="L558" s="48" t="inlineStr">
        <is>
          <t xml:space="preserve">03 - Supercar</t>
        </is>
      </c>
      <c r="M558" s="50">
        <v>525000</v>
      </c>
      <c r="N558" s="48" t="inlineStr">
        <is>
          <t xml:space="preserve">Personal</t>
        </is>
      </c>
      <c r="O558" s="46" t="inlineStr">
        <is>
          <t xml:space="preserve">Personal - regular use</t>
        </is>
      </c>
      <c r="P558" s="46" t="inlineStr">
        <is>
          <t xml:space="preserve">1,000 - 2,500</t>
        </is>
      </c>
      <c r="Q558" s="46" t="inlineStr">
        <is>
          <t xml:space="preserve">California</t>
        </is>
      </c>
      <c r="R558" s="46" t="inlineStr">
        <is>
          <t xml:space="preserve">90012</t>
        </is>
      </c>
      <c r="S558" s="48" t="inlineStr">
        <is>
          <t xml:space="preserve">Earthquake - high (CA, Cascadia, New Madrid)</t>
        </is>
      </c>
      <c r="T558" s="36">
        <f>IF($A558="","",IF($S558="","",IFERROR(INDEX('[1]natural catastrophe'!$D$6:$D$17,MATCH($S558,'[1]natural catastrophe'!$B$6:$B$17,0)),"?")))</f>
      </c>
      <c r="U558" s="46" t="inlineStr">
        <is>
          <t xml:space="preserve">$5,000</t>
        </is>
      </c>
      <c r="V558" s="48" t="inlineStr">
        <is>
          <t xml:space="preserve">Agreed Value</t>
        </is>
      </c>
      <c r="W558" s="46" t="inlineStr">
        <is>
          <t xml:space="preserve">$1,000</t>
        </is>
      </c>
      <c r="X558" s="48" t="inlineStr">
        <is>
          <t xml:space="preserve">$1,000,000 CSL</t>
        </is>
      </c>
      <c r="Y558" s="46"/>
      <c r="Z558" s="46"/>
      <c r="AA558" s="48" t="inlineStr">
        <is>
          <t xml:space="preserve">Surplus Lines</t>
        </is>
      </c>
      <c r="AB558" s="50">
        <v>9667.75</v>
      </c>
      <c r="AC558" s="51">
        <v>0</v>
      </c>
      <c r="AD558" s="38">
        <f>IF(ISNUMBER($AB558),$AB558*(1+N($AC558)),"")</f>
      </c>
      <c r="AE558" s="50">
        <v>350</v>
      </c>
      <c r="AF558" s="50">
        <v>0</v>
      </c>
      <c r="AG558" s="51"/>
      <c r="AH558" s="39">
        <f>IF(ISNUMBER($AD558),($AD558+$AE558+$AF558)*$AG558,"")</f>
      </c>
      <c r="AI558" s="50"/>
      <c r="AJ558" s="38">
        <f>IF(ISNUMBER($AD558),SUM($AD558:$AH558),"")</f>
      </c>
      <c r="AK558" s="40">
        <f>IF(AND(ISNUMBER($AB558),ISNUMBER($AD558)),IF($AB558&gt;0,$AD558/$AB558,""),"")</f>
      </c>
      <c r="AL558" s="48" t="inlineStr">
        <is>
          <t xml:space="preserve">At technical</t>
        </is>
      </c>
      <c r="AM558" s="41">
        <f>IF(ISNUMBER($AD558),Header!$I$3,"")</f>
      </c>
      <c r="AN558" s="39">
        <f>IF(ISNUMBER($AD558),$AO558+$AP558,"")</f>
      </c>
      <c r="AO558" s="39">
        <f>IF(ISNUMBER($AD558),ROUND($AD558*Header!$K$3,2),"")</f>
      </c>
      <c r="AP558" s="39">
        <f>IF(ISNUMBER($AD558),ROUND($AD558*Header!$M$3,2),"")</f>
      </c>
      <c r="AQ558" s="38">
        <f>IF(ISNUMBER($AD558),ROUND($AD558,2)-$AO558-$AP558,"")</f>
      </c>
      <c r="AR558" s="39">
        <f>IF(ISNUMBER($AD558),IF(Header!$D$34="","?",$AD558*Header!$D$34),"")</f>
      </c>
      <c r="AS558" s="39">
        <f>IF(ISNUMBER($AB558),IF(Header!$D$34="","?",$AB558*Header!$D$34),"")</f>
      </c>
      <c r="AT558" s="42">
        <f>IF(AND(ISNUMBER($AB558),$M558&gt;0),$AB558/$M558*100,"")</f>
      </c>
      <c r="AU558" s="42">
        <f>IF(AND(ISNUMBER($AD558),$M558&gt;0),$AD558/$M558*100,"")</f>
      </c>
      <c r="AV558" s="40">
        <f>IF(AND(ISNUMBER($AB558),ISNUMBER($AD558),ABS($AB558)&gt;0),$AD558/$AB558,"")</f>
      </c>
      <c r="AW558" s="39">
        <f>IF(ISNUMBER($AD558),MAX(0,(1-0.55-Header!$O$3)*Header!$Q$3*$AQ558),"")</f>
      </c>
      <c r="AX558" s="43">
        <f>IF($A558="","",IF(TRIM(IF($A558="","Missing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",""))="","PASS","FAIL: "&amp;TRIM(IF($A558="","Missing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f>
      </c>
      <c r="AY558" s="44">
        <f>IF($M558="","",IF(ISNUMBER($M558),IF($M558&gt;=Header!$C$18,"YES — refer","No"),""))</f>
      </c>
      <c r="AZ558" s="44">
        <f>IF($AD558="","",IF(ISNUMBER($AD558),IF($AD558&lt;Header!$C$20,"BELOW MIN PREMIUM","OK"),""))</f>
      </c>
      <c r="BA558" s="48" t="inlineStr">
        <is>
          <t xml:space="preserve">Yes</t>
        </is>
      </c>
      <c r="BB558" s="48" t="inlineStr">
        <is>
          <t xml:space="preserve">Yes</t>
        </is>
      </c>
      <c r="BC558" s="46" t="inlineStr">
        <is>
          <t xml:space="preserve">Synthetic demo data</t>
        </is>
      </c>
      <c r="BE558" s="45">
        <f>IF(OR($A558="",$L558="",$H558=""),"",IF(AND(LEFT($L558,2)="06",$H558&gt;1945),"FAIL - pre-war class, year "&amp;$H558,IF(AND(LEFT($L558,2)="07",OR($H558&lt;1946,$H558&gt;1972)),"FAIL - 1946-72 class, year "&amp;$H558,IF(AND(LEFT($L558,2)="08",OR($H558&lt;1973,$H558&gt;1999)),"FAIL - 1973-99 class, year "&amp;$H558,IF(AND(LEFT($L558,2)="09",OR($H558&lt;2000,$H558&gt;2010)),"FAIL - 2000-10 class, year "&amp;$H558,"OK")))))</f>
      </c>
      <c r="BF558" s="45">
        <f>IF($AD558="","",IF(ROUND($AO558+$AP558+$AQ558-$AD558,2)=0,"OK","FAIL - out by "&amp;TEXT($AO558+$AP558+$AQ558-$AD558,"$0.00")))</f>
      </c>
    </row>
    <row r="559" spans="1:58" ht="18.75" customHeight="1" x14ac:dyDescent="0.25">
      <c r="A559" s="30" t="inlineStr">
        <is>
          <t xml:space="preserve">CANON-202607-010280</t>
        </is>
      </c>
      <c r="B559" s="30" t="inlineStr">
        <is>
          <t xml:space="preserve">Aurelio Montoya</t>
        </is>
      </c>
      <c r="C559" s="31">
        <v>46230</v>
      </c>
      <c r="D559" s="32" t="inlineStr">
        <is>
          <t xml:space="preserve">Bound - within authority</t>
        </is>
      </c>
      <c r="E559" s="32" t="inlineStr">
        <is>
          <t xml:space="preserve">New business</t>
        </is>
      </c>
      <c r="F559" s="30" t="inlineStr">
        <is>
          <t xml:space="preserve">B1234EXOTIC26</t>
        </is>
      </c>
      <c r="G559" s="33">
        <f>IF($A559="","",IF($C559="","",YEAR($C559)))</f>
      </c>
      <c r="H559" s="34">
        <v>2000</v>
      </c>
      <c r="I559" s="30" t="inlineStr">
        <is>
          <t xml:space="preserve">Jaguar</t>
        </is>
      </c>
      <c r="J559" s="30" t="inlineStr">
        <is>
          <t xml:space="preserve">E-Type Series 1</t>
        </is>
      </c>
      <c r="K559" s="30" t="inlineStr">
        <is>
          <t xml:space="preserve">9YTL4SHK9YZGRG3JY</t>
        </is>
      </c>
      <c r="L559" s="32" t="inlineStr">
        <is>
          <t xml:space="preserve">09 - Youngtimer / Collectible (2000-2010)</t>
        </is>
      </c>
      <c r="M559" s="35">
        <v>860000</v>
      </c>
      <c r="N559" s="32" t="inlineStr">
        <is>
          <t xml:space="preserve">Personal</t>
        </is>
      </c>
      <c r="O559" s="30" t="inlineStr">
        <is>
          <t xml:space="preserve">Personal - regular use</t>
        </is>
      </c>
      <c r="P559" s="30" t="inlineStr">
        <is>
          <t xml:space="preserve">2,500 - 5,000</t>
        </is>
      </c>
      <c r="Q559" s="30" t="inlineStr">
        <is>
          <t xml:space="preserve">Illinois</t>
        </is>
      </c>
      <c r="R559" s="30" t="inlineStr">
        <is>
          <t xml:space="preserve">60601</t>
        </is>
      </c>
      <c r="S559" s="32" t="inlineStr">
        <is>
          <t xml:space="preserve">Severe convective - hail / tornado (moderate)</t>
        </is>
      </c>
      <c r="T559" s="36">
        <f>IF($A559="","",IF($S559="","",IFERROR(INDEX('[1]natural catastrophe'!$D$6:$D$17,MATCH($S559,'[1]natural catastrophe'!$B$6:$B$17,0)),"?")))</f>
      </c>
      <c r="U559" s="30" t="inlineStr">
        <is>
          <t xml:space="preserve">$5,000</t>
        </is>
      </c>
      <c r="V559" s="32" t="inlineStr">
        <is>
          <t xml:space="preserve">Agreed Value</t>
        </is>
      </c>
      <c r="W559" s="30" t="inlineStr">
        <is>
          <t xml:space="preserve">$1,000</t>
        </is>
      </c>
      <c r="X559" s="32" t="inlineStr">
        <is>
          <t xml:space="preserve">$1,000,000 CSL</t>
        </is>
      </c>
      <c r="Y559" s="30"/>
      <c r="Z559" s="30"/>
      <c r="AA559" s="32" t="inlineStr">
        <is>
          <t xml:space="preserve">Surplus Lines</t>
        </is>
      </c>
      <c r="AB559" s="35">
        <v>7221.29</v>
      </c>
      <c r="AC559" s="37">
        <v>0</v>
      </c>
      <c r="AD559" s="38">
        <f>IF(ISNUMBER($AB559),$AB559*(1+N($AC559)),"")</f>
      </c>
      <c r="AE559" s="35">
        <v>350</v>
      </c>
      <c r="AF559" s="35">
        <v>0</v>
      </c>
      <c r="AG559" s="37"/>
      <c r="AH559" s="39">
        <f>IF(ISNUMBER($AD559),($AD559+$AE559+$AF559)*$AG559,"")</f>
      </c>
      <c r="AI559" s="35"/>
      <c r="AJ559" s="38">
        <f>IF(ISNUMBER($AD559),SUM($AD559:$AH559),"")</f>
      </c>
      <c r="AK559" s="40">
        <f>IF(AND(ISNUMBER($AB559),ISNUMBER($AD559)),IF($AB559&gt;0,$AD559/$AB559,""),"")</f>
      </c>
      <c r="AL559" s="32" t="inlineStr">
        <is>
          <t xml:space="preserve">At technical</t>
        </is>
      </c>
      <c r="AM559" s="41">
        <f>IF(ISNUMBER($AD559),Header!$I$3,"")</f>
      </c>
      <c r="AN559" s="39">
        <f>IF(ISNUMBER($AD559),$AO559+$AP559,"")</f>
      </c>
      <c r="AO559" s="39">
        <f>IF(ISNUMBER($AD559),ROUND($AD559*Header!$K$3,2),"")</f>
      </c>
      <c r="AP559" s="39">
        <f>IF(ISNUMBER($AD559),ROUND($AD559*Header!$M$3,2),"")</f>
      </c>
      <c r="AQ559" s="38">
        <f>IF(ISNUMBER($AD559),ROUND($AD559,2)-$AO559-$AP559,"")</f>
      </c>
      <c r="AR559" s="39">
        <f>IF(ISNUMBER($AD559),IF(Header!$D$34="","?",$AD559*Header!$D$34),"")</f>
      </c>
      <c r="AS559" s="39">
        <f>IF(ISNUMBER($AB559),IF(Header!$D$34="","?",$AB559*Header!$D$34),"")</f>
      </c>
      <c r="AT559" s="42">
        <f>IF(AND(ISNUMBER($AB559),$M559&gt;0),$AB559/$M559*100,"")</f>
      </c>
      <c r="AU559" s="42">
        <f>IF(AND(ISNUMBER($AD559),$M559&gt;0),$AD559/$M559*100,"")</f>
      </c>
      <c r="AV559" s="40">
        <f>IF(AND(ISNUMBER($AB559),ISNUMBER($AD559),ABS($AB559)&gt;0),$AD559/$AB559,"")</f>
      </c>
      <c r="AW559" s="39">
        <f>IF(ISNUMBER($AD559),MAX(0,(1-0.55-Header!$O$3)*Header!$Q$3*$AQ559),"")</f>
      </c>
      <c r="AX559" s="43">
        <f>IF($A559="","",IF(TRIM(IF($A559="","Missing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",""))="","PASS","FAIL: "&amp;TRIM(IF($A559="","Missing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f>
      </c>
      <c r="AY559" s="44">
        <f>IF($M559="","",IF(ISNUMBER($M559),IF($M559&gt;=Header!$C$18,"YES — refer","No"),""))</f>
      </c>
      <c r="AZ559" s="44">
        <f>IF($AD559="","",IF(ISNUMBER($AD559),IF($AD559&lt;Header!$C$20,"BELOW MIN PREMIUM","OK"),""))</f>
      </c>
      <c r="BA559" s="32" t="inlineStr">
        <is>
          <t xml:space="preserve">Yes</t>
        </is>
      </c>
      <c r="BB559" s="32" t="inlineStr">
        <is>
          <t xml:space="preserve">Yes</t>
        </is>
      </c>
      <c r="BC559" s="30" t="inlineStr">
        <is>
          <t xml:space="preserve">Synthetic demo data</t>
        </is>
      </c>
      <c r="BE559" s="45">
        <f>IF(OR($A559="",$L559="",$H559=""),"",IF(AND(LEFT($L559,2)="06",$H559&gt;1945),"FAIL - pre-war class, year "&amp;$H559,IF(AND(LEFT($L559,2)="07",OR($H559&lt;1946,$H559&gt;1972)),"FAIL - 1946-72 class, year "&amp;$H559,IF(AND(LEFT($L559,2)="08",OR($H559&lt;1973,$H559&gt;1999)),"FAIL - 1973-99 class, year "&amp;$H559,IF(AND(LEFT($L559,2)="09",OR($H559&lt;2000,$H559&gt;2010)),"FAIL - 2000-10 class, year "&amp;$H559,"OK")))))</f>
      </c>
      <c r="BF559" s="45">
        <f>IF($AD559="","",IF(ROUND($AO559+$AP559+$AQ559-$AD559,2)=0,"OK","FAIL - out by "&amp;TEXT($AO559+$AP559+$AQ559-$AD559,"$0.00")))</f>
      </c>
    </row>
    <row r="560" spans="1:58" ht="18.75" customHeight="1" x14ac:dyDescent="0.25">
      <c r="A560" s="46" t="inlineStr">
        <is>
          <t xml:space="preserve">CANON-202607-010282</t>
        </is>
      </c>
      <c r="B560" s="46" t="inlineStr">
        <is>
          <t xml:space="preserve">Callum Larsson</t>
        </is>
      </c>
      <c r="C560" s="47">
        <v>46230</v>
      </c>
      <c r="D560" s="48" t="inlineStr">
        <is>
          <t xml:space="preserve">Bound - within authority</t>
        </is>
      </c>
      <c r="E560" s="48" t="inlineStr">
        <is>
          <t xml:space="preserve">New business</t>
        </is>
      </c>
      <c r="F560" s="46" t="inlineStr">
        <is>
          <t xml:space="preserve">B1234EXOTIC26</t>
        </is>
      </c>
      <c r="G560" s="33">
        <f>IF($A560="","",IF($C560="","",YEAR($C560)))</f>
      </c>
      <c r="H560" s="49">
        <v>2005</v>
      </c>
      <c r="I560" s="46" t="inlineStr">
        <is>
          <t xml:space="preserve">Bentley</t>
        </is>
      </c>
      <c r="J560" s="46" t="inlineStr">
        <is>
          <t xml:space="preserve">Continental GT</t>
        </is>
      </c>
      <c r="K560" s="46" t="inlineStr">
        <is>
          <t xml:space="preserve">ERC0WD0A3LABT2G3R</t>
        </is>
      </c>
      <c r="L560" s="48" t="inlineStr">
        <is>
          <t xml:space="preserve">02 - Sports / GT</t>
        </is>
      </c>
      <c r="M560" s="50">
        <v>1085000</v>
      </c>
      <c r="N560" s="48" t="inlineStr">
        <is>
          <t xml:space="preserve">Personal</t>
        </is>
      </c>
      <c r="O560" s="46" t="inlineStr">
        <is>
          <t xml:space="preserve">Personal - regular use</t>
        </is>
      </c>
      <c r="P560" s="46" t="inlineStr">
        <is>
          <t xml:space="preserve">1,000 - 2,500</t>
        </is>
      </c>
      <c r="Q560" s="46" t="inlineStr">
        <is>
          <t xml:space="preserve">Illinois</t>
        </is>
      </c>
      <c r="R560" s="46" t="inlineStr">
        <is>
          <t xml:space="preserve">60601</t>
        </is>
      </c>
      <c r="S560" s="48" t="inlineStr">
        <is>
          <t xml:space="preserve">Severe convective - hail / tornado (moderate)</t>
        </is>
      </c>
      <c r="T560" s="36">
        <f>IF($A560="","",IF($S560="","",IFERROR(INDEX('[1]natural catastrophe'!$D$6:$D$17,MATCH($S560,'[1]natural catastrophe'!$B$6:$B$17,0)),"?")))</f>
      </c>
      <c r="U560" s="46" t="inlineStr">
        <is>
          <t xml:space="preserve">$5,000</t>
        </is>
      </c>
      <c r="V560" s="48" t="inlineStr">
        <is>
          <t xml:space="preserve">Agreed Value</t>
        </is>
      </c>
      <c r="W560" s="46" t="inlineStr">
        <is>
          <t xml:space="preserve">$1,000</t>
        </is>
      </c>
      <c r="X560" s="48" t="inlineStr">
        <is>
          <t xml:space="preserve">$1,000,000 CSL</t>
        </is>
      </c>
      <c r="Y560" s="46"/>
      <c r="Z560" s="46"/>
      <c r="AA560" s="48" t="inlineStr">
        <is>
          <t xml:space="preserve">Surplus Lines</t>
        </is>
      </c>
      <c r="AB560" s="50">
        <v>11653.06</v>
      </c>
      <c r="AC560" s="51">
        <v>0</v>
      </c>
      <c r="AD560" s="38">
        <f>IF(ISNUMBER($AB560),$AB560*(1+N($AC560)),"")</f>
      </c>
      <c r="AE560" s="50">
        <v>350</v>
      </c>
      <c r="AF560" s="50">
        <v>250</v>
      </c>
      <c r="AG560" s="51"/>
      <c r="AH560" s="39">
        <f>IF(ISNUMBER($AD560),($AD560+$AE560+$AF560)*$AG560,"")</f>
      </c>
      <c r="AI560" s="50"/>
      <c r="AJ560" s="38">
        <f>IF(ISNUMBER($AD560),SUM($AD560:$AH560),"")</f>
      </c>
      <c r="AK560" s="40">
        <f>IF(AND(ISNUMBER($AB560),ISNUMBER($AD560)),IF($AB560&gt;0,$AD560/$AB560,""),"")</f>
      </c>
      <c r="AL560" s="48" t="inlineStr">
        <is>
          <t xml:space="preserve">At technical</t>
        </is>
      </c>
      <c r="AM560" s="41">
        <f>IF(ISNUMBER($AD560),Header!$I$3,"")</f>
      </c>
      <c r="AN560" s="39">
        <f>IF(ISNUMBER($AD560),$AO560+$AP560,"")</f>
      </c>
      <c r="AO560" s="39">
        <f>IF(ISNUMBER($AD560),ROUND($AD560*Header!$K$3,2),"")</f>
      </c>
      <c r="AP560" s="39">
        <f>IF(ISNUMBER($AD560),ROUND($AD560*Header!$M$3,2),"")</f>
      </c>
      <c r="AQ560" s="38">
        <f>IF(ISNUMBER($AD560),ROUND($AD560,2)-$AO560-$AP560,"")</f>
      </c>
      <c r="AR560" s="39">
        <f>IF(ISNUMBER($AD560),IF(Header!$D$34="","?",$AD560*Header!$D$34),"")</f>
      </c>
      <c r="AS560" s="39">
        <f>IF(ISNUMBER($AB560),IF(Header!$D$34="","?",$AB560*Header!$D$34),"")</f>
      </c>
      <c r="AT560" s="42">
        <f>IF(AND(ISNUMBER($AB560),$M560&gt;0),$AB560/$M560*100,"")</f>
      </c>
      <c r="AU560" s="42">
        <f>IF(AND(ISNUMBER($AD560),$M560&gt;0),$AD560/$M560*100,"")</f>
      </c>
      <c r="AV560" s="40">
        <f>IF(AND(ISNUMBER($AB560),ISNUMBER($AD560),ABS($AB560)&gt;0),$AD560/$AB560,"")</f>
      </c>
      <c r="AW560" s="39">
        <f>IF(ISNUMBER($AD560),MAX(0,(1-0.55-Header!$O$3)*Header!$Q$3*$AQ560),"")</f>
      </c>
      <c r="AX560" s="43">
        <f>IF($A560="","",IF(TRIM(IF($A560="","Missing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",""))="","PASS","FAIL: "&amp;TRIM(IF($A560="","Missing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f>
      </c>
      <c r="AY560" s="44">
        <f>IF($M560="","",IF(ISNUMBER($M560),IF($M560&gt;=Header!$C$18,"YES — refer","No"),""))</f>
      </c>
      <c r="AZ560" s="44">
        <f>IF($AD560="","",IF(ISNUMBER($AD560),IF($AD560&lt;Header!$C$20,"BELOW MIN PREMIUM","OK"),""))</f>
      </c>
      <c r="BA560" s="48" t="inlineStr">
        <is>
          <t xml:space="preserve">Yes</t>
        </is>
      </c>
      <c r="BB560" s="48" t="inlineStr">
        <is>
          <t xml:space="preserve">Yes</t>
        </is>
      </c>
      <c r="BC560" s="46" t="inlineStr">
        <is>
          <t xml:space="preserve">Synthetic demo data</t>
        </is>
      </c>
      <c r="BE560" s="45">
        <f>IF(OR($A560="",$L560="",$H560=""),"",IF(AND(LEFT($L560,2)="06",$H560&gt;1945),"FAIL - pre-war class, year "&amp;$H560,IF(AND(LEFT($L560,2)="07",OR($H560&lt;1946,$H560&gt;1972)),"FAIL - 1946-72 class, year "&amp;$H560,IF(AND(LEFT($L560,2)="08",OR($H560&lt;1973,$H560&gt;1999)),"FAIL - 1973-99 class, year "&amp;$H560,IF(AND(LEFT($L560,2)="09",OR($H560&lt;2000,$H560&gt;2010)),"FAIL - 2000-10 class, year "&amp;$H560,"OK")))))</f>
      </c>
      <c r="BF560" s="45">
        <f>IF($AD560="","",IF(ROUND($AO560+$AP560+$AQ560-$AD560,2)=0,"OK","FAIL - out by "&amp;TEXT($AO560+$AP560+$AQ560-$AD560,"$0.00")))</f>
      </c>
    </row>
    <row r="561" spans="1:58" ht="18.75" customHeight="1" x14ac:dyDescent="0.25">
      <c r="A561" s="30" t="inlineStr">
        <is>
          <t xml:space="preserve">CANON-202607-010284</t>
        </is>
      </c>
      <c r="B561" s="30" t="inlineStr">
        <is>
          <t xml:space="preserve">Marisol Chattopadhyay</t>
        </is>
      </c>
      <c r="C561" s="31">
        <v>46205</v>
      </c>
      <c r="D561" s="32" t="inlineStr">
        <is>
          <t xml:space="preserve">Bound - within authority</t>
        </is>
      </c>
      <c r="E561" s="32" t="inlineStr">
        <is>
          <t xml:space="preserve">New business</t>
        </is>
      </c>
      <c r="F561" s="30" t="inlineStr">
        <is>
          <t xml:space="preserve">B1234EXOTIC26</t>
        </is>
      </c>
      <c r="G561" s="33">
        <f>IF($A561="","",IF($C561="","",YEAR($C561)))</f>
      </c>
      <c r="H561" s="34">
        <v>1976</v>
      </c>
      <c r="I561" s="30" t="inlineStr">
        <is>
          <t xml:space="preserve">Ferrari</t>
        </is>
      </c>
      <c r="J561" s="30" t="inlineStr">
        <is>
          <t xml:space="preserve">SF90 Stradale</t>
        </is>
      </c>
      <c r="K561" s="30" t="inlineStr">
        <is>
          <t xml:space="preserve">R269L7WXZCPVXL3EA</t>
        </is>
      </c>
      <c r="L561" s="32" t="inlineStr">
        <is>
          <t xml:space="preserve">03 - Supercar</t>
        </is>
      </c>
      <c r="M561" s="35">
        <v>1210000</v>
      </c>
      <c r="N561" s="32" t="inlineStr">
        <is>
          <t xml:space="preserve">Personal</t>
        </is>
      </c>
      <c r="O561" s="30" t="inlineStr">
        <is>
          <t xml:space="preserve">Personal - regular use</t>
        </is>
      </c>
      <c r="P561" s="30" t="inlineStr">
        <is>
          <t xml:space="preserve">1,000 - 2,500</t>
        </is>
      </c>
      <c r="Q561" s="30" t="inlineStr">
        <is>
          <t xml:space="preserve">Pennsylvania</t>
        </is>
      </c>
      <c r="R561" s="30" t="inlineStr">
        <is>
          <t xml:space="preserve">19103</t>
        </is>
      </c>
      <c r="S561" s="32" t="inlineStr">
        <is>
          <t xml:space="preserve">Low hazard - inland benign</t>
        </is>
      </c>
      <c r="T561" s="36">
        <f>IF($A561="","",IF($S561="","",IFERROR(INDEX('[1]natural catastrophe'!$D$6:$D$17,MATCH($S561,'[1]natural catastrophe'!$B$6:$B$17,0)),"?")))</f>
      </c>
      <c r="U561" s="30" t="inlineStr">
        <is>
          <t xml:space="preserve">$5,000</t>
        </is>
      </c>
      <c r="V561" s="32" t="inlineStr">
        <is>
          <t xml:space="preserve">Agreed Value</t>
        </is>
      </c>
      <c r="W561" s="30" t="inlineStr">
        <is>
          <t xml:space="preserve">$1,000</t>
        </is>
      </c>
      <c r="X561" s="32" t="inlineStr">
        <is>
          <t xml:space="preserve">$1,000,000 CSL</t>
        </is>
      </c>
      <c r="Y561" s="30"/>
      <c r="Z561" s="30"/>
      <c r="AA561" s="32" t="inlineStr">
        <is>
          <t xml:space="preserve">Surplus Lines</t>
        </is>
      </c>
      <c r="AB561" s="35">
        <v>13899.02</v>
      </c>
      <c r="AC561" s="37">
        <v>0</v>
      </c>
      <c r="AD561" s="38">
        <f>IF(ISNUMBER($AB561),$AB561*(1+N($AC561)),"")</f>
      </c>
      <c r="AE561" s="35">
        <v>350</v>
      </c>
      <c r="AF561" s="35">
        <v>250</v>
      </c>
      <c r="AG561" s="37"/>
      <c r="AH561" s="39">
        <f>IF(ISNUMBER($AD561),($AD561+$AE561+$AF561)*$AG561,"")</f>
      </c>
      <c r="AI561" s="35"/>
      <c r="AJ561" s="38">
        <f>IF(ISNUMBER($AD561),SUM($AD561:$AH561),"")</f>
      </c>
      <c r="AK561" s="40">
        <f>IF(AND(ISNUMBER($AB561),ISNUMBER($AD561)),IF($AB561&gt;0,$AD561/$AB561,""),"")</f>
      </c>
      <c r="AL561" s="32" t="inlineStr">
        <is>
          <t xml:space="preserve">At technical</t>
        </is>
      </c>
      <c r="AM561" s="41">
        <f>IF(ISNUMBER($AD561),Header!$I$3,"")</f>
      </c>
      <c r="AN561" s="39">
        <f>IF(ISNUMBER($AD561),$AO561+$AP561,"")</f>
      </c>
      <c r="AO561" s="39">
        <f>IF(ISNUMBER($AD561),ROUND($AD561*Header!$K$3,2),"")</f>
      </c>
      <c r="AP561" s="39">
        <f>IF(ISNUMBER($AD561),ROUND($AD561*Header!$M$3,2),"")</f>
      </c>
      <c r="AQ561" s="38">
        <f>IF(ISNUMBER($AD561),ROUND($AD561,2)-$AO561-$AP561,"")</f>
      </c>
      <c r="AR561" s="39">
        <f>IF(ISNUMBER($AD561),IF(Header!$D$34="","?",$AD561*Header!$D$34),"")</f>
      </c>
      <c r="AS561" s="39">
        <f>IF(ISNUMBER($AB561),IF(Header!$D$34="","?",$AB561*Header!$D$34),"")</f>
      </c>
      <c r="AT561" s="42">
        <f>IF(AND(ISNUMBER($AB561),$M561&gt;0),$AB561/$M561*100,"")</f>
      </c>
      <c r="AU561" s="42">
        <f>IF(AND(ISNUMBER($AD561),$M561&gt;0),$AD561/$M561*100,"")</f>
      </c>
      <c r="AV561" s="40">
        <f>IF(AND(ISNUMBER($AB561),ISNUMBER($AD561),ABS($AB561)&gt;0),$AD561/$AB561,"")</f>
      </c>
      <c r="AW561" s="39">
        <f>IF(ISNUMBER($AD561),MAX(0,(1-0.55-Header!$O$3)*Header!$Q$3*$AQ561),"")</f>
      </c>
      <c r="AX561" s="43">
        <f>IF($A561="","",IF(TRIM(IF($A561="","Missing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",""))="","PASS","FAIL: "&amp;TRIM(IF($A561="","Missing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f>
      </c>
      <c r="AY561" s="44">
        <f>IF($M561="","",IF(ISNUMBER($M561),IF($M561&gt;=Header!$C$18,"YES — refer","No"),""))</f>
      </c>
      <c r="AZ561" s="44">
        <f>IF($AD561="","",IF(ISNUMBER($AD561),IF($AD561&lt;Header!$C$20,"BELOW MIN PREMIUM","OK"),""))</f>
      </c>
      <c r="BA561" s="32" t="inlineStr">
        <is>
          <t xml:space="preserve">Yes</t>
        </is>
      </c>
      <c r="BB561" s="32" t="inlineStr">
        <is>
          <t xml:space="preserve">Yes</t>
        </is>
      </c>
      <c r="BC561" s="30" t="inlineStr">
        <is>
          <t xml:space="preserve">Synthetic demo data</t>
        </is>
      </c>
      <c r="BE561" s="45">
        <f>IF(OR($A561="",$L561="",$H561=""),"",IF(AND(LEFT($L561,2)="06",$H561&gt;1945),"FAIL - pre-war class, year "&amp;$H561,IF(AND(LEFT($L561,2)="07",OR($H561&lt;1946,$H561&gt;1972)),"FAIL - 1946-72 class, year "&amp;$H561,IF(AND(LEFT($L561,2)="08",OR($H561&lt;1973,$H561&gt;1999)),"FAIL - 1973-99 class, year "&amp;$H561,IF(AND(LEFT($L561,2)="09",OR($H561&lt;2000,$H561&gt;2010)),"FAIL - 2000-10 class, year "&amp;$H561,"OK")))))</f>
      </c>
      <c r="BF561" s="45">
        <f>IF($AD561="","",IF(ROUND($AO561+$AP561+$AQ561-$AD561,2)=0,"OK","FAIL - out by "&amp;TEXT($AO561+$AP561+$AQ561-$AD561,"$0.00")))</f>
      </c>
    </row>
    <row r="562" spans="1:58" ht="18.75" customHeight="1" x14ac:dyDescent="0.25">
      <c r="A562" s="46" t="inlineStr">
        <is>
          <t xml:space="preserve">CANON-202607-010286</t>
        </is>
      </c>
      <c r="B562" s="46" t="inlineStr">
        <is>
          <t xml:space="preserve">Wilhelmina Kingsford</t>
        </is>
      </c>
      <c r="C562" s="47">
        <v>46204</v>
      </c>
      <c r="D562" s="48" t="inlineStr">
        <is>
          <t xml:space="preserve">Bound - within authority</t>
        </is>
      </c>
      <c r="E562" s="48" t="inlineStr">
        <is>
          <t xml:space="preserve">New business</t>
        </is>
      </c>
      <c r="F562" s="46" t="inlineStr">
        <is>
          <t xml:space="preserve">B1234EXOTIC26</t>
        </is>
      </c>
      <c r="G562" s="33">
        <f>IF($A562="","",IF($C562="","",YEAR($C562)))</f>
      </c>
      <c r="H562" s="49">
        <v>2006</v>
      </c>
      <c r="I562" s="46" t="inlineStr">
        <is>
          <t xml:space="preserve">Ferrari</t>
        </is>
      </c>
      <c r="J562" s="46" t="inlineStr">
        <is>
          <t xml:space="preserve">296 GTB</t>
        </is>
      </c>
      <c r="K562" s="46" t="inlineStr">
        <is>
          <t xml:space="preserve">HV9TD5X1MEU2VEAKR</t>
        </is>
      </c>
      <c r="L562" s="48" t="inlineStr">
        <is>
          <t xml:space="preserve">03 - Supercar</t>
        </is>
      </c>
      <c r="M562" s="50">
        <v>1320000</v>
      </c>
      <c r="N562" s="48" t="inlineStr">
        <is>
          <t xml:space="preserve">Personal</t>
        </is>
      </c>
      <c r="O562" s="46" t="inlineStr">
        <is>
          <t xml:space="preserve">Personal - regular use</t>
        </is>
      </c>
      <c r="P562" s="46" t="inlineStr">
        <is>
          <t xml:space="preserve">1,000 - 2,500</t>
        </is>
      </c>
      <c r="Q562" s="46" t="inlineStr">
        <is>
          <t xml:space="preserve">New York</t>
        </is>
      </c>
      <c r="R562" s="46" t="inlineStr">
        <is>
          <t xml:space="preserve">10022</t>
        </is>
      </c>
      <c r="S562" s="48" t="inlineStr">
        <is>
          <t xml:space="preserve">Tier 3 - Coastal wind (25-100 miles)</t>
        </is>
      </c>
      <c r="T562" s="36">
        <f>IF($A562="","",IF($S562="","",IFERROR(INDEX('[1]natural catastrophe'!$D$6:$D$17,MATCH($S562,'[1]natural catastrophe'!$B$6:$B$17,0)),"?")))</f>
      </c>
      <c r="U562" s="46" t="inlineStr">
        <is>
          <t xml:space="preserve">2% of agreed value, minimum $10,000</t>
        </is>
      </c>
      <c r="V562" s="48" t="inlineStr">
        <is>
          <t xml:space="preserve">Agreed Value</t>
        </is>
      </c>
      <c r="W562" s="46" t="inlineStr">
        <is>
          <t xml:space="preserve">$1,000</t>
        </is>
      </c>
      <c r="X562" s="48" t="inlineStr">
        <is>
          <t xml:space="preserve">$1,000,000 CSL</t>
        </is>
      </c>
      <c r="Y562" s="46"/>
      <c r="Z562" s="46"/>
      <c r="AA562" s="48" t="inlineStr">
        <is>
          <t xml:space="preserve">Surplus Lines</t>
        </is>
      </c>
      <c r="AB562" s="50">
        <v>19408.09</v>
      </c>
      <c r="AC562" s="51">
        <v>0</v>
      </c>
      <c r="AD562" s="38">
        <f>IF(ISNUMBER($AB562),$AB562*(1+N($AC562)),"")</f>
      </c>
      <c r="AE562" s="50">
        <v>350</v>
      </c>
      <c r="AF562" s="50">
        <v>250</v>
      </c>
      <c r="AG562" s="51"/>
      <c r="AH562" s="39">
        <f>IF(ISNUMBER($AD562),($AD562+$AE562+$AF562)*$AG562,"")</f>
      </c>
      <c r="AI562" s="50"/>
      <c r="AJ562" s="38">
        <f>IF(ISNUMBER($AD562),SUM($AD562:$AH562),"")</f>
      </c>
      <c r="AK562" s="40">
        <f>IF(AND(ISNUMBER($AB562),ISNUMBER($AD562)),IF($AB562&gt;0,$AD562/$AB562,""),"")</f>
      </c>
      <c r="AL562" s="48" t="inlineStr">
        <is>
          <t xml:space="preserve">At technical</t>
        </is>
      </c>
      <c r="AM562" s="41">
        <f>IF(ISNUMBER($AD562),Header!$I$3,"")</f>
      </c>
      <c r="AN562" s="39">
        <f>IF(ISNUMBER($AD562),$AO562+$AP562,"")</f>
      </c>
      <c r="AO562" s="39">
        <f>IF(ISNUMBER($AD562),ROUND($AD562*Header!$K$3,2),"")</f>
      </c>
      <c r="AP562" s="39">
        <f>IF(ISNUMBER($AD562),ROUND($AD562*Header!$M$3,2),"")</f>
      </c>
      <c r="AQ562" s="38">
        <f>IF(ISNUMBER($AD562),ROUND($AD562,2)-$AO562-$AP562,"")</f>
      </c>
      <c r="AR562" s="39">
        <f>IF(ISNUMBER($AD562),IF(Header!$D$34="","?",$AD562*Header!$D$34),"")</f>
      </c>
      <c r="AS562" s="39">
        <f>IF(ISNUMBER($AB562),IF(Header!$D$34="","?",$AB562*Header!$D$34),"")</f>
      </c>
      <c r="AT562" s="42">
        <f>IF(AND(ISNUMBER($AB562),$M562&gt;0),$AB562/$M562*100,"")</f>
      </c>
      <c r="AU562" s="42">
        <f>IF(AND(ISNUMBER($AD562),$M562&gt;0),$AD562/$M562*100,"")</f>
      </c>
      <c r="AV562" s="40">
        <f>IF(AND(ISNUMBER($AB562),ISNUMBER($AD562),ABS($AB562)&gt;0),$AD562/$AB562,"")</f>
      </c>
      <c r="AW562" s="39">
        <f>IF(ISNUMBER($AD562),MAX(0,(1-0.55-Header!$O$3)*Header!$Q$3*$AQ562),"")</f>
      </c>
      <c r="AX562" s="43">
        <f>IF($A562="","",IF(TRIM(IF($A562="","Missing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",""))="","PASS","FAIL: "&amp;TRIM(IF($A562="","Missing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f>
      </c>
      <c r="AY562" s="44">
        <f>IF($M562="","",IF(ISNUMBER($M562),IF($M562&gt;=Header!$C$18,"YES — refer","No"),""))</f>
      </c>
      <c r="AZ562" s="44">
        <f>IF($AD562="","",IF(ISNUMBER($AD562),IF($AD562&lt;Header!$C$20,"BELOW MIN PREMIUM","OK"),""))</f>
      </c>
      <c r="BA562" s="48" t="inlineStr">
        <is>
          <t xml:space="preserve">Yes</t>
        </is>
      </c>
      <c r="BB562" s="48" t="inlineStr">
        <is>
          <t xml:space="preserve">Yes</t>
        </is>
      </c>
      <c r="BC562" s="46" t="inlineStr">
        <is>
          <t xml:space="preserve">Synthetic demo data</t>
        </is>
      </c>
      <c r="BE562" s="45">
        <f>IF(OR($A562="",$L562="",$H562=""),"",IF(AND(LEFT($L562,2)="06",$H562&gt;1945),"FAIL - pre-war class, year "&amp;$H562,IF(AND(LEFT($L562,2)="07",OR($H562&lt;1946,$H562&gt;1972)),"FAIL - 1946-72 class, year "&amp;$H562,IF(AND(LEFT($L562,2)="08",OR($H562&lt;1973,$H562&gt;1999)),"FAIL - 1973-99 class, year "&amp;$H562,IF(AND(LEFT($L562,2)="09",OR($H562&lt;2000,$H562&gt;2010)),"FAIL - 2000-10 class, year "&amp;$H562,"OK")))))</f>
      </c>
      <c r="BF562" s="45">
        <f>IF($AD562="","",IF(ROUND($AO562+$AP562+$AQ562-$AD562,2)=0,"OK","FAIL - out by "&amp;TEXT($AO562+$AP562+$AQ562-$AD562,"$0.00")))</f>
      </c>
    </row>
    <row r="563" spans="1:58" ht="18.75" customHeight="1" x14ac:dyDescent="0.25">
      <c r="A563" s="30" t="inlineStr">
        <is>
          <t xml:space="preserve">CANON-202607-010288</t>
        </is>
      </c>
      <c r="B563" s="30" t="inlineStr">
        <is>
          <t xml:space="preserve">Sunniva Vandermeer</t>
        </is>
      </c>
      <c r="C563" s="31">
        <v>46215</v>
      </c>
      <c r="D563" s="32" t="inlineStr">
        <is>
          <t xml:space="preserve">Bound - within authority</t>
        </is>
      </c>
      <c r="E563" s="32" t="inlineStr">
        <is>
          <t xml:space="preserve">New business</t>
        </is>
      </c>
      <c r="F563" s="30" t="inlineStr">
        <is>
          <t xml:space="preserve">B1234EXOTIC26</t>
        </is>
      </c>
      <c r="G563" s="33">
        <f>IF($A563="","",IF($C563="","",YEAR($C563)))</f>
      </c>
      <c r="H563" s="34">
        <v>1985</v>
      </c>
      <c r="I563" s="30" t="inlineStr">
        <is>
          <t xml:space="preserve">Porsche</t>
        </is>
      </c>
      <c r="J563" s="30" t="inlineStr">
        <is>
          <t xml:space="preserve">911 Turbo S</t>
        </is>
      </c>
      <c r="K563" s="30" t="inlineStr">
        <is>
          <t xml:space="preserve">ELKJXDZKTK81Z6NBW</t>
        </is>
      </c>
      <c r="L563" s="32" t="inlineStr">
        <is>
          <t xml:space="preserve">02 - Sports / GT</t>
        </is>
      </c>
      <c r="M563" s="35">
        <v>760000</v>
      </c>
      <c r="N563" s="32" t="inlineStr">
        <is>
          <t xml:space="preserve">Personal</t>
        </is>
      </c>
      <c r="O563" s="30" t="inlineStr">
        <is>
          <t xml:space="preserve">Personal - regular use</t>
        </is>
      </c>
      <c r="P563" s="30" t="inlineStr">
        <is>
          <t xml:space="preserve">1,000 - 2,500</t>
        </is>
      </c>
      <c r="Q563" s="30" t="inlineStr">
        <is>
          <t xml:space="preserve">Illinois</t>
        </is>
      </c>
      <c r="R563" s="30" t="inlineStr">
        <is>
          <t xml:space="preserve">60601</t>
        </is>
      </c>
      <c r="S563" s="32" t="inlineStr">
        <is>
          <t xml:space="preserve">Severe convective - hail / tornado (moderate)</t>
        </is>
      </c>
      <c r="T563" s="36">
        <f>IF($A563="","",IF($S563="","",IFERROR(INDEX('[1]natural catastrophe'!$D$6:$D$17,MATCH($S563,'[1]natural catastrophe'!$B$6:$B$17,0)),"?")))</f>
      </c>
      <c r="U563" s="30" t="inlineStr">
        <is>
          <t xml:space="preserve">$5,000</t>
        </is>
      </c>
      <c r="V563" s="32" t="inlineStr">
        <is>
          <t xml:space="preserve">Agreed Value</t>
        </is>
      </c>
      <c r="W563" s="30" t="inlineStr">
        <is>
          <t xml:space="preserve">$1,000</t>
        </is>
      </c>
      <c r="X563" s="32" t="inlineStr">
        <is>
          <t xml:space="preserve">$1,000,000 CSL</t>
        </is>
      </c>
      <c r="Y563" s="30"/>
      <c r="Z563" s="30"/>
      <c r="AA563" s="32" t="inlineStr">
        <is>
          <t xml:space="preserve">Surplus Lines</t>
        </is>
      </c>
      <c r="AB563" s="35">
        <v>9646.61</v>
      </c>
      <c r="AC563" s="37">
        <v>0</v>
      </c>
      <c r="AD563" s="38">
        <f>IF(ISNUMBER($AB563),$AB563*(1+N($AC563)),"")</f>
      </c>
      <c r="AE563" s="35">
        <v>350</v>
      </c>
      <c r="AF563" s="35">
        <v>0</v>
      </c>
      <c r="AG563" s="37"/>
      <c r="AH563" s="39">
        <f>IF(ISNUMBER($AD563),($AD563+$AE563+$AF563)*$AG563,"")</f>
      </c>
      <c r="AI563" s="35"/>
      <c r="AJ563" s="38">
        <f>IF(ISNUMBER($AD563),SUM($AD563:$AH563),"")</f>
      </c>
      <c r="AK563" s="40">
        <f>IF(AND(ISNUMBER($AB563),ISNUMBER($AD563)),IF($AB563&gt;0,$AD563/$AB563,""),"")</f>
      </c>
      <c r="AL563" s="32" t="inlineStr">
        <is>
          <t xml:space="preserve">At technical</t>
        </is>
      </c>
      <c r="AM563" s="41">
        <f>IF(ISNUMBER($AD563),Header!$I$3,"")</f>
      </c>
      <c r="AN563" s="39">
        <f>IF(ISNUMBER($AD563),$AO563+$AP563,"")</f>
      </c>
      <c r="AO563" s="39">
        <f>IF(ISNUMBER($AD563),ROUND($AD563*Header!$K$3,2),"")</f>
      </c>
      <c r="AP563" s="39">
        <f>IF(ISNUMBER($AD563),ROUND($AD563*Header!$M$3,2),"")</f>
      </c>
      <c r="AQ563" s="38">
        <f>IF(ISNUMBER($AD563),ROUND($AD563,2)-$AO563-$AP563,"")</f>
      </c>
      <c r="AR563" s="39">
        <f>IF(ISNUMBER($AD563),IF(Header!$D$34="","?",$AD563*Header!$D$34),"")</f>
      </c>
      <c r="AS563" s="39">
        <f>IF(ISNUMBER($AB563),IF(Header!$D$34="","?",$AB563*Header!$D$34),"")</f>
      </c>
      <c r="AT563" s="42">
        <f>IF(AND(ISNUMBER($AB563),$M563&gt;0),$AB563/$M563*100,"")</f>
      </c>
      <c r="AU563" s="42">
        <f>IF(AND(ISNUMBER($AD563),$M563&gt;0),$AD563/$M563*100,"")</f>
      </c>
      <c r="AV563" s="40">
        <f>IF(AND(ISNUMBER($AB563),ISNUMBER($AD563),ABS($AB563)&gt;0),$AD563/$AB563,"")</f>
      </c>
      <c r="AW563" s="39">
        <f>IF(ISNUMBER($AD563),MAX(0,(1-0.55-Header!$O$3)*Header!$Q$3*$AQ563),"")</f>
      </c>
      <c r="AX563" s="43">
        <f>IF($A563="","",IF(TRIM(IF($A563="","Missing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",""))="","PASS","FAIL: "&amp;TRIM(IF($A563="","Missing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f>
      </c>
      <c r="AY563" s="44">
        <f>IF($M563="","",IF(ISNUMBER($M563),IF($M563&gt;=Header!$C$18,"YES — refer","No"),""))</f>
      </c>
      <c r="AZ563" s="44">
        <f>IF($AD563="","",IF(ISNUMBER($AD563),IF($AD563&lt;Header!$C$20,"BELOW MIN PREMIUM","OK"),""))</f>
      </c>
      <c r="BA563" s="32" t="inlineStr">
        <is>
          <t xml:space="preserve">Yes</t>
        </is>
      </c>
      <c r="BB563" s="32" t="inlineStr">
        <is>
          <t xml:space="preserve">Yes</t>
        </is>
      </c>
      <c r="BC563" s="30" t="inlineStr">
        <is>
          <t xml:space="preserve">Synthetic demo data</t>
        </is>
      </c>
      <c r="BE563" s="45">
        <f>IF(OR($A563="",$L563="",$H563=""),"",IF(AND(LEFT($L563,2)="06",$H563&gt;1945),"FAIL - pre-war class, year "&amp;$H563,IF(AND(LEFT($L563,2)="07",OR($H563&lt;1946,$H563&gt;1972)),"FAIL - 1946-72 class, year "&amp;$H563,IF(AND(LEFT($L563,2)="08",OR($H563&lt;1973,$H563&gt;1999)),"FAIL - 1973-99 class, year "&amp;$H563,IF(AND(LEFT($L563,2)="09",OR($H563&lt;2000,$H563&gt;2010)),"FAIL - 2000-10 class, year "&amp;$H563,"OK")))))</f>
      </c>
      <c r="BF563" s="45">
        <f>IF($AD563="","",IF(ROUND($AO563+$AP563+$AQ563-$AD563,2)=0,"OK","FAIL - out by "&amp;TEXT($AO563+$AP563+$AQ563-$AD563,"$0.00")))</f>
      </c>
    </row>
    <row r="564" spans="1:58" ht="18.75" customHeight="1" x14ac:dyDescent="0.25">
      <c r="A564" s="46" t="inlineStr">
        <is>
          <t xml:space="preserve">CANON-202607-010289</t>
        </is>
      </c>
      <c r="B564" s="46" t="inlineStr">
        <is>
          <t xml:space="preserve">Ingrid Vandermeer</t>
        </is>
      </c>
      <c r="C564" s="47">
        <v>46222</v>
      </c>
      <c r="D564" s="48" t="inlineStr">
        <is>
          <t xml:space="preserve">Bound - within authority</t>
        </is>
      </c>
      <c r="E564" s="48" t="inlineStr">
        <is>
          <t xml:space="preserve">New business</t>
        </is>
      </c>
      <c r="F564" s="46" t="inlineStr">
        <is>
          <t xml:space="preserve">B1234EXOTIC26</t>
        </is>
      </c>
      <c r="G564" s="33">
        <f>IF($A564="","",IF($C564="","",YEAR($C564)))</f>
      </c>
      <c r="H564" s="49">
        <v>2017</v>
      </c>
      <c r="I564" s="46" t="inlineStr">
        <is>
          <t xml:space="preserve">Maserati</t>
        </is>
      </c>
      <c r="J564" s="46" t="inlineStr">
        <is>
          <t xml:space="preserve">GranTurismo</t>
        </is>
      </c>
      <c r="K564" s="46" t="inlineStr">
        <is>
          <t xml:space="preserve">9TM8RBN42THSGT2BM</t>
        </is>
      </c>
      <c r="L564" s="48" t="inlineStr">
        <is>
          <t xml:space="preserve">02 - Sports / GT</t>
        </is>
      </c>
      <c r="M564" s="50">
        <v>300000</v>
      </c>
      <c r="N564" s="48" t="inlineStr">
        <is>
          <t xml:space="preserve">Personal</t>
        </is>
      </c>
      <c r="O564" s="46" t="inlineStr">
        <is>
          <t xml:space="preserve">Personal - regular use</t>
        </is>
      </c>
      <c r="P564" s="46" t="inlineStr">
        <is>
          <t xml:space="preserve">2,500 - 5,000</t>
        </is>
      </c>
      <c r="Q564" s="46" t="inlineStr">
        <is>
          <t xml:space="preserve">Minnesota</t>
        </is>
      </c>
      <c r="R564" s="46" t="inlineStr">
        <is>
          <t xml:space="preserve">55401</t>
        </is>
      </c>
      <c r="S564" s="48" t="inlineStr">
        <is>
          <t xml:space="preserve">Severe convective - hail / tornado (moderate)</t>
        </is>
      </c>
      <c r="T564" s="36">
        <f>IF($A564="","",IF($S564="","",IFERROR(INDEX('[1]natural catastrophe'!$D$6:$D$17,MATCH($S564,'[1]natural catastrophe'!$B$6:$B$17,0)),"?")))</f>
      </c>
      <c r="U564" s="46" t="inlineStr">
        <is>
          <t xml:space="preserve">$5,000</t>
        </is>
      </c>
      <c r="V564" s="48" t="inlineStr">
        <is>
          <t xml:space="preserve">Agreed Value</t>
        </is>
      </c>
      <c r="W564" s="46" t="inlineStr">
        <is>
          <t xml:space="preserve">$1,000</t>
        </is>
      </c>
      <c r="X564" s="48" t="inlineStr">
        <is>
          <t xml:space="preserve">$1,000,000 CSL</t>
        </is>
      </c>
      <c r="Y564" s="46"/>
      <c r="Z564" s="46"/>
      <c r="AA564" s="48" t="inlineStr">
        <is>
          <t xml:space="preserve">Surplus Lines</t>
        </is>
      </c>
      <c r="AB564" s="50">
        <v>4264.47</v>
      </c>
      <c r="AC564" s="51">
        <v>0</v>
      </c>
      <c r="AD564" s="38">
        <f>IF(ISNUMBER($AB564),$AB564*(1+N($AC564)),"")</f>
      </c>
      <c r="AE564" s="50">
        <v>350</v>
      </c>
      <c r="AF564" s="50">
        <v>0</v>
      </c>
      <c r="AG564" s="51"/>
      <c r="AH564" s="39">
        <f>IF(ISNUMBER($AD564),($AD564+$AE564+$AF564)*$AG564,"")</f>
      </c>
      <c r="AI564" s="50"/>
      <c r="AJ564" s="38">
        <f>IF(ISNUMBER($AD564),SUM($AD564:$AH564),"")</f>
      </c>
      <c r="AK564" s="40">
        <f>IF(AND(ISNUMBER($AB564),ISNUMBER($AD564)),IF($AB564&gt;0,$AD564/$AB564,""),"")</f>
      </c>
      <c r="AL564" s="48" t="inlineStr">
        <is>
          <t xml:space="preserve">At technical</t>
        </is>
      </c>
      <c r="AM564" s="41">
        <f>IF(ISNUMBER($AD564),Header!$I$3,"")</f>
      </c>
      <c r="AN564" s="39">
        <f>IF(ISNUMBER($AD564),$AO564+$AP564,"")</f>
      </c>
      <c r="AO564" s="39">
        <f>IF(ISNUMBER($AD564),ROUND($AD564*Header!$K$3,2),"")</f>
      </c>
      <c r="AP564" s="39">
        <f>IF(ISNUMBER($AD564),ROUND($AD564*Header!$M$3,2),"")</f>
      </c>
      <c r="AQ564" s="38">
        <f>IF(ISNUMBER($AD564),ROUND($AD564,2)-$AO564-$AP564,"")</f>
      </c>
      <c r="AR564" s="39">
        <f>IF(ISNUMBER($AD564),IF(Header!$D$34="","?",$AD564*Header!$D$34),"")</f>
      </c>
      <c r="AS564" s="39">
        <f>IF(ISNUMBER($AB564),IF(Header!$D$34="","?",$AB564*Header!$D$34),"")</f>
      </c>
      <c r="AT564" s="42">
        <f>IF(AND(ISNUMBER($AB564),$M564&gt;0),$AB564/$M564*100,"")</f>
      </c>
      <c r="AU564" s="42">
        <f>IF(AND(ISNUMBER($AD564),$M564&gt;0),$AD564/$M564*100,"")</f>
      </c>
      <c r="AV564" s="40">
        <f>IF(AND(ISNUMBER($AB564),ISNUMBER($AD564),ABS($AB564)&gt;0),$AD564/$AB564,"")</f>
      </c>
      <c r="AW564" s="39">
        <f>IF(ISNUMBER($AD564),MAX(0,(1-0.55-Header!$O$3)*Header!$Q$3*$AQ564),"")</f>
      </c>
      <c r="AX564" s="43">
        <f>IF($A564="","",IF(TRIM(IF($A564="","Missing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",""))="","PASS","FAIL: "&amp;TRIM(IF($A564="","Missing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f>
      </c>
      <c r="AY564" s="44">
        <f>IF($M564="","",IF(ISNUMBER($M564),IF($M564&gt;=Header!$C$18,"YES — refer","No"),""))</f>
      </c>
      <c r="AZ564" s="44">
        <f>IF($AD564="","",IF(ISNUMBER($AD564),IF($AD564&lt;Header!$C$20,"BELOW MIN PREMIUM","OK"),""))</f>
      </c>
      <c r="BA564" s="48" t="inlineStr">
        <is>
          <t xml:space="preserve">Yes</t>
        </is>
      </c>
      <c r="BB564" s="48" t="inlineStr">
        <is>
          <t xml:space="preserve">Yes</t>
        </is>
      </c>
      <c r="BC564" s="46" t="inlineStr">
        <is>
          <t xml:space="preserve">Synthetic demo data</t>
        </is>
      </c>
      <c r="BE564" s="45">
        <f>IF(OR($A564="",$L564="",$H564=""),"",IF(AND(LEFT($L564,2)="06",$H564&gt;1945),"FAIL - pre-war class, year "&amp;$H564,IF(AND(LEFT($L564,2)="07",OR($H564&lt;1946,$H564&gt;1972)),"FAIL - 1946-72 class, year "&amp;$H564,IF(AND(LEFT($L564,2)="08",OR($H564&lt;1973,$H564&gt;1999)),"FAIL - 1973-99 class, year "&amp;$H564,IF(AND(LEFT($L564,2)="09",OR($H564&lt;2000,$H564&gt;2010)),"FAIL - 2000-10 class, year "&amp;$H564,"OK")))))</f>
      </c>
      <c r="BF564" s="45">
        <f>IF($AD564="","",IF(ROUND($AO564+$AP564+$AQ564-$AD564,2)=0,"OK","FAIL - out by "&amp;TEXT($AO564+$AP564+$AQ564-$AD564,"$0.00")))</f>
      </c>
    </row>
    <row r="565" spans="1:58" ht="18.75" customHeight="1" x14ac:dyDescent="0.25">
      <c r="A565" s="30" t="inlineStr">
        <is>
          <t xml:space="preserve">CANON-202607-010290</t>
        </is>
      </c>
      <c r="B565" s="30" t="inlineStr">
        <is>
          <t xml:space="preserve">Anouk Okonkwo</t>
        </is>
      </c>
      <c r="C565" s="31">
        <v>46232</v>
      </c>
      <c r="D565" s="32" t="inlineStr">
        <is>
          <t xml:space="preserve">Bound - within authority</t>
        </is>
      </c>
      <c r="E565" s="32" t="inlineStr">
        <is>
          <t xml:space="preserve">New business</t>
        </is>
      </c>
      <c r="F565" s="30" t="inlineStr">
        <is>
          <t xml:space="preserve">B1234EXOTIC26</t>
        </is>
      </c>
      <c r="G565" s="33">
        <f>IF($A565="","",IF($C565="","",YEAR($C565)))</f>
      </c>
      <c r="H565" s="34">
        <v>1976</v>
      </c>
      <c r="I565" s="30" t="inlineStr">
        <is>
          <t xml:space="preserve">Ferrari</t>
        </is>
      </c>
      <c r="J565" s="30" t="inlineStr">
        <is>
          <t xml:space="preserve">275 GTB/4</t>
        </is>
      </c>
      <c r="K565" s="30" t="inlineStr">
        <is>
          <t xml:space="preserve">M82DPDHR8B08ZRAM3</t>
        </is>
      </c>
      <c r="L565" s="32" t="inlineStr">
        <is>
          <t xml:space="preserve">08 - Modern Classic (1973-1999)</t>
        </is>
      </c>
      <c r="M565" s="35">
        <v>1230000</v>
      </c>
      <c r="N565" s="32" t="inlineStr">
        <is>
          <t xml:space="preserve">Personal</t>
        </is>
      </c>
      <c r="O565" s="30" t="inlineStr">
        <is>
          <t xml:space="preserve">Personal - regular use</t>
        </is>
      </c>
      <c r="P565" s="30" t="inlineStr">
        <is>
          <t xml:space="preserve">1,000 - 2,500</t>
        </is>
      </c>
      <c r="Q565" s="30" t="inlineStr">
        <is>
          <t xml:space="preserve">Texas</t>
        </is>
      </c>
      <c r="R565" s="30" t="inlineStr">
        <is>
          <t xml:space="preserve">75201</t>
        </is>
      </c>
      <c r="S565" s="32" t="inlineStr">
        <is>
          <t xml:space="preserve">Tier 2 - Coastal wind (1-25 miles)</t>
        </is>
      </c>
      <c r="T565" s="36">
        <f>IF($A565="","",IF($S565="","",IFERROR(INDEX('[1]natural catastrophe'!$D$6:$D$17,MATCH($S565,'[1]natural catastrophe'!$B$6:$B$17,0)),"?")))</f>
      </c>
      <c r="U565" s="30" t="inlineStr">
        <is>
          <t xml:space="preserve">2% of agreed value, minimum $10,000</t>
        </is>
      </c>
      <c r="V565" s="32" t="inlineStr">
        <is>
          <t xml:space="preserve">Agreed Value</t>
        </is>
      </c>
      <c r="W565" s="30" t="inlineStr">
        <is>
          <t xml:space="preserve">$1,000</t>
        </is>
      </c>
      <c r="X565" s="32" t="inlineStr">
        <is>
          <t xml:space="preserve">$1,000,000 CSL</t>
        </is>
      </c>
      <c r="Y565" s="30"/>
      <c r="Z565" s="30"/>
      <c r="AA565" s="32" t="inlineStr">
        <is>
          <t xml:space="preserve">Surplus Lines</t>
        </is>
      </c>
      <c r="AB565" s="35">
        <v>7717.83</v>
      </c>
      <c r="AC565" s="37">
        <v>0</v>
      </c>
      <c r="AD565" s="38">
        <f>IF(ISNUMBER($AB565),$AB565*(1+N($AC565)),"")</f>
      </c>
      <c r="AE565" s="35">
        <v>350</v>
      </c>
      <c r="AF565" s="35">
        <v>250</v>
      </c>
      <c r="AG565" s="37"/>
      <c r="AH565" s="39">
        <f>IF(ISNUMBER($AD565),($AD565+$AE565+$AF565)*$AG565,"")</f>
      </c>
      <c r="AI565" s="35"/>
      <c r="AJ565" s="38">
        <f>IF(ISNUMBER($AD565),SUM($AD565:$AH565),"")</f>
      </c>
      <c r="AK565" s="40">
        <f>IF(AND(ISNUMBER($AB565),ISNUMBER($AD565)),IF($AB565&gt;0,$AD565/$AB565,""),"")</f>
      </c>
      <c r="AL565" s="32" t="inlineStr">
        <is>
          <t xml:space="preserve">At technical</t>
        </is>
      </c>
      <c r="AM565" s="41">
        <f>IF(ISNUMBER($AD565),Header!$I$3,"")</f>
      </c>
      <c r="AN565" s="39">
        <f>IF(ISNUMBER($AD565),$AO565+$AP565,"")</f>
      </c>
      <c r="AO565" s="39">
        <f>IF(ISNUMBER($AD565),ROUND($AD565*Header!$K$3,2),"")</f>
      </c>
      <c r="AP565" s="39">
        <f>IF(ISNUMBER($AD565),ROUND($AD565*Header!$M$3,2),"")</f>
      </c>
      <c r="AQ565" s="38">
        <f>IF(ISNUMBER($AD565),ROUND($AD565,2)-$AO565-$AP565,"")</f>
      </c>
      <c r="AR565" s="39">
        <f>IF(ISNUMBER($AD565),IF(Header!$D$34="","?",$AD565*Header!$D$34),"")</f>
      </c>
      <c r="AS565" s="39">
        <f>IF(ISNUMBER($AB565),IF(Header!$D$34="","?",$AB565*Header!$D$34),"")</f>
      </c>
      <c r="AT565" s="42">
        <f>IF(AND(ISNUMBER($AB565),$M565&gt;0),$AB565/$M565*100,"")</f>
      </c>
      <c r="AU565" s="42">
        <f>IF(AND(ISNUMBER($AD565),$M565&gt;0),$AD565/$M565*100,"")</f>
      </c>
      <c r="AV565" s="40">
        <f>IF(AND(ISNUMBER($AB565),ISNUMBER($AD565),ABS($AB565)&gt;0),$AD565/$AB565,"")</f>
      </c>
      <c r="AW565" s="39">
        <f>IF(ISNUMBER($AD565),MAX(0,(1-0.55-Header!$O$3)*Header!$Q$3*$AQ565),"")</f>
      </c>
      <c r="AX565" s="43">
        <f>IF($A565="","",IF(TRIM(IF($A565="","Missing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",""))="","PASS","FAIL: "&amp;TRIM(IF($A565="","Missing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f>
      </c>
      <c r="AY565" s="44">
        <f>IF($M565="","",IF(ISNUMBER($M565),IF($M565&gt;=Header!$C$18,"YES — refer","No"),""))</f>
      </c>
      <c r="AZ565" s="44">
        <f>IF($AD565="","",IF(ISNUMBER($AD565),IF($AD565&lt;Header!$C$20,"BELOW MIN PREMIUM","OK"),""))</f>
      </c>
      <c r="BA565" s="32" t="inlineStr">
        <is>
          <t xml:space="preserve">Yes</t>
        </is>
      </c>
      <c r="BB565" s="32" t="inlineStr">
        <is>
          <t xml:space="preserve">Yes</t>
        </is>
      </c>
      <c r="BC565" s="30" t="inlineStr">
        <is>
          <t xml:space="preserve">Synthetic demo data</t>
        </is>
      </c>
      <c r="BE565" s="45">
        <f>IF(OR($A565="",$L565="",$H565=""),"",IF(AND(LEFT($L565,2)="06",$H565&gt;1945),"FAIL - pre-war class, year "&amp;$H565,IF(AND(LEFT($L565,2)="07",OR($H565&lt;1946,$H565&gt;1972)),"FAIL - 1946-72 class, year "&amp;$H565,IF(AND(LEFT($L565,2)="08",OR($H565&lt;1973,$H565&gt;1999)),"FAIL - 1973-99 class, year "&amp;$H565,IF(AND(LEFT($L565,2)="09",OR($H565&lt;2000,$H565&gt;2010)),"FAIL - 2000-10 class, year "&amp;$H565,"OK")))))</f>
      </c>
      <c r="BF565" s="45">
        <f>IF($AD565="","",IF(ROUND($AO565+$AP565+$AQ565-$AD565,2)=0,"OK","FAIL - out by "&amp;TEXT($AO565+$AP565+$AQ565-$AD565,"$0.00")))</f>
      </c>
    </row>
    <row r="566" spans="1:58" ht="18.75" customHeight="1" x14ac:dyDescent="0.25">
      <c r="A566" s="46" t="inlineStr">
        <is>
          <t xml:space="preserve">CANON-202607-010291</t>
        </is>
      </c>
      <c r="B566" s="46" t="inlineStr">
        <is>
          <t xml:space="preserve">Lorenzo Blackwood</t>
        </is>
      </c>
      <c r="C566" s="47">
        <v>46219</v>
      </c>
      <c r="D566" s="48" t="inlineStr">
        <is>
          <t xml:space="preserve">Bound - within authority</t>
        </is>
      </c>
      <c r="E566" s="48" t="inlineStr">
        <is>
          <t xml:space="preserve">New business</t>
        </is>
      </c>
      <c r="F566" s="46" t="inlineStr">
        <is>
          <t xml:space="preserve">B1234EXOTIC26</t>
        </is>
      </c>
      <c r="G566" s="33">
        <f>IF($A566="","",IF($C566="","",YEAR($C566)))</f>
      </c>
      <c r="H566" s="49">
        <v>1972</v>
      </c>
      <c r="I566" s="46" t="inlineStr">
        <is>
          <t xml:space="preserve">Ringbrothers</t>
        </is>
      </c>
      <c r="J566" s="46" t="inlineStr">
        <is>
          <t xml:space="preserve">Mustang</t>
        </is>
      </c>
      <c r="K566" s="46" t="inlineStr">
        <is>
          <t xml:space="preserve">NHCZSC7LVF33MJ0CN</t>
        </is>
      </c>
      <c r="L566" s="48" t="inlineStr">
        <is>
          <t xml:space="preserve">11 - Restomod / Coachbuilt / Bespoke</t>
        </is>
      </c>
      <c r="M566" s="50">
        <v>715000</v>
      </c>
      <c r="N566" s="48" t="inlineStr">
        <is>
          <t xml:space="preserve">Personal</t>
        </is>
      </c>
      <c r="O566" s="46" t="inlineStr">
        <is>
          <t xml:space="preserve">Personal - regular use</t>
        </is>
      </c>
      <c r="P566" s="46" t="inlineStr">
        <is>
          <t xml:space="preserve">1,000 - 2,500</t>
        </is>
      </c>
      <c r="Q566" s="46" t="inlineStr">
        <is>
          <t xml:space="preserve">North Carolina</t>
        </is>
      </c>
      <c r="R566" s="46" t="inlineStr">
        <is>
          <t xml:space="preserve">28202</t>
        </is>
      </c>
      <c r="S566" s="48" t="inlineStr">
        <is>
          <t xml:space="preserve">Tier 2 - Coastal wind (1-25 miles)</t>
        </is>
      </c>
      <c r="T566" s="36">
        <f>IF($A566="","",IF($S566="","",IFERROR(INDEX('[1]natural catastrophe'!$D$6:$D$17,MATCH($S566,'[1]natural catastrophe'!$B$6:$B$17,0)),"?")))</f>
      </c>
      <c r="U566" s="46" t="inlineStr">
        <is>
          <t xml:space="preserve">2% of agreed value, minimum $10,000</t>
        </is>
      </c>
      <c r="V566" s="48" t="inlineStr">
        <is>
          <t xml:space="preserve">Agreed Value</t>
        </is>
      </c>
      <c r="W566" s="46" t="inlineStr">
        <is>
          <t xml:space="preserve">$1,000</t>
        </is>
      </c>
      <c r="X566" s="48" t="inlineStr">
        <is>
          <t xml:space="preserve">$1,000,000 CSL</t>
        </is>
      </c>
      <c r="Y566" s="46"/>
      <c r="Z566" s="46"/>
      <c r="AA566" s="48" t="inlineStr">
        <is>
          <t xml:space="preserve">Surplus Lines</t>
        </is>
      </c>
      <c r="AB566" s="50">
        <v>9208.89</v>
      </c>
      <c r="AC566" s="51">
        <v>0</v>
      </c>
      <c r="AD566" s="38">
        <f>IF(ISNUMBER($AB566),$AB566*(1+N($AC566)),"")</f>
      </c>
      <c r="AE566" s="50">
        <v>350</v>
      </c>
      <c r="AF566" s="50">
        <v>0</v>
      </c>
      <c r="AG566" s="51"/>
      <c r="AH566" s="39">
        <f>IF(ISNUMBER($AD566),($AD566+$AE566+$AF566)*$AG566,"")</f>
      </c>
      <c r="AI566" s="50"/>
      <c r="AJ566" s="38">
        <f>IF(ISNUMBER($AD566),SUM($AD566:$AH566),"")</f>
      </c>
      <c r="AK566" s="40">
        <f>IF(AND(ISNUMBER($AB566),ISNUMBER($AD566)),IF($AB566&gt;0,$AD566/$AB566,""),"")</f>
      </c>
      <c r="AL566" s="48" t="inlineStr">
        <is>
          <t xml:space="preserve">At technical</t>
        </is>
      </c>
      <c r="AM566" s="41">
        <f>IF(ISNUMBER($AD566),Header!$I$3,"")</f>
      </c>
      <c r="AN566" s="39">
        <f>IF(ISNUMBER($AD566),$AO566+$AP566,"")</f>
      </c>
      <c r="AO566" s="39">
        <f>IF(ISNUMBER($AD566),ROUND($AD566*Header!$K$3,2),"")</f>
      </c>
      <c r="AP566" s="39">
        <f>IF(ISNUMBER($AD566),ROUND($AD566*Header!$M$3,2),"")</f>
      </c>
      <c r="AQ566" s="38">
        <f>IF(ISNUMBER($AD566),ROUND($AD566,2)-$AO566-$AP566,"")</f>
      </c>
      <c r="AR566" s="39">
        <f>IF(ISNUMBER($AD566),IF(Header!$D$34="","?",$AD566*Header!$D$34),"")</f>
      </c>
      <c r="AS566" s="39">
        <f>IF(ISNUMBER($AB566),IF(Header!$D$34="","?",$AB566*Header!$D$34),"")</f>
      </c>
      <c r="AT566" s="42">
        <f>IF(AND(ISNUMBER($AB566),$M566&gt;0),$AB566/$M566*100,"")</f>
      </c>
      <c r="AU566" s="42">
        <f>IF(AND(ISNUMBER($AD566),$M566&gt;0),$AD566/$M566*100,"")</f>
      </c>
      <c r="AV566" s="40">
        <f>IF(AND(ISNUMBER($AB566),ISNUMBER($AD566),ABS($AB566)&gt;0),$AD566/$AB566,"")</f>
      </c>
      <c r="AW566" s="39">
        <f>IF(ISNUMBER($AD566),MAX(0,(1-0.55-Header!$O$3)*Header!$Q$3*$AQ566),"")</f>
      </c>
      <c r="AX566" s="43">
        <f>IF($A566="","",IF(TRIM(IF($A566="","Missing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",""))="","PASS","FAIL: "&amp;TRIM(IF($A566="","Missing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f>
      </c>
      <c r="AY566" s="44">
        <f>IF($M566="","",IF(ISNUMBER($M566),IF($M566&gt;=Header!$C$18,"YES — refer","No"),""))</f>
      </c>
      <c r="AZ566" s="44">
        <f>IF($AD566="","",IF(ISNUMBER($AD566),IF($AD566&lt;Header!$C$20,"BELOW MIN PREMIUM","OK"),""))</f>
      </c>
      <c r="BA566" s="48" t="inlineStr">
        <is>
          <t xml:space="preserve">Yes</t>
        </is>
      </c>
      <c r="BB566" s="48" t="inlineStr">
        <is>
          <t xml:space="preserve">Yes</t>
        </is>
      </c>
      <c r="BC566" s="46" t="inlineStr">
        <is>
          <t xml:space="preserve">Synthetic demo data</t>
        </is>
      </c>
      <c r="BE566" s="45">
        <f>IF(OR($A566="",$L566="",$H566=""),"",IF(AND(LEFT($L566,2)="06",$H566&gt;1945),"FAIL - pre-war class, year "&amp;$H566,IF(AND(LEFT($L566,2)="07",OR($H566&lt;1946,$H566&gt;1972)),"FAIL - 1946-72 class, year "&amp;$H566,IF(AND(LEFT($L566,2)="08",OR($H566&lt;1973,$H566&gt;1999)),"FAIL - 1973-99 class, year "&amp;$H566,IF(AND(LEFT($L566,2)="09",OR($H566&lt;2000,$H566&gt;2010)),"FAIL - 2000-10 class, year "&amp;$H566,"OK")))))</f>
      </c>
      <c r="BF566" s="45">
        <f>IF($AD566="","",IF(ROUND($AO566+$AP566+$AQ566-$AD566,2)=0,"OK","FAIL - out by "&amp;TEXT($AO566+$AP566+$AQ566-$AD566,"$0.00")))</f>
      </c>
    </row>
    <row r="567" spans="1:58" ht="18.75" customHeight="1" x14ac:dyDescent="0.25">
      <c r="A567" s="30" t="inlineStr">
        <is>
          <t xml:space="preserve">CANON-202607-010292</t>
        </is>
      </c>
      <c r="B567" s="30" t="inlineStr">
        <is>
          <t xml:space="preserve">Aurelio Pennington</t>
        </is>
      </c>
      <c r="C567" s="31">
        <v>46229</v>
      </c>
      <c r="D567" s="32" t="inlineStr">
        <is>
          <t xml:space="preserve">Bound - within authority</t>
        </is>
      </c>
      <c r="E567" s="32" t="inlineStr">
        <is>
          <t xml:space="preserve">New business</t>
        </is>
      </c>
      <c r="F567" s="30" t="inlineStr">
        <is>
          <t xml:space="preserve">B1234EXOTIC26</t>
        </is>
      </c>
      <c r="G567" s="33">
        <f>IF($A567="","",IF($C567="","",YEAR($C567)))</f>
      </c>
      <c r="H567" s="34">
        <v>1964</v>
      </c>
      <c r="I567" s="30" t="inlineStr">
        <is>
          <t xml:space="preserve">Porsche</t>
        </is>
      </c>
      <c r="J567" s="30" t="inlineStr">
        <is>
          <t xml:space="preserve">911 Turbo S</t>
        </is>
      </c>
      <c r="K567" s="30" t="inlineStr">
        <is>
          <t xml:space="preserve">24Z45GUZNB1U721A5</t>
        </is>
      </c>
      <c r="L567" s="32" t="inlineStr">
        <is>
          <t xml:space="preserve">02 - Sports / GT</t>
        </is>
      </c>
      <c r="M567" s="35">
        <v>470000</v>
      </c>
      <c r="N567" s="32" t="inlineStr">
        <is>
          <t xml:space="preserve">Personal</t>
        </is>
      </c>
      <c r="O567" s="30" t="inlineStr">
        <is>
          <t xml:space="preserve">Personal - regular use</t>
        </is>
      </c>
      <c r="P567" s="30" t="inlineStr">
        <is>
          <t xml:space="preserve">2,500 - 5,000</t>
        </is>
      </c>
      <c r="Q567" s="30" t="inlineStr">
        <is>
          <t xml:space="preserve">Indiana</t>
        </is>
      </c>
      <c r="R567" s="30" t="inlineStr">
        <is>
          <t xml:space="preserve">46204</t>
        </is>
      </c>
      <c r="S567" s="32" t="inlineStr">
        <is>
          <t xml:space="preserve">Severe convective - hail / tornado (moderate)</t>
        </is>
      </c>
      <c r="T567" s="36">
        <f>IF($A567="","",IF($S567="","",IFERROR(INDEX('[1]natural catastrophe'!$D$6:$D$17,MATCH($S567,'[1]natural catastrophe'!$B$6:$B$17,0)),"?")))</f>
      </c>
      <c r="U567" s="30" t="inlineStr">
        <is>
          <t xml:space="preserve">$5,000</t>
        </is>
      </c>
      <c r="V567" s="32" t="inlineStr">
        <is>
          <t xml:space="preserve">Agreed Value</t>
        </is>
      </c>
      <c r="W567" s="30" t="inlineStr">
        <is>
          <t xml:space="preserve">$1,000</t>
        </is>
      </c>
      <c r="X567" s="32" t="inlineStr">
        <is>
          <t xml:space="preserve">$1,000,000 CSL</t>
        </is>
      </c>
      <c r="Y567" s="30"/>
      <c r="Z567" s="30"/>
      <c r="AA567" s="32" t="inlineStr">
        <is>
          <t xml:space="preserve">Surplus Lines</t>
        </is>
      </c>
      <c r="AB567" s="35">
        <v>6225.48</v>
      </c>
      <c r="AC567" s="37">
        <v>0</v>
      </c>
      <c r="AD567" s="38">
        <f>IF(ISNUMBER($AB567),$AB567*(1+N($AC567)),"")</f>
      </c>
      <c r="AE567" s="35">
        <v>350</v>
      </c>
      <c r="AF567" s="35">
        <v>0</v>
      </c>
      <c r="AG567" s="37"/>
      <c r="AH567" s="39">
        <f>IF(ISNUMBER($AD567),($AD567+$AE567+$AF567)*$AG567,"")</f>
      </c>
      <c r="AI567" s="35"/>
      <c r="AJ567" s="38">
        <f>IF(ISNUMBER($AD567),SUM($AD567:$AH567),"")</f>
      </c>
      <c r="AK567" s="40">
        <f>IF(AND(ISNUMBER($AB567),ISNUMBER($AD567)),IF($AB567&gt;0,$AD567/$AB567,""),"")</f>
      </c>
      <c r="AL567" s="32" t="inlineStr">
        <is>
          <t xml:space="preserve">At technical</t>
        </is>
      </c>
      <c r="AM567" s="41">
        <f>IF(ISNUMBER($AD567),Header!$I$3,"")</f>
      </c>
      <c r="AN567" s="39">
        <f>IF(ISNUMBER($AD567),$AO567+$AP567,"")</f>
      </c>
      <c r="AO567" s="39">
        <f>IF(ISNUMBER($AD567),ROUND($AD567*Header!$K$3,2),"")</f>
      </c>
      <c r="AP567" s="39">
        <f>IF(ISNUMBER($AD567),ROUND($AD567*Header!$M$3,2),"")</f>
      </c>
      <c r="AQ567" s="38">
        <f>IF(ISNUMBER($AD567),ROUND($AD567,2)-$AO567-$AP567,"")</f>
      </c>
      <c r="AR567" s="39">
        <f>IF(ISNUMBER($AD567),IF(Header!$D$34="","?",$AD567*Header!$D$34),"")</f>
      </c>
      <c r="AS567" s="39">
        <f>IF(ISNUMBER($AB567),IF(Header!$D$34="","?",$AB567*Header!$D$34),"")</f>
      </c>
      <c r="AT567" s="42">
        <f>IF(AND(ISNUMBER($AB567),$M567&gt;0),$AB567/$M567*100,"")</f>
      </c>
      <c r="AU567" s="42">
        <f>IF(AND(ISNUMBER($AD567),$M567&gt;0),$AD567/$M567*100,"")</f>
      </c>
      <c r="AV567" s="40">
        <f>IF(AND(ISNUMBER($AB567),ISNUMBER($AD567),ABS($AB567)&gt;0),$AD567/$AB567,"")</f>
      </c>
      <c r="AW567" s="39">
        <f>IF(ISNUMBER($AD567),MAX(0,(1-0.55-Header!$O$3)*Header!$Q$3*$AQ567),"")</f>
      </c>
      <c r="AX567" s="43">
        <f>IF($A567="","",IF(TRIM(IF($A567="","Missing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",""))="","PASS","FAIL: "&amp;TRIM(IF($A567="","Missing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f>
      </c>
      <c r="AY567" s="44">
        <f>IF($M567="","",IF(ISNUMBER($M567),IF($M567&gt;=Header!$C$18,"YES — refer","No"),""))</f>
      </c>
      <c r="AZ567" s="44">
        <f>IF($AD567="","",IF(ISNUMBER($AD567),IF($AD567&lt;Header!$C$20,"BELOW MIN PREMIUM","OK"),""))</f>
      </c>
      <c r="BA567" s="32" t="inlineStr">
        <is>
          <t xml:space="preserve">Yes</t>
        </is>
      </c>
      <c r="BB567" s="32" t="inlineStr">
        <is>
          <t xml:space="preserve">Yes</t>
        </is>
      </c>
      <c r="BC567" s="30" t="inlineStr">
        <is>
          <t xml:space="preserve">Synthetic demo data</t>
        </is>
      </c>
      <c r="BE567" s="45">
        <f>IF(OR($A567="",$L567="",$H567=""),"",IF(AND(LEFT($L567,2)="06",$H567&gt;1945),"FAIL - pre-war class, year "&amp;$H567,IF(AND(LEFT($L567,2)="07",OR($H567&lt;1946,$H567&gt;1972)),"FAIL - 1946-72 class, year "&amp;$H567,IF(AND(LEFT($L567,2)="08",OR($H567&lt;1973,$H567&gt;1999)),"FAIL - 1973-99 class, year "&amp;$H567,IF(AND(LEFT($L567,2)="09",OR($H567&lt;2000,$H567&gt;2010)),"FAIL - 2000-10 class, year "&amp;$H567,"OK")))))</f>
      </c>
      <c r="BF567" s="45">
        <f>IF($AD567="","",IF(ROUND($AO567+$AP567+$AQ567-$AD567,2)=0,"OK","FAIL - out by "&amp;TEXT($AO567+$AP567+$AQ567-$AD567,"$0.00")))</f>
      </c>
    </row>
    <row r="568" spans="1:58" ht="18.75" customHeight="1" x14ac:dyDescent="0.25">
      <c r="A568" s="46" t="inlineStr">
        <is>
          <t xml:space="preserve">CANON-202607-010293</t>
        </is>
      </c>
      <c r="B568" s="46" t="inlineStr">
        <is>
          <t xml:space="preserve">Aurelio Pennington</t>
        </is>
      </c>
      <c r="C568" s="47">
        <v>46216</v>
      </c>
      <c r="D568" s="48" t="inlineStr">
        <is>
          <t xml:space="preserve">Bound - within authority</t>
        </is>
      </c>
      <c r="E568" s="48" t="inlineStr">
        <is>
          <t xml:space="preserve">New business</t>
        </is>
      </c>
      <c r="F568" s="46" t="inlineStr">
        <is>
          <t xml:space="preserve">B1234EXOTIC26</t>
        </is>
      </c>
      <c r="G568" s="33">
        <f>IF($A568="","",IF($C568="","",YEAR($C568)))</f>
      </c>
      <c r="H568" s="49">
        <v>2016</v>
      </c>
      <c r="I568" s="46" t="inlineStr">
        <is>
          <t xml:space="preserve">Maserati</t>
        </is>
      </c>
      <c r="J568" s="46" t="inlineStr">
        <is>
          <t xml:space="preserve">GranTurismo</t>
        </is>
      </c>
      <c r="K568" s="46" t="inlineStr">
        <is>
          <t xml:space="preserve">GTPE39KTH1R1KLYPL</t>
        </is>
      </c>
      <c r="L568" s="48" t="inlineStr">
        <is>
          <t xml:space="preserve">02 - Sports / GT</t>
        </is>
      </c>
      <c r="M568" s="50">
        <v>160000</v>
      </c>
      <c r="N568" s="48" t="inlineStr">
        <is>
          <t xml:space="preserve">Personal</t>
        </is>
      </c>
      <c r="O568" s="46" t="inlineStr">
        <is>
          <t xml:space="preserve">Personal - regular use</t>
        </is>
      </c>
      <c r="P568" s="46" t="inlineStr">
        <is>
          <t xml:space="preserve">2,500 - 5,000</t>
        </is>
      </c>
      <c r="Q568" s="46" t="inlineStr">
        <is>
          <t xml:space="preserve">West Virginia</t>
        </is>
      </c>
      <c r="R568" s="46" t="inlineStr">
        <is>
          <t xml:space="preserve">25301</t>
        </is>
      </c>
      <c r="S568" s="48" t="inlineStr">
        <is>
          <t xml:space="preserve">Low hazard - inland benign</t>
        </is>
      </c>
      <c r="T568" s="36">
        <f>IF($A568="","",IF($S568="","",IFERROR(INDEX('[1]natural catastrophe'!$D$6:$D$17,MATCH($S568,'[1]natural catastrophe'!$B$6:$B$17,0)),"?")))</f>
      </c>
      <c r="U568" s="46" t="inlineStr">
        <is>
          <t xml:space="preserve">$5,000</t>
        </is>
      </c>
      <c r="V568" s="48" t="inlineStr">
        <is>
          <t xml:space="preserve">Agreed Value</t>
        </is>
      </c>
      <c r="W568" s="46" t="inlineStr">
        <is>
          <t xml:space="preserve">$1,000</t>
        </is>
      </c>
      <c r="X568" s="48" t="inlineStr">
        <is>
          <t xml:space="preserve">$1,000,000 CSL</t>
        </is>
      </c>
      <c r="Y568" s="46"/>
      <c r="Z568" s="46"/>
      <c r="AA568" s="48" t="inlineStr">
        <is>
          <t xml:space="preserve">Surplus Lines</t>
        </is>
      </c>
      <c r="AB568" s="50">
        <v>2811.05</v>
      </c>
      <c r="AC568" s="51">
        <v>0</v>
      </c>
      <c r="AD568" s="38">
        <f>IF(ISNUMBER($AB568),$AB568*(1+N($AC568)),"")</f>
      </c>
      <c r="AE568" s="50">
        <v>350</v>
      </c>
      <c r="AF568" s="50">
        <v>0</v>
      </c>
      <c r="AG568" s="51"/>
      <c r="AH568" s="39">
        <f>IF(ISNUMBER($AD568),($AD568+$AE568+$AF568)*$AG568,"")</f>
      </c>
      <c r="AI568" s="50"/>
      <c r="AJ568" s="38">
        <f>IF(ISNUMBER($AD568),SUM($AD568:$AH568),"")</f>
      </c>
      <c r="AK568" s="40">
        <f>IF(AND(ISNUMBER($AB568),ISNUMBER($AD568)),IF($AB568&gt;0,$AD568/$AB568,""),"")</f>
      </c>
      <c r="AL568" s="48" t="inlineStr">
        <is>
          <t xml:space="preserve">At technical</t>
        </is>
      </c>
      <c r="AM568" s="41">
        <f>IF(ISNUMBER($AD568),Header!$I$3,"")</f>
      </c>
      <c r="AN568" s="39">
        <f>IF(ISNUMBER($AD568),$AO568+$AP568,"")</f>
      </c>
      <c r="AO568" s="39">
        <f>IF(ISNUMBER($AD568),ROUND($AD568*Header!$K$3,2),"")</f>
      </c>
      <c r="AP568" s="39">
        <f>IF(ISNUMBER($AD568),ROUND($AD568*Header!$M$3,2),"")</f>
      </c>
      <c r="AQ568" s="38">
        <f>IF(ISNUMBER($AD568),ROUND($AD568,2)-$AO568-$AP568,"")</f>
      </c>
      <c r="AR568" s="39">
        <f>IF(ISNUMBER($AD568),IF(Header!$D$34="","?",$AD568*Header!$D$34),"")</f>
      </c>
      <c r="AS568" s="39">
        <f>IF(ISNUMBER($AB568),IF(Header!$D$34="","?",$AB568*Header!$D$34),"")</f>
      </c>
      <c r="AT568" s="42">
        <f>IF(AND(ISNUMBER($AB568),$M568&gt;0),$AB568/$M568*100,"")</f>
      </c>
      <c r="AU568" s="42">
        <f>IF(AND(ISNUMBER($AD568),$M568&gt;0),$AD568/$M568*100,"")</f>
      </c>
      <c r="AV568" s="40">
        <f>IF(AND(ISNUMBER($AB568),ISNUMBER($AD568),ABS($AB568)&gt;0),$AD568/$AB568,"")</f>
      </c>
      <c r="AW568" s="39">
        <f>IF(ISNUMBER($AD568),MAX(0,(1-0.55-Header!$O$3)*Header!$Q$3*$AQ568),"")</f>
      </c>
      <c r="AX568" s="43">
        <f>IF($A568="","",IF(TRIM(IF($A568="","Missing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",""))="","PASS","FAIL: "&amp;TRIM(IF($A568="","Missing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f>
      </c>
      <c r="AY568" s="44">
        <f>IF($M568="","",IF(ISNUMBER($M568),IF($M568&gt;=Header!$C$18,"YES — refer","No"),""))</f>
      </c>
      <c r="AZ568" s="44">
        <f>IF($AD568="","",IF(ISNUMBER($AD568),IF($AD568&lt;Header!$C$20,"BELOW MIN PREMIUM","OK"),""))</f>
      </c>
      <c r="BA568" s="48" t="inlineStr">
        <is>
          <t xml:space="preserve">Yes</t>
        </is>
      </c>
      <c r="BB568" s="48" t="inlineStr">
        <is>
          <t xml:space="preserve">Yes</t>
        </is>
      </c>
      <c r="BC568" s="46" t="inlineStr">
        <is>
          <t xml:space="preserve">Synthetic demo data</t>
        </is>
      </c>
      <c r="BE568" s="45">
        <f>IF(OR($A568="",$L568="",$H568=""),"",IF(AND(LEFT($L568,2)="06",$H568&gt;1945),"FAIL - pre-war class, year "&amp;$H568,IF(AND(LEFT($L568,2)="07",OR($H568&lt;1946,$H568&gt;1972)),"FAIL - 1946-72 class, year "&amp;$H568,IF(AND(LEFT($L568,2)="08",OR($H568&lt;1973,$H568&gt;1999)),"FAIL - 1973-99 class, year "&amp;$H568,IF(AND(LEFT($L568,2)="09",OR($H568&lt;2000,$H568&gt;2010)),"FAIL - 2000-10 class, year "&amp;$H568,"OK")))))</f>
      </c>
      <c r="BF568" s="45">
        <f>IF($AD568="","",IF(ROUND($AO568+$AP568+$AQ568-$AD568,2)=0,"OK","FAIL - out by "&amp;TEXT($AO568+$AP568+$AQ568-$AD568,"$0.00")))</f>
      </c>
    </row>
    <row r="569" spans="1:58" ht="18.75" customHeight="1" x14ac:dyDescent="0.25">
      <c r="A569" s="30" t="inlineStr">
        <is>
          <t xml:space="preserve">CANON-202607-010295</t>
        </is>
      </c>
      <c r="B569" s="30" t="inlineStr">
        <is>
          <t xml:space="preserve">Marisol Pennington</t>
        </is>
      </c>
      <c r="C569" s="31">
        <v>46227</v>
      </c>
      <c r="D569" s="32" t="inlineStr">
        <is>
          <t xml:space="preserve">Bound - within authority</t>
        </is>
      </c>
      <c r="E569" s="32" t="inlineStr">
        <is>
          <t xml:space="preserve">New business</t>
        </is>
      </c>
      <c r="F569" s="30" t="inlineStr">
        <is>
          <t xml:space="preserve">B1234EXOTIC26</t>
        </is>
      </c>
      <c r="G569" s="33">
        <f>IF($A569="","",IF($C569="","",YEAR($C569)))</f>
      </c>
      <c r="H569" s="34">
        <v>2022</v>
      </c>
      <c r="I569" s="30" t="inlineStr">
        <is>
          <t xml:space="preserve">Mercedes-Benz</t>
        </is>
      </c>
      <c r="J569" s="30" t="inlineStr">
        <is>
          <t xml:space="preserve">AMG GT</t>
        </is>
      </c>
      <c r="K569" s="30" t="inlineStr">
        <is>
          <t xml:space="preserve">XELJRN65LYAY1GGNP</t>
        </is>
      </c>
      <c r="L569" s="32" t="inlineStr">
        <is>
          <t xml:space="preserve">02 - Sports / GT</t>
        </is>
      </c>
      <c r="M569" s="35">
        <v>415000</v>
      </c>
      <c r="N569" s="32" t="inlineStr">
        <is>
          <t xml:space="preserve">Personal</t>
        </is>
      </c>
      <c r="O569" s="30" t="inlineStr">
        <is>
          <t xml:space="preserve">Personal - regular use</t>
        </is>
      </c>
      <c r="P569" s="30" t="inlineStr">
        <is>
          <t xml:space="preserve">2,500 - 5,000</t>
        </is>
      </c>
      <c r="Q569" s="30" t="inlineStr">
        <is>
          <t xml:space="preserve">Maine</t>
        </is>
      </c>
      <c r="R569" s="30" t="inlineStr">
        <is>
          <t xml:space="preserve">04101</t>
        </is>
      </c>
      <c r="S569" s="32" t="inlineStr">
        <is>
          <t xml:space="preserve">Tier 3 - Coastal wind (25-100 miles)</t>
        </is>
      </c>
      <c r="T569" s="36">
        <f>IF($A569="","",IF($S569="","",IFERROR(INDEX('[1]natural catastrophe'!$D$6:$D$17,MATCH($S569,'[1]natural catastrophe'!$B$6:$B$17,0)),"?")))</f>
      </c>
      <c r="U569" s="30" t="inlineStr">
        <is>
          <t xml:space="preserve">2% of agreed value, minimum $10,000</t>
        </is>
      </c>
      <c r="V569" s="32" t="inlineStr">
        <is>
          <t xml:space="preserve">Agreed Value</t>
        </is>
      </c>
      <c r="W569" s="30" t="inlineStr">
        <is>
          <t xml:space="preserve">$1,000</t>
        </is>
      </c>
      <c r="X569" s="32" t="inlineStr">
        <is>
          <t xml:space="preserve">$1,000,000 CSL</t>
        </is>
      </c>
      <c r="Y569" s="30"/>
      <c r="Z569" s="30"/>
      <c r="AA569" s="32" t="inlineStr">
        <is>
          <t xml:space="preserve">Surplus Lines</t>
        </is>
      </c>
      <c r="AB569" s="35">
        <v>4826.6</v>
      </c>
      <c r="AC569" s="37">
        <v>0</v>
      </c>
      <c r="AD569" s="38">
        <f>IF(ISNUMBER($AB569),$AB569*(1+N($AC569)),"")</f>
      </c>
      <c r="AE569" s="35">
        <v>350</v>
      </c>
      <c r="AF569" s="35">
        <v>0</v>
      </c>
      <c r="AG569" s="37"/>
      <c r="AH569" s="39">
        <f>IF(ISNUMBER($AD569),($AD569+$AE569+$AF569)*$AG569,"")</f>
      </c>
      <c r="AI569" s="35"/>
      <c r="AJ569" s="38">
        <f>IF(ISNUMBER($AD569),SUM($AD569:$AH569),"")</f>
      </c>
      <c r="AK569" s="40">
        <f>IF(AND(ISNUMBER($AB569),ISNUMBER($AD569)),IF($AB569&gt;0,$AD569/$AB569,""),"")</f>
      </c>
      <c r="AL569" s="32" t="inlineStr">
        <is>
          <t xml:space="preserve">At technical</t>
        </is>
      </c>
      <c r="AM569" s="41">
        <f>IF(ISNUMBER($AD569),Header!$I$3,"")</f>
      </c>
      <c r="AN569" s="39">
        <f>IF(ISNUMBER($AD569),$AO569+$AP569,"")</f>
      </c>
      <c r="AO569" s="39">
        <f>IF(ISNUMBER($AD569),ROUND($AD569*Header!$K$3,2),"")</f>
      </c>
      <c r="AP569" s="39">
        <f>IF(ISNUMBER($AD569),ROUND($AD569*Header!$M$3,2),"")</f>
      </c>
      <c r="AQ569" s="38">
        <f>IF(ISNUMBER($AD569),ROUND($AD569,2)-$AO569-$AP569,"")</f>
      </c>
      <c r="AR569" s="39">
        <f>IF(ISNUMBER($AD569),IF(Header!$D$34="","?",$AD569*Header!$D$34),"")</f>
      </c>
      <c r="AS569" s="39">
        <f>IF(ISNUMBER($AB569),IF(Header!$D$34="","?",$AB569*Header!$D$34),"")</f>
      </c>
      <c r="AT569" s="42">
        <f>IF(AND(ISNUMBER($AB569),$M569&gt;0),$AB569/$M569*100,"")</f>
      </c>
      <c r="AU569" s="42">
        <f>IF(AND(ISNUMBER($AD569),$M569&gt;0),$AD569/$M569*100,"")</f>
      </c>
      <c r="AV569" s="40">
        <f>IF(AND(ISNUMBER($AB569),ISNUMBER($AD569),ABS($AB569)&gt;0),$AD569/$AB569,"")</f>
      </c>
      <c r="AW569" s="39">
        <f>IF(ISNUMBER($AD569),MAX(0,(1-0.55-Header!$O$3)*Header!$Q$3*$AQ569),"")</f>
      </c>
      <c r="AX569" s="43">
        <f>IF($A569="","",IF(TRIM(IF($A569="","Missing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",""))="","PASS","FAIL: "&amp;TRIM(IF($A569="","Missing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f>
      </c>
      <c r="AY569" s="44">
        <f>IF($M569="","",IF(ISNUMBER($M569),IF($M569&gt;=Header!$C$18,"YES — refer","No"),""))</f>
      </c>
      <c r="AZ569" s="44">
        <f>IF($AD569="","",IF(ISNUMBER($AD569),IF($AD569&lt;Header!$C$20,"BELOW MIN PREMIUM","OK"),""))</f>
      </c>
      <c r="BA569" s="32" t="inlineStr">
        <is>
          <t xml:space="preserve">Yes</t>
        </is>
      </c>
      <c r="BB569" s="32" t="inlineStr">
        <is>
          <t xml:space="preserve">Yes</t>
        </is>
      </c>
      <c r="BC569" s="30" t="inlineStr">
        <is>
          <t xml:space="preserve">Synthetic demo data</t>
        </is>
      </c>
      <c r="BE569" s="45">
        <f>IF(OR($A569="",$L569="",$H569=""),"",IF(AND(LEFT($L569,2)="06",$H569&gt;1945),"FAIL - pre-war class, year "&amp;$H569,IF(AND(LEFT($L569,2)="07",OR($H569&lt;1946,$H569&gt;1972)),"FAIL - 1946-72 class, year "&amp;$H569,IF(AND(LEFT($L569,2)="08",OR($H569&lt;1973,$H569&gt;1999)),"FAIL - 1973-99 class, year "&amp;$H569,IF(AND(LEFT($L569,2)="09",OR($H569&lt;2000,$H569&gt;2010)),"FAIL - 2000-10 class, year "&amp;$H569,"OK")))))</f>
      </c>
      <c r="BF569" s="45">
        <f>IF($AD569="","",IF(ROUND($AO569+$AP569+$AQ569-$AD569,2)=0,"OK","FAIL - out by "&amp;TEXT($AO569+$AP569+$AQ569-$AD569,"$0.00")))</f>
      </c>
    </row>
    <row r="570" spans="1:58" ht="18.75" customHeight="1" x14ac:dyDescent="0.25">
      <c r="A570" s="46" t="inlineStr">
        <is>
          <t xml:space="preserve">CANON-202607-010297</t>
        </is>
      </c>
      <c r="B570" s="46" t="inlineStr">
        <is>
          <t xml:space="preserve">Delphine Larsson</t>
        </is>
      </c>
      <c r="C570" s="47">
        <v>46207</v>
      </c>
      <c r="D570" s="48" t="inlineStr">
        <is>
          <t xml:space="preserve">Bound - within authority</t>
        </is>
      </c>
      <c r="E570" s="48" t="inlineStr">
        <is>
          <t xml:space="preserve">New business</t>
        </is>
      </c>
      <c r="F570" s="46" t="inlineStr">
        <is>
          <t xml:space="preserve">B1234EXOTIC26</t>
        </is>
      </c>
      <c r="G570" s="33">
        <f>IF($A570="","",IF($C570="","",YEAR($C570)))</f>
      </c>
      <c r="H570" s="49">
        <v>1956</v>
      </c>
      <c r="I570" s="46" t="inlineStr">
        <is>
          <t xml:space="preserve">Maserati</t>
        </is>
      </c>
      <c r="J570" s="46" t="inlineStr">
        <is>
          <t xml:space="preserve">GranTurismo</t>
        </is>
      </c>
      <c r="K570" s="46" t="inlineStr">
        <is>
          <t xml:space="preserve">RDN7TMXN16VMGKT17</t>
        </is>
      </c>
      <c r="L570" s="48" t="inlineStr">
        <is>
          <t xml:space="preserve">02 - Sports / GT</t>
        </is>
      </c>
      <c r="M570" s="50">
        <v>865000</v>
      </c>
      <c r="N570" s="48" t="inlineStr">
        <is>
          <t xml:space="preserve">Personal</t>
        </is>
      </c>
      <c r="O570" s="46" t="inlineStr">
        <is>
          <t xml:space="preserve">Personal - regular use</t>
        </is>
      </c>
      <c r="P570" s="46" t="inlineStr">
        <is>
          <t xml:space="preserve">2,500 - 5,000</t>
        </is>
      </c>
      <c r="Q570" s="46" t="inlineStr">
        <is>
          <t xml:space="preserve">Maine</t>
        </is>
      </c>
      <c r="R570" s="46" t="inlineStr">
        <is>
          <t xml:space="preserve">04101</t>
        </is>
      </c>
      <c r="S570" s="48" t="inlineStr">
        <is>
          <t xml:space="preserve">Tier 3 - Coastal wind (25-100 miles)</t>
        </is>
      </c>
      <c r="T570" s="36">
        <f>IF($A570="","",IF($S570="","",IFERROR(INDEX('[1]natural catastrophe'!$D$6:$D$17,MATCH($S570,'[1]natural catastrophe'!$B$6:$B$17,0)),"?")))</f>
      </c>
      <c r="U570" s="46" t="inlineStr">
        <is>
          <t xml:space="preserve">2% of agreed value, minimum $10,000</t>
        </is>
      </c>
      <c r="V570" s="48" t="inlineStr">
        <is>
          <t xml:space="preserve">Agreed Value</t>
        </is>
      </c>
      <c r="W570" s="46" t="inlineStr">
        <is>
          <t xml:space="preserve">$1,000</t>
        </is>
      </c>
      <c r="X570" s="48" t="inlineStr">
        <is>
          <t xml:space="preserve">$1,000,000 CSL</t>
        </is>
      </c>
      <c r="Y570" s="46"/>
      <c r="Z570" s="46"/>
      <c r="AA570" s="48" t="inlineStr">
        <is>
          <t xml:space="preserve">Surplus Lines</t>
        </is>
      </c>
      <c r="AB570" s="50">
        <v>8718.91</v>
      </c>
      <c r="AC570" s="51">
        <v>0</v>
      </c>
      <c r="AD570" s="38">
        <f>IF(ISNUMBER($AB570),$AB570*(1+N($AC570)),"")</f>
      </c>
      <c r="AE570" s="50">
        <v>350</v>
      </c>
      <c r="AF570" s="50">
        <v>0</v>
      </c>
      <c r="AG570" s="51"/>
      <c r="AH570" s="39">
        <f>IF(ISNUMBER($AD570),($AD570+$AE570+$AF570)*$AG570,"")</f>
      </c>
      <c r="AI570" s="50"/>
      <c r="AJ570" s="38">
        <f>IF(ISNUMBER($AD570),SUM($AD570:$AH570),"")</f>
      </c>
      <c r="AK570" s="40">
        <f>IF(AND(ISNUMBER($AB570),ISNUMBER($AD570)),IF($AB570&gt;0,$AD570/$AB570,""),"")</f>
      </c>
      <c r="AL570" s="48" t="inlineStr">
        <is>
          <t xml:space="preserve">At technical</t>
        </is>
      </c>
      <c r="AM570" s="41">
        <f>IF(ISNUMBER($AD570),Header!$I$3,"")</f>
      </c>
      <c r="AN570" s="39">
        <f>IF(ISNUMBER($AD570),$AO570+$AP570,"")</f>
      </c>
      <c r="AO570" s="39">
        <f>IF(ISNUMBER($AD570),ROUND($AD570*Header!$K$3,2),"")</f>
      </c>
      <c r="AP570" s="39">
        <f>IF(ISNUMBER($AD570),ROUND($AD570*Header!$M$3,2),"")</f>
      </c>
      <c r="AQ570" s="38">
        <f>IF(ISNUMBER($AD570),ROUND($AD570,2)-$AO570-$AP570,"")</f>
      </c>
      <c r="AR570" s="39">
        <f>IF(ISNUMBER($AD570),IF(Header!$D$34="","?",$AD570*Header!$D$34),"")</f>
      </c>
      <c r="AS570" s="39">
        <f>IF(ISNUMBER($AB570),IF(Header!$D$34="","?",$AB570*Header!$D$34),"")</f>
      </c>
      <c r="AT570" s="42">
        <f>IF(AND(ISNUMBER($AB570),$M570&gt;0),$AB570/$M570*100,"")</f>
      </c>
      <c r="AU570" s="42">
        <f>IF(AND(ISNUMBER($AD570),$M570&gt;0),$AD570/$M570*100,"")</f>
      </c>
      <c r="AV570" s="40">
        <f>IF(AND(ISNUMBER($AB570),ISNUMBER($AD570),ABS($AB570)&gt;0),$AD570/$AB570,"")</f>
      </c>
      <c r="AW570" s="39">
        <f>IF(ISNUMBER($AD570),MAX(0,(1-0.55-Header!$O$3)*Header!$Q$3*$AQ570),"")</f>
      </c>
      <c r="AX570" s="43">
        <f>IF($A570="","",IF(TRIM(IF($A570="","Missing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",""))="","PASS","FAIL: "&amp;TRIM(IF($A570="","Missing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f>
      </c>
      <c r="AY570" s="44">
        <f>IF($M570="","",IF(ISNUMBER($M570),IF($M570&gt;=Header!$C$18,"YES — refer","No"),""))</f>
      </c>
      <c r="AZ570" s="44">
        <f>IF($AD570="","",IF(ISNUMBER($AD570),IF($AD570&lt;Header!$C$20,"BELOW MIN PREMIUM","OK"),""))</f>
      </c>
      <c r="BA570" s="48" t="inlineStr">
        <is>
          <t xml:space="preserve">Yes</t>
        </is>
      </c>
      <c r="BB570" s="48" t="inlineStr">
        <is>
          <t xml:space="preserve">Yes</t>
        </is>
      </c>
      <c r="BC570" s="46" t="inlineStr">
        <is>
          <t xml:space="preserve">Synthetic demo data</t>
        </is>
      </c>
      <c r="BE570" s="45">
        <f>IF(OR($A570="",$L570="",$H570=""),"",IF(AND(LEFT($L570,2)="06",$H570&gt;1945),"FAIL - pre-war class, year "&amp;$H570,IF(AND(LEFT($L570,2)="07",OR($H570&lt;1946,$H570&gt;1972)),"FAIL - 1946-72 class, year "&amp;$H570,IF(AND(LEFT($L570,2)="08",OR($H570&lt;1973,$H570&gt;1999)),"FAIL - 1973-99 class, year "&amp;$H570,IF(AND(LEFT($L570,2)="09",OR($H570&lt;2000,$H570&gt;2010)),"FAIL - 2000-10 class, year "&amp;$H570,"OK")))))</f>
      </c>
      <c r="BF570" s="45">
        <f>IF($AD570="","",IF(ROUND($AO570+$AP570+$AQ570-$AD570,2)=0,"OK","FAIL - out by "&amp;TEXT($AO570+$AP570+$AQ570-$AD570,"$0.00")))</f>
      </c>
    </row>
    <row r="571" spans="1:58" ht="18.75" customHeight="1" x14ac:dyDescent="0.25">
      <c r="A571" s="30" t="inlineStr">
        <is>
          <t xml:space="preserve">CANON-202607-010298</t>
        </is>
      </c>
      <c r="B571" s="30" t="inlineStr">
        <is>
          <t xml:space="preserve">Marisol Larsson</t>
        </is>
      </c>
      <c r="C571" s="31">
        <v>46217</v>
      </c>
      <c r="D571" s="32" t="inlineStr">
        <is>
          <t xml:space="preserve">Bound - within authority</t>
        </is>
      </c>
      <c r="E571" s="32" t="inlineStr">
        <is>
          <t xml:space="preserve">New business</t>
        </is>
      </c>
      <c r="F571" s="30" t="inlineStr">
        <is>
          <t xml:space="preserve">B1234EXOTIC26</t>
        </is>
      </c>
      <c r="G571" s="33">
        <f>IF($A571="","",IF($C571="","",YEAR($C571)))</f>
      </c>
      <c r="H571" s="34">
        <v>1975</v>
      </c>
      <c r="I571" s="30" t="inlineStr">
        <is>
          <t xml:space="preserve">Lamborghini</t>
        </is>
      </c>
      <c r="J571" s="30" t="inlineStr">
        <is>
          <t xml:space="preserve">Huracan EVO</t>
        </is>
      </c>
      <c r="K571" s="30" t="inlineStr">
        <is>
          <t xml:space="preserve">WDLP8P7848DFZHGNP</t>
        </is>
      </c>
      <c r="L571" s="32" t="inlineStr">
        <is>
          <t xml:space="preserve">03 - Supercar</t>
        </is>
      </c>
      <c r="M571" s="35">
        <v>635000</v>
      </c>
      <c r="N571" s="32" t="inlineStr">
        <is>
          <t xml:space="preserve">Personal</t>
        </is>
      </c>
      <c r="O571" s="30" t="inlineStr">
        <is>
          <t xml:space="preserve">Personal - regular use</t>
        </is>
      </c>
      <c r="P571" s="30" t="inlineStr">
        <is>
          <t xml:space="preserve">Under 1,000</t>
        </is>
      </c>
      <c r="Q571" s="30" t="inlineStr">
        <is>
          <t xml:space="preserve">Virginia</t>
        </is>
      </c>
      <c r="R571" s="30" t="inlineStr">
        <is>
          <t xml:space="preserve">23219</t>
        </is>
      </c>
      <c r="S571" s="32" t="inlineStr">
        <is>
          <t xml:space="preserve">Tier 3 - Coastal wind (25-100 miles)</t>
        </is>
      </c>
      <c r="T571" s="36">
        <f>IF($A571="","",IF($S571="","",IFERROR(INDEX('[1]natural catastrophe'!$D$6:$D$17,MATCH($S571,'[1]natural catastrophe'!$B$6:$B$17,0)),"?")))</f>
      </c>
      <c r="U571" s="30" t="inlineStr">
        <is>
          <t xml:space="preserve">2% of agreed value, minimum $10,000</t>
        </is>
      </c>
      <c r="V571" s="32" t="inlineStr">
        <is>
          <t xml:space="preserve">Agreed Value</t>
        </is>
      </c>
      <c r="W571" s="30" t="inlineStr">
        <is>
          <t xml:space="preserve">$1,000</t>
        </is>
      </c>
      <c r="X571" s="32" t="inlineStr">
        <is>
          <t xml:space="preserve">$1,000,000 CSL</t>
        </is>
      </c>
      <c r="Y571" s="30"/>
      <c r="Z571" s="30"/>
      <c r="AA571" s="32" t="inlineStr">
        <is>
          <t xml:space="preserve">Surplus Lines</t>
        </is>
      </c>
      <c r="AB571" s="35">
        <v>9441.32</v>
      </c>
      <c r="AC571" s="37">
        <v>0</v>
      </c>
      <c r="AD571" s="38">
        <f>IF(ISNUMBER($AB571),$AB571*(1+N($AC571)),"")</f>
      </c>
      <c r="AE571" s="35">
        <v>350</v>
      </c>
      <c r="AF571" s="35">
        <v>0</v>
      </c>
      <c r="AG571" s="37"/>
      <c r="AH571" s="39">
        <f>IF(ISNUMBER($AD571),($AD571+$AE571+$AF571)*$AG571,"")</f>
      </c>
      <c r="AI571" s="35"/>
      <c r="AJ571" s="38">
        <f>IF(ISNUMBER($AD571),SUM($AD571:$AH571),"")</f>
      </c>
      <c r="AK571" s="40">
        <f>IF(AND(ISNUMBER($AB571),ISNUMBER($AD571)),IF($AB571&gt;0,$AD571/$AB571,""),"")</f>
      </c>
      <c r="AL571" s="32" t="inlineStr">
        <is>
          <t xml:space="preserve">At technical</t>
        </is>
      </c>
      <c r="AM571" s="41">
        <f>IF(ISNUMBER($AD571),Header!$I$3,"")</f>
      </c>
      <c r="AN571" s="39">
        <f>IF(ISNUMBER($AD571),$AO571+$AP571,"")</f>
      </c>
      <c r="AO571" s="39">
        <f>IF(ISNUMBER($AD571),ROUND($AD571*Header!$K$3,2),"")</f>
      </c>
      <c r="AP571" s="39">
        <f>IF(ISNUMBER($AD571),ROUND($AD571*Header!$M$3,2),"")</f>
      </c>
      <c r="AQ571" s="38">
        <f>IF(ISNUMBER($AD571),ROUND($AD571,2)-$AO571-$AP571,"")</f>
      </c>
      <c r="AR571" s="39">
        <f>IF(ISNUMBER($AD571),IF(Header!$D$34="","?",$AD571*Header!$D$34),"")</f>
      </c>
      <c r="AS571" s="39">
        <f>IF(ISNUMBER($AB571),IF(Header!$D$34="","?",$AB571*Header!$D$34),"")</f>
      </c>
      <c r="AT571" s="42">
        <f>IF(AND(ISNUMBER($AB571),$M571&gt;0),$AB571/$M571*100,"")</f>
      </c>
      <c r="AU571" s="42">
        <f>IF(AND(ISNUMBER($AD571),$M571&gt;0),$AD571/$M571*100,"")</f>
      </c>
      <c r="AV571" s="40">
        <f>IF(AND(ISNUMBER($AB571),ISNUMBER($AD571),ABS($AB571)&gt;0),$AD571/$AB571,"")</f>
      </c>
      <c r="AW571" s="39">
        <f>IF(ISNUMBER($AD571),MAX(0,(1-0.55-Header!$O$3)*Header!$Q$3*$AQ571),"")</f>
      </c>
      <c r="AX571" s="43">
        <f>IF($A571="","",IF(TRIM(IF($A571="","Missing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",""))="","PASS","FAIL: "&amp;TRIM(IF($A571="","Missing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f>
      </c>
      <c r="AY571" s="44">
        <f>IF($M571="","",IF(ISNUMBER($M571),IF($M571&gt;=Header!$C$18,"YES — refer","No"),""))</f>
      </c>
      <c r="AZ571" s="44">
        <f>IF($AD571="","",IF(ISNUMBER($AD571),IF($AD571&lt;Header!$C$20,"BELOW MIN PREMIUM","OK"),""))</f>
      </c>
      <c r="BA571" s="32" t="inlineStr">
        <is>
          <t xml:space="preserve">Yes</t>
        </is>
      </c>
      <c r="BB571" s="32" t="inlineStr">
        <is>
          <t xml:space="preserve">Yes</t>
        </is>
      </c>
      <c r="BC571" s="30" t="inlineStr">
        <is>
          <t xml:space="preserve">Synthetic demo data</t>
        </is>
      </c>
      <c r="BE571" s="45">
        <f>IF(OR($A571="",$L571="",$H571=""),"",IF(AND(LEFT($L571,2)="06",$H571&gt;1945),"FAIL - pre-war class, year "&amp;$H571,IF(AND(LEFT($L571,2)="07",OR($H571&lt;1946,$H571&gt;1972)),"FAIL - 1946-72 class, year "&amp;$H571,IF(AND(LEFT($L571,2)="08",OR($H571&lt;1973,$H571&gt;1999)),"FAIL - 1973-99 class, year "&amp;$H571,IF(AND(LEFT($L571,2)="09",OR($H571&lt;2000,$H571&gt;2010)),"FAIL - 2000-10 class, year "&amp;$H571,"OK")))))</f>
      </c>
      <c r="BF571" s="45">
        <f>IF($AD571="","",IF(ROUND($AO571+$AP571+$AQ571-$AD571,2)=0,"OK","FAIL - out by "&amp;TEXT($AO571+$AP571+$AQ571-$AD571,"$0.00")))</f>
      </c>
    </row>
    <row r="572" spans="1:58" ht="18.75" customHeight="1" x14ac:dyDescent="0.25">
      <c r="A572" s="46" t="inlineStr">
        <is>
          <t xml:space="preserve">CANON-202607-010299</t>
        </is>
      </c>
      <c r="B572" s="46" t="inlineStr">
        <is>
          <t xml:space="preserve">Emiliano Bellandi</t>
        </is>
      </c>
      <c r="C572" s="47">
        <v>46206</v>
      </c>
      <c r="D572" s="48" t="inlineStr">
        <is>
          <t xml:space="preserve">Bound - within authority</t>
        </is>
      </c>
      <c r="E572" s="48" t="inlineStr">
        <is>
          <t xml:space="preserve">New business</t>
        </is>
      </c>
      <c r="F572" s="46" t="inlineStr">
        <is>
          <t xml:space="preserve">B1234EXOTIC26</t>
        </is>
      </c>
      <c r="G572" s="33">
        <f>IF($A572="","",IF($C572="","",YEAR($C572)))</f>
      </c>
      <c r="H572" s="49">
        <v>1969</v>
      </c>
      <c r="I572" s="46" t="inlineStr">
        <is>
          <t xml:space="preserve">BMW</t>
        </is>
      </c>
      <c r="J572" s="46" t="inlineStr">
        <is>
          <t xml:space="preserve">M8 Competition</t>
        </is>
      </c>
      <c r="K572" s="46" t="inlineStr">
        <is>
          <t xml:space="preserve">SPCHW6VFM9LTWKS4Y</t>
        </is>
      </c>
      <c r="L572" s="48" t="inlineStr">
        <is>
          <t xml:space="preserve">02 - Sports / GT</t>
        </is>
      </c>
      <c r="M572" s="50">
        <v>755000</v>
      </c>
      <c r="N572" s="48" t="inlineStr">
        <is>
          <t xml:space="preserve">Personal</t>
        </is>
      </c>
      <c r="O572" s="46" t="inlineStr">
        <is>
          <t xml:space="preserve">Personal - regular use</t>
        </is>
      </c>
      <c r="P572" s="46" t="inlineStr">
        <is>
          <t xml:space="preserve">2,500 - 5,000</t>
        </is>
      </c>
      <c r="Q572" s="46" t="inlineStr">
        <is>
          <t xml:space="preserve">West Virginia</t>
        </is>
      </c>
      <c r="R572" s="46" t="inlineStr">
        <is>
          <t xml:space="preserve">25301</t>
        </is>
      </c>
      <c r="S572" s="48" t="inlineStr">
        <is>
          <t xml:space="preserve">Low hazard - inland benign</t>
        </is>
      </c>
      <c r="T572" s="36">
        <f>IF($A572="","",IF($S572="","",IFERROR(INDEX('[1]natural catastrophe'!$D$6:$D$17,MATCH($S572,'[1]natural catastrophe'!$B$6:$B$17,0)),"?")))</f>
      </c>
      <c r="U572" s="46" t="inlineStr">
        <is>
          <t xml:space="preserve">$5,000</t>
        </is>
      </c>
      <c r="V572" s="48" t="inlineStr">
        <is>
          <t xml:space="preserve">Agreed Value</t>
        </is>
      </c>
      <c r="W572" s="46" t="inlineStr">
        <is>
          <t xml:space="preserve">$1,000</t>
        </is>
      </c>
      <c r="X572" s="48" t="inlineStr">
        <is>
          <t xml:space="preserve">$1,000,000 CSL</t>
        </is>
      </c>
      <c r="Y572" s="46"/>
      <c r="Z572" s="46"/>
      <c r="AA572" s="48" t="inlineStr">
        <is>
          <t xml:space="preserve">Surplus Lines</t>
        </is>
      </c>
      <c r="AB572" s="50">
        <v>9371.75</v>
      </c>
      <c r="AC572" s="51">
        <v>0</v>
      </c>
      <c r="AD572" s="38">
        <f>IF(ISNUMBER($AB572),$AB572*(1+N($AC572)),"")</f>
      </c>
      <c r="AE572" s="50">
        <v>350</v>
      </c>
      <c r="AF572" s="50">
        <v>0</v>
      </c>
      <c r="AG572" s="51"/>
      <c r="AH572" s="39">
        <f>IF(ISNUMBER($AD572),($AD572+$AE572+$AF572)*$AG572,"")</f>
      </c>
      <c r="AI572" s="50"/>
      <c r="AJ572" s="38">
        <f>IF(ISNUMBER($AD572),SUM($AD572:$AH572),"")</f>
      </c>
      <c r="AK572" s="40">
        <f>IF(AND(ISNUMBER($AB572),ISNUMBER($AD572)),IF($AB572&gt;0,$AD572/$AB572,""),"")</f>
      </c>
      <c r="AL572" s="48" t="inlineStr">
        <is>
          <t xml:space="preserve">At technical</t>
        </is>
      </c>
      <c r="AM572" s="41">
        <f>IF(ISNUMBER($AD572),Header!$I$3,"")</f>
      </c>
      <c r="AN572" s="39">
        <f>IF(ISNUMBER($AD572),$AO572+$AP572,"")</f>
      </c>
      <c r="AO572" s="39">
        <f>IF(ISNUMBER($AD572),ROUND($AD572*Header!$K$3,2),"")</f>
      </c>
      <c r="AP572" s="39">
        <f>IF(ISNUMBER($AD572),ROUND($AD572*Header!$M$3,2),"")</f>
      </c>
      <c r="AQ572" s="38">
        <f>IF(ISNUMBER($AD572),ROUND($AD572,2)-$AO572-$AP572,"")</f>
      </c>
      <c r="AR572" s="39">
        <f>IF(ISNUMBER($AD572),IF(Header!$D$34="","?",$AD572*Header!$D$34),"")</f>
      </c>
      <c r="AS572" s="39">
        <f>IF(ISNUMBER($AB572),IF(Header!$D$34="","?",$AB572*Header!$D$34),"")</f>
      </c>
      <c r="AT572" s="42">
        <f>IF(AND(ISNUMBER($AB572),$M572&gt;0),$AB572/$M572*100,"")</f>
      </c>
      <c r="AU572" s="42">
        <f>IF(AND(ISNUMBER($AD572),$M572&gt;0),$AD572/$M572*100,"")</f>
      </c>
      <c r="AV572" s="40">
        <f>IF(AND(ISNUMBER($AB572),ISNUMBER($AD572),ABS($AB572)&gt;0),$AD572/$AB572,"")</f>
      </c>
      <c r="AW572" s="39">
        <f>IF(ISNUMBER($AD572),MAX(0,(1-0.55-Header!$O$3)*Header!$Q$3*$AQ572),"")</f>
      </c>
      <c r="AX572" s="43">
        <f>IF($A572="","",IF(TRIM(IF($A572="","Missing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",""))="","PASS","FAIL: "&amp;TRIM(IF($A572="","Missing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f>
      </c>
      <c r="AY572" s="44">
        <f>IF($M572="","",IF(ISNUMBER($M572),IF($M572&gt;=Header!$C$18,"YES — refer","No"),""))</f>
      </c>
      <c r="AZ572" s="44">
        <f>IF($AD572="","",IF(ISNUMBER($AD572),IF($AD572&lt;Header!$C$20,"BELOW MIN PREMIUM","OK"),""))</f>
      </c>
      <c r="BA572" s="48" t="inlineStr">
        <is>
          <t xml:space="preserve">Yes</t>
        </is>
      </c>
      <c r="BB572" s="48" t="inlineStr">
        <is>
          <t xml:space="preserve">Yes</t>
        </is>
      </c>
      <c r="BC572" s="46" t="inlineStr">
        <is>
          <t xml:space="preserve">Synthetic demo data</t>
        </is>
      </c>
      <c r="BE572" s="45">
        <f>IF(OR($A572="",$L572="",$H572=""),"",IF(AND(LEFT($L572,2)="06",$H572&gt;1945),"FAIL - pre-war class, year "&amp;$H572,IF(AND(LEFT($L572,2)="07",OR($H572&lt;1946,$H572&gt;1972)),"FAIL - 1946-72 class, year "&amp;$H572,IF(AND(LEFT($L572,2)="08",OR($H572&lt;1973,$H572&gt;1999)),"FAIL - 1973-99 class, year "&amp;$H572,IF(AND(LEFT($L572,2)="09",OR($H572&lt;2000,$H572&gt;2010)),"FAIL - 2000-10 class, year "&amp;$H572,"OK")))))</f>
      </c>
      <c r="BF572" s="45">
        <f>IF($AD572="","",IF(ROUND($AO572+$AP572+$AQ572-$AD572,2)=0,"OK","FAIL - out by "&amp;TEXT($AO572+$AP572+$AQ572-$AD572,"$0.00")))</f>
      </c>
    </row>
    <row r="573" spans="1:58" ht="18.75" customHeight="1" x14ac:dyDescent="0.25">
      <c r="A573" s="30" t="inlineStr">
        <is>
          <t xml:space="preserve">CANON-202607-010300</t>
        </is>
      </c>
      <c r="B573" s="30" t="inlineStr">
        <is>
          <t xml:space="preserve">Mireille Kingsford</t>
        </is>
      </c>
      <c r="C573" s="31">
        <v>46234</v>
      </c>
      <c r="D573" s="32" t="inlineStr">
        <is>
          <t xml:space="preserve">Bound - within authority</t>
        </is>
      </c>
      <c r="E573" s="32" t="inlineStr">
        <is>
          <t xml:space="preserve">New business</t>
        </is>
      </c>
      <c r="F573" s="30" t="inlineStr">
        <is>
          <t xml:space="preserve">B1234EXOTIC26</t>
        </is>
      </c>
      <c r="G573" s="33">
        <f>IF($A573="","",IF($C573="","",YEAR($C573)))</f>
      </c>
      <c r="H573" s="34">
        <v>1985</v>
      </c>
      <c r="I573" s="30" t="inlineStr">
        <is>
          <t xml:space="preserve">Lamborghini</t>
        </is>
      </c>
      <c r="J573" s="30" t="inlineStr">
        <is>
          <t xml:space="preserve">Huracan EVO</t>
        </is>
      </c>
      <c r="K573" s="30" t="inlineStr">
        <is>
          <t xml:space="preserve">UAHRBS90MX5C6VX94</t>
        </is>
      </c>
      <c r="L573" s="32" t="inlineStr">
        <is>
          <t xml:space="preserve">03 - Supercar</t>
        </is>
      </c>
      <c r="M573" s="35">
        <v>1330000</v>
      </c>
      <c r="N573" s="32" t="inlineStr">
        <is>
          <t xml:space="preserve">Personal</t>
        </is>
      </c>
      <c r="O573" s="30" t="inlineStr">
        <is>
          <t xml:space="preserve">Personal - regular use</t>
        </is>
      </c>
      <c r="P573" s="30" t="inlineStr">
        <is>
          <t xml:space="preserve">2,500 - 5,000</t>
        </is>
      </c>
      <c r="Q573" s="30" t="inlineStr">
        <is>
          <t xml:space="preserve">California</t>
        </is>
      </c>
      <c r="R573" s="30" t="inlineStr">
        <is>
          <t xml:space="preserve">90012</t>
        </is>
      </c>
      <c r="S573" s="32" t="inlineStr">
        <is>
          <t xml:space="preserve">Earthquake - high (CA, Cascadia, New Madrid)</t>
        </is>
      </c>
      <c r="T573" s="36">
        <f>IF($A573="","",IF($S573="","",IFERROR(INDEX('[1]natural catastrophe'!$D$6:$D$17,MATCH($S573,'[1]natural catastrophe'!$B$6:$B$17,0)),"?")))</f>
      </c>
      <c r="U573" s="30" t="inlineStr">
        <is>
          <t xml:space="preserve">$5,000</t>
        </is>
      </c>
      <c r="V573" s="32" t="inlineStr">
        <is>
          <t xml:space="preserve">Agreed Value</t>
        </is>
      </c>
      <c r="W573" s="30" t="inlineStr">
        <is>
          <t xml:space="preserve">$1,000</t>
        </is>
      </c>
      <c r="X573" s="32" t="inlineStr">
        <is>
          <t xml:space="preserve">$1,000,000 CSL</t>
        </is>
      </c>
      <c r="Y573" s="30"/>
      <c r="Z573" s="30"/>
      <c r="AA573" s="32" t="inlineStr">
        <is>
          <t xml:space="preserve">Surplus Lines</t>
        </is>
      </c>
      <c r="AB573" s="35">
        <v>20624.54</v>
      </c>
      <c r="AC573" s="37">
        <v>0</v>
      </c>
      <c r="AD573" s="38">
        <f>IF(ISNUMBER($AB573),$AB573*(1+N($AC573)),"")</f>
      </c>
      <c r="AE573" s="35">
        <v>350</v>
      </c>
      <c r="AF573" s="35">
        <v>250</v>
      </c>
      <c r="AG573" s="37"/>
      <c r="AH573" s="39">
        <f>IF(ISNUMBER($AD573),($AD573+$AE573+$AF573)*$AG573,"")</f>
      </c>
      <c r="AI573" s="35"/>
      <c r="AJ573" s="38">
        <f>IF(ISNUMBER($AD573),SUM($AD573:$AH573),"")</f>
      </c>
      <c r="AK573" s="40">
        <f>IF(AND(ISNUMBER($AB573),ISNUMBER($AD573)),IF($AB573&gt;0,$AD573/$AB573,""),"")</f>
      </c>
      <c r="AL573" s="32" t="inlineStr">
        <is>
          <t xml:space="preserve">At technical</t>
        </is>
      </c>
      <c r="AM573" s="41">
        <f>IF(ISNUMBER($AD573),Header!$I$3,"")</f>
      </c>
      <c r="AN573" s="39">
        <f>IF(ISNUMBER($AD573),$AO573+$AP573,"")</f>
      </c>
      <c r="AO573" s="39">
        <f>IF(ISNUMBER($AD573),ROUND($AD573*Header!$K$3,2),"")</f>
      </c>
      <c r="AP573" s="39">
        <f>IF(ISNUMBER($AD573),ROUND($AD573*Header!$M$3,2),"")</f>
      </c>
      <c r="AQ573" s="38">
        <f>IF(ISNUMBER($AD573),ROUND($AD573,2)-$AO573-$AP573,"")</f>
      </c>
      <c r="AR573" s="39">
        <f>IF(ISNUMBER($AD573),IF(Header!$D$34="","?",$AD573*Header!$D$34),"")</f>
      </c>
      <c r="AS573" s="39">
        <f>IF(ISNUMBER($AB573),IF(Header!$D$34="","?",$AB573*Header!$D$34),"")</f>
      </c>
      <c r="AT573" s="42">
        <f>IF(AND(ISNUMBER($AB573),$M573&gt;0),$AB573/$M573*100,"")</f>
      </c>
      <c r="AU573" s="42">
        <f>IF(AND(ISNUMBER($AD573),$M573&gt;0),$AD573/$M573*100,"")</f>
      </c>
      <c r="AV573" s="40">
        <f>IF(AND(ISNUMBER($AB573),ISNUMBER($AD573),ABS($AB573)&gt;0),$AD573/$AB573,"")</f>
      </c>
      <c r="AW573" s="39">
        <f>IF(ISNUMBER($AD573),MAX(0,(1-0.55-Header!$O$3)*Header!$Q$3*$AQ573),"")</f>
      </c>
      <c r="AX573" s="43">
        <f>IF($A573="","",IF(TRIM(IF($A573="","Missing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",""))="","PASS","FAIL: "&amp;TRIM(IF($A573="","Missing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f>
      </c>
      <c r="AY573" s="44">
        <f>IF($M573="","",IF(ISNUMBER($M573),IF($M573&gt;=Header!$C$18,"YES — refer","No"),""))</f>
      </c>
      <c r="AZ573" s="44">
        <f>IF($AD573="","",IF(ISNUMBER($AD573),IF($AD573&lt;Header!$C$20,"BELOW MIN PREMIUM","OK"),""))</f>
      </c>
      <c r="BA573" s="32" t="inlineStr">
        <is>
          <t xml:space="preserve">Yes</t>
        </is>
      </c>
      <c r="BB573" s="32" t="inlineStr">
        <is>
          <t xml:space="preserve">Yes</t>
        </is>
      </c>
      <c r="BC573" s="30" t="inlineStr">
        <is>
          <t xml:space="preserve">Synthetic demo data</t>
        </is>
      </c>
      <c r="BE573" s="45">
        <f>IF(OR($A573="",$L573="",$H573=""),"",IF(AND(LEFT($L573,2)="06",$H573&gt;1945),"FAIL - pre-war class, year "&amp;$H573,IF(AND(LEFT($L573,2)="07",OR($H573&lt;1946,$H573&gt;1972)),"FAIL - 1946-72 class, year "&amp;$H573,IF(AND(LEFT($L573,2)="08",OR($H573&lt;1973,$H573&gt;1999)),"FAIL - 1973-99 class, year "&amp;$H573,IF(AND(LEFT($L573,2)="09",OR($H573&lt;2000,$H573&gt;2010)),"FAIL - 2000-10 class, year "&amp;$H573,"OK")))))</f>
      </c>
      <c r="BF573" s="45">
        <f>IF($AD573="","",IF(ROUND($AO573+$AP573+$AQ573-$AD573,2)=0,"OK","FAIL - out by "&amp;TEXT($AO573+$AP573+$AQ573-$AD573,"$0.00")))</f>
      </c>
    </row>
    <row r="574" spans="1:58" ht="18.75" customHeight="1" x14ac:dyDescent="0.25">
      <c r="A574" s="46" t="inlineStr">
        <is>
          <t xml:space="preserve">CANON-202607-010302</t>
        </is>
      </c>
      <c r="B574" s="46" t="inlineStr">
        <is>
          <t xml:space="preserve">Marisol Merriweather</t>
        </is>
      </c>
      <c r="C574" s="47">
        <v>46213</v>
      </c>
      <c r="D574" s="48" t="inlineStr">
        <is>
          <t xml:space="preserve">Bound - within authority</t>
        </is>
      </c>
      <c r="E574" s="48" t="inlineStr">
        <is>
          <t xml:space="preserve">New business</t>
        </is>
      </c>
      <c r="F574" s="46" t="inlineStr">
        <is>
          <t xml:space="preserve">B1234EXOTIC26</t>
        </is>
      </c>
      <c r="G574" s="33">
        <f>IF($A574="","",IF($C574="","",YEAR($C574)))</f>
      </c>
      <c r="H574" s="49">
        <v>1976</v>
      </c>
      <c r="I574" s="46" t="inlineStr">
        <is>
          <t xml:space="preserve">Mercedes-Benz</t>
        </is>
      </c>
      <c r="J574" s="46" t="inlineStr">
        <is>
          <t xml:space="preserve">AMG GT</t>
        </is>
      </c>
      <c r="K574" s="46" t="inlineStr">
        <is>
          <t xml:space="preserve">KC6UKSKF8AK89E6P0</t>
        </is>
      </c>
      <c r="L574" s="48" t="inlineStr">
        <is>
          <t xml:space="preserve">02 - Sports / GT</t>
        </is>
      </c>
      <c r="M574" s="50">
        <v>490000</v>
      </c>
      <c r="N574" s="48" t="inlineStr">
        <is>
          <t xml:space="preserve">Personal</t>
        </is>
      </c>
      <c r="O574" s="46" t="inlineStr">
        <is>
          <t xml:space="preserve">Personal - regular use</t>
        </is>
      </c>
      <c r="P574" s="46" t="inlineStr">
        <is>
          <t xml:space="preserve">1,000 - 2,500</t>
        </is>
      </c>
      <c r="Q574" s="46" t="inlineStr">
        <is>
          <t xml:space="preserve">South Carolina</t>
        </is>
      </c>
      <c r="R574" s="46" t="inlineStr">
        <is>
          <t xml:space="preserve">29401</t>
        </is>
      </c>
      <c r="S574" s="48" t="inlineStr">
        <is>
          <t xml:space="preserve">Tier 2 - Coastal wind (1-25 miles)</t>
        </is>
      </c>
      <c r="T574" s="36">
        <f>IF($A574="","",IF($S574="","",IFERROR(INDEX('[1]natural catastrophe'!$D$6:$D$17,MATCH($S574,'[1]natural catastrophe'!$B$6:$B$17,0)),"?")))</f>
      </c>
      <c r="U574" s="46" t="inlineStr">
        <is>
          <t xml:space="preserve">2% of agreed value, minimum $10,000</t>
        </is>
      </c>
      <c r="V574" s="48" t="inlineStr">
        <is>
          <t xml:space="preserve">Agreed Value</t>
        </is>
      </c>
      <c r="W574" s="46" t="inlineStr">
        <is>
          <t xml:space="preserve">$1,000</t>
        </is>
      </c>
      <c r="X574" s="48" t="inlineStr">
        <is>
          <t xml:space="preserve">$1,000,000 CSL</t>
        </is>
      </c>
      <c r="Y574" s="46"/>
      <c r="Z574" s="46"/>
      <c r="AA574" s="48" t="inlineStr">
        <is>
          <t xml:space="preserve">Surplus Lines</t>
        </is>
      </c>
      <c r="AB574" s="50">
        <v>6543.16</v>
      </c>
      <c r="AC574" s="51">
        <v>0</v>
      </c>
      <c r="AD574" s="38">
        <f>IF(ISNUMBER($AB574),$AB574*(1+N($AC574)),"")</f>
      </c>
      <c r="AE574" s="50">
        <v>350</v>
      </c>
      <c r="AF574" s="50">
        <v>0</v>
      </c>
      <c r="AG574" s="51"/>
      <c r="AH574" s="39">
        <f>IF(ISNUMBER($AD574),($AD574+$AE574+$AF574)*$AG574,"")</f>
      </c>
      <c r="AI574" s="50"/>
      <c r="AJ574" s="38">
        <f>IF(ISNUMBER($AD574),SUM($AD574:$AH574),"")</f>
      </c>
      <c r="AK574" s="40">
        <f>IF(AND(ISNUMBER($AB574),ISNUMBER($AD574)),IF($AB574&gt;0,$AD574/$AB574,""),"")</f>
      </c>
      <c r="AL574" s="48" t="inlineStr">
        <is>
          <t xml:space="preserve">At technical</t>
        </is>
      </c>
      <c r="AM574" s="41">
        <f>IF(ISNUMBER($AD574),Header!$I$3,"")</f>
      </c>
      <c r="AN574" s="39">
        <f>IF(ISNUMBER($AD574),$AO574+$AP574,"")</f>
      </c>
      <c r="AO574" s="39">
        <f>IF(ISNUMBER($AD574),ROUND($AD574*Header!$K$3,2),"")</f>
      </c>
      <c r="AP574" s="39">
        <f>IF(ISNUMBER($AD574),ROUND($AD574*Header!$M$3,2),"")</f>
      </c>
      <c r="AQ574" s="38">
        <f>IF(ISNUMBER($AD574),ROUND($AD574,2)-$AO574-$AP574,"")</f>
      </c>
      <c r="AR574" s="39">
        <f>IF(ISNUMBER($AD574),IF(Header!$D$34="","?",$AD574*Header!$D$34),"")</f>
      </c>
      <c r="AS574" s="39">
        <f>IF(ISNUMBER($AB574),IF(Header!$D$34="","?",$AB574*Header!$D$34),"")</f>
      </c>
      <c r="AT574" s="42">
        <f>IF(AND(ISNUMBER($AB574),$M574&gt;0),$AB574/$M574*100,"")</f>
      </c>
      <c r="AU574" s="42">
        <f>IF(AND(ISNUMBER($AD574),$M574&gt;0),$AD574/$M574*100,"")</f>
      </c>
      <c r="AV574" s="40">
        <f>IF(AND(ISNUMBER($AB574),ISNUMBER($AD574),ABS($AB574)&gt;0),$AD574/$AB574,"")</f>
      </c>
      <c r="AW574" s="39">
        <f>IF(ISNUMBER($AD574),MAX(0,(1-0.55-Header!$O$3)*Header!$Q$3*$AQ574),"")</f>
      </c>
      <c r="AX574" s="43">
        <f>IF($A574="","",IF(TRIM(IF($A574="","Missing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",""))="","PASS","FAIL: "&amp;TRIM(IF($A574="","Missing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f>
      </c>
      <c r="AY574" s="44">
        <f>IF($M574="","",IF(ISNUMBER($M574),IF($M574&gt;=Header!$C$18,"YES — refer","No"),""))</f>
      </c>
      <c r="AZ574" s="44">
        <f>IF($AD574="","",IF(ISNUMBER($AD574),IF($AD574&lt;Header!$C$20,"BELOW MIN PREMIUM","OK"),""))</f>
      </c>
      <c r="BA574" s="48" t="inlineStr">
        <is>
          <t xml:space="preserve">Yes</t>
        </is>
      </c>
      <c r="BB574" s="48" t="inlineStr">
        <is>
          <t xml:space="preserve">Yes</t>
        </is>
      </c>
      <c r="BC574" s="46" t="inlineStr">
        <is>
          <t xml:space="preserve">Synthetic demo data</t>
        </is>
      </c>
      <c r="BE574" s="45">
        <f>IF(OR($A574="",$L574="",$H574=""),"",IF(AND(LEFT($L574,2)="06",$H574&gt;1945),"FAIL - pre-war class, year "&amp;$H574,IF(AND(LEFT($L574,2)="07",OR($H574&lt;1946,$H574&gt;1972)),"FAIL - 1946-72 class, year "&amp;$H574,IF(AND(LEFT($L574,2)="08",OR($H574&lt;1973,$H574&gt;1999)),"FAIL - 1973-99 class, year "&amp;$H574,IF(AND(LEFT($L574,2)="09",OR($H574&lt;2000,$H574&gt;2010)),"FAIL - 2000-10 class, year "&amp;$H574,"OK")))))</f>
      </c>
      <c r="BF574" s="45">
        <f>IF($AD574="","",IF(ROUND($AO574+$AP574+$AQ574-$AD574,2)=0,"OK","FAIL - out by "&amp;TEXT($AO574+$AP574+$AQ574-$AD574,"$0.00")))</f>
      </c>
    </row>
    <row r="575" spans="1:58" ht="18.75" customHeight="1" x14ac:dyDescent="0.25">
      <c r="A575" s="30" t="inlineStr">
        <is>
          <t xml:space="preserve">CANON-202607-010303</t>
        </is>
      </c>
      <c r="B575" s="30" t="inlineStr">
        <is>
          <t xml:space="preserve">Priya Castellanos</t>
        </is>
      </c>
      <c r="C575" s="31">
        <v>46224</v>
      </c>
      <c r="D575" s="32" t="inlineStr">
        <is>
          <t xml:space="preserve">Bound - within authority</t>
        </is>
      </c>
      <c r="E575" s="32" t="inlineStr">
        <is>
          <t xml:space="preserve">New business</t>
        </is>
      </c>
      <c r="F575" s="30" t="inlineStr">
        <is>
          <t xml:space="preserve">B1234EXOTIC26</t>
        </is>
      </c>
      <c r="G575" s="33">
        <f>IF($A575="","",IF($C575="","",YEAR($C575)))</f>
      </c>
      <c r="H575" s="34">
        <v>1974</v>
      </c>
      <c r="I575" s="30" t="inlineStr">
        <is>
          <t xml:space="preserve">Ferrari</t>
        </is>
      </c>
      <c r="J575" s="30" t="inlineStr">
        <is>
          <t xml:space="preserve">275 GTB/4</t>
        </is>
      </c>
      <c r="K575" s="30" t="inlineStr">
        <is>
          <t xml:space="preserve">VWLKTCPBAHTPZWGT6</t>
        </is>
      </c>
      <c r="L575" s="32" t="inlineStr">
        <is>
          <t xml:space="preserve">08 - Modern Classic (1973-1999)</t>
        </is>
      </c>
      <c r="M575" s="35">
        <v>1180000</v>
      </c>
      <c r="N575" s="32" t="inlineStr">
        <is>
          <t xml:space="preserve">Personal</t>
        </is>
      </c>
      <c r="O575" s="30" t="inlineStr">
        <is>
          <t xml:space="preserve">Personal - regular use</t>
        </is>
      </c>
      <c r="P575" s="30" t="inlineStr">
        <is>
          <t xml:space="preserve">2,500 - 5,000</t>
        </is>
      </c>
      <c r="Q575" s="30" t="inlineStr">
        <is>
          <t xml:space="preserve">Pennsylvania</t>
        </is>
      </c>
      <c r="R575" s="30" t="inlineStr">
        <is>
          <t xml:space="preserve">19103</t>
        </is>
      </c>
      <c r="S575" s="32" t="inlineStr">
        <is>
          <t xml:space="preserve">Low hazard - inland benign</t>
        </is>
      </c>
      <c r="T575" s="36">
        <f>IF($A575="","",IF($S575="","",IFERROR(INDEX('[1]natural catastrophe'!$D$6:$D$17,MATCH($S575,'[1]natural catastrophe'!$B$6:$B$17,0)),"?")))</f>
      </c>
      <c r="U575" s="30" t="inlineStr">
        <is>
          <t xml:space="preserve">$5,000</t>
        </is>
      </c>
      <c r="V575" s="32" t="inlineStr">
        <is>
          <t xml:space="preserve">Agreed Value</t>
        </is>
      </c>
      <c r="W575" s="30" t="inlineStr">
        <is>
          <t xml:space="preserve">$1,000</t>
        </is>
      </c>
      <c r="X575" s="32" t="inlineStr">
        <is>
          <t xml:space="preserve">$1,000,000 CSL</t>
        </is>
      </c>
      <c r="Y575" s="30"/>
      <c r="Z575" s="30"/>
      <c r="AA575" s="32" t="inlineStr">
        <is>
          <t xml:space="preserve">Surplus Lines</t>
        </is>
      </c>
      <c r="AB575" s="35">
        <v>6438.35</v>
      </c>
      <c r="AC575" s="37">
        <v>0</v>
      </c>
      <c r="AD575" s="38">
        <f>IF(ISNUMBER($AB575),$AB575*(1+N($AC575)),"")</f>
      </c>
      <c r="AE575" s="35">
        <v>350</v>
      </c>
      <c r="AF575" s="35">
        <v>250</v>
      </c>
      <c r="AG575" s="37"/>
      <c r="AH575" s="39">
        <f>IF(ISNUMBER($AD575),($AD575+$AE575+$AF575)*$AG575,"")</f>
      </c>
      <c r="AI575" s="35"/>
      <c r="AJ575" s="38">
        <f>IF(ISNUMBER($AD575),SUM($AD575:$AH575),"")</f>
      </c>
      <c r="AK575" s="40">
        <f>IF(AND(ISNUMBER($AB575),ISNUMBER($AD575)),IF($AB575&gt;0,$AD575/$AB575,""),"")</f>
      </c>
      <c r="AL575" s="32" t="inlineStr">
        <is>
          <t xml:space="preserve">At technical</t>
        </is>
      </c>
      <c r="AM575" s="41">
        <f>IF(ISNUMBER($AD575),Header!$I$3,"")</f>
      </c>
      <c r="AN575" s="39">
        <f>IF(ISNUMBER($AD575),$AO575+$AP575,"")</f>
      </c>
      <c r="AO575" s="39">
        <f>IF(ISNUMBER($AD575),ROUND($AD575*Header!$K$3,2),"")</f>
      </c>
      <c r="AP575" s="39">
        <f>IF(ISNUMBER($AD575),ROUND($AD575*Header!$M$3,2),"")</f>
      </c>
      <c r="AQ575" s="38">
        <f>IF(ISNUMBER($AD575),ROUND($AD575,2)-$AO575-$AP575,"")</f>
      </c>
      <c r="AR575" s="39">
        <f>IF(ISNUMBER($AD575),IF(Header!$D$34="","?",$AD575*Header!$D$34),"")</f>
      </c>
      <c r="AS575" s="39">
        <f>IF(ISNUMBER($AB575),IF(Header!$D$34="","?",$AB575*Header!$D$34),"")</f>
      </c>
      <c r="AT575" s="42">
        <f>IF(AND(ISNUMBER($AB575),$M575&gt;0),$AB575/$M575*100,"")</f>
      </c>
      <c r="AU575" s="42">
        <f>IF(AND(ISNUMBER($AD575),$M575&gt;0),$AD575/$M575*100,"")</f>
      </c>
      <c r="AV575" s="40">
        <f>IF(AND(ISNUMBER($AB575),ISNUMBER($AD575),ABS($AB575)&gt;0),$AD575/$AB575,"")</f>
      </c>
      <c r="AW575" s="39">
        <f>IF(ISNUMBER($AD575),MAX(0,(1-0.55-Header!$O$3)*Header!$Q$3*$AQ575),"")</f>
      </c>
      <c r="AX575" s="43">
        <f>IF($A575="","",IF(TRIM(IF($A575="","Missing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",""))="","PASS","FAIL: "&amp;TRIM(IF($A575="","Missing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f>
      </c>
      <c r="AY575" s="44">
        <f>IF($M575="","",IF(ISNUMBER($M575),IF($M575&gt;=Header!$C$18,"YES — refer","No"),""))</f>
      </c>
      <c r="AZ575" s="44">
        <f>IF($AD575="","",IF(ISNUMBER($AD575),IF($AD575&lt;Header!$C$20,"BELOW MIN PREMIUM","OK"),""))</f>
      </c>
      <c r="BA575" s="32" t="inlineStr">
        <is>
          <t xml:space="preserve">Yes</t>
        </is>
      </c>
      <c r="BB575" s="32" t="inlineStr">
        <is>
          <t xml:space="preserve">Yes</t>
        </is>
      </c>
      <c r="BC575" s="30" t="inlineStr">
        <is>
          <t xml:space="preserve">Synthetic demo data</t>
        </is>
      </c>
      <c r="BE575" s="45">
        <f>IF(OR($A575="",$L575="",$H575=""),"",IF(AND(LEFT($L575,2)="06",$H575&gt;1945),"FAIL - pre-war class, year "&amp;$H575,IF(AND(LEFT($L575,2)="07",OR($H575&lt;1946,$H575&gt;1972)),"FAIL - 1946-72 class, year "&amp;$H575,IF(AND(LEFT($L575,2)="08",OR($H575&lt;1973,$H575&gt;1999)),"FAIL - 1973-99 class, year "&amp;$H575,IF(AND(LEFT($L575,2)="09",OR($H575&lt;2000,$H575&gt;2010)),"FAIL - 2000-10 class, year "&amp;$H575,"OK")))))</f>
      </c>
      <c r="BF575" s="45">
        <f>IF($AD575="","",IF(ROUND($AO575+$AP575+$AQ575-$AD575,2)=0,"OK","FAIL - out by "&amp;TEXT($AO575+$AP575+$AQ575-$AD575,"$0.00")))</f>
      </c>
    </row>
    <row r="576" spans="1:58" ht="18.75" customHeight="1" x14ac:dyDescent="0.25">
      <c r="A576" s="46" t="inlineStr">
        <is>
          <t xml:space="preserve">CANON-202607-010306</t>
        </is>
      </c>
      <c r="B576" s="46" t="inlineStr">
        <is>
          <t xml:space="preserve">Ottilie Chattopadhyay</t>
        </is>
      </c>
      <c r="C576" s="47">
        <v>46209</v>
      </c>
      <c r="D576" s="48" t="inlineStr">
        <is>
          <t xml:space="preserve">Bound - within authority</t>
        </is>
      </c>
      <c r="E576" s="48" t="inlineStr">
        <is>
          <t xml:space="preserve">New business</t>
        </is>
      </c>
      <c r="F576" s="46" t="inlineStr">
        <is>
          <t xml:space="preserve">B1234EXOTIC26</t>
        </is>
      </c>
      <c r="G576" s="33">
        <f>IF($A576="","",IF($C576="","",YEAR($C576)))</f>
      </c>
      <c r="H576" s="49">
        <v>2005</v>
      </c>
      <c r="I576" s="46" t="inlineStr">
        <is>
          <t xml:space="preserve">BMW</t>
        </is>
      </c>
      <c r="J576" s="46" t="inlineStr">
        <is>
          <t xml:space="preserve">M8 Competition</t>
        </is>
      </c>
      <c r="K576" s="46" t="inlineStr">
        <is>
          <t xml:space="preserve">D44D9MK2CY517ECCL</t>
        </is>
      </c>
      <c r="L576" s="48" t="inlineStr">
        <is>
          <t xml:space="preserve">02 - Sports / GT</t>
        </is>
      </c>
      <c r="M576" s="50">
        <v>460000</v>
      </c>
      <c r="N576" s="48" t="inlineStr">
        <is>
          <t xml:space="preserve">Personal</t>
        </is>
      </c>
      <c r="O576" s="46" t="inlineStr">
        <is>
          <t xml:space="preserve">Personal - regular use</t>
        </is>
      </c>
      <c r="P576" s="46" t="inlineStr">
        <is>
          <t xml:space="preserve">2,500 - 5,000</t>
        </is>
      </c>
      <c r="Q576" s="46" t="inlineStr">
        <is>
          <t xml:space="preserve">North Dakota</t>
        </is>
      </c>
      <c r="R576" s="46" t="inlineStr">
        <is>
          <t xml:space="preserve">58501</t>
        </is>
      </c>
      <c r="S576" s="48" t="inlineStr">
        <is>
          <t xml:space="preserve">Severe convective - hail alley (high)</t>
        </is>
      </c>
      <c r="T576" s="36">
        <f>IF($A576="","",IF($S576="","",IFERROR(INDEX('[1]natural catastrophe'!$D$6:$D$17,MATCH($S576,'[1]natural catastrophe'!$B$6:$B$17,0)),"?")))</f>
      </c>
      <c r="U576" s="46" t="inlineStr">
        <is>
          <t xml:space="preserve">$5,000</t>
        </is>
      </c>
      <c r="V576" s="48" t="inlineStr">
        <is>
          <t xml:space="preserve">Agreed Value</t>
        </is>
      </c>
      <c r="W576" s="46" t="inlineStr">
        <is>
          <t xml:space="preserve">$1,000</t>
        </is>
      </c>
      <c r="X576" s="48" t="inlineStr">
        <is>
          <t xml:space="preserve">$1,000,000 CSL</t>
        </is>
      </c>
      <c r="Y576" s="46"/>
      <c r="Z576" s="46"/>
      <c r="AA576" s="48" t="inlineStr">
        <is>
          <t xml:space="preserve">Surplus Lines</t>
        </is>
      </c>
      <c r="AB576" s="50">
        <v>5052.75</v>
      </c>
      <c r="AC576" s="51">
        <v>0</v>
      </c>
      <c r="AD576" s="38">
        <f>IF(ISNUMBER($AB576),$AB576*(1+N($AC576)),"")</f>
      </c>
      <c r="AE576" s="50">
        <v>350</v>
      </c>
      <c r="AF576" s="50">
        <v>0</v>
      </c>
      <c r="AG576" s="51"/>
      <c r="AH576" s="39">
        <f>IF(ISNUMBER($AD576),($AD576+$AE576+$AF576)*$AG576,"")</f>
      </c>
      <c r="AI576" s="50"/>
      <c r="AJ576" s="38">
        <f>IF(ISNUMBER($AD576),SUM($AD576:$AH576),"")</f>
      </c>
      <c r="AK576" s="40">
        <f>IF(AND(ISNUMBER($AB576),ISNUMBER($AD576)),IF($AB576&gt;0,$AD576/$AB576,""),"")</f>
      </c>
      <c r="AL576" s="48" t="inlineStr">
        <is>
          <t xml:space="preserve">At technical</t>
        </is>
      </c>
      <c r="AM576" s="41">
        <f>IF(ISNUMBER($AD576),Header!$I$3,"")</f>
      </c>
      <c r="AN576" s="39">
        <f>IF(ISNUMBER($AD576),$AO576+$AP576,"")</f>
      </c>
      <c r="AO576" s="39">
        <f>IF(ISNUMBER($AD576),ROUND($AD576*Header!$K$3,2),"")</f>
      </c>
      <c r="AP576" s="39">
        <f>IF(ISNUMBER($AD576),ROUND($AD576*Header!$M$3,2),"")</f>
      </c>
      <c r="AQ576" s="38">
        <f>IF(ISNUMBER($AD576),ROUND($AD576,2)-$AO576-$AP576,"")</f>
      </c>
      <c r="AR576" s="39">
        <f>IF(ISNUMBER($AD576),IF(Header!$D$34="","?",$AD576*Header!$D$34),"")</f>
      </c>
      <c r="AS576" s="39">
        <f>IF(ISNUMBER($AB576),IF(Header!$D$34="","?",$AB576*Header!$D$34),"")</f>
      </c>
      <c r="AT576" s="42">
        <f>IF(AND(ISNUMBER($AB576),$M576&gt;0),$AB576/$M576*100,"")</f>
      </c>
      <c r="AU576" s="42">
        <f>IF(AND(ISNUMBER($AD576),$M576&gt;0),$AD576/$M576*100,"")</f>
      </c>
      <c r="AV576" s="40">
        <f>IF(AND(ISNUMBER($AB576),ISNUMBER($AD576),ABS($AB576)&gt;0),$AD576/$AB576,"")</f>
      </c>
      <c r="AW576" s="39">
        <f>IF(ISNUMBER($AD576),MAX(0,(1-0.55-Header!$O$3)*Header!$Q$3*$AQ576),"")</f>
      </c>
      <c r="AX576" s="43">
        <f>IF($A576="","",IF(TRIM(IF($A576="","Missing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",""))="","PASS","FAIL: "&amp;TRIM(IF($A576="","Missing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f>
      </c>
      <c r="AY576" s="44">
        <f>IF($M576="","",IF(ISNUMBER($M576),IF($M576&gt;=Header!$C$18,"YES — refer","No"),""))</f>
      </c>
      <c r="AZ576" s="44">
        <f>IF($AD576="","",IF(ISNUMBER($AD576),IF($AD576&lt;Header!$C$20,"BELOW MIN PREMIUM","OK"),""))</f>
      </c>
      <c r="BA576" s="48" t="inlineStr">
        <is>
          <t xml:space="preserve">Yes</t>
        </is>
      </c>
      <c r="BB576" s="48" t="inlineStr">
        <is>
          <t xml:space="preserve">Yes</t>
        </is>
      </c>
      <c r="BC576" s="46" t="inlineStr">
        <is>
          <t xml:space="preserve">Synthetic demo data</t>
        </is>
      </c>
      <c r="BE576" s="45">
        <f>IF(OR($A576="",$L576="",$H576=""),"",IF(AND(LEFT($L576,2)="06",$H576&gt;1945),"FAIL - pre-war class, year "&amp;$H576,IF(AND(LEFT($L576,2)="07",OR($H576&lt;1946,$H576&gt;1972)),"FAIL - 1946-72 class, year "&amp;$H576,IF(AND(LEFT($L576,2)="08",OR($H576&lt;1973,$H576&gt;1999)),"FAIL - 1973-99 class, year "&amp;$H576,IF(AND(LEFT($L576,2)="09",OR($H576&lt;2000,$H576&gt;2010)),"FAIL - 2000-10 class, year "&amp;$H576,"OK")))))</f>
      </c>
      <c r="BF576" s="45">
        <f>IF($AD576="","",IF(ROUND($AO576+$AP576+$AQ576-$AD576,2)=0,"OK","FAIL - out by "&amp;TEXT($AO576+$AP576+$AQ576-$AD576,"$0.00")))</f>
      </c>
    </row>
    <row r="577" spans="1:58" ht="18.75" customHeight="1" x14ac:dyDescent="0.25">
      <c r="A577" s="30" t="inlineStr">
        <is>
          <t xml:space="preserve">CANON-202607-010308</t>
        </is>
      </c>
      <c r="B577" s="30" t="inlineStr">
        <is>
          <t xml:space="preserve">Emiliano Merriweather</t>
        </is>
      </c>
      <c r="C577" s="31">
        <v>46204</v>
      </c>
      <c r="D577" s="32" t="inlineStr">
        <is>
          <t xml:space="preserve">Bound - within authority</t>
        </is>
      </c>
      <c r="E577" s="32" t="inlineStr">
        <is>
          <t xml:space="preserve">New business</t>
        </is>
      </c>
      <c r="F577" s="30" t="inlineStr">
        <is>
          <t xml:space="preserve">B1234EXOTIC26</t>
        </is>
      </c>
      <c r="G577" s="33">
        <f>IF($A577="","",IF($C577="","",YEAR($C577)))</f>
      </c>
      <c r="H577" s="34">
        <v>1979</v>
      </c>
      <c r="I577" s="30" t="inlineStr">
        <is>
          <t xml:space="preserve">Maserati</t>
        </is>
      </c>
      <c r="J577" s="30" t="inlineStr">
        <is>
          <t xml:space="preserve">GranTurismo</t>
        </is>
      </c>
      <c r="K577" s="30" t="inlineStr">
        <is>
          <t xml:space="preserve">3VY3NXTF57AUN7UDW</t>
        </is>
      </c>
      <c r="L577" s="32" t="inlineStr">
        <is>
          <t xml:space="preserve">02 - Sports / GT</t>
        </is>
      </c>
      <c r="M577" s="35">
        <v>785000</v>
      </c>
      <c r="N577" s="32" t="inlineStr">
        <is>
          <t xml:space="preserve">Personal</t>
        </is>
      </c>
      <c r="O577" s="30" t="inlineStr">
        <is>
          <t xml:space="preserve">Personal - regular use</t>
        </is>
      </c>
      <c r="P577" s="30" t="inlineStr">
        <is>
          <t xml:space="preserve">1,000 - 2,500</t>
        </is>
      </c>
      <c r="Q577" s="30" t="inlineStr">
        <is>
          <t xml:space="preserve">California</t>
        </is>
      </c>
      <c r="R577" s="30" t="inlineStr">
        <is>
          <t xml:space="preserve">90012</t>
        </is>
      </c>
      <c r="S577" s="32" t="inlineStr">
        <is>
          <t xml:space="preserve">Earthquake - high (CA, Cascadia, New Madrid)</t>
        </is>
      </c>
      <c r="T577" s="36">
        <f>IF($A577="","",IF($S577="","",IFERROR(INDEX('[1]natural catastrophe'!$D$6:$D$17,MATCH($S577,'[1]natural catastrophe'!$B$6:$B$17,0)),"?")))</f>
      </c>
      <c r="U577" s="30" t="inlineStr">
        <is>
          <t xml:space="preserve">$5,000</t>
        </is>
      </c>
      <c r="V577" s="32" t="inlineStr">
        <is>
          <t xml:space="preserve">Agreed Value</t>
        </is>
      </c>
      <c r="W577" s="30" t="inlineStr">
        <is>
          <t xml:space="preserve">$1,000</t>
        </is>
      </c>
      <c r="X577" s="32" t="inlineStr">
        <is>
          <t xml:space="preserve">$1,000,000 CSL</t>
        </is>
      </c>
      <c r="Y577" s="30"/>
      <c r="Z577" s="30"/>
      <c r="AA577" s="32" t="inlineStr">
        <is>
          <t xml:space="preserve">Surplus Lines</t>
        </is>
      </c>
      <c r="AB577" s="35">
        <v>9890.66</v>
      </c>
      <c r="AC577" s="37">
        <v>0</v>
      </c>
      <c r="AD577" s="38">
        <f>IF(ISNUMBER($AB577),$AB577*(1+N($AC577)),"")</f>
      </c>
      <c r="AE577" s="35">
        <v>350</v>
      </c>
      <c r="AF577" s="35">
        <v>0</v>
      </c>
      <c r="AG577" s="37"/>
      <c r="AH577" s="39">
        <f>IF(ISNUMBER($AD577),($AD577+$AE577+$AF577)*$AG577,"")</f>
      </c>
      <c r="AI577" s="35"/>
      <c r="AJ577" s="38">
        <f>IF(ISNUMBER($AD577),SUM($AD577:$AH577),"")</f>
      </c>
      <c r="AK577" s="40">
        <f>IF(AND(ISNUMBER($AB577),ISNUMBER($AD577)),IF($AB577&gt;0,$AD577/$AB577,""),"")</f>
      </c>
      <c r="AL577" s="32" t="inlineStr">
        <is>
          <t xml:space="preserve">At technical</t>
        </is>
      </c>
      <c r="AM577" s="41">
        <f>IF(ISNUMBER($AD577),Header!$I$3,"")</f>
      </c>
      <c r="AN577" s="39">
        <f>IF(ISNUMBER($AD577),$AO577+$AP577,"")</f>
      </c>
      <c r="AO577" s="39">
        <f>IF(ISNUMBER($AD577),ROUND($AD577*Header!$K$3,2),"")</f>
      </c>
      <c r="AP577" s="39">
        <f>IF(ISNUMBER($AD577),ROUND($AD577*Header!$M$3,2),"")</f>
      </c>
      <c r="AQ577" s="38">
        <f>IF(ISNUMBER($AD577),ROUND($AD577,2)-$AO577-$AP577,"")</f>
      </c>
      <c r="AR577" s="39">
        <f>IF(ISNUMBER($AD577),IF(Header!$D$34="","?",$AD577*Header!$D$34),"")</f>
      </c>
      <c r="AS577" s="39">
        <f>IF(ISNUMBER($AB577),IF(Header!$D$34="","?",$AB577*Header!$D$34),"")</f>
      </c>
      <c r="AT577" s="42">
        <f>IF(AND(ISNUMBER($AB577),$M577&gt;0),$AB577/$M577*100,"")</f>
      </c>
      <c r="AU577" s="42">
        <f>IF(AND(ISNUMBER($AD577),$M577&gt;0),$AD577/$M577*100,"")</f>
      </c>
      <c r="AV577" s="40">
        <f>IF(AND(ISNUMBER($AB577),ISNUMBER($AD577),ABS($AB577)&gt;0),$AD577/$AB577,"")</f>
      </c>
      <c r="AW577" s="39">
        <f>IF(ISNUMBER($AD577),MAX(0,(1-0.55-Header!$O$3)*Header!$Q$3*$AQ577),"")</f>
      </c>
      <c r="AX577" s="43">
        <f>IF($A577="","",IF(TRIM(IF($A577="","Missing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",""))="","PASS","FAIL: "&amp;TRIM(IF($A577="","Missing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f>
      </c>
      <c r="AY577" s="44">
        <f>IF($M577="","",IF(ISNUMBER($M577),IF($M577&gt;=Header!$C$18,"YES — refer","No"),""))</f>
      </c>
      <c r="AZ577" s="44">
        <f>IF($AD577="","",IF(ISNUMBER($AD577),IF($AD577&lt;Header!$C$20,"BELOW MIN PREMIUM","OK"),""))</f>
      </c>
      <c r="BA577" s="32" t="inlineStr">
        <is>
          <t xml:space="preserve">Yes</t>
        </is>
      </c>
      <c r="BB577" s="32" t="inlineStr">
        <is>
          <t xml:space="preserve">Yes</t>
        </is>
      </c>
      <c r="BC577" s="30" t="inlineStr">
        <is>
          <t xml:space="preserve">Synthetic demo data</t>
        </is>
      </c>
      <c r="BE577" s="45">
        <f>IF(OR($A577="",$L577="",$H577=""),"",IF(AND(LEFT($L577,2)="06",$H577&gt;1945),"FAIL - pre-war class, year "&amp;$H577,IF(AND(LEFT($L577,2)="07",OR($H577&lt;1946,$H577&gt;1972)),"FAIL - 1946-72 class, year "&amp;$H577,IF(AND(LEFT($L577,2)="08",OR($H577&lt;1973,$H577&gt;1999)),"FAIL - 1973-99 class, year "&amp;$H577,IF(AND(LEFT($L577,2)="09",OR($H577&lt;2000,$H577&gt;2010)),"FAIL - 2000-10 class, year "&amp;$H577,"OK")))))</f>
      </c>
      <c r="BF577" s="45">
        <f>IF($AD577="","",IF(ROUND($AO577+$AP577+$AQ577-$AD577,2)=0,"OK","FAIL - out by "&amp;TEXT($AO577+$AP577+$AQ577-$AD577,"$0.00")))</f>
      </c>
    </row>
    <row r="578" spans="1:58" ht="18.75" customHeight="1" x14ac:dyDescent="0.25">
      <c r="A578" s="46" t="inlineStr">
        <is>
          <t xml:space="preserve">CANON-202607-010309</t>
        </is>
      </c>
      <c r="B578" s="46" t="inlineStr">
        <is>
          <t xml:space="preserve">Mireille Farkas</t>
        </is>
      </c>
      <c r="C578" s="47">
        <v>46219</v>
      </c>
      <c r="D578" s="48" t="inlineStr">
        <is>
          <t xml:space="preserve">Bound - within authority</t>
        </is>
      </c>
      <c r="E578" s="48" t="inlineStr">
        <is>
          <t xml:space="preserve">New business</t>
        </is>
      </c>
      <c r="F578" s="46" t="inlineStr">
        <is>
          <t xml:space="preserve">B1234EXOTIC26</t>
        </is>
      </c>
      <c r="G578" s="33">
        <f>IF($A578="","",IF($C578="","",YEAR($C578)))</f>
      </c>
      <c r="H578" s="49">
        <v>1991</v>
      </c>
      <c r="I578" s="46" t="inlineStr">
        <is>
          <t xml:space="preserve">Aston Martin</t>
        </is>
      </c>
      <c r="J578" s="46" t="inlineStr">
        <is>
          <t xml:space="preserve">DB12</t>
        </is>
      </c>
      <c r="K578" s="46" t="inlineStr">
        <is>
          <t xml:space="preserve">UYGS6E337R6P0EC16</t>
        </is>
      </c>
      <c r="L578" s="48" t="inlineStr">
        <is>
          <t xml:space="preserve">02 - Sports / GT</t>
        </is>
      </c>
      <c r="M578" s="50">
        <v>285000</v>
      </c>
      <c r="N578" s="48" t="inlineStr">
        <is>
          <t xml:space="preserve">Personal</t>
        </is>
      </c>
      <c r="O578" s="46" t="inlineStr">
        <is>
          <t xml:space="preserve">Personal - regular use</t>
        </is>
      </c>
      <c r="P578" s="46" t="inlineStr">
        <is>
          <t xml:space="preserve">1,000 - 2,500</t>
        </is>
      </c>
      <c r="Q578" s="46" t="inlineStr">
        <is>
          <t xml:space="preserve">Mississippi</t>
        </is>
      </c>
      <c r="R578" s="46" t="inlineStr">
        <is>
          <t xml:space="preserve">39201</t>
        </is>
      </c>
      <c r="S578" s="48" t="inlineStr">
        <is>
          <t xml:space="preserve">Tier 2 - Coastal wind (1-25 miles)</t>
        </is>
      </c>
      <c r="T578" s="36">
        <f>IF($A578="","",IF($S578="","",IFERROR(INDEX('[1]natural catastrophe'!$D$6:$D$17,MATCH($S578,'[1]natural catastrophe'!$B$6:$B$17,0)),"?")))</f>
      </c>
      <c r="U578" s="46" t="inlineStr">
        <is>
          <t xml:space="preserve">2% of agreed value, minimum $10,000</t>
        </is>
      </c>
      <c r="V578" s="48" t="inlineStr">
        <is>
          <t xml:space="preserve">Agreed Value</t>
        </is>
      </c>
      <c r="W578" s="46" t="inlineStr">
        <is>
          <t xml:space="preserve">$1,000</t>
        </is>
      </c>
      <c r="X578" s="48" t="inlineStr">
        <is>
          <t xml:space="preserve">$1,000,000 CSL</t>
        </is>
      </c>
      <c r="Y578" s="46"/>
      <c r="Z578" s="46"/>
      <c r="AA578" s="48" t="inlineStr">
        <is>
          <t xml:space="preserve">Surplus Lines</t>
        </is>
      </c>
      <c r="AB578" s="50">
        <v>3652.26</v>
      </c>
      <c r="AC578" s="51">
        <v>0</v>
      </c>
      <c r="AD578" s="38">
        <f>IF(ISNUMBER($AB578),$AB578*(1+N($AC578)),"")</f>
      </c>
      <c r="AE578" s="50">
        <v>350</v>
      </c>
      <c r="AF578" s="50">
        <v>0</v>
      </c>
      <c r="AG578" s="51"/>
      <c r="AH578" s="39">
        <f>IF(ISNUMBER($AD578),($AD578+$AE578+$AF578)*$AG578,"")</f>
      </c>
      <c r="AI578" s="50"/>
      <c r="AJ578" s="38">
        <f>IF(ISNUMBER($AD578),SUM($AD578:$AH578),"")</f>
      </c>
      <c r="AK578" s="40">
        <f>IF(AND(ISNUMBER($AB578),ISNUMBER($AD578)),IF($AB578&gt;0,$AD578/$AB578,""),"")</f>
      </c>
      <c r="AL578" s="48" t="inlineStr">
        <is>
          <t xml:space="preserve">At technical</t>
        </is>
      </c>
      <c r="AM578" s="41">
        <f>IF(ISNUMBER($AD578),Header!$I$3,"")</f>
      </c>
      <c r="AN578" s="39">
        <f>IF(ISNUMBER($AD578),$AO578+$AP578,"")</f>
      </c>
      <c r="AO578" s="39">
        <f>IF(ISNUMBER($AD578),ROUND($AD578*Header!$K$3,2),"")</f>
      </c>
      <c r="AP578" s="39">
        <f>IF(ISNUMBER($AD578),ROUND($AD578*Header!$M$3,2),"")</f>
      </c>
      <c r="AQ578" s="38">
        <f>IF(ISNUMBER($AD578),ROUND($AD578,2)-$AO578-$AP578,"")</f>
      </c>
      <c r="AR578" s="39">
        <f>IF(ISNUMBER($AD578),IF(Header!$D$34="","?",$AD578*Header!$D$34),"")</f>
      </c>
      <c r="AS578" s="39">
        <f>IF(ISNUMBER($AB578),IF(Header!$D$34="","?",$AB578*Header!$D$34),"")</f>
      </c>
      <c r="AT578" s="42">
        <f>IF(AND(ISNUMBER($AB578),$M578&gt;0),$AB578/$M578*100,"")</f>
      </c>
      <c r="AU578" s="42">
        <f>IF(AND(ISNUMBER($AD578),$M578&gt;0),$AD578/$M578*100,"")</f>
      </c>
      <c r="AV578" s="40">
        <f>IF(AND(ISNUMBER($AB578),ISNUMBER($AD578),ABS($AB578)&gt;0),$AD578/$AB578,"")</f>
      </c>
      <c r="AW578" s="39">
        <f>IF(ISNUMBER($AD578),MAX(0,(1-0.55-Header!$O$3)*Header!$Q$3*$AQ578),"")</f>
      </c>
      <c r="AX578" s="43">
        <f>IF($A578="","",IF(TRIM(IF($A578="","Missing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",""))="","PASS","FAIL: "&amp;TRIM(IF($A578="","Missing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f>
      </c>
      <c r="AY578" s="44">
        <f>IF($M578="","",IF(ISNUMBER($M578),IF($M578&gt;=Header!$C$18,"YES — refer","No"),""))</f>
      </c>
      <c r="AZ578" s="44">
        <f>IF($AD578="","",IF(ISNUMBER($AD578),IF($AD578&lt;Header!$C$20,"BELOW MIN PREMIUM","OK"),""))</f>
      </c>
      <c r="BA578" s="48" t="inlineStr">
        <is>
          <t xml:space="preserve">Yes</t>
        </is>
      </c>
      <c r="BB578" s="48" t="inlineStr">
        <is>
          <t xml:space="preserve">Yes</t>
        </is>
      </c>
      <c r="BC578" s="46" t="inlineStr">
        <is>
          <t xml:space="preserve">Synthetic demo data</t>
        </is>
      </c>
      <c r="BE578" s="45">
        <f>IF(OR($A578="",$L578="",$H578=""),"",IF(AND(LEFT($L578,2)="06",$H578&gt;1945),"FAIL - pre-war class, year "&amp;$H578,IF(AND(LEFT($L578,2)="07",OR($H578&lt;1946,$H578&gt;1972)),"FAIL - 1946-72 class, year "&amp;$H578,IF(AND(LEFT($L578,2)="08",OR($H578&lt;1973,$H578&gt;1999)),"FAIL - 1973-99 class, year "&amp;$H578,IF(AND(LEFT($L578,2)="09",OR($H578&lt;2000,$H578&gt;2010)),"FAIL - 2000-10 class, year "&amp;$H578,"OK")))))</f>
      </c>
      <c r="BF578" s="45">
        <f>IF($AD578="","",IF(ROUND($AO578+$AP578+$AQ578-$AD578,2)=0,"OK","FAIL - out by "&amp;TEXT($AO578+$AP578+$AQ578-$AD578,"$0.00")))</f>
      </c>
    </row>
    <row r="579" spans="1:58" ht="18.75" customHeight="1" x14ac:dyDescent="0.25">
      <c r="A579" s="30" t="inlineStr">
        <is>
          <t xml:space="preserve">CANON-202607-010310</t>
        </is>
      </c>
      <c r="B579" s="30" t="inlineStr">
        <is>
          <t xml:space="preserve">Mireille Nakashima</t>
        </is>
      </c>
      <c r="C579" s="31">
        <v>46212</v>
      </c>
      <c r="D579" s="32" t="inlineStr">
        <is>
          <t xml:space="preserve">Bound - within authority</t>
        </is>
      </c>
      <c r="E579" s="32" t="inlineStr">
        <is>
          <t xml:space="preserve">New business</t>
        </is>
      </c>
      <c r="F579" s="30" t="inlineStr">
        <is>
          <t xml:space="preserve">B1234EXOTIC26</t>
        </is>
      </c>
      <c r="G579" s="33">
        <f>IF($A579="","",IF($C579="","",YEAR($C579)))</f>
      </c>
      <c r="H579" s="34">
        <v>1971</v>
      </c>
      <c r="I579" s="30" t="inlineStr">
        <is>
          <t xml:space="preserve">Bentley</t>
        </is>
      </c>
      <c r="J579" s="30" t="inlineStr">
        <is>
          <t xml:space="preserve">Continental GT</t>
        </is>
      </c>
      <c r="K579" s="30" t="inlineStr">
        <is>
          <t xml:space="preserve">JP99BDH8EJ0MKX3YK</t>
        </is>
      </c>
      <c r="L579" s="32" t="inlineStr">
        <is>
          <t xml:space="preserve">02 - Sports / GT</t>
        </is>
      </c>
      <c r="M579" s="35">
        <v>350000</v>
      </c>
      <c r="N579" s="32" t="inlineStr">
        <is>
          <t xml:space="preserve">Personal</t>
        </is>
      </c>
      <c r="O579" s="30" t="inlineStr">
        <is>
          <t xml:space="preserve">Personal - regular use</t>
        </is>
      </c>
      <c r="P579" s="30" t="inlineStr">
        <is>
          <t xml:space="preserve">2,500 - 5,000</t>
        </is>
      </c>
      <c r="Q579" s="30" t="inlineStr">
        <is>
          <t xml:space="preserve">California</t>
        </is>
      </c>
      <c r="R579" s="30" t="inlineStr">
        <is>
          <t xml:space="preserve">90012</t>
        </is>
      </c>
      <c r="S579" s="32" t="inlineStr">
        <is>
          <t xml:space="preserve">Earthquake - high (CA, Cascadia, New Madrid)</t>
        </is>
      </c>
      <c r="T579" s="36">
        <f>IF($A579="","",IF($S579="","",IFERROR(INDEX('[1]natural catastrophe'!$D$6:$D$17,MATCH($S579,'[1]natural catastrophe'!$B$6:$B$17,0)),"?")))</f>
      </c>
      <c r="U579" s="30" t="inlineStr">
        <is>
          <t xml:space="preserve">$5,000</t>
        </is>
      </c>
      <c r="V579" s="32" t="inlineStr">
        <is>
          <t xml:space="preserve">Agreed Value</t>
        </is>
      </c>
      <c r="W579" s="30" t="inlineStr">
        <is>
          <t xml:space="preserve">$1,000</t>
        </is>
      </c>
      <c r="X579" s="32" t="inlineStr">
        <is>
          <t xml:space="preserve">$1,000,000 CSL</t>
        </is>
      </c>
      <c r="Y579" s="30"/>
      <c r="Z579" s="30"/>
      <c r="AA579" s="32" t="inlineStr">
        <is>
          <t xml:space="preserve">Surplus Lines</t>
        </is>
      </c>
      <c r="AB579" s="35">
        <v>5088.29</v>
      </c>
      <c r="AC579" s="37">
        <v>0</v>
      </c>
      <c r="AD579" s="38">
        <f>IF(ISNUMBER($AB579),$AB579*(1+N($AC579)),"")</f>
      </c>
      <c r="AE579" s="35">
        <v>350</v>
      </c>
      <c r="AF579" s="35">
        <v>0</v>
      </c>
      <c r="AG579" s="37"/>
      <c r="AH579" s="39">
        <f>IF(ISNUMBER($AD579),($AD579+$AE579+$AF579)*$AG579,"")</f>
      </c>
      <c r="AI579" s="35"/>
      <c r="AJ579" s="38">
        <f>IF(ISNUMBER($AD579),SUM($AD579:$AH579),"")</f>
      </c>
      <c r="AK579" s="40">
        <f>IF(AND(ISNUMBER($AB579),ISNUMBER($AD579)),IF($AB579&gt;0,$AD579/$AB579,""),"")</f>
      </c>
      <c r="AL579" s="32" t="inlineStr">
        <is>
          <t xml:space="preserve">At technical</t>
        </is>
      </c>
      <c r="AM579" s="41">
        <f>IF(ISNUMBER($AD579),Header!$I$3,"")</f>
      </c>
      <c r="AN579" s="39">
        <f>IF(ISNUMBER($AD579),$AO579+$AP579,"")</f>
      </c>
      <c r="AO579" s="39">
        <f>IF(ISNUMBER($AD579),ROUND($AD579*Header!$K$3,2),"")</f>
      </c>
      <c r="AP579" s="39">
        <f>IF(ISNUMBER($AD579),ROUND($AD579*Header!$M$3,2),"")</f>
      </c>
      <c r="AQ579" s="38">
        <f>IF(ISNUMBER($AD579),ROUND($AD579,2)-$AO579-$AP579,"")</f>
      </c>
      <c r="AR579" s="39">
        <f>IF(ISNUMBER($AD579),IF(Header!$D$34="","?",$AD579*Header!$D$34),"")</f>
      </c>
      <c r="AS579" s="39">
        <f>IF(ISNUMBER($AB579),IF(Header!$D$34="","?",$AB579*Header!$D$34),"")</f>
      </c>
      <c r="AT579" s="42">
        <f>IF(AND(ISNUMBER($AB579),$M579&gt;0),$AB579/$M579*100,"")</f>
      </c>
      <c r="AU579" s="42">
        <f>IF(AND(ISNUMBER($AD579),$M579&gt;0),$AD579/$M579*100,"")</f>
      </c>
      <c r="AV579" s="40">
        <f>IF(AND(ISNUMBER($AB579),ISNUMBER($AD579),ABS($AB579)&gt;0),$AD579/$AB579,"")</f>
      </c>
      <c r="AW579" s="39">
        <f>IF(ISNUMBER($AD579),MAX(0,(1-0.55-Header!$O$3)*Header!$Q$3*$AQ579),"")</f>
      </c>
      <c r="AX579" s="43">
        <f>IF($A579="","",IF(TRIM(IF($A579="","Missing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",""))="","PASS","FAIL: "&amp;TRIM(IF($A579="","Missing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f>
      </c>
      <c r="AY579" s="44">
        <f>IF($M579="","",IF(ISNUMBER($M579),IF($M579&gt;=Header!$C$18,"YES — refer","No"),""))</f>
      </c>
      <c r="AZ579" s="44">
        <f>IF($AD579="","",IF(ISNUMBER($AD579),IF($AD579&lt;Header!$C$20,"BELOW MIN PREMIUM","OK"),""))</f>
      </c>
      <c r="BA579" s="32" t="inlineStr">
        <is>
          <t xml:space="preserve">Yes</t>
        </is>
      </c>
      <c r="BB579" s="32" t="inlineStr">
        <is>
          <t xml:space="preserve">Yes</t>
        </is>
      </c>
      <c r="BC579" s="30" t="inlineStr">
        <is>
          <t xml:space="preserve">Synthetic demo data</t>
        </is>
      </c>
      <c r="BE579" s="45">
        <f>IF(OR($A579="",$L579="",$H579=""),"",IF(AND(LEFT($L579,2)="06",$H579&gt;1945),"FAIL - pre-war class, year "&amp;$H579,IF(AND(LEFT($L579,2)="07",OR($H579&lt;1946,$H579&gt;1972)),"FAIL - 1946-72 class, year "&amp;$H579,IF(AND(LEFT($L579,2)="08",OR($H579&lt;1973,$H579&gt;1999)),"FAIL - 1973-99 class, year "&amp;$H579,IF(AND(LEFT($L579,2)="09",OR($H579&lt;2000,$H579&gt;2010)),"FAIL - 2000-10 class, year "&amp;$H579,"OK")))))</f>
      </c>
      <c r="BF579" s="45">
        <f>IF($AD579="","",IF(ROUND($AO579+$AP579+$AQ579-$AD579,2)=0,"OK","FAIL - out by "&amp;TEXT($AO579+$AP579+$AQ579-$AD579,"$0.00")))</f>
      </c>
    </row>
    <row r="580" spans="1:58" ht="18.75" customHeight="1" x14ac:dyDescent="0.25">
      <c r="A580" s="46" t="inlineStr">
        <is>
          <t xml:space="preserve">CANON-202607-010311</t>
        </is>
      </c>
      <c r="B580" s="46" t="inlineStr">
        <is>
          <t xml:space="preserve">Sunniva Blackwood</t>
        </is>
      </c>
      <c r="C580" s="47">
        <v>46205</v>
      </c>
      <c r="D580" s="48" t="inlineStr">
        <is>
          <t xml:space="preserve">Bound - within authority</t>
        </is>
      </c>
      <c r="E580" s="48" t="inlineStr">
        <is>
          <t xml:space="preserve">New business</t>
        </is>
      </c>
      <c r="F580" s="46" t="inlineStr">
        <is>
          <t xml:space="preserve">B1234EXOTIC26</t>
        </is>
      </c>
      <c r="G580" s="33">
        <f>IF($A580="","",IF($C580="","",YEAR($C580)))</f>
      </c>
      <c r="H580" s="49">
        <v>1989</v>
      </c>
      <c r="I580" s="46" t="inlineStr">
        <is>
          <t xml:space="preserve">Bentley</t>
        </is>
      </c>
      <c r="J580" s="46" t="inlineStr">
        <is>
          <t xml:space="preserve">Continental GT</t>
        </is>
      </c>
      <c r="K580" s="46" t="inlineStr">
        <is>
          <t xml:space="preserve">SBWJBFYAFW6GY34DE</t>
        </is>
      </c>
      <c r="L580" s="48" t="inlineStr">
        <is>
          <t xml:space="preserve">02 - Sports / GT</t>
        </is>
      </c>
      <c r="M580" s="50">
        <v>535000</v>
      </c>
      <c r="N580" s="48" t="inlineStr">
        <is>
          <t xml:space="preserve">Personal</t>
        </is>
      </c>
      <c r="O580" s="46" t="inlineStr">
        <is>
          <t xml:space="preserve">Personal - regular use</t>
        </is>
      </c>
      <c r="P580" s="46" t="inlineStr">
        <is>
          <t xml:space="preserve">Under 1,000</t>
        </is>
      </c>
      <c r="Q580" s="46" t="inlineStr">
        <is>
          <t xml:space="preserve">Idaho</t>
        </is>
      </c>
      <c r="R580" s="46" t="inlineStr">
        <is>
          <t xml:space="preserve">83702</t>
        </is>
      </c>
      <c r="S580" s="48" t="inlineStr">
        <is>
          <t xml:space="preserve">Wildfire - WUI high hazard</t>
        </is>
      </c>
      <c r="T580" s="36">
        <f>IF($A580="","",IF($S580="","",IFERROR(INDEX('[1]natural catastrophe'!$D$6:$D$17,MATCH($S580,'[1]natural catastrophe'!$B$6:$B$17,0)),"?")))</f>
      </c>
      <c r="U580" s="46" t="inlineStr">
        <is>
          <t xml:space="preserve">$5,000</t>
        </is>
      </c>
      <c r="V580" s="48" t="inlineStr">
        <is>
          <t xml:space="preserve">Agreed Value</t>
        </is>
      </c>
      <c r="W580" s="46" t="inlineStr">
        <is>
          <t xml:space="preserve">$1,000</t>
        </is>
      </c>
      <c r="X580" s="48" t="inlineStr">
        <is>
          <t xml:space="preserve">$1,000,000 CSL</t>
        </is>
      </c>
      <c r="Y580" s="46"/>
      <c r="Z580" s="46"/>
      <c r="AA580" s="48" t="inlineStr">
        <is>
          <t xml:space="preserve">Surplus Lines</t>
        </is>
      </c>
      <c r="AB580" s="50">
        <v>4943.24</v>
      </c>
      <c r="AC580" s="51">
        <v>0</v>
      </c>
      <c r="AD580" s="38">
        <f>IF(ISNUMBER($AB580),$AB580*(1+N($AC580)),"")</f>
      </c>
      <c r="AE580" s="50">
        <v>350</v>
      </c>
      <c r="AF580" s="50">
        <v>0</v>
      </c>
      <c r="AG580" s="51"/>
      <c r="AH580" s="39">
        <f>IF(ISNUMBER($AD580),($AD580+$AE580+$AF580)*$AG580,"")</f>
      </c>
      <c r="AI580" s="50"/>
      <c r="AJ580" s="38">
        <f>IF(ISNUMBER($AD580),SUM($AD580:$AH580),"")</f>
      </c>
      <c r="AK580" s="40">
        <f>IF(AND(ISNUMBER($AB580),ISNUMBER($AD580)),IF($AB580&gt;0,$AD580/$AB580,""),"")</f>
      </c>
      <c r="AL580" s="48" t="inlineStr">
        <is>
          <t xml:space="preserve">At technical</t>
        </is>
      </c>
      <c r="AM580" s="41">
        <f>IF(ISNUMBER($AD580),Header!$I$3,"")</f>
      </c>
      <c r="AN580" s="39">
        <f>IF(ISNUMBER($AD580),$AO580+$AP580,"")</f>
      </c>
      <c r="AO580" s="39">
        <f>IF(ISNUMBER($AD580),ROUND($AD580*Header!$K$3,2),"")</f>
      </c>
      <c r="AP580" s="39">
        <f>IF(ISNUMBER($AD580),ROUND($AD580*Header!$M$3,2),"")</f>
      </c>
      <c r="AQ580" s="38">
        <f>IF(ISNUMBER($AD580),ROUND($AD580,2)-$AO580-$AP580,"")</f>
      </c>
      <c r="AR580" s="39">
        <f>IF(ISNUMBER($AD580),IF(Header!$D$34="","?",$AD580*Header!$D$34),"")</f>
      </c>
      <c r="AS580" s="39">
        <f>IF(ISNUMBER($AB580),IF(Header!$D$34="","?",$AB580*Header!$D$34),"")</f>
      </c>
      <c r="AT580" s="42">
        <f>IF(AND(ISNUMBER($AB580),$M580&gt;0),$AB580/$M580*100,"")</f>
      </c>
      <c r="AU580" s="42">
        <f>IF(AND(ISNUMBER($AD580),$M580&gt;0),$AD580/$M580*100,"")</f>
      </c>
      <c r="AV580" s="40">
        <f>IF(AND(ISNUMBER($AB580),ISNUMBER($AD580),ABS($AB580)&gt;0),$AD580/$AB580,"")</f>
      </c>
      <c r="AW580" s="39">
        <f>IF(ISNUMBER($AD580),MAX(0,(1-0.55-Header!$O$3)*Header!$Q$3*$AQ580),"")</f>
      </c>
      <c r="AX580" s="43">
        <f>IF($A580="","",IF(TRIM(IF($A580="","Missing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",""))="","PASS","FAIL: "&amp;TRIM(IF($A580="","Missing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f>
      </c>
      <c r="AY580" s="44">
        <f>IF($M580="","",IF(ISNUMBER($M580),IF($M580&gt;=Header!$C$18,"YES — refer","No"),""))</f>
      </c>
      <c r="AZ580" s="44">
        <f>IF($AD580="","",IF(ISNUMBER($AD580),IF($AD580&lt;Header!$C$20,"BELOW MIN PREMIUM","OK"),""))</f>
      </c>
      <c r="BA580" s="48" t="inlineStr">
        <is>
          <t xml:space="preserve">Yes</t>
        </is>
      </c>
      <c r="BB580" s="48" t="inlineStr">
        <is>
          <t xml:space="preserve">Yes</t>
        </is>
      </c>
      <c r="BC580" s="46" t="inlineStr">
        <is>
          <t xml:space="preserve">Synthetic demo data</t>
        </is>
      </c>
      <c r="BE580" s="45">
        <f>IF(OR($A580="",$L580="",$H580=""),"",IF(AND(LEFT($L580,2)="06",$H580&gt;1945),"FAIL - pre-war class, year "&amp;$H580,IF(AND(LEFT($L580,2)="07",OR($H580&lt;1946,$H580&gt;1972)),"FAIL - 1946-72 class, year "&amp;$H580,IF(AND(LEFT($L580,2)="08",OR($H580&lt;1973,$H580&gt;1999)),"FAIL - 1973-99 class, year "&amp;$H580,IF(AND(LEFT($L580,2)="09",OR($H580&lt;2000,$H580&gt;2010)),"FAIL - 2000-10 class, year "&amp;$H580,"OK")))))</f>
      </c>
      <c r="BF580" s="45">
        <f>IF($AD580="","",IF(ROUND($AO580+$AP580+$AQ580-$AD580,2)=0,"OK","FAIL - out by "&amp;TEXT($AO580+$AP580+$AQ580-$AD580,"$0.00")))</f>
      </c>
    </row>
    <row r="581" spans="1:58" ht="18.75" customHeight="1" x14ac:dyDescent="0.25">
      <c r="A581" s="30" t="inlineStr">
        <is>
          <t xml:space="preserve">CANON-202607-010312</t>
        </is>
      </c>
      <c r="B581" s="30" t="inlineStr">
        <is>
          <t xml:space="preserve">Anouk Thistlewood</t>
        </is>
      </c>
      <c r="C581" s="31">
        <v>46226</v>
      </c>
      <c r="D581" s="32" t="inlineStr">
        <is>
          <t xml:space="preserve">Bound - within authority</t>
        </is>
      </c>
      <c r="E581" s="32" t="inlineStr">
        <is>
          <t xml:space="preserve">New business</t>
        </is>
      </c>
      <c r="F581" s="30" t="inlineStr">
        <is>
          <t xml:space="preserve">B1234EXOTIC26</t>
        </is>
      </c>
      <c r="G581" s="33">
        <f>IF($A581="","",IF($C581="","",YEAR($C581)))</f>
      </c>
      <c r="H581" s="34">
        <v>1988</v>
      </c>
      <c r="I581" s="30" t="inlineStr">
        <is>
          <t xml:space="preserve">Ferrari</t>
        </is>
      </c>
      <c r="J581" s="30" t="inlineStr">
        <is>
          <t xml:space="preserve">SF90 Stradale</t>
        </is>
      </c>
      <c r="K581" s="30" t="inlineStr">
        <is>
          <t xml:space="preserve">CVPX1W72P2L1J9S5V</t>
        </is>
      </c>
      <c r="L581" s="32" t="inlineStr">
        <is>
          <t xml:space="preserve">03 - Supercar</t>
        </is>
      </c>
      <c r="M581" s="35">
        <v>1080000</v>
      </c>
      <c r="N581" s="32" t="inlineStr">
        <is>
          <t xml:space="preserve">Personal</t>
        </is>
      </c>
      <c r="O581" s="30" t="inlineStr">
        <is>
          <t xml:space="preserve">Personal - regular use</t>
        </is>
      </c>
      <c r="P581" s="30" t="inlineStr">
        <is>
          <t xml:space="preserve">Under 1,000</t>
        </is>
      </c>
      <c r="Q581" s="30" t="inlineStr">
        <is>
          <t xml:space="preserve">Delaware</t>
        </is>
      </c>
      <c r="R581" s="30" t="inlineStr">
        <is>
          <t xml:space="preserve">19801</t>
        </is>
      </c>
      <c r="S581" s="32" t="inlineStr">
        <is>
          <t xml:space="preserve">Tier 3 - Coastal wind (25-100 miles)</t>
        </is>
      </c>
      <c r="T581" s="36">
        <f>IF($A581="","",IF($S581="","",IFERROR(INDEX('[1]natural catastrophe'!$D$6:$D$17,MATCH($S581,'[1]natural catastrophe'!$B$6:$B$17,0)),"?")))</f>
      </c>
      <c r="U581" s="30" t="inlineStr">
        <is>
          <t xml:space="preserve">2% of agreed value, minimum $10,000</t>
        </is>
      </c>
      <c r="V581" s="32" t="inlineStr">
        <is>
          <t xml:space="preserve">Agreed Value</t>
        </is>
      </c>
      <c r="W581" s="30" t="inlineStr">
        <is>
          <t xml:space="preserve">$1,000</t>
        </is>
      </c>
      <c r="X581" s="32" t="inlineStr">
        <is>
          <t xml:space="preserve">$1,000,000 CSL</t>
        </is>
      </c>
      <c r="Y581" s="30"/>
      <c r="Z581" s="30"/>
      <c r="AA581" s="32" t="inlineStr">
        <is>
          <t xml:space="preserve">Surplus Lines</t>
        </is>
      </c>
      <c r="AB581" s="35">
        <v>15507.17</v>
      </c>
      <c r="AC581" s="37">
        <v>0</v>
      </c>
      <c r="AD581" s="38">
        <f>IF(ISNUMBER($AB581),$AB581*(1+N($AC581)),"")</f>
      </c>
      <c r="AE581" s="35">
        <v>350</v>
      </c>
      <c r="AF581" s="35">
        <v>250</v>
      </c>
      <c r="AG581" s="37"/>
      <c r="AH581" s="39">
        <f>IF(ISNUMBER($AD581),($AD581+$AE581+$AF581)*$AG581,"")</f>
      </c>
      <c r="AI581" s="35"/>
      <c r="AJ581" s="38">
        <f>IF(ISNUMBER($AD581),SUM($AD581:$AH581),"")</f>
      </c>
      <c r="AK581" s="40">
        <f>IF(AND(ISNUMBER($AB581),ISNUMBER($AD581)),IF($AB581&gt;0,$AD581/$AB581,""),"")</f>
      </c>
      <c r="AL581" s="32" t="inlineStr">
        <is>
          <t xml:space="preserve">At technical</t>
        </is>
      </c>
      <c r="AM581" s="41">
        <f>IF(ISNUMBER($AD581),Header!$I$3,"")</f>
      </c>
      <c r="AN581" s="39">
        <f>IF(ISNUMBER($AD581),$AO581+$AP581,"")</f>
      </c>
      <c r="AO581" s="39">
        <f>IF(ISNUMBER($AD581),ROUND($AD581*Header!$K$3,2),"")</f>
      </c>
      <c r="AP581" s="39">
        <f>IF(ISNUMBER($AD581),ROUND($AD581*Header!$M$3,2),"")</f>
      </c>
      <c r="AQ581" s="38">
        <f>IF(ISNUMBER($AD581),ROUND($AD581,2)-$AO581-$AP581,"")</f>
      </c>
      <c r="AR581" s="39">
        <f>IF(ISNUMBER($AD581),IF(Header!$D$34="","?",$AD581*Header!$D$34),"")</f>
      </c>
      <c r="AS581" s="39">
        <f>IF(ISNUMBER($AB581),IF(Header!$D$34="","?",$AB581*Header!$D$34),"")</f>
      </c>
      <c r="AT581" s="42">
        <f>IF(AND(ISNUMBER($AB581),$M581&gt;0),$AB581/$M581*100,"")</f>
      </c>
      <c r="AU581" s="42">
        <f>IF(AND(ISNUMBER($AD581),$M581&gt;0),$AD581/$M581*100,"")</f>
      </c>
      <c r="AV581" s="40">
        <f>IF(AND(ISNUMBER($AB581),ISNUMBER($AD581),ABS($AB581)&gt;0),$AD581/$AB581,"")</f>
      </c>
      <c r="AW581" s="39">
        <f>IF(ISNUMBER($AD581),MAX(0,(1-0.55-Header!$O$3)*Header!$Q$3*$AQ581),"")</f>
      </c>
      <c r="AX581" s="43">
        <f>IF($A581="","",IF(TRIM(IF($A581="","Missing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",""))="","PASS","FAIL: "&amp;TRIM(IF($A581="","Missing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f>
      </c>
      <c r="AY581" s="44">
        <f>IF($M581="","",IF(ISNUMBER($M581),IF($M581&gt;=Header!$C$18,"YES — refer","No"),""))</f>
      </c>
      <c r="AZ581" s="44">
        <f>IF($AD581="","",IF(ISNUMBER($AD581),IF($AD581&lt;Header!$C$20,"BELOW MIN PREMIUM","OK"),""))</f>
      </c>
      <c r="BA581" s="32" t="inlineStr">
        <is>
          <t xml:space="preserve">Yes</t>
        </is>
      </c>
      <c r="BB581" s="32" t="inlineStr">
        <is>
          <t xml:space="preserve">Yes</t>
        </is>
      </c>
      <c r="BC581" s="30" t="inlineStr">
        <is>
          <t xml:space="preserve">Synthetic demo data</t>
        </is>
      </c>
      <c r="BE581" s="45">
        <f>IF(OR($A581="",$L581="",$H581=""),"",IF(AND(LEFT($L581,2)="06",$H581&gt;1945),"FAIL - pre-war class, year "&amp;$H581,IF(AND(LEFT($L581,2)="07",OR($H581&lt;1946,$H581&gt;1972)),"FAIL - 1946-72 class, year "&amp;$H581,IF(AND(LEFT($L581,2)="08",OR($H581&lt;1973,$H581&gt;1999)),"FAIL - 1973-99 class, year "&amp;$H581,IF(AND(LEFT($L581,2)="09",OR($H581&lt;2000,$H581&gt;2010)),"FAIL - 2000-10 class, year "&amp;$H581,"OK")))))</f>
      </c>
      <c r="BF581" s="45">
        <f>IF($AD581="","",IF(ROUND($AO581+$AP581+$AQ581-$AD581,2)=0,"OK","FAIL - out by "&amp;TEXT($AO581+$AP581+$AQ581-$AD581,"$0.00")))</f>
      </c>
    </row>
    <row r="582" spans="1:58" ht="18.75" customHeight="1" x14ac:dyDescent="0.25">
      <c r="A582" s="46" t="inlineStr">
        <is>
          <t xml:space="preserve">CANON-202607-010313</t>
        </is>
      </c>
      <c r="B582" s="46" t="inlineStr">
        <is>
          <t xml:space="preserve">Anouk Ashcombe</t>
        </is>
      </c>
      <c r="C582" s="47">
        <v>46210</v>
      </c>
      <c r="D582" s="48" t="inlineStr">
        <is>
          <t xml:space="preserve">Bound - within authority</t>
        </is>
      </c>
      <c r="E582" s="48" t="inlineStr">
        <is>
          <t xml:space="preserve">New business</t>
        </is>
      </c>
      <c r="F582" s="46" t="inlineStr">
        <is>
          <t xml:space="preserve">B1234EXOTIC26</t>
        </is>
      </c>
      <c r="G582" s="33">
        <f>IF($A582="","",IF($C582="","",YEAR($C582)))</f>
      </c>
      <c r="H582" s="49">
        <v>2010</v>
      </c>
      <c r="I582" s="46" t="inlineStr">
        <is>
          <t xml:space="preserve">Bentley</t>
        </is>
      </c>
      <c r="J582" s="46" t="inlineStr">
        <is>
          <t xml:space="preserve">Continental GT</t>
        </is>
      </c>
      <c r="K582" s="46" t="inlineStr">
        <is>
          <t xml:space="preserve">7VWFDRPASWZFDCDJF</t>
        </is>
      </c>
      <c r="L582" s="48" t="inlineStr">
        <is>
          <t xml:space="preserve">02 - Sports / GT</t>
        </is>
      </c>
      <c r="M582" s="50">
        <v>290000</v>
      </c>
      <c r="N582" s="48" t="inlineStr">
        <is>
          <t xml:space="preserve">Personal</t>
        </is>
      </c>
      <c r="O582" s="46" t="inlineStr">
        <is>
          <t xml:space="preserve">Personal - regular use</t>
        </is>
      </c>
      <c r="P582" s="46" t="inlineStr">
        <is>
          <t xml:space="preserve">2,500 - 5,000</t>
        </is>
      </c>
      <c r="Q582" s="46" t="inlineStr">
        <is>
          <t xml:space="preserve">New Jersey</t>
        </is>
      </c>
      <c r="R582" s="46" t="inlineStr">
        <is>
          <t xml:space="preserve">07102</t>
        </is>
      </c>
      <c r="S582" s="48" t="inlineStr">
        <is>
          <t xml:space="preserve">Tier 3 - Coastal wind (25-100 miles)</t>
        </is>
      </c>
      <c r="T582" s="36">
        <f>IF($A582="","",IF($S582="","",IFERROR(INDEX('[1]natural catastrophe'!$D$6:$D$17,MATCH($S582,'[1]natural catastrophe'!$B$6:$B$17,0)),"?")))</f>
      </c>
      <c r="U582" s="46" t="inlineStr">
        <is>
          <t xml:space="preserve">2% of agreed value, minimum $10,000</t>
        </is>
      </c>
      <c r="V582" s="48" t="inlineStr">
        <is>
          <t xml:space="preserve">Agreed Value</t>
        </is>
      </c>
      <c r="W582" s="46" t="inlineStr">
        <is>
          <t xml:space="preserve">$1,000</t>
        </is>
      </c>
      <c r="X582" s="48" t="inlineStr">
        <is>
          <t xml:space="preserve">$1,000,000 CSL</t>
        </is>
      </c>
      <c r="Y582" s="46"/>
      <c r="Z582" s="46"/>
      <c r="AA582" s="48" t="inlineStr">
        <is>
          <t xml:space="preserve">Surplus Lines</t>
        </is>
      </c>
      <c r="AB582" s="50">
        <v>2841.9</v>
      </c>
      <c r="AC582" s="51">
        <v>0</v>
      </c>
      <c r="AD582" s="38">
        <f>IF(ISNUMBER($AB582),$AB582*(1+N($AC582)),"")</f>
      </c>
      <c r="AE582" s="50">
        <v>350</v>
      </c>
      <c r="AF582" s="50">
        <v>0</v>
      </c>
      <c r="AG582" s="51"/>
      <c r="AH582" s="39">
        <f>IF(ISNUMBER($AD582),($AD582+$AE582+$AF582)*$AG582,"")</f>
      </c>
      <c r="AI582" s="50"/>
      <c r="AJ582" s="38">
        <f>IF(ISNUMBER($AD582),SUM($AD582:$AH582),"")</f>
      </c>
      <c r="AK582" s="40">
        <f>IF(AND(ISNUMBER($AB582),ISNUMBER($AD582)),IF($AB582&gt;0,$AD582/$AB582,""),"")</f>
      </c>
      <c r="AL582" s="48" t="inlineStr">
        <is>
          <t xml:space="preserve">At technical</t>
        </is>
      </c>
      <c r="AM582" s="41">
        <f>IF(ISNUMBER($AD582),Header!$I$3,"")</f>
      </c>
      <c r="AN582" s="39">
        <f>IF(ISNUMBER($AD582),$AO582+$AP582,"")</f>
      </c>
      <c r="AO582" s="39">
        <f>IF(ISNUMBER($AD582),ROUND($AD582*Header!$K$3,2),"")</f>
      </c>
      <c r="AP582" s="39">
        <f>IF(ISNUMBER($AD582),ROUND($AD582*Header!$M$3,2),"")</f>
      </c>
      <c r="AQ582" s="38">
        <f>IF(ISNUMBER($AD582),ROUND($AD582,2)-$AO582-$AP582,"")</f>
      </c>
      <c r="AR582" s="39">
        <f>IF(ISNUMBER($AD582),IF(Header!$D$34="","?",$AD582*Header!$D$34),"")</f>
      </c>
      <c r="AS582" s="39">
        <f>IF(ISNUMBER($AB582),IF(Header!$D$34="","?",$AB582*Header!$D$34),"")</f>
      </c>
      <c r="AT582" s="42">
        <f>IF(AND(ISNUMBER($AB582),$M582&gt;0),$AB582/$M582*100,"")</f>
      </c>
      <c r="AU582" s="42">
        <f>IF(AND(ISNUMBER($AD582),$M582&gt;0),$AD582/$M582*100,"")</f>
      </c>
      <c r="AV582" s="40">
        <f>IF(AND(ISNUMBER($AB582),ISNUMBER($AD582),ABS($AB582)&gt;0),$AD582/$AB582,"")</f>
      </c>
      <c r="AW582" s="39">
        <f>IF(ISNUMBER($AD582),MAX(0,(1-0.55-Header!$O$3)*Header!$Q$3*$AQ582),"")</f>
      </c>
      <c r="AX582" s="43">
        <f>IF($A582="","",IF(TRIM(IF($A582="","Missing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",""))="","PASS","FAIL: "&amp;TRIM(IF($A582="","Missing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f>
      </c>
      <c r="AY582" s="44">
        <f>IF($M582="","",IF(ISNUMBER($M582),IF($M582&gt;=Header!$C$18,"YES — refer","No"),""))</f>
      </c>
      <c r="AZ582" s="44">
        <f>IF($AD582="","",IF(ISNUMBER($AD582),IF($AD582&lt;Header!$C$20,"BELOW MIN PREMIUM","OK"),""))</f>
      </c>
      <c r="BA582" s="48" t="inlineStr">
        <is>
          <t xml:space="preserve">Yes</t>
        </is>
      </c>
      <c r="BB582" s="48" t="inlineStr">
        <is>
          <t xml:space="preserve">Yes</t>
        </is>
      </c>
      <c r="BC582" s="46" t="inlineStr">
        <is>
          <t xml:space="preserve">Synthetic demo data</t>
        </is>
      </c>
      <c r="BE582" s="45">
        <f>IF(OR($A582="",$L582="",$H582=""),"",IF(AND(LEFT($L582,2)="06",$H582&gt;1945),"FAIL - pre-war class, year "&amp;$H582,IF(AND(LEFT($L582,2)="07",OR($H582&lt;1946,$H582&gt;1972)),"FAIL - 1946-72 class, year "&amp;$H582,IF(AND(LEFT($L582,2)="08",OR($H582&lt;1973,$H582&gt;1999)),"FAIL - 1973-99 class, year "&amp;$H582,IF(AND(LEFT($L582,2)="09",OR($H582&lt;2000,$H582&gt;2010)),"FAIL - 2000-10 class, year "&amp;$H582,"OK")))))</f>
      </c>
      <c r="BF582" s="45">
        <f>IF($AD582="","",IF(ROUND($AO582+$AP582+$AQ582-$AD582,2)=0,"OK","FAIL - out by "&amp;TEXT($AO582+$AP582+$AQ582-$AD582,"$0.00")))</f>
      </c>
    </row>
    <row r="583" spans="1:58" ht="18.75" customHeight="1" x14ac:dyDescent="0.25">
      <c r="A583" s="30" t="inlineStr">
        <is>
          <t xml:space="preserve">CANON-202607-010314</t>
        </is>
      </c>
      <c r="B583" s="30" t="inlineStr">
        <is>
          <t xml:space="preserve">Everett Fairweather</t>
        </is>
      </c>
      <c r="C583" s="31">
        <v>46232</v>
      </c>
      <c r="D583" s="32" t="inlineStr">
        <is>
          <t xml:space="preserve">Bound - within authority</t>
        </is>
      </c>
      <c r="E583" s="32" t="inlineStr">
        <is>
          <t xml:space="preserve">New business</t>
        </is>
      </c>
      <c r="F583" s="30" t="inlineStr">
        <is>
          <t xml:space="preserve">B1234EXOTIC26</t>
        </is>
      </c>
      <c r="G583" s="33">
        <f>IF($A583="","",IF($C583="","",YEAR($C583)))</f>
      </c>
      <c r="H583" s="34">
        <v>1955</v>
      </c>
      <c r="I583" s="30" t="inlineStr">
        <is>
          <t xml:space="preserve">Ferrari</t>
        </is>
      </c>
      <c r="J583" s="30" t="inlineStr">
        <is>
          <t xml:space="preserve">SF90 Stradale</t>
        </is>
      </c>
      <c r="K583" s="30" t="inlineStr">
        <is>
          <t xml:space="preserve">CRBN3AGXNPE1PT317</t>
        </is>
      </c>
      <c r="L583" s="32" t="inlineStr">
        <is>
          <t xml:space="preserve">03 - Supercar</t>
        </is>
      </c>
      <c r="M583" s="35">
        <v>160000</v>
      </c>
      <c r="N583" s="32" t="inlineStr">
        <is>
          <t xml:space="preserve">Personal</t>
        </is>
      </c>
      <c r="O583" s="30" t="inlineStr">
        <is>
          <t xml:space="preserve">Personal - regular use</t>
        </is>
      </c>
      <c r="P583" s="30" t="inlineStr">
        <is>
          <t xml:space="preserve">Under 1,000</t>
        </is>
      </c>
      <c r="Q583" s="30" t="inlineStr">
        <is>
          <t xml:space="preserve">Texas</t>
        </is>
      </c>
      <c r="R583" s="30" t="inlineStr">
        <is>
          <t xml:space="preserve">75201</t>
        </is>
      </c>
      <c r="S583" s="32" t="inlineStr">
        <is>
          <t xml:space="preserve">Tier 2 - Coastal wind (1-25 miles)</t>
        </is>
      </c>
      <c r="T583" s="36">
        <f>IF($A583="","",IF($S583="","",IFERROR(INDEX('[1]natural catastrophe'!$D$6:$D$17,MATCH($S583,'[1]natural catastrophe'!$B$6:$B$17,0)),"?")))</f>
      </c>
      <c r="U583" s="30" t="inlineStr">
        <is>
          <t xml:space="preserve">2% of agreed value, minimum $10,000</t>
        </is>
      </c>
      <c r="V583" s="32" t="inlineStr">
        <is>
          <t xml:space="preserve">Agreed Value</t>
        </is>
      </c>
      <c r="W583" s="30" t="inlineStr">
        <is>
          <t xml:space="preserve">$1,000</t>
        </is>
      </c>
      <c r="X583" s="32" t="inlineStr">
        <is>
          <t xml:space="preserve">$1,000,000 CSL</t>
        </is>
      </c>
      <c r="Y583" s="30"/>
      <c r="Z583" s="30"/>
      <c r="AA583" s="32" t="inlineStr">
        <is>
          <t xml:space="preserve">Surplus Lines</t>
        </is>
      </c>
      <c r="AB583" s="35">
        <v>3751.59</v>
      </c>
      <c r="AC583" s="37">
        <v>0</v>
      </c>
      <c r="AD583" s="38">
        <f>IF(ISNUMBER($AB583),$AB583*(1+N($AC583)),"")</f>
      </c>
      <c r="AE583" s="35">
        <v>350</v>
      </c>
      <c r="AF583" s="35">
        <v>0</v>
      </c>
      <c r="AG583" s="37"/>
      <c r="AH583" s="39">
        <f>IF(ISNUMBER($AD583),($AD583+$AE583+$AF583)*$AG583,"")</f>
      </c>
      <c r="AI583" s="35"/>
      <c r="AJ583" s="38">
        <f>IF(ISNUMBER($AD583),SUM($AD583:$AH583),"")</f>
      </c>
      <c r="AK583" s="40">
        <f>IF(AND(ISNUMBER($AB583),ISNUMBER($AD583)),IF($AB583&gt;0,$AD583/$AB583,""),"")</f>
      </c>
      <c r="AL583" s="32" t="inlineStr">
        <is>
          <t xml:space="preserve">At technical</t>
        </is>
      </c>
      <c r="AM583" s="41">
        <f>IF(ISNUMBER($AD583),Header!$I$3,"")</f>
      </c>
      <c r="AN583" s="39">
        <f>IF(ISNUMBER($AD583),$AO583+$AP583,"")</f>
      </c>
      <c r="AO583" s="39">
        <f>IF(ISNUMBER($AD583),ROUND($AD583*Header!$K$3,2),"")</f>
      </c>
      <c r="AP583" s="39">
        <f>IF(ISNUMBER($AD583),ROUND($AD583*Header!$M$3,2),"")</f>
      </c>
      <c r="AQ583" s="38">
        <f>IF(ISNUMBER($AD583),ROUND($AD583,2)-$AO583-$AP583,"")</f>
      </c>
      <c r="AR583" s="39">
        <f>IF(ISNUMBER($AD583),IF(Header!$D$34="","?",$AD583*Header!$D$34),"")</f>
      </c>
      <c r="AS583" s="39">
        <f>IF(ISNUMBER($AB583),IF(Header!$D$34="","?",$AB583*Header!$D$34),"")</f>
      </c>
      <c r="AT583" s="42">
        <f>IF(AND(ISNUMBER($AB583),$M583&gt;0),$AB583/$M583*100,"")</f>
      </c>
      <c r="AU583" s="42">
        <f>IF(AND(ISNUMBER($AD583),$M583&gt;0),$AD583/$M583*100,"")</f>
      </c>
      <c r="AV583" s="40">
        <f>IF(AND(ISNUMBER($AB583),ISNUMBER($AD583),ABS($AB583)&gt;0),$AD583/$AB583,"")</f>
      </c>
      <c r="AW583" s="39">
        <f>IF(ISNUMBER($AD583),MAX(0,(1-0.55-Header!$O$3)*Header!$Q$3*$AQ583),"")</f>
      </c>
      <c r="AX583" s="43">
        <f>IF($A583="","",IF(TRIM(IF($A583="","Missing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",""))="","PASS","FAIL: "&amp;TRIM(IF($A583="","Missing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f>
      </c>
      <c r="AY583" s="44">
        <f>IF($M583="","",IF(ISNUMBER($M583),IF($M583&gt;=Header!$C$18,"YES — refer","No"),""))</f>
      </c>
      <c r="AZ583" s="44">
        <f>IF($AD583="","",IF(ISNUMBER($AD583),IF($AD583&lt;Header!$C$20,"BELOW MIN PREMIUM","OK"),""))</f>
      </c>
      <c r="BA583" s="32" t="inlineStr">
        <is>
          <t xml:space="preserve">Yes</t>
        </is>
      </c>
      <c r="BB583" s="32" t="inlineStr">
        <is>
          <t xml:space="preserve">Yes</t>
        </is>
      </c>
      <c r="BC583" s="30" t="inlineStr">
        <is>
          <t xml:space="preserve">Synthetic demo data</t>
        </is>
      </c>
      <c r="BE583" s="45">
        <f>IF(OR($A583="",$L583="",$H583=""),"",IF(AND(LEFT($L583,2)="06",$H583&gt;1945),"FAIL - pre-war class, year "&amp;$H583,IF(AND(LEFT($L583,2)="07",OR($H583&lt;1946,$H583&gt;1972)),"FAIL - 1946-72 class, year "&amp;$H583,IF(AND(LEFT($L583,2)="08",OR($H583&lt;1973,$H583&gt;1999)),"FAIL - 1973-99 class, year "&amp;$H583,IF(AND(LEFT($L583,2)="09",OR($H583&lt;2000,$H583&gt;2010)),"FAIL - 2000-10 class, year "&amp;$H583,"OK")))))</f>
      </c>
      <c r="BF583" s="45">
        <f>IF($AD583="","",IF(ROUND($AO583+$AP583+$AQ583-$AD583,2)=0,"OK","FAIL - out by "&amp;TEXT($AO583+$AP583+$AQ583-$AD583,"$0.00")))</f>
      </c>
    </row>
    <row r="584" spans="1:58" ht="18.75" customHeight="1" x14ac:dyDescent="0.25">
      <c r="A584" s="46" t="inlineStr">
        <is>
          <t xml:space="preserve">CANON-202607-010315</t>
        </is>
      </c>
      <c r="B584" s="46" t="inlineStr">
        <is>
          <t xml:space="preserve">Fenwick Kingsford</t>
        </is>
      </c>
      <c r="C584" s="47">
        <v>46219</v>
      </c>
      <c r="D584" s="48" t="inlineStr">
        <is>
          <t xml:space="preserve">Bound - within authority</t>
        </is>
      </c>
      <c r="E584" s="48" t="inlineStr">
        <is>
          <t xml:space="preserve">New business</t>
        </is>
      </c>
      <c r="F584" s="46" t="inlineStr">
        <is>
          <t xml:space="preserve">B1234EXOTIC26</t>
        </is>
      </c>
      <c r="G584" s="33">
        <f>IF($A584="","",IF($C584="","",YEAR($C584)))</f>
      </c>
      <c r="H584" s="49">
        <v>1984</v>
      </c>
      <c r="I584" s="46" t="inlineStr">
        <is>
          <t xml:space="preserve">Porsche</t>
        </is>
      </c>
      <c r="J584" s="46" t="inlineStr">
        <is>
          <t xml:space="preserve">911 Turbo S</t>
        </is>
      </c>
      <c r="K584" s="46" t="inlineStr">
        <is>
          <t xml:space="preserve">FBLPZFXMNS0RM9U5N</t>
        </is>
      </c>
      <c r="L584" s="48" t="inlineStr">
        <is>
          <t xml:space="preserve">02 - Sports / GT</t>
        </is>
      </c>
      <c r="M584" s="50">
        <v>415000</v>
      </c>
      <c r="N584" s="48" t="inlineStr">
        <is>
          <t xml:space="preserve">Personal</t>
        </is>
      </c>
      <c r="O584" s="46" t="inlineStr">
        <is>
          <t xml:space="preserve">Personal - regular use</t>
        </is>
      </c>
      <c r="P584" s="46" t="inlineStr">
        <is>
          <t xml:space="preserve">Under 1,000</t>
        </is>
      </c>
      <c r="Q584" s="46" t="inlineStr">
        <is>
          <t xml:space="preserve">California</t>
        </is>
      </c>
      <c r="R584" s="46" t="inlineStr">
        <is>
          <t xml:space="preserve">90012</t>
        </is>
      </c>
      <c r="S584" s="48" t="inlineStr">
        <is>
          <t xml:space="preserve">Earthquake - high (CA, Cascadia, New Madrid)</t>
        </is>
      </c>
      <c r="T584" s="36">
        <f>IF($A584="","",IF($S584="","",IFERROR(INDEX('[1]natural catastrophe'!$D$6:$D$17,MATCH($S584,'[1]natural catastrophe'!$B$6:$B$17,0)),"?")))</f>
      </c>
      <c r="U584" s="46" t="inlineStr">
        <is>
          <t xml:space="preserve">$5,000</t>
        </is>
      </c>
      <c r="V584" s="48" t="inlineStr">
        <is>
          <t xml:space="preserve">Agreed Value</t>
        </is>
      </c>
      <c r="W584" s="46" t="inlineStr">
        <is>
          <t xml:space="preserve">$1,000</t>
        </is>
      </c>
      <c r="X584" s="48" t="inlineStr">
        <is>
          <t xml:space="preserve">$1,000,000 CSL</t>
        </is>
      </c>
      <c r="Y584" s="46"/>
      <c r="Z584" s="46"/>
      <c r="AA584" s="48" t="inlineStr">
        <is>
          <t xml:space="preserve">Surplus Lines</t>
        </is>
      </c>
      <c r="AB584" s="50">
        <v>6033.26</v>
      </c>
      <c r="AC584" s="51">
        <v>0</v>
      </c>
      <c r="AD584" s="38">
        <f>IF(ISNUMBER($AB584),$AB584*(1+N($AC584)),"")</f>
      </c>
      <c r="AE584" s="50">
        <v>350</v>
      </c>
      <c r="AF584" s="50">
        <v>0</v>
      </c>
      <c r="AG584" s="51"/>
      <c r="AH584" s="39">
        <f>IF(ISNUMBER($AD584),($AD584+$AE584+$AF584)*$AG584,"")</f>
      </c>
      <c r="AI584" s="50"/>
      <c r="AJ584" s="38">
        <f>IF(ISNUMBER($AD584),SUM($AD584:$AH584),"")</f>
      </c>
      <c r="AK584" s="40">
        <f>IF(AND(ISNUMBER($AB584),ISNUMBER($AD584)),IF($AB584&gt;0,$AD584/$AB584,""),"")</f>
      </c>
      <c r="AL584" s="48" t="inlineStr">
        <is>
          <t xml:space="preserve">At technical</t>
        </is>
      </c>
      <c r="AM584" s="41">
        <f>IF(ISNUMBER($AD584),Header!$I$3,"")</f>
      </c>
      <c r="AN584" s="39">
        <f>IF(ISNUMBER($AD584),$AO584+$AP584,"")</f>
      </c>
      <c r="AO584" s="39">
        <f>IF(ISNUMBER($AD584),ROUND($AD584*Header!$K$3,2),"")</f>
      </c>
      <c r="AP584" s="39">
        <f>IF(ISNUMBER($AD584),ROUND($AD584*Header!$M$3,2),"")</f>
      </c>
      <c r="AQ584" s="38">
        <f>IF(ISNUMBER($AD584),ROUND($AD584,2)-$AO584-$AP584,"")</f>
      </c>
      <c r="AR584" s="39">
        <f>IF(ISNUMBER($AD584),IF(Header!$D$34="","?",$AD584*Header!$D$34),"")</f>
      </c>
      <c r="AS584" s="39">
        <f>IF(ISNUMBER($AB584),IF(Header!$D$34="","?",$AB584*Header!$D$34),"")</f>
      </c>
      <c r="AT584" s="42">
        <f>IF(AND(ISNUMBER($AB584),$M584&gt;0),$AB584/$M584*100,"")</f>
      </c>
      <c r="AU584" s="42">
        <f>IF(AND(ISNUMBER($AD584),$M584&gt;0),$AD584/$M584*100,"")</f>
      </c>
      <c r="AV584" s="40">
        <f>IF(AND(ISNUMBER($AB584),ISNUMBER($AD584),ABS($AB584)&gt;0),$AD584/$AB584,"")</f>
      </c>
      <c r="AW584" s="39">
        <f>IF(ISNUMBER($AD584),MAX(0,(1-0.55-Header!$O$3)*Header!$Q$3*$AQ584),"")</f>
      </c>
      <c r="AX584" s="43">
        <f>IF($A584="","",IF(TRIM(IF($A584="","Missing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",""))="","PASS","FAIL: "&amp;TRIM(IF($A584="","Missing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f>
      </c>
      <c r="AY584" s="44">
        <f>IF($M584="","",IF(ISNUMBER($M584),IF($M584&gt;=Header!$C$18,"YES — refer","No"),""))</f>
      </c>
      <c r="AZ584" s="44">
        <f>IF($AD584="","",IF(ISNUMBER($AD584),IF($AD584&lt;Header!$C$20,"BELOW MIN PREMIUM","OK"),""))</f>
      </c>
      <c r="BA584" s="48" t="inlineStr">
        <is>
          <t xml:space="preserve">Yes</t>
        </is>
      </c>
      <c r="BB584" s="48" t="inlineStr">
        <is>
          <t xml:space="preserve">Yes</t>
        </is>
      </c>
      <c r="BC584" s="46" t="inlineStr">
        <is>
          <t xml:space="preserve">Synthetic demo data</t>
        </is>
      </c>
      <c r="BE584" s="45">
        <f>IF(OR($A584="",$L584="",$H584=""),"",IF(AND(LEFT($L584,2)="06",$H584&gt;1945),"FAIL - pre-war class, year "&amp;$H584,IF(AND(LEFT($L584,2)="07",OR($H584&lt;1946,$H584&gt;1972)),"FAIL - 1946-72 class, year "&amp;$H584,IF(AND(LEFT($L584,2)="08",OR($H584&lt;1973,$H584&gt;1999)),"FAIL - 1973-99 class, year "&amp;$H584,IF(AND(LEFT($L584,2)="09",OR($H584&lt;2000,$H584&gt;2010)),"FAIL - 2000-10 class, year "&amp;$H584,"OK")))))</f>
      </c>
      <c r="BF584" s="45">
        <f>IF($AD584="","",IF(ROUND($AO584+$AP584+$AQ584-$AD584,2)=0,"OK","FAIL - out by "&amp;TEXT($AO584+$AP584+$AQ584-$AD584,"$0.00")))</f>
      </c>
    </row>
    <row r="585" spans="1:58" ht="18.75" customHeight="1" x14ac:dyDescent="0.25">
      <c r="A585" s="30" t="inlineStr">
        <is>
          <t xml:space="preserve">CANON-202607-010316</t>
        </is>
      </c>
      <c r="B585" s="30" t="inlineStr">
        <is>
          <t xml:space="preserve">Ramona Rourke</t>
        </is>
      </c>
      <c r="C585" s="31">
        <v>46233</v>
      </c>
      <c r="D585" s="32" t="inlineStr">
        <is>
          <t xml:space="preserve">Bound - within authority</t>
        </is>
      </c>
      <c r="E585" s="32" t="inlineStr">
        <is>
          <t xml:space="preserve">New business</t>
        </is>
      </c>
      <c r="F585" s="30" t="inlineStr">
        <is>
          <t xml:space="preserve">B1234EXOTIC26</t>
        </is>
      </c>
      <c r="G585" s="33">
        <f>IF($A585="","",IF($C585="","",YEAR($C585)))</f>
      </c>
      <c r="H585" s="34">
        <v>1971</v>
      </c>
      <c r="I585" s="30" t="inlineStr">
        <is>
          <t xml:space="preserve">Ferrari</t>
        </is>
      </c>
      <c r="J585" s="30" t="inlineStr">
        <is>
          <t xml:space="preserve">275 GTB/4</t>
        </is>
      </c>
      <c r="K585" s="30" t="inlineStr">
        <is>
          <t xml:space="preserve">8TKJDWXLVT3G6UDB9</t>
        </is>
      </c>
      <c r="L585" s="32" t="inlineStr">
        <is>
          <t xml:space="preserve">07 - Post-War Classic (1946-1972)</t>
        </is>
      </c>
      <c r="M585" s="35">
        <v>915000</v>
      </c>
      <c r="N585" s="32" t="inlineStr">
        <is>
          <t xml:space="preserve">Personal</t>
        </is>
      </c>
      <c r="O585" s="30" t="inlineStr">
        <is>
          <t xml:space="preserve">Personal - regular use</t>
        </is>
      </c>
      <c r="P585" s="30" t="inlineStr">
        <is>
          <t xml:space="preserve">1,000 - 2,500</t>
        </is>
      </c>
      <c r="Q585" s="30" t="inlineStr">
        <is>
          <t xml:space="preserve">Alabama</t>
        </is>
      </c>
      <c r="R585" s="30" t="inlineStr">
        <is>
          <t xml:space="preserve">35203</t>
        </is>
      </c>
      <c r="S585" s="32" t="inlineStr">
        <is>
          <t xml:space="preserve">Tier 2 - Coastal wind (1-25 miles)</t>
        </is>
      </c>
      <c r="T585" s="36">
        <f>IF($A585="","",IF($S585="","",IFERROR(INDEX('[1]natural catastrophe'!$D$6:$D$17,MATCH($S585,'[1]natural catastrophe'!$B$6:$B$17,0)),"?")))</f>
      </c>
      <c r="U585" s="30" t="inlineStr">
        <is>
          <t xml:space="preserve">2% of agreed value, minimum $10,000</t>
        </is>
      </c>
      <c r="V585" s="32" t="inlineStr">
        <is>
          <t xml:space="preserve">Agreed Value</t>
        </is>
      </c>
      <c r="W585" s="30" t="inlineStr">
        <is>
          <t xml:space="preserve">$1,000</t>
        </is>
      </c>
      <c r="X585" s="32" t="inlineStr">
        <is>
          <t xml:space="preserve">$1,000,000 CSL</t>
        </is>
      </c>
      <c r="Y585" s="30"/>
      <c r="Z585" s="30"/>
      <c r="AA585" s="32" t="inlineStr">
        <is>
          <t xml:space="preserve">Surplus Lines</t>
        </is>
      </c>
      <c r="AB585" s="35">
        <v>7174.67</v>
      </c>
      <c r="AC585" s="37">
        <v>0</v>
      </c>
      <c r="AD585" s="38">
        <f>IF(ISNUMBER($AB585),$AB585*(1+N($AC585)),"")</f>
      </c>
      <c r="AE585" s="35">
        <v>350</v>
      </c>
      <c r="AF585" s="35">
        <v>0</v>
      </c>
      <c r="AG585" s="37"/>
      <c r="AH585" s="39">
        <f>IF(ISNUMBER($AD585),($AD585+$AE585+$AF585)*$AG585,"")</f>
      </c>
      <c r="AI585" s="35"/>
      <c r="AJ585" s="38">
        <f>IF(ISNUMBER($AD585),SUM($AD585:$AH585),"")</f>
      </c>
      <c r="AK585" s="40">
        <f>IF(AND(ISNUMBER($AB585),ISNUMBER($AD585)),IF($AB585&gt;0,$AD585/$AB585,""),"")</f>
      </c>
      <c r="AL585" s="32" t="inlineStr">
        <is>
          <t xml:space="preserve">At technical</t>
        </is>
      </c>
      <c r="AM585" s="41">
        <f>IF(ISNUMBER($AD585),Header!$I$3,"")</f>
      </c>
      <c r="AN585" s="39">
        <f>IF(ISNUMBER($AD585),$AO585+$AP585,"")</f>
      </c>
      <c r="AO585" s="39">
        <f>IF(ISNUMBER($AD585),ROUND($AD585*Header!$K$3,2),"")</f>
      </c>
      <c r="AP585" s="39">
        <f>IF(ISNUMBER($AD585),ROUND($AD585*Header!$M$3,2),"")</f>
      </c>
      <c r="AQ585" s="38">
        <f>IF(ISNUMBER($AD585),ROUND($AD585,2)-$AO585-$AP585,"")</f>
      </c>
      <c r="AR585" s="39">
        <f>IF(ISNUMBER($AD585),IF(Header!$D$34="","?",$AD585*Header!$D$34),"")</f>
      </c>
      <c r="AS585" s="39">
        <f>IF(ISNUMBER($AB585),IF(Header!$D$34="","?",$AB585*Header!$D$34),"")</f>
      </c>
      <c r="AT585" s="42">
        <f>IF(AND(ISNUMBER($AB585),$M585&gt;0),$AB585/$M585*100,"")</f>
      </c>
      <c r="AU585" s="42">
        <f>IF(AND(ISNUMBER($AD585),$M585&gt;0),$AD585/$M585*100,"")</f>
      </c>
      <c r="AV585" s="40">
        <f>IF(AND(ISNUMBER($AB585),ISNUMBER($AD585),ABS($AB585)&gt;0),$AD585/$AB585,"")</f>
      </c>
      <c r="AW585" s="39">
        <f>IF(ISNUMBER($AD585),MAX(0,(1-0.55-Header!$O$3)*Header!$Q$3*$AQ585),"")</f>
      </c>
      <c r="AX585" s="43">
        <f>IF($A585="","",IF(TRIM(IF($A585="","Missing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",""))="","PASS","FAIL: "&amp;TRIM(IF($A585="","Missing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f>
      </c>
      <c r="AY585" s="44">
        <f>IF($M585="","",IF(ISNUMBER($M585),IF($M585&gt;=Header!$C$18,"YES — refer","No"),""))</f>
      </c>
      <c r="AZ585" s="44">
        <f>IF($AD585="","",IF(ISNUMBER($AD585),IF($AD585&lt;Header!$C$20,"BELOW MIN PREMIUM","OK"),""))</f>
      </c>
      <c r="BA585" s="32" t="inlineStr">
        <is>
          <t xml:space="preserve">Yes</t>
        </is>
      </c>
      <c r="BB585" s="32" t="inlineStr">
        <is>
          <t xml:space="preserve">Yes</t>
        </is>
      </c>
      <c r="BC585" s="30" t="inlineStr">
        <is>
          <t xml:space="preserve">Synthetic demo data</t>
        </is>
      </c>
      <c r="BE585" s="45">
        <f>IF(OR($A585="",$L585="",$H585=""),"",IF(AND(LEFT($L585,2)="06",$H585&gt;1945),"FAIL - pre-war class, year "&amp;$H585,IF(AND(LEFT($L585,2)="07",OR($H585&lt;1946,$H585&gt;1972)),"FAIL - 1946-72 class, year "&amp;$H585,IF(AND(LEFT($L585,2)="08",OR($H585&lt;1973,$H585&gt;1999)),"FAIL - 1973-99 class, year "&amp;$H585,IF(AND(LEFT($L585,2)="09",OR($H585&lt;2000,$H585&gt;2010)),"FAIL - 2000-10 class, year "&amp;$H585,"OK")))))</f>
      </c>
      <c r="BF585" s="45">
        <f>IF($AD585="","",IF(ROUND($AO585+$AP585+$AQ585-$AD585,2)=0,"OK","FAIL - out by "&amp;TEXT($AO585+$AP585+$AQ585-$AD585,"$0.00")))</f>
      </c>
    </row>
    <row r="586" spans="1:58" ht="18.75" customHeight="1" x14ac:dyDescent="0.25">
      <c r="A586" s="46" t="inlineStr">
        <is>
          <t xml:space="preserve">CANON-202607-010317</t>
        </is>
      </c>
      <c r="B586" s="46" t="inlineStr">
        <is>
          <t xml:space="preserve">Marisol Montoya</t>
        </is>
      </c>
      <c r="C586" s="47">
        <v>46227</v>
      </c>
      <c r="D586" s="48" t="inlineStr">
        <is>
          <t xml:space="preserve">Bound - within authority</t>
        </is>
      </c>
      <c r="E586" s="48" t="inlineStr">
        <is>
          <t xml:space="preserve">New business</t>
        </is>
      </c>
      <c r="F586" s="46" t="inlineStr">
        <is>
          <t xml:space="preserve">B1234EXOTIC26</t>
        </is>
      </c>
      <c r="G586" s="33">
        <f>IF($A586="","",IF($C586="","",YEAR($C586)))</f>
      </c>
      <c r="H586" s="49">
        <v>2002</v>
      </c>
      <c r="I586" s="46" t="inlineStr">
        <is>
          <t xml:space="preserve">Aston Martin</t>
        </is>
      </c>
      <c r="J586" s="46" t="inlineStr">
        <is>
          <t xml:space="preserve">DB12</t>
        </is>
      </c>
      <c r="K586" s="46" t="inlineStr">
        <is>
          <t xml:space="preserve">4KHTRMG2SGG284XD0</t>
        </is>
      </c>
      <c r="L586" s="48" t="inlineStr">
        <is>
          <t xml:space="preserve">02 - Sports / GT</t>
        </is>
      </c>
      <c r="M586" s="50">
        <v>1205000</v>
      </c>
      <c r="N586" s="48" t="inlineStr">
        <is>
          <t xml:space="preserve">Personal</t>
        </is>
      </c>
      <c r="O586" s="46" t="inlineStr">
        <is>
          <t xml:space="preserve">Personal - regular use</t>
        </is>
      </c>
      <c r="P586" s="46" t="inlineStr">
        <is>
          <t xml:space="preserve">Under 1,000</t>
        </is>
      </c>
      <c r="Q586" s="46" t="inlineStr">
        <is>
          <t xml:space="preserve">Indiana</t>
        </is>
      </c>
      <c r="R586" s="46" t="inlineStr">
        <is>
          <t xml:space="preserve">46204</t>
        </is>
      </c>
      <c r="S586" s="48" t="inlineStr">
        <is>
          <t xml:space="preserve">Severe convective - hail / tornado (moderate)</t>
        </is>
      </c>
      <c r="T586" s="36">
        <f>IF($A586="","",IF($S586="","",IFERROR(INDEX('[1]natural catastrophe'!$D$6:$D$17,MATCH($S586,'[1]natural catastrophe'!$B$6:$B$17,0)),"?")))</f>
      </c>
      <c r="U586" s="46" t="inlineStr">
        <is>
          <t xml:space="preserve">$5,000</t>
        </is>
      </c>
      <c r="V586" s="48" t="inlineStr">
        <is>
          <t xml:space="preserve">Agreed Value</t>
        </is>
      </c>
      <c r="W586" s="46" t="inlineStr">
        <is>
          <t xml:space="preserve">$1,000</t>
        </is>
      </c>
      <c r="X586" s="48" t="inlineStr">
        <is>
          <t xml:space="preserve">$1,000,000 CSL</t>
        </is>
      </c>
      <c r="Y586" s="46"/>
      <c r="Z586" s="46"/>
      <c r="AA586" s="48" t="inlineStr">
        <is>
          <t xml:space="preserve">Surplus Lines</t>
        </is>
      </c>
      <c r="AB586" s="50">
        <v>11704.79</v>
      </c>
      <c r="AC586" s="51">
        <v>0</v>
      </c>
      <c r="AD586" s="38">
        <f>IF(ISNUMBER($AB586),$AB586*(1+N($AC586)),"")</f>
      </c>
      <c r="AE586" s="50">
        <v>350</v>
      </c>
      <c r="AF586" s="50">
        <v>250</v>
      </c>
      <c r="AG586" s="51"/>
      <c r="AH586" s="39">
        <f>IF(ISNUMBER($AD586),($AD586+$AE586+$AF586)*$AG586,"")</f>
      </c>
      <c r="AI586" s="50"/>
      <c r="AJ586" s="38">
        <f>IF(ISNUMBER($AD586),SUM($AD586:$AH586),"")</f>
      </c>
      <c r="AK586" s="40">
        <f>IF(AND(ISNUMBER($AB586),ISNUMBER($AD586)),IF($AB586&gt;0,$AD586/$AB586,""),"")</f>
      </c>
      <c r="AL586" s="48" t="inlineStr">
        <is>
          <t xml:space="preserve">At technical</t>
        </is>
      </c>
      <c r="AM586" s="41">
        <f>IF(ISNUMBER($AD586),Header!$I$3,"")</f>
      </c>
      <c r="AN586" s="39">
        <f>IF(ISNUMBER($AD586),$AO586+$AP586,"")</f>
      </c>
      <c r="AO586" s="39">
        <f>IF(ISNUMBER($AD586),ROUND($AD586*Header!$K$3,2),"")</f>
      </c>
      <c r="AP586" s="39">
        <f>IF(ISNUMBER($AD586),ROUND($AD586*Header!$M$3,2),"")</f>
      </c>
      <c r="AQ586" s="38">
        <f>IF(ISNUMBER($AD586),ROUND($AD586,2)-$AO586-$AP586,"")</f>
      </c>
      <c r="AR586" s="39">
        <f>IF(ISNUMBER($AD586),IF(Header!$D$34="","?",$AD586*Header!$D$34),"")</f>
      </c>
      <c r="AS586" s="39">
        <f>IF(ISNUMBER($AB586),IF(Header!$D$34="","?",$AB586*Header!$D$34),"")</f>
      </c>
      <c r="AT586" s="42">
        <f>IF(AND(ISNUMBER($AB586),$M586&gt;0),$AB586/$M586*100,"")</f>
      </c>
      <c r="AU586" s="42">
        <f>IF(AND(ISNUMBER($AD586),$M586&gt;0),$AD586/$M586*100,"")</f>
      </c>
      <c r="AV586" s="40">
        <f>IF(AND(ISNUMBER($AB586),ISNUMBER($AD586),ABS($AB586)&gt;0),$AD586/$AB586,"")</f>
      </c>
      <c r="AW586" s="39">
        <f>IF(ISNUMBER($AD586),MAX(0,(1-0.55-Header!$O$3)*Header!$Q$3*$AQ586),"")</f>
      </c>
      <c r="AX586" s="43">
        <f>IF($A586="","",IF(TRIM(IF($A586="","Missing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",""))="","PASS","FAIL: "&amp;TRIM(IF($A586="","Missing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f>
      </c>
      <c r="AY586" s="44">
        <f>IF($M586="","",IF(ISNUMBER($M586),IF($M586&gt;=Header!$C$18,"YES — refer","No"),""))</f>
      </c>
      <c r="AZ586" s="44">
        <f>IF($AD586="","",IF(ISNUMBER($AD586),IF($AD586&lt;Header!$C$20,"BELOW MIN PREMIUM","OK"),""))</f>
      </c>
      <c r="BA586" s="48" t="inlineStr">
        <is>
          <t xml:space="preserve">Yes</t>
        </is>
      </c>
      <c r="BB586" s="48" t="inlineStr">
        <is>
          <t xml:space="preserve">Yes</t>
        </is>
      </c>
      <c r="BC586" s="46" t="inlineStr">
        <is>
          <t xml:space="preserve">Synthetic demo data</t>
        </is>
      </c>
      <c r="BE586" s="45">
        <f>IF(OR($A586="",$L586="",$H586=""),"",IF(AND(LEFT($L586,2)="06",$H586&gt;1945),"FAIL - pre-war class, year "&amp;$H586,IF(AND(LEFT($L586,2)="07",OR($H586&lt;1946,$H586&gt;1972)),"FAIL - 1946-72 class, year "&amp;$H586,IF(AND(LEFT($L586,2)="08",OR($H586&lt;1973,$H586&gt;1999)),"FAIL - 1973-99 class, year "&amp;$H586,IF(AND(LEFT($L586,2)="09",OR($H586&lt;2000,$H586&gt;2010)),"FAIL - 2000-10 class, year "&amp;$H586,"OK")))))</f>
      </c>
      <c r="BF586" s="45">
        <f>IF($AD586="","",IF(ROUND($AO586+$AP586+$AQ586-$AD586,2)=0,"OK","FAIL - out by "&amp;TEXT($AO586+$AP586+$AQ586-$AD586,"$0.00")))</f>
      </c>
    </row>
    <row r="587" spans="1:58" ht="18.75" customHeight="1" x14ac:dyDescent="0.25">
      <c r="A587" s="30" t="inlineStr">
        <is>
          <t xml:space="preserve">CANON-202607-010318</t>
        </is>
      </c>
      <c r="B587" s="30" t="inlineStr">
        <is>
          <t xml:space="preserve">Desmond Thistlewood</t>
        </is>
      </c>
      <c r="C587" s="31">
        <v>46218</v>
      </c>
      <c r="D587" s="32" t="inlineStr">
        <is>
          <t xml:space="preserve">Bound - within authority</t>
        </is>
      </c>
      <c r="E587" s="32" t="inlineStr">
        <is>
          <t xml:space="preserve">New business</t>
        </is>
      </c>
      <c r="F587" s="30" t="inlineStr">
        <is>
          <t xml:space="preserve">B1234EXOTIC26</t>
        </is>
      </c>
      <c r="G587" s="33">
        <f>IF($A587="","",IF($C587="","",YEAR($C587)))</f>
      </c>
      <c r="H587" s="34">
        <v>1981</v>
      </c>
      <c r="I587" s="30" t="inlineStr">
        <is>
          <t xml:space="preserve">Icon</t>
        </is>
      </c>
      <c r="J587" s="30" t="inlineStr">
        <is>
          <t xml:space="preserve">Derelict</t>
        </is>
      </c>
      <c r="K587" s="30" t="inlineStr">
        <is>
          <t xml:space="preserve">J5HGD16YDG6AMTBDT</t>
        </is>
      </c>
      <c r="L587" s="32" t="inlineStr">
        <is>
          <t xml:space="preserve">11 - Restomod / Coachbuilt / Bespoke</t>
        </is>
      </c>
      <c r="M587" s="35">
        <v>455000</v>
      </c>
      <c r="N587" s="32" t="inlineStr">
        <is>
          <t xml:space="preserve">Personal</t>
        </is>
      </c>
      <c r="O587" s="30" t="inlineStr">
        <is>
          <t xml:space="preserve">Personal - regular use</t>
        </is>
      </c>
      <c r="P587" s="30" t="inlineStr">
        <is>
          <t xml:space="preserve">1,000 - 2,500</t>
        </is>
      </c>
      <c r="Q587" s="30" t="inlineStr">
        <is>
          <t xml:space="preserve">Maine</t>
        </is>
      </c>
      <c r="R587" s="30" t="inlineStr">
        <is>
          <t xml:space="preserve">04101</t>
        </is>
      </c>
      <c r="S587" s="32" t="inlineStr">
        <is>
          <t xml:space="preserve">Tier 3 - Coastal wind (25-100 miles)</t>
        </is>
      </c>
      <c r="T587" s="36">
        <f>IF($A587="","",IF($S587="","",IFERROR(INDEX('[1]natural catastrophe'!$D$6:$D$17,MATCH($S587,'[1]natural catastrophe'!$B$6:$B$17,0)),"?")))</f>
      </c>
      <c r="U587" s="30" t="inlineStr">
        <is>
          <t xml:space="preserve">2% of agreed value, minimum $10,000</t>
        </is>
      </c>
      <c r="V587" s="32" t="inlineStr">
        <is>
          <t xml:space="preserve">Agreed Value</t>
        </is>
      </c>
      <c r="W587" s="30" t="inlineStr">
        <is>
          <t xml:space="preserve">$1,000</t>
        </is>
      </c>
      <c r="X587" s="32" t="inlineStr">
        <is>
          <t xml:space="preserve">$1,000,000 CSL</t>
        </is>
      </c>
      <c r="Y587" s="30"/>
      <c r="Z587" s="30"/>
      <c r="AA587" s="32" t="inlineStr">
        <is>
          <t xml:space="preserve">Surplus Lines</t>
        </is>
      </c>
      <c r="AB587" s="35">
        <v>6209.07</v>
      </c>
      <c r="AC587" s="37">
        <v>0</v>
      </c>
      <c r="AD587" s="38">
        <f>IF(ISNUMBER($AB587),$AB587*(1+N($AC587)),"")</f>
      </c>
      <c r="AE587" s="35">
        <v>350</v>
      </c>
      <c r="AF587" s="35">
        <v>0</v>
      </c>
      <c r="AG587" s="37"/>
      <c r="AH587" s="39">
        <f>IF(ISNUMBER($AD587),($AD587+$AE587+$AF587)*$AG587,"")</f>
      </c>
      <c r="AI587" s="35"/>
      <c r="AJ587" s="38">
        <f>IF(ISNUMBER($AD587),SUM($AD587:$AH587),"")</f>
      </c>
      <c r="AK587" s="40">
        <f>IF(AND(ISNUMBER($AB587),ISNUMBER($AD587)),IF($AB587&gt;0,$AD587/$AB587,""),"")</f>
      </c>
      <c r="AL587" s="32" t="inlineStr">
        <is>
          <t xml:space="preserve">At technical</t>
        </is>
      </c>
      <c r="AM587" s="41">
        <f>IF(ISNUMBER($AD587),Header!$I$3,"")</f>
      </c>
      <c r="AN587" s="39">
        <f>IF(ISNUMBER($AD587),$AO587+$AP587,"")</f>
      </c>
      <c r="AO587" s="39">
        <f>IF(ISNUMBER($AD587),ROUND($AD587*Header!$K$3,2),"")</f>
      </c>
      <c r="AP587" s="39">
        <f>IF(ISNUMBER($AD587),ROUND($AD587*Header!$M$3,2),"")</f>
      </c>
      <c r="AQ587" s="38">
        <f>IF(ISNUMBER($AD587),ROUND($AD587,2)-$AO587-$AP587,"")</f>
      </c>
      <c r="AR587" s="39">
        <f>IF(ISNUMBER($AD587),IF(Header!$D$34="","?",$AD587*Header!$D$34),"")</f>
      </c>
      <c r="AS587" s="39">
        <f>IF(ISNUMBER($AB587),IF(Header!$D$34="","?",$AB587*Header!$D$34),"")</f>
      </c>
      <c r="AT587" s="42">
        <f>IF(AND(ISNUMBER($AB587),$M587&gt;0),$AB587/$M587*100,"")</f>
      </c>
      <c r="AU587" s="42">
        <f>IF(AND(ISNUMBER($AD587),$M587&gt;0),$AD587/$M587*100,"")</f>
      </c>
      <c r="AV587" s="40">
        <f>IF(AND(ISNUMBER($AB587),ISNUMBER($AD587),ABS($AB587)&gt;0),$AD587/$AB587,"")</f>
      </c>
      <c r="AW587" s="39">
        <f>IF(ISNUMBER($AD587),MAX(0,(1-0.55-Header!$O$3)*Header!$Q$3*$AQ587),"")</f>
      </c>
      <c r="AX587" s="43">
        <f>IF($A587="","",IF(TRIM(IF($A587="","Missing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",""))="","PASS","FAIL: "&amp;TRIM(IF($A587="","Missing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f>
      </c>
      <c r="AY587" s="44">
        <f>IF($M587="","",IF(ISNUMBER($M587),IF($M587&gt;=Header!$C$18,"YES — refer","No"),""))</f>
      </c>
      <c r="AZ587" s="44">
        <f>IF($AD587="","",IF(ISNUMBER($AD587),IF($AD587&lt;Header!$C$20,"BELOW MIN PREMIUM","OK"),""))</f>
      </c>
      <c r="BA587" s="32" t="inlineStr">
        <is>
          <t xml:space="preserve">Yes</t>
        </is>
      </c>
      <c r="BB587" s="32" t="inlineStr">
        <is>
          <t xml:space="preserve">Yes</t>
        </is>
      </c>
      <c r="BC587" s="30" t="inlineStr">
        <is>
          <t xml:space="preserve">Synthetic demo data</t>
        </is>
      </c>
      <c r="BE587" s="45">
        <f>IF(OR($A587="",$L587="",$H587=""),"",IF(AND(LEFT($L587,2)="06",$H587&gt;1945),"FAIL - pre-war class, year "&amp;$H587,IF(AND(LEFT($L587,2)="07",OR($H587&lt;1946,$H587&gt;1972)),"FAIL - 1946-72 class, year "&amp;$H587,IF(AND(LEFT($L587,2)="08",OR($H587&lt;1973,$H587&gt;1999)),"FAIL - 1973-99 class, year "&amp;$H587,IF(AND(LEFT($L587,2)="09",OR($H587&lt;2000,$H587&gt;2010)),"FAIL - 2000-10 class, year "&amp;$H587,"OK")))))</f>
      </c>
      <c r="BF587" s="45">
        <f>IF($AD587="","",IF(ROUND($AO587+$AP587+$AQ587-$AD587,2)=0,"OK","FAIL - out by "&amp;TEXT($AO587+$AP587+$AQ587-$AD587,"$0.00")))</f>
      </c>
    </row>
    <row r="588" spans="1:58" ht="18.75" customHeight="1" x14ac:dyDescent="0.25">
      <c r="A588" s="46" t="inlineStr">
        <is>
          <t xml:space="preserve">CANON-202607-010319</t>
        </is>
      </c>
      <c r="B588" s="46" t="inlineStr">
        <is>
          <t xml:space="preserve">Desmond Harrington</t>
        </is>
      </c>
      <c r="C588" s="47">
        <v>46213</v>
      </c>
      <c r="D588" s="48" t="inlineStr">
        <is>
          <t xml:space="preserve">Bound - within authority</t>
        </is>
      </c>
      <c r="E588" s="48" t="inlineStr">
        <is>
          <t xml:space="preserve">New business</t>
        </is>
      </c>
      <c r="F588" s="46" t="inlineStr">
        <is>
          <t xml:space="preserve">B1234EXOTIC26</t>
        </is>
      </c>
      <c r="G588" s="33">
        <f>IF($A588="","",IF($C588="","",YEAR($C588)))</f>
      </c>
      <c r="H588" s="49">
        <v>1983</v>
      </c>
      <c r="I588" s="46" t="inlineStr">
        <is>
          <t xml:space="preserve">McLaren</t>
        </is>
      </c>
      <c r="J588" s="46" t="inlineStr">
        <is>
          <t xml:space="preserve">750S</t>
        </is>
      </c>
      <c r="K588" s="46" t="inlineStr">
        <is>
          <t xml:space="preserve">THL6VSRP6WWAYCXM8</t>
        </is>
      </c>
      <c r="L588" s="48" t="inlineStr">
        <is>
          <t xml:space="preserve">03 - Supercar</t>
        </is>
      </c>
      <c r="M588" s="50">
        <v>1705000</v>
      </c>
      <c r="N588" s="48" t="inlineStr">
        <is>
          <t xml:space="preserve">Personal</t>
        </is>
      </c>
      <c r="O588" s="46" t="inlineStr">
        <is>
          <t xml:space="preserve">Personal - regular use</t>
        </is>
      </c>
      <c r="P588" s="46" t="inlineStr">
        <is>
          <t xml:space="preserve">2,500 - 5,000</t>
        </is>
      </c>
      <c r="Q588" s="46" t="inlineStr">
        <is>
          <t xml:space="preserve">Georgia</t>
        </is>
      </c>
      <c r="R588" s="46" t="inlineStr">
        <is>
          <t xml:space="preserve">30303</t>
        </is>
      </c>
      <c r="S588" s="48" t="inlineStr">
        <is>
          <t xml:space="preserve">Tier 2 - Coastal wind (1-25 miles)</t>
        </is>
      </c>
      <c r="T588" s="36">
        <f>IF($A588="","",IF($S588="","",IFERROR(INDEX('[1]natural catastrophe'!$D$6:$D$17,MATCH($S588,'[1]natural catastrophe'!$B$6:$B$17,0)),"?")))</f>
      </c>
      <c r="U588" s="46" t="inlineStr">
        <is>
          <t xml:space="preserve">2% of agreed value, minimum $10,000</t>
        </is>
      </c>
      <c r="V588" s="48" t="inlineStr">
        <is>
          <t xml:space="preserve">Agreed Value</t>
        </is>
      </c>
      <c r="W588" s="46" t="inlineStr">
        <is>
          <t xml:space="preserve">$1,000</t>
        </is>
      </c>
      <c r="X588" s="48" t="inlineStr">
        <is>
          <t xml:space="preserve">$1,000,000 CSL</t>
        </is>
      </c>
      <c r="Y588" s="46"/>
      <c r="Z588" s="46"/>
      <c r="AA588" s="48" t="inlineStr">
        <is>
          <t xml:space="preserve">Surplus Lines</t>
        </is>
      </c>
      <c r="AB588" s="50">
        <v>21935.18</v>
      </c>
      <c r="AC588" s="51">
        <v>0</v>
      </c>
      <c r="AD588" s="38">
        <f>IF(ISNUMBER($AB588),$AB588*(1+N($AC588)),"")</f>
      </c>
      <c r="AE588" s="50">
        <v>350</v>
      </c>
      <c r="AF588" s="50">
        <v>250</v>
      </c>
      <c r="AG588" s="51"/>
      <c r="AH588" s="39">
        <f>IF(ISNUMBER($AD588),($AD588+$AE588+$AF588)*$AG588,"")</f>
      </c>
      <c r="AI588" s="50"/>
      <c r="AJ588" s="38">
        <f>IF(ISNUMBER($AD588),SUM($AD588:$AH588),"")</f>
      </c>
      <c r="AK588" s="40">
        <f>IF(AND(ISNUMBER($AB588),ISNUMBER($AD588)),IF($AB588&gt;0,$AD588/$AB588,""),"")</f>
      </c>
      <c r="AL588" s="48" t="inlineStr">
        <is>
          <t xml:space="preserve">At technical</t>
        </is>
      </c>
      <c r="AM588" s="41">
        <f>IF(ISNUMBER($AD588),Header!$I$3,"")</f>
      </c>
      <c r="AN588" s="39">
        <f>IF(ISNUMBER($AD588),$AO588+$AP588,"")</f>
      </c>
      <c r="AO588" s="39">
        <f>IF(ISNUMBER($AD588),ROUND($AD588*Header!$K$3,2),"")</f>
      </c>
      <c r="AP588" s="39">
        <f>IF(ISNUMBER($AD588),ROUND($AD588*Header!$M$3,2),"")</f>
      </c>
      <c r="AQ588" s="38">
        <f>IF(ISNUMBER($AD588),ROUND($AD588,2)-$AO588-$AP588,"")</f>
      </c>
      <c r="AR588" s="39">
        <f>IF(ISNUMBER($AD588),IF(Header!$D$34="","?",$AD588*Header!$D$34),"")</f>
      </c>
      <c r="AS588" s="39">
        <f>IF(ISNUMBER($AB588),IF(Header!$D$34="","?",$AB588*Header!$D$34),"")</f>
      </c>
      <c r="AT588" s="42">
        <f>IF(AND(ISNUMBER($AB588),$M588&gt;0),$AB588/$M588*100,"")</f>
      </c>
      <c r="AU588" s="42">
        <f>IF(AND(ISNUMBER($AD588),$M588&gt;0),$AD588/$M588*100,"")</f>
      </c>
      <c r="AV588" s="40">
        <f>IF(AND(ISNUMBER($AB588),ISNUMBER($AD588),ABS($AB588)&gt;0),$AD588/$AB588,"")</f>
      </c>
      <c r="AW588" s="39">
        <f>IF(ISNUMBER($AD588),MAX(0,(1-0.55-Header!$O$3)*Header!$Q$3*$AQ588),"")</f>
      </c>
      <c r="AX588" s="43">
        <f>IF($A588="","",IF(TRIM(IF($A588="","Missing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",""))="","PASS","FAIL: "&amp;TRIM(IF($A588="","Missing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f>
      </c>
      <c r="AY588" s="44">
        <f>IF($M588="","",IF(ISNUMBER($M588),IF($M588&gt;=Header!$C$18,"YES — refer","No"),""))</f>
      </c>
      <c r="AZ588" s="44">
        <f>IF($AD588="","",IF(ISNUMBER($AD588),IF($AD588&lt;Header!$C$20,"BELOW MIN PREMIUM","OK"),""))</f>
      </c>
      <c r="BA588" s="48" t="inlineStr">
        <is>
          <t xml:space="preserve">Yes</t>
        </is>
      </c>
      <c r="BB588" s="48" t="inlineStr">
        <is>
          <t xml:space="preserve">Yes</t>
        </is>
      </c>
      <c r="BC588" s="46" t="inlineStr">
        <is>
          <t xml:space="preserve">Synthetic demo data</t>
        </is>
      </c>
      <c r="BE588" s="45">
        <f>IF(OR($A588="",$L588="",$H588=""),"",IF(AND(LEFT($L588,2)="06",$H588&gt;1945),"FAIL - pre-war class, year "&amp;$H588,IF(AND(LEFT($L588,2)="07",OR($H588&lt;1946,$H588&gt;1972)),"FAIL - 1946-72 class, year "&amp;$H588,IF(AND(LEFT($L588,2)="08",OR($H588&lt;1973,$H588&gt;1999)),"FAIL - 1973-99 class, year "&amp;$H588,IF(AND(LEFT($L588,2)="09",OR($H588&lt;2000,$H588&gt;2010)),"FAIL - 2000-10 class, year "&amp;$H588,"OK")))))</f>
      </c>
      <c r="BF588" s="45">
        <f>IF($AD588="","",IF(ROUND($AO588+$AP588+$AQ588-$AD588,2)=0,"OK","FAIL - out by "&amp;TEXT($AO588+$AP588+$AQ588-$AD588,"$0.00")))</f>
      </c>
    </row>
    <row r="589" spans="1:58" ht="18.75" customHeight="1" x14ac:dyDescent="0.25">
      <c r="A589" s="30" t="inlineStr">
        <is>
          <t xml:space="preserve">CANON-202607-010320</t>
        </is>
      </c>
      <c r="B589" s="30" t="inlineStr">
        <is>
          <t xml:space="preserve">Fitzgerald Merriweather</t>
        </is>
      </c>
      <c r="C589" s="31">
        <v>46212</v>
      </c>
      <c r="D589" s="32" t="inlineStr">
        <is>
          <t xml:space="preserve">Bound - within authority</t>
        </is>
      </c>
      <c r="E589" s="32" t="inlineStr">
        <is>
          <t xml:space="preserve">New business</t>
        </is>
      </c>
      <c r="F589" s="30" t="inlineStr">
        <is>
          <t xml:space="preserve">B1234EXOTIC26</t>
        </is>
      </c>
      <c r="G589" s="33">
        <f>IF($A589="","",IF($C589="","",YEAR($C589)))</f>
      </c>
      <c r="H589" s="34">
        <v>2024</v>
      </c>
      <c r="I589" s="30" t="inlineStr">
        <is>
          <t xml:space="preserve">Maserati</t>
        </is>
      </c>
      <c r="J589" s="30" t="inlineStr">
        <is>
          <t xml:space="preserve">GranTurismo</t>
        </is>
      </c>
      <c r="K589" s="30" t="inlineStr">
        <is>
          <t xml:space="preserve">DBFF2RGZ09LL44XWZ</t>
        </is>
      </c>
      <c r="L589" s="32" t="inlineStr">
        <is>
          <t xml:space="preserve">02 - Sports / GT</t>
        </is>
      </c>
      <c r="M589" s="35">
        <v>450000</v>
      </c>
      <c r="N589" s="32" t="inlineStr">
        <is>
          <t xml:space="preserve">Personal</t>
        </is>
      </c>
      <c r="O589" s="30" t="inlineStr">
        <is>
          <t xml:space="preserve">Personal - regular use</t>
        </is>
      </c>
      <c r="P589" s="30" t="inlineStr">
        <is>
          <t xml:space="preserve">Under 1,000</t>
        </is>
      </c>
      <c r="Q589" s="30" t="inlineStr">
        <is>
          <t xml:space="preserve">Iowa</t>
        </is>
      </c>
      <c r="R589" s="30" t="inlineStr">
        <is>
          <t xml:space="preserve">50309</t>
        </is>
      </c>
      <c r="S589" s="32" t="inlineStr">
        <is>
          <t xml:space="preserve">Severe convective - hail alley (high)</t>
        </is>
      </c>
      <c r="T589" s="36">
        <f>IF($A589="","",IF($S589="","",IFERROR(INDEX('[1]natural catastrophe'!$D$6:$D$17,MATCH($S589,'[1]natural catastrophe'!$B$6:$B$17,0)),"?")))</f>
      </c>
      <c r="U589" s="30" t="inlineStr">
        <is>
          <t xml:space="preserve">$5,000</t>
        </is>
      </c>
      <c r="V589" s="32" t="inlineStr">
        <is>
          <t xml:space="preserve">Agreed Value</t>
        </is>
      </c>
      <c r="W589" s="30" t="inlineStr">
        <is>
          <t xml:space="preserve">$1,000</t>
        </is>
      </c>
      <c r="X589" s="32" t="inlineStr">
        <is>
          <t xml:space="preserve">$1,000,000 CSL</t>
        </is>
      </c>
      <c r="Y589" s="30"/>
      <c r="Z589" s="30"/>
      <c r="AA589" s="32" t="inlineStr">
        <is>
          <t xml:space="preserve">Surplus Lines</t>
        </is>
      </c>
      <c r="AB589" s="35">
        <v>5330.59</v>
      </c>
      <c r="AC589" s="37">
        <v>0</v>
      </c>
      <c r="AD589" s="38">
        <f>IF(ISNUMBER($AB589),$AB589*(1+N($AC589)),"")</f>
      </c>
      <c r="AE589" s="35">
        <v>350</v>
      </c>
      <c r="AF589" s="35">
        <v>0</v>
      </c>
      <c r="AG589" s="37"/>
      <c r="AH589" s="39">
        <f>IF(ISNUMBER($AD589),($AD589+$AE589+$AF589)*$AG589,"")</f>
      </c>
      <c r="AI589" s="35"/>
      <c r="AJ589" s="38">
        <f>IF(ISNUMBER($AD589),SUM($AD589:$AH589),"")</f>
      </c>
      <c r="AK589" s="40">
        <f>IF(AND(ISNUMBER($AB589),ISNUMBER($AD589)),IF($AB589&gt;0,$AD589/$AB589,""),"")</f>
      </c>
      <c r="AL589" s="32" t="inlineStr">
        <is>
          <t xml:space="preserve">At technical</t>
        </is>
      </c>
      <c r="AM589" s="41">
        <f>IF(ISNUMBER($AD589),Header!$I$3,"")</f>
      </c>
      <c r="AN589" s="39">
        <f>IF(ISNUMBER($AD589),$AO589+$AP589,"")</f>
      </c>
      <c r="AO589" s="39">
        <f>IF(ISNUMBER($AD589),ROUND($AD589*Header!$K$3,2),"")</f>
      </c>
      <c r="AP589" s="39">
        <f>IF(ISNUMBER($AD589),ROUND($AD589*Header!$M$3,2),"")</f>
      </c>
      <c r="AQ589" s="38">
        <f>IF(ISNUMBER($AD589),ROUND($AD589,2)-$AO589-$AP589,"")</f>
      </c>
      <c r="AR589" s="39">
        <f>IF(ISNUMBER($AD589),IF(Header!$D$34="","?",$AD589*Header!$D$34),"")</f>
      </c>
      <c r="AS589" s="39">
        <f>IF(ISNUMBER($AB589),IF(Header!$D$34="","?",$AB589*Header!$D$34),"")</f>
      </c>
      <c r="AT589" s="42">
        <f>IF(AND(ISNUMBER($AB589),$M589&gt;0),$AB589/$M589*100,"")</f>
      </c>
      <c r="AU589" s="42">
        <f>IF(AND(ISNUMBER($AD589),$M589&gt;0),$AD589/$M589*100,"")</f>
      </c>
      <c r="AV589" s="40">
        <f>IF(AND(ISNUMBER($AB589),ISNUMBER($AD589),ABS($AB589)&gt;0),$AD589/$AB589,"")</f>
      </c>
      <c r="AW589" s="39">
        <f>IF(ISNUMBER($AD589),MAX(0,(1-0.55-Header!$O$3)*Header!$Q$3*$AQ589),"")</f>
      </c>
      <c r="AX589" s="43">
        <f>IF($A589="","",IF(TRIM(IF($A589="","Missing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",""))="","PASS","FAIL: "&amp;TRIM(IF($A589="","Missing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f>
      </c>
      <c r="AY589" s="44">
        <f>IF($M589="","",IF(ISNUMBER($M589),IF($M589&gt;=Header!$C$18,"YES — refer","No"),""))</f>
      </c>
      <c r="AZ589" s="44">
        <f>IF($AD589="","",IF(ISNUMBER($AD589),IF($AD589&lt;Header!$C$20,"BELOW MIN PREMIUM","OK"),""))</f>
      </c>
      <c r="BA589" s="32" t="inlineStr">
        <is>
          <t xml:space="preserve">Yes</t>
        </is>
      </c>
      <c r="BB589" s="32" t="inlineStr">
        <is>
          <t xml:space="preserve">Yes</t>
        </is>
      </c>
      <c r="BC589" s="30" t="inlineStr">
        <is>
          <t xml:space="preserve">Synthetic demo data</t>
        </is>
      </c>
      <c r="BE589" s="45">
        <f>IF(OR($A589="",$L589="",$H589=""),"",IF(AND(LEFT($L589,2)="06",$H589&gt;1945),"FAIL - pre-war class, year "&amp;$H589,IF(AND(LEFT($L589,2)="07",OR($H589&lt;1946,$H589&gt;1972)),"FAIL - 1946-72 class, year "&amp;$H589,IF(AND(LEFT($L589,2)="08",OR($H589&lt;1973,$H589&gt;1999)),"FAIL - 1973-99 class, year "&amp;$H589,IF(AND(LEFT($L589,2)="09",OR($H589&lt;2000,$H589&gt;2010)),"FAIL - 2000-10 class, year "&amp;$H589,"OK")))))</f>
      </c>
      <c r="BF589" s="45">
        <f>IF($AD589="","",IF(ROUND($AO589+$AP589+$AQ589-$AD589,2)=0,"OK","FAIL - out by "&amp;TEXT($AO589+$AP589+$AQ589-$AD589,"$0.00")))</f>
      </c>
    </row>
    <row r="590" spans="1:58" ht="18.75" customHeight="1" x14ac:dyDescent="0.25">
      <c r="A590" s="46" t="inlineStr">
        <is>
          <t xml:space="preserve">CANON-202607-010323</t>
        </is>
      </c>
      <c r="B590" s="46" t="inlineStr">
        <is>
          <t xml:space="preserve">Ramona Castellanos</t>
        </is>
      </c>
      <c r="C590" s="47">
        <v>46225</v>
      </c>
      <c r="D590" s="48" t="inlineStr">
        <is>
          <t xml:space="preserve">Bound - within authority</t>
        </is>
      </c>
      <c r="E590" s="48" t="inlineStr">
        <is>
          <t xml:space="preserve">New business</t>
        </is>
      </c>
      <c r="F590" s="46" t="inlineStr">
        <is>
          <t xml:space="preserve">B1234EXOTIC26</t>
        </is>
      </c>
      <c r="G590" s="33">
        <f>IF($A590="","",IF($C590="","",YEAR($C590)))</f>
      </c>
      <c r="H590" s="49">
        <v>1976</v>
      </c>
      <c r="I590" s="46" t="inlineStr">
        <is>
          <t xml:space="preserve">Mercedes-Benz</t>
        </is>
      </c>
      <c r="J590" s="46" t="inlineStr">
        <is>
          <t xml:space="preserve">280SL Pagoda</t>
        </is>
      </c>
      <c r="K590" s="46" t="inlineStr">
        <is>
          <t xml:space="preserve">LXGFDL2BB9BXLSUYR</t>
        </is>
      </c>
      <c r="L590" s="48" t="inlineStr">
        <is>
          <t xml:space="preserve">08 - Modern Classic (1973-1999)</t>
        </is>
      </c>
      <c r="M590" s="50">
        <v>920000</v>
      </c>
      <c r="N590" s="48" t="inlineStr">
        <is>
          <t xml:space="preserve">Personal</t>
        </is>
      </c>
      <c r="O590" s="46" t="inlineStr">
        <is>
          <t xml:space="preserve">Personal - regular use</t>
        </is>
      </c>
      <c r="P590" s="46" t="inlineStr">
        <is>
          <t xml:space="preserve">2,500 - 5,000</t>
        </is>
      </c>
      <c r="Q590" s="46" t="inlineStr">
        <is>
          <t xml:space="preserve">California</t>
        </is>
      </c>
      <c r="R590" s="46" t="inlineStr">
        <is>
          <t xml:space="preserve">90012</t>
        </is>
      </c>
      <c r="S590" s="48" t="inlineStr">
        <is>
          <t xml:space="preserve">Earthquake - high (CA, Cascadia, New Madrid)</t>
        </is>
      </c>
      <c r="T590" s="36">
        <f>IF($A590="","",IF($S590="","",IFERROR(INDEX('[1]natural catastrophe'!$D$6:$D$17,MATCH($S590,'[1]natural catastrophe'!$B$6:$B$17,0)),"?")))</f>
      </c>
      <c r="U590" s="46" t="inlineStr">
        <is>
          <t xml:space="preserve">$5,000</t>
        </is>
      </c>
      <c r="V590" s="48" t="inlineStr">
        <is>
          <t xml:space="preserve">Agreed Value</t>
        </is>
      </c>
      <c r="W590" s="46" t="inlineStr">
        <is>
          <t xml:space="preserve">$1,000</t>
        </is>
      </c>
      <c r="X590" s="48" t="inlineStr">
        <is>
          <t xml:space="preserve">$1,000,000 CSL</t>
        </is>
      </c>
      <c r="Y590" s="46"/>
      <c r="Z590" s="46"/>
      <c r="AA590" s="48" t="inlineStr">
        <is>
          <t xml:space="preserve">Surplus Lines</t>
        </is>
      </c>
      <c r="AB590" s="50">
        <v>7668.29</v>
      </c>
      <c r="AC590" s="51">
        <v>0</v>
      </c>
      <c r="AD590" s="38">
        <f>IF(ISNUMBER($AB590),$AB590*(1+N($AC590)),"")</f>
      </c>
      <c r="AE590" s="50">
        <v>350</v>
      </c>
      <c r="AF590" s="50">
        <v>0</v>
      </c>
      <c r="AG590" s="51"/>
      <c r="AH590" s="39">
        <f>IF(ISNUMBER($AD590),($AD590+$AE590+$AF590)*$AG590,"")</f>
      </c>
      <c r="AI590" s="50"/>
      <c r="AJ590" s="38">
        <f>IF(ISNUMBER($AD590),SUM($AD590:$AH590),"")</f>
      </c>
      <c r="AK590" s="40">
        <f>IF(AND(ISNUMBER($AB590),ISNUMBER($AD590)),IF($AB590&gt;0,$AD590/$AB590,""),"")</f>
      </c>
      <c r="AL590" s="48" t="inlineStr">
        <is>
          <t xml:space="preserve">At technical</t>
        </is>
      </c>
      <c r="AM590" s="41">
        <f>IF(ISNUMBER($AD590),Header!$I$3,"")</f>
      </c>
      <c r="AN590" s="39">
        <f>IF(ISNUMBER($AD590),$AO590+$AP590,"")</f>
      </c>
      <c r="AO590" s="39">
        <f>IF(ISNUMBER($AD590),ROUND($AD590*Header!$K$3,2),"")</f>
      </c>
      <c r="AP590" s="39">
        <f>IF(ISNUMBER($AD590),ROUND($AD590*Header!$M$3,2),"")</f>
      </c>
      <c r="AQ590" s="38">
        <f>IF(ISNUMBER($AD590),ROUND($AD590,2)-$AO590-$AP590,"")</f>
      </c>
      <c r="AR590" s="39">
        <f>IF(ISNUMBER($AD590),IF(Header!$D$34="","?",$AD590*Header!$D$34),"")</f>
      </c>
      <c r="AS590" s="39">
        <f>IF(ISNUMBER($AB590),IF(Header!$D$34="","?",$AB590*Header!$D$34),"")</f>
      </c>
      <c r="AT590" s="42">
        <f>IF(AND(ISNUMBER($AB590),$M590&gt;0),$AB590/$M590*100,"")</f>
      </c>
      <c r="AU590" s="42">
        <f>IF(AND(ISNUMBER($AD590),$M590&gt;0),$AD590/$M590*100,"")</f>
      </c>
      <c r="AV590" s="40">
        <f>IF(AND(ISNUMBER($AB590),ISNUMBER($AD590),ABS($AB590)&gt;0),$AD590/$AB590,"")</f>
      </c>
      <c r="AW590" s="39">
        <f>IF(ISNUMBER($AD590),MAX(0,(1-0.55-Header!$O$3)*Header!$Q$3*$AQ590),"")</f>
      </c>
      <c r="AX590" s="43">
        <f>IF($A590="","",IF(TRIM(IF($A590="","Missing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",""))="","PASS","FAIL: "&amp;TRIM(IF($A590="","Missing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f>
      </c>
      <c r="AY590" s="44">
        <f>IF($M590="","",IF(ISNUMBER($M590),IF($M590&gt;=Header!$C$18,"YES — refer","No"),""))</f>
      </c>
      <c r="AZ590" s="44">
        <f>IF($AD590="","",IF(ISNUMBER($AD590),IF($AD590&lt;Header!$C$20,"BELOW MIN PREMIUM","OK"),""))</f>
      </c>
      <c r="BA590" s="48" t="inlineStr">
        <is>
          <t xml:space="preserve">Yes</t>
        </is>
      </c>
      <c r="BB590" s="48" t="inlineStr">
        <is>
          <t xml:space="preserve">Yes</t>
        </is>
      </c>
      <c r="BC590" s="46" t="inlineStr">
        <is>
          <t xml:space="preserve">Synthetic demo data</t>
        </is>
      </c>
      <c r="BE590" s="45">
        <f>IF(OR($A590="",$L590="",$H590=""),"",IF(AND(LEFT($L590,2)="06",$H590&gt;1945),"FAIL - pre-war class, year "&amp;$H590,IF(AND(LEFT($L590,2)="07",OR($H590&lt;1946,$H590&gt;1972)),"FAIL - 1946-72 class, year "&amp;$H590,IF(AND(LEFT($L590,2)="08",OR($H590&lt;1973,$H590&gt;1999)),"FAIL - 1973-99 class, year "&amp;$H590,IF(AND(LEFT($L590,2)="09",OR($H590&lt;2000,$H590&gt;2010)),"FAIL - 2000-10 class, year "&amp;$H590,"OK")))))</f>
      </c>
      <c r="BF590" s="45">
        <f>IF($AD590="","",IF(ROUND($AO590+$AP590+$AQ590-$AD590,2)=0,"OK","FAIL - out by "&amp;TEXT($AO590+$AP590+$AQ590-$AD590,"$0.00")))</f>
      </c>
    </row>
    <row r="591" spans="1:58" ht="18.75" customHeight="1" x14ac:dyDescent="0.25">
      <c r="A591" s="30" t="inlineStr">
        <is>
          <t xml:space="preserve">CANON-202607-010325</t>
        </is>
      </c>
      <c r="B591" s="30" t="inlineStr">
        <is>
          <t xml:space="preserve">Aurelio Nakashima</t>
        </is>
      </c>
      <c r="C591" s="31">
        <v>46228</v>
      </c>
      <c r="D591" s="32" t="inlineStr">
        <is>
          <t xml:space="preserve">Bound - within authority</t>
        </is>
      </c>
      <c r="E591" s="32" t="inlineStr">
        <is>
          <t xml:space="preserve">New business</t>
        </is>
      </c>
      <c r="F591" s="30" t="inlineStr">
        <is>
          <t xml:space="preserve">B1234EXOTIC26</t>
        </is>
      </c>
      <c r="G591" s="33">
        <f>IF($A591="","",IF($C591="","",YEAR($C591)))</f>
      </c>
      <c r="H591" s="34">
        <v>2023</v>
      </c>
      <c r="I591" s="30" t="inlineStr">
        <is>
          <t xml:space="preserve">Aston Martin</t>
        </is>
      </c>
      <c r="J591" s="30" t="inlineStr">
        <is>
          <t xml:space="preserve">DB5</t>
        </is>
      </c>
      <c r="K591" s="30" t="inlineStr">
        <is>
          <t xml:space="preserve">2HBGFTV0660P2YC6U</t>
        </is>
      </c>
      <c r="L591" s="32" t="inlineStr">
        <is>
          <t xml:space="preserve">02 - Sports / GT</t>
        </is>
      </c>
      <c r="M591" s="35">
        <v>530000</v>
      </c>
      <c r="N591" s="32" t="inlineStr">
        <is>
          <t xml:space="preserve">Personal</t>
        </is>
      </c>
      <c r="O591" s="30" t="inlineStr">
        <is>
          <t xml:space="preserve">Personal - regular use</t>
        </is>
      </c>
      <c r="P591" s="30" t="inlineStr">
        <is>
          <t xml:space="preserve">Under 1,000</t>
        </is>
      </c>
      <c r="Q591" s="30" t="inlineStr">
        <is>
          <t xml:space="preserve">Oregon</t>
        </is>
      </c>
      <c r="R591" s="30" t="inlineStr">
        <is>
          <t xml:space="preserve">97204</t>
        </is>
      </c>
      <c r="S591" s="32" t="inlineStr">
        <is>
          <t xml:space="preserve">Earthquake - high (CA, Cascadia, New Madrid)</t>
        </is>
      </c>
      <c r="T591" s="36">
        <f>IF($A591="","",IF($S591="","",IFERROR(INDEX('[1]natural catastrophe'!$D$6:$D$17,MATCH($S591,'[1]natural catastrophe'!$B$6:$B$17,0)),"?")))</f>
      </c>
      <c r="U591" s="30" t="inlineStr">
        <is>
          <t xml:space="preserve">$5,000</t>
        </is>
      </c>
      <c r="V591" s="32" t="inlineStr">
        <is>
          <t xml:space="preserve">Agreed Value</t>
        </is>
      </c>
      <c r="W591" s="30" t="inlineStr">
        <is>
          <t xml:space="preserve">$1,000</t>
        </is>
      </c>
      <c r="X591" s="32" t="inlineStr">
        <is>
          <t xml:space="preserve">$1,000,000 CSL</t>
        </is>
      </c>
      <c r="Y591" s="30"/>
      <c r="Z591" s="30"/>
      <c r="AA591" s="32" t="inlineStr">
        <is>
          <t xml:space="preserve">Surplus Lines</t>
        </is>
      </c>
      <c r="AB591" s="35">
        <v>3697.7</v>
      </c>
      <c r="AC591" s="37">
        <v>0</v>
      </c>
      <c r="AD591" s="38">
        <f>IF(ISNUMBER($AB591),$AB591*(1+N($AC591)),"")</f>
      </c>
      <c r="AE591" s="35">
        <v>350</v>
      </c>
      <c r="AF591" s="35">
        <v>0</v>
      </c>
      <c r="AG591" s="37"/>
      <c r="AH591" s="39">
        <f>IF(ISNUMBER($AD591),($AD591+$AE591+$AF591)*$AG591,"")</f>
      </c>
      <c r="AI591" s="35"/>
      <c r="AJ591" s="38">
        <f>IF(ISNUMBER($AD591),SUM($AD591:$AH591),"")</f>
      </c>
      <c r="AK591" s="40">
        <f>IF(AND(ISNUMBER($AB591),ISNUMBER($AD591)),IF($AB591&gt;0,$AD591/$AB591,""),"")</f>
      </c>
      <c r="AL591" s="32" t="inlineStr">
        <is>
          <t xml:space="preserve">At technical</t>
        </is>
      </c>
      <c r="AM591" s="41">
        <f>IF(ISNUMBER($AD591),Header!$I$3,"")</f>
      </c>
      <c r="AN591" s="39">
        <f>IF(ISNUMBER($AD591),$AO591+$AP591,"")</f>
      </c>
      <c r="AO591" s="39">
        <f>IF(ISNUMBER($AD591),ROUND($AD591*Header!$K$3,2),"")</f>
      </c>
      <c r="AP591" s="39">
        <f>IF(ISNUMBER($AD591),ROUND($AD591*Header!$M$3,2),"")</f>
      </c>
      <c r="AQ591" s="38">
        <f>IF(ISNUMBER($AD591),ROUND($AD591,2)-$AO591-$AP591,"")</f>
      </c>
      <c r="AR591" s="39">
        <f>IF(ISNUMBER($AD591),IF(Header!$D$34="","?",$AD591*Header!$D$34),"")</f>
      </c>
      <c r="AS591" s="39">
        <f>IF(ISNUMBER($AB591),IF(Header!$D$34="","?",$AB591*Header!$D$34),"")</f>
      </c>
      <c r="AT591" s="42">
        <f>IF(AND(ISNUMBER($AB591),$M591&gt;0),$AB591/$M591*100,"")</f>
      </c>
      <c r="AU591" s="42">
        <f>IF(AND(ISNUMBER($AD591),$M591&gt;0),$AD591/$M591*100,"")</f>
      </c>
      <c r="AV591" s="40">
        <f>IF(AND(ISNUMBER($AB591),ISNUMBER($AD591),ABS($AB591)&gt;0),$AD591/$AB591,"")</f>
      </c>
      <c r="AW591" s="39">
        <f>IF(ISNUMBER($AD591),MAX(0,(1-0.55-Header!$O$3)*Header!$Q$3*$AQ591),"")</f>
      </c>
      <c r="AX591" s="43">
        <f>IF($A591="","",IF(TRIM(IF($A591="","Missing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",""))="","PASS","FAIL: "&amp;TRIM(IF($A591="","Missing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f>
      </c>
      <c r="AY591" s="44">
        <f>IF($M591="","",IF(ISNUMBER($M591),IF($M591&gt;=Header!$C$18,"YES — refer","No"),""))</f>
      </c>
      <c r="AZ591" s="44">
        <f>IF($AD591="","",IF(ISNUMBER($AD591),IF($AD591&lt;Header!$C$20,"BELOW MIN PREMIUM","OK"),""))</f>
      </c>
      <c r="BA591" s="32" t="inlineStr">
        <is>
          <t xml:space="preserve">Yes</t>
        </is>
      </c>
      <c r="BB591" s="32" t="inlineStr">
        <is>
          <t xml:space="preserve">Yes</t>
        </is>
      </c>
      <c r="BC591" s="30" t="inlineStr">
        <is>
          <t xml:space="preserve">Synthetic demo data</t>
        </is>
      </c>
      <c r="BE591" s="45">
        <f>IF(OR($A591="",$L591="",$H591=""),"",IF(AND(LEFT($L591,2)="06",$H591&gt;1945),"FAIL - pre-war class, year "&amp;$H591,IF(AND(LEFT($L591,2)="07",OR($H591&lt;1946,$H591&gt;1972)),"FAIL - 1946-72 class, year "&amp;$H591,IF(AND(LEFT($L591,2)="08",OR($H591&lt;1973,$H591&gt;1999)),"FAIL - 1973-99 class, year "&amp;$H591,IF(AND(LEFT($L591,2)="09",OR($H591&lt;2000,$H591&gt;2010)),"FAIL - 2000-10 class, year "&amp;$H591,"OK")))))</f>
      </c>
      <c r="BF591" s="45">
        <f>IF($AD591="","",IF(ROUND($AO591+$AP591+$AQ591-$AD591,2)=0,"OK","FAIL - out by "&amp;TEXT($AO591+$AP591+$AQ591-$AD591,"$0.00")))</f>
      </c>
    </row>
    <row r="592" spans="1:58" ht="18.75" customHeight="1" x14ac:dyDescent="0.25">
      <c r="A592" s="46" t="inlineStr">
        <is>
          <t xml:space="preserve">CANON-202607-010326</t>
        </is>
      </c>
      <c r="B592" s="46" t="inlineStr">
        <is>
          <t xml:space="preserve">Cassius Farkas</t>
        </is>
      </c>
      <c r="C592" s="47">
        <v>46218</v>
      </c>
      <c r="D592" s="48" t="inlineStr">
        <is>
          <t xml:space="preserve">Bound - within authority</t>
        </is>
      </c>
      <c r="E592" s="48" t="inlineStr">
        <is>
          <t xml:space="preserve">New business</t>
        </is>
      </c>
      <c r="F592" s="46" t="inlineStr">
        <is>
          <t xml:space="preserve">B1234EXOTIC26</t>
        </is>
      </c>
      <c r="G592" s="33">
        <f>IF($A592="","",IF($C592="","",YEAR($C592)))</f>
      </c>
      <c r="H592" s="49">
        <v>1955</v>
      </c>
      <c r="I592" s="46" t="inlineStr">
        <is>
          <t xml:space="preserve">Porsche</t>
        </is>
      </c>
      <c r="J592" s="46" t="inlineStr">
        <is>
          <t xml:space="preserve">911 Turbo S</t>
        </is>
      </c>
      <c r="K592" s="46" t="inlineStr">
        <is>
          <t xml:space="preserve">L88ND889PX8YDZPBH</t>
        </is>
      </c>
      <c r="L592" s="48" t="inlineStr">
        <is>
          <t xml:space="preserve">02 - Sports / GT</t>
        </is>
      </c>
      <c r="M592" s="50">
        <v>230000</v>
      </c>
      <c r="N592" s="48" t="inlineStr">
        <is>
          <t xml:space="preserve">Personal</t>
        </is>
      </c>
      <c r="O592" s="46" t="inlineStr">
        <is>
          <t xml:space="preserve">Personal - regular use</t>
        </is>
      </c>
      <c r="P592" s="46" t="inlineStr">
        <is>
          <t xml:space="preserve">Under 1,000</t>
        </is>
      </c>
      <c r="Q592" s="46" t="inlineStr">
        <is>
          <t xml:space="preserve">Oregon</t>
        </is>
      </c>
      <c r="R592" s="46" t="inlineStr">
        <is>
          <t xml:space="preserve">97204</t>
        </is>
      </c>
      <c r="S592" s="48" t="inlineStr">
        <is>
          <t xml:space="preserve">Earthquake - high (CA, Cascadia, New Madrid)</t>
        </is>
      </c>
      <c r="T592" s="36">
        <f>IF($A592="","",IF($S592="","",IFERROR(INDEX('[1]natural catastrophe'!$D$6:$D$17,MATCH($S592,'[1]natural catastrophe'!$B$6:$B$17,0)),"?")))</f>
      </c>
      <c r="U592" s="46" t="inlineStr">
        <is>
          <t xml:space="preserve">$5,000</t>
        </is>
      </c>
      <c r="V592" s="48" t="inlineStr">
        <is>
          <t xml:space="preserve">Agreed Value</t>
        </is>
      </c>
      <c r="W592" s="46" t="inlineStr">
        <is>
          <t xml:space="preserve">$1,000</t>
        </is>
      </c>
      <c r="X592" s="48" t="inlineStr">
        <is>
          <t xml:space="preserve">$1,000,000 CSL</t>
        </is>
      </c>
      <c r="Y592" s="46"/>
      <c r="Z592" s="46"/>
      <c r="AA592" s="48" t="inlineStr">
        <is>
          <t xml:space="preserve">Surplus Lines</t>
        </is>
      </c>
      <c r="AB592" s="50">
        <v>3433.23</v>
      </c>
      <c r="AC592" s="51">
        <v>0</v>
      </c>
      <c r="AD592" s="38">
        <f>IF(ISNUMBER($AB592),$AB592*(1+N($AC592)),"")</f>
      </c>
      <c r="AE592" s="50">
        <v>350</v>
      </c>
      <c r="AF592" s="50">
        <v>0</v>
      </c>
      <c r="AG592" s="51"/>
      <c r="AH592" s="39">
        <f>IF(ISNUMBER($AD592),($AD592+$AE592+$AF592)*$AG592,"")</f>
      </c>
      <c r="AI592" s="50"/>
      <c r="AJ592" s="38">
        <f>IF(ISNUMBER($AD592),SUM($AD592:$AH592),"")</f>
      </c>
      <c r="AK592" s="40">
        <f>IF(AND(ISNUMBER($AB592),ISNUMBER($AD592)),IF($AB592&gt;0,$AD592/$AB592,""),"")</f>
      </c>
      <c r="AL592" s="48" t="inlineStr">
        <is>
          <t xml:space="preserve">At technical</t>
        </is>
      </c>
      <c r="AM592" s="41">
        <f>IF(ISNUMBER($AD592),Header!$I$3,"")</f>
      </c>
      <c r="AN592" s="39">
        <f>IF(ISNUMBER($AD592),$AO592+$AP592,"")</f>
      </c>
      <c r="AO592" s="39">
        <f>IF(ISNUMBER($AD592),ROUND($AD592*Header!$K$3,2),"")</f>
      </c>
      <c r="AP592" s="39">
        <f>IF(ISNUMBER($AD592),ROUND($AD592*Header!$M$3,2),"")</f>
      </c>
      <c r="AQ592" s="38">
        <f>IF(ISNUMBER($AD592),ROUND($AD592,2)-$AO592-$AP592,"")</f>
      </c>
      <c r="AR592" s="39">
        <f>IF(ISNUMBER($AD592),IF(Header!$D$34="","?",$AD592*Header!$D$34),"")</f>
      </c>
      <c r="AS592" s="39">
        <f>IF(ISNUMBER($AB592),IF(Header!$D$34="","?",$AB592*Header!$D$34),"")</f>
      </c>
      <c r="AT592" s="42">
        <f>IF(AND(ISNUMBER($AB592),$M592&gt;0),$AB592/$M592*100,"")</f>
      </c>
      <c r="AU592" s="42">
        <f>IF(AND(ISNUMBER($AD592),$M592&gt;0),$AD592/$M592*100,"")</f>
      </c>
      <c r="AV592" s="40">
        <f>IF(AND(ISNUMBER($AB592),ISNUMBER($AD592),ABS($AB592)&gt;0),$AD592/$AB592,"")</f>
      </c>
      <c r="AW592" s="39">
        <f>IF(ISNUMBER($AD592),MAX(0,(1-0.55-Header!$O$3)*Header!$Q$3*$AQ592),"")</f>
      </c>
      <c r="AX592" s="43">
        <f>IF($A592="","",IF(TRIM(IF($A592="","Missing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",""))="","PASS","FAIL: "&amp;TRIM(IF($A592="","Missing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f>
      </c>
      <c r="AY592" s="44">
        <f>IF($M592="","",IF(ISNUMBER($M592),IF($M592&gt;=Header!$C$18,"YES — refer","No"),""))</f>
      </c>
      <c r="AZ592" s="44">
        <f>IF($AD592="","",IF(ISNUMBER($AD592),IF($AD592&lt;Header!$C$20,"BELOW MIN PREMIUM","OK"),""))</f>
      </c>
      <c r="BA592" s="48" t="inlineStr">
        <is>
          <t xml:space="preserve">Yes</t>
        </is>
      </c>
      <c r="BB592" s="48" t="inlineStr">
        <is>
          <t xml:space="preserve">Yes</t>
        </is>
      </c>
      <c r="BC592" s="46" t="inlineStr">
        <is>
          <t xml:space="preserve">Synthetic demo data</t>
        </is>
      </c>
      <c r="BE592" s="45">
        <f>IF(OR($A592="",$L592="",$H592=""),"",IF(AND(LEFT($L592,2)="06",$H592&gt;1945),"FAIL - pre-war class, year "&amp;$H592,IF(AND(LEFT($L592,2)="07",OR($H592&lt;1946,$H592&gt;1972)),"FAIL - 1946-72 class, year "&amp;$H592,IF(AND(LEFT($L592,2)="08",OR($H592&lt;1973,$H592&gt;1999)),"FAIL - 1973-99 class, year "&amp;$H592,IF(AND(LEFT($L592,2)="09",OR($H592&lt;2000,$H592&gt;2010)),"FAIL - 2000-10 class, year "&amp;$H592,"OK")))))</f>
      </c>
      <c r="BF592" s="45">
        <f>IF($AD592="","",IF(ROUND($AO592+$AP592+$AQ592-$AD592,2)=0,"OK","FAIL - out by "&amp;TEXT($AO592+$AP592+$AQ592-$AD592,"$0.00")))</f>
      </c>
    </row>
    <row r="593" spans="1:58" ht="18.75" customHeight="1" x14ac:dyDescent="0.25">
      <c r="A593" s="30" t="inlineStr">
        <is>
          <t xml:space="preserve">CANON-202607-010331</t>
        </is>
      </c>
      <c r="B593" s="30" t="inlineStr">
        <is>
          <t xml:space="preserve">Priya Vandermeer</t>
        </is>
      </c>
      <c r="C593" s="31">
        <v>46220</v>
      </c>
      <c r="D593" s="32" t="inlineStr">
        <is>
          <t xml:space="preserve">Bound - within authority</t>
        </is>
      </c>
      <c r="E593" s="32" t="inlineStr">
        <is>
          <t xml:space="preserve">New business</t>
        </is>
      </c>
      <c r="F593" s="30" t="inlineStr">
        <is>
          <t xml:space="preserve">B1234EXOTIC26</t>
        </is>
      </c>
      <c r="G593" s="33">
        <f>IF($A593="","",IF($C593="","",YEAR($C593)))</f>
      </c>
      <c r="H593" s="34">
        <v>1958</v>
      </c>
      <c r="I593" s="30" t="inlineStr">
        <is>
          <t xml:space="preserve">Bentley</t>
        </is>
      </c>
      <c r="J593" s="30" t="inlineStr">
        <is>
          <t xml:space="preserve">Continental GT</t>
        </is>
      </c>
      <c r="K593" s="30" t="inlineStr">
        <is>
          <t xml:space="preserve">7DN4AXLPK0PDWS783</t>
        </is>
      </c>
      <c r="L593" s="32" t="inlineStr">
        <is>
          <t xml:space="preserve">02 - Sports / GT</t>
        </is>
      </c>
      <c r="M593" s="35">
        <v>250000</v>
      </c>
      <c r="N593" s="32" t="inlineStr">
        <is>
          <t xml:space="preserve">Personal</t>
        </is>
      </c>
      <c r="O593" s="30" t="inlineStr">
        <is>
          <t xml:space="preserve">Personal - regular use</t>
        </is>
      </c>
      <c r="P593" s="30" t="inlineStr">
        <is>
          <t xml:space="preserve">1,000 - 2,500</t>
        </is>
      </c>
      <c r="Q593" s="30" t="inlineStr">
        <is>
          <t xml:space="preserve">South Dakota</t>
        </is>
      </c>
      <c r="R593" s="30" t="inlineStr">
        <is>
          <t xml:space="preserve">57501</t>
        </is>
      </c>
      <c r="S593" s="32" t="inlineStr">
        <is>
          <t xml:space="preserve">Severe convective - hail alley (high)</t>
        </is>
      </c>
      <c r="T593" s="36">
        <f>IF($A593="","",IF($S593="","",IFERROR(INDEX('[1]natural catastrophe'!$D$6:$D$17,MATCH($S593,'[1]natural catastrophe'!$B$6:$B$17,0)),"?")))</f>
      </c>
      <c r="U593" s="30" t="inlineStr">
        <is>
          <t xml:space="preserve">$5,000</t>
        </is>
      </c>
      <c r="V593" s="32" t="inlineStr">
        <is>
          <t xml:space="preserve">Agreed Value</t>
        </is>
      </c>
      <c r="W593" s="30" t="inlineStr">
        <is>
          <t xml:space="preserve">$1,000</t>
        </is>
      </c>
      <c r="X593" s="32" t="inlineStr">
        <is>
          <t xml:space="preserve">$1,000,000 CSL</t>
        </is>
      </c>
      <c r="Y593" s="30"/>
      <c r="Z593" s="30"/>
      <c r="AA593" s="32" t="inlineStr">
        <is>
          <t xml:space="preserve">Surplus Lines</t>
        </is>
      </c>
      <c r="AB593" s="35">
        <v>2988.36</v>
      </c>
      <c r="AC593" s="37">
        <v>0</v>
      </c>
      <c r="AD593" s="38">
        <f>IF(ISNUMBER($AB593),$AB593*(1+N($AC593)),"")</f>
      </c>
      <c r="AE593" s="35">
        <v>350</v>
      </c>
      <c r="AF593" s="35">
        <v>0</v>
      </c>
      <c r="AG593" s="37"/>
      <c r="AH593" s="39">
        <f>IF(ISNUMBER($AD593),($AD593+$AE593+$AF593)*$AG593,"")</f>
      </c>
      <c r="AI593" s="35"/>
      <c r="AJ593" s="38">
        <f>IF(ISNUMBER($AD593),SUM($AD593:$AH593),"")</f>
      </c>
      <c r="AK593" s="40">
        <f>IF(AND(ISNUMBER($AB593),ISNUMBER($AD593)),IF($AB593&gt;0,$AD593/$AB593,""),"")</f>
      </c>
      <c r="AL593" s="32" t="inlineStr">
        <is>
          <t xml:space="preserve">At technical</t>
        </is>
      </c>
      <c r="AM593" s="41">
        <f>IF(ISNUMBER($AD593),Header!$I$3,"")</f>
      </c>
      <c r="AN593" s="39">
        <f>IF(ISNUMBER($AD593),$AO593+$AP593,"")</f>
      </c>
      <c r="AO593" s="39">
        <f>IF(ISNUMBER($AD593),ROUND($AD593*Header!$K$3,2),"")</f>
      </c>
      <c r="AP593" s="39">
        <f>IF(ISNUMBER($AD593),ROUND($AD593*Header!$M$3,2),"")</f>
      </c>
      <c r="AQ593" s="38">
        <f>IF(ISNUMBER($AD593),ROUND($AD593,2)-$AO593-$AP593,"")</f>
      </c>
      <c r="AR593" s="39">
        <f>IF(ISNUMBER($AD593),IF(Header!$D$34="","?",$AD593*Header!$D$34),"")</f>
      </c>
      <c r="AS593" s="39">
        <f>IF(ISNUMBER($AB593),IF(Header!$D$34="","?",$AB593*Header!$D$34),"")</f>
      </c>
      <c r="AT593" s="42">
        <f>IF(AND(ISNUMBER($AB593),$M593&gt;0),$AB593/$M593*100,"")</f>
      </c>
      <c r="AU593" s="42">
        <f>IF(AND(ISNUMBER($AD593),$M593&gt;0),$AD593/$M593*100,"")</f>
      </c>
      <c r="AV593" s="40">
        <f>IF(AND(ISNUMBER($AB593),ISNUMBER($AD593),ABS($AB593)&gt;0),$AD593/$AB593,"")</f>
      </c>
      <c r="AW593" s="39">
        <f>IF(ISNUMBER($AD593),MAX(0,(1-0.55-Header!$O$3)*Header!$Q$3*$AQ593),"")</f>
      </c>
      <c r="AX593" s="43">
        <f>IF($A593="","",IF(TRIM(IF($A593="","Missing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",""))="","PASS","FAIL: "&amp;TRIM(IF($A593="","Missing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f>
      </c>
      <c r="AY593" s="44">
        <f>IF($M593="","",IF(ISNUMBER($M593),IF($M593&gt;=Header!$C$18,"YES — refer","No"),""))</f>
      </c>
      <c r="AZ593" s="44">
        <f>IF($AD593="","",IF(ISNUMBER($AD593),IF($AD593&lt;Header!$C$20,"BELOW MIN PREMIUM","OK"),""))</f>
      </c>
      <c r="BA593" s="32" t="inlineStr">
        <is>
          <t xml:space="preserve">Yes</t>
        </is>
      </c>
      <c r="BB593" s="32" t="inlineStr">
        <is>
          <t xml:space="preserve">Yes</t>
        </is>
      </c>
      <c r="BC593" s="30" t="inlineStr">
        <is>
          <t xml:space="preserve">Synthetic demo data</t>
        </is>
      </c>
      <c r="BE593" s="45">
        <f>IF(OR($A593="",$L593="",$H593=""),"",IF(AND(LEFT($L593,2)="06",$H593&gt;1945),"FAIL - pre-war class, year "&amp;$H593,IF(AND(LEFT($L593,2)="07",OR($H593&lt;1946,$H593&gt;1972)),"FAIL - 1946-72 class, year "&amp;$H593,IF(AND(LEFT($L593,2)="08",OR($H593&lt;1973,$H593&gt;1999)),"FAIL - 1973-99 class, year "&amp;$H593,IF(AND(LEFT($L593,2)="09",OR($H593&lt;2000,$H593&gt;2010)),"FAIL - 2000-10 class, year "&amp;$H593,"OK")))))</f>
      </c>
      <c r="BF593" s="45">
        <f>IF($AD593="","",IF(ROUND($AO593+$AP593+$AQ593-$AD593,2)=0,"OK","FAIL - out by "&amp;TEXT($AO593+$AP593+$AQ593-$AD593,"$0.00")))</f>
      </c>
    </row>
    <row r="594" spans="1:58" ht="18.75" customHeight="1" x14ac:dyDescent="0.25">
      <c r="A594" s="46" t="inlineStr">
        <is>
          <t xml:space="preserve">CANON-202607-010333</t>
        </is>
      </c>
      <c r="B594" s="46" t="inlineStr">
        <is>
          <t xml:space="preserve">Emiliano Montoya</t>
        </is>
      </c>
      <c r="C594" s="47">
        <v>46218</v>
      </c>
      <c r="D594" s="48" t="inlineStr">
        <is>
          <t xml:space="preserve">Bound - within authority</t>
        </is>
      </c>
      <c r="E594" s="48" t="inlineStr">
        <is>
          <t xml:space="preserve">New business</t>
        </is>
      </c>
      <c r="F594" s="46" t="inlineStr">
        <is>
          <t xml:space="preserve">B1234EXOTIC26</t>
        </is>
      </c>
      <c r="G594" s="33">
        <f>IF($A594="","",IF($C594="","",YEAR($C594)))</f>
      </c>
      <c r="H594" s="49">
        <v>1987</v>
      </c>
      <c r="I594" s="46" t="inlineStr">
        <is>
          <t xml:space="preserve">Bentley</t>
        </is>
      </c>
      <c r="J594" s="46" t="inlineStr">
        <is>
          <t xml:space="preserve">Continental GT</t>
        </is>
      </c>
      <c r="K594" s="46" t="inlineStr">
        <is>
          <t xml:space="preserve">36VSSURVVWU14TU74</t>
        </is>
      </c>
      <c r="L594" s="48" t="inlineStr">
        <is>
          <t xml:space="preserve">02 - Sports / GT</t>
        </is>
      </c>
      <c r="M594" s="50">
        <v>710000</v>
      </c>
      <c r="N594" s="48" t="inlineStr">
        <is>
          <t xml:space="preserve">Personal</t>
        </is>
      </c>
      <c r="O594" s="46" t="inlineStr">
        <is>
          <t xml:space="preserve">Personal - regular use</t>
        </is>
      </c>
      <c r="P594" s="46" t="inlineStr">
        <is>
          <t xml:space="preserve">Under 1,000</t>
        </is>
      </c>
      <c r="Q594" s="46" t="inlineStr">
        <is>
          <t xml:space="preserve">Ohio</t>
        </is>
      </c>
      <c r="R594" s="46" t="inlineStr">
        <is>
          <t xml:space="preserve">43215</t>
        </is>
      </c>
      <c r="S594" s="48" t="inlineStr">
        <is>
          <t xml:space="preserve">Severe convective - hail / tornado (moderate)</t>
        </is>
      </c>
      <c r="T594" s="36">
        <f>IF($A594="","",IF($S594="","",IFERROR(INDEX('[1]natural catastrophe'!$D$6:$D$17,MATCH($S594,'[1]natural catastrophe'!$B$6:$B$17,0)),"?")))</f>
      </c>
      <c r="U594" s="46" t="inlineStr">
        <is>
          <t xml:space="preserve">$5,000</t>
        </is>
      </c>
      <c r="V594" s="48" t="inlineStr">
        <is>
          <t xml:space="preserve">Agreed Value</t>
        </is>
      </c>
      <c r="W594" s="46" t="inlineStr">
        <is>
          <t xml:space="preserve">$1,000</t>
        </is>
      </c>
      <c r="X594" s="48" t="inlineStr">
        <is>
          <t xml:space="preserve">$1,000,000 CSL</t>
        </is>
      </c>
      <c r="Y594" s="46"/>
      <c r="Z594" s="46"/>
      <c r="AA594" s="48" t="inlineStr">
        <is>
          <t xml:space="preserve">Surplus Lines</t>
        </is>
      </c>
      <c r="AB594" s="50">
        <v>9210.76</v>
      </c>
      <c r="AC594" s="51">
        <v>0</v>
      </c>
      <c r="AD594" s="38">
        <f>IF(ISNUMBER($AB594),$AB594*(1+N($AC594)),"")</f>
      </c>
      <c r="AE594" s="50">
        <v>350</v>
      </c>
      <c r="AF594" s="50">
        <v>0</v>
      </c>
      <c r="AG594" s="51"/>
      <c r="AH594" s="39">
        <f>IF(ISNUMBER($AD594),($AD594+$AE594+$AF594)*$AG594,"")</f>
      </c>
      <c r="AI594" s="50"/>
      <c r="AJ594" s="38">
        <f>IF(ISNUMBER($AD594),SUM($AD594:$AH594),"")</f>
      </c>
      <c r="AK594" s="40">
        <f>IF(AND(ISNUMBER($AB594),ISNUMBER($AD594)),IF($AB594&gt;0,$AD594/$AB594,""),"")</f>
      </c>
      <c r="AL594" s="48" t="inlineStr">
        <is>
          <t xml:space="preserve">At technical</t>
        </is>
      </c>
      <c r="AM594" s="41">
        <f>IF(ISNUMBER($AD594),Header!$I$3,"")</f>
      </c>
      <c r="AN594" s="39">
        <f>IF(ISNUMBER($AD594),$AO594+$AP594,"")</f>
      </c>
      <c r="AO594" s="39">
        <f>IF(ISNUMBER($AD594),ROUND($AD594*Header!$K$3,2),"")</f>
      </c>
      <c r="AP594" s="39">
        <f>IF(ISNUMBER($AD594),ROUND($AD594*Header!$M$3,2),"")</f>
      </c>
      <c r="AQ594" s="38">
        <f>IF(ISNUMBER($AD594),ROUND($AD594,2)-$AO594-$AP594,"")</f>
      </c>
      <c r="AR594" s="39">
        <f>IF(ISNUMBER($AD594),IF(Header!$D$34="","?",$AD594*Header!$D$34),"")</f>
      </c>
      <c r="AS594" s="39">
        <f>IF(ISNUMBER($AB594),IF(Header!$D$34="","?",$AB594*Header!$D$34),"")</f>
      </c>
      <c r="AT594" s="42">
        <f>IF(AND(ISNUMBER($AB594),$M594&gt;0),$AB594/$M594*100,"")</f>
      </c>
      <c r="AU594" s="42">
        <f>IF(AND(ISNUMBER($AD594),$M594&gt;0),$AD594/$M594*100,"")</f>
      </c>
      <c r="AV594" s="40">
        <f>IF(AND(ISNUMBER($AB594),ISNUMBER($AD594),ABS($AB594)&gt;0),$AD594/$AB594,"")</f>
      </c>
      <c r="AW594" s="39">
        <f>IF(ISNUMBER($AD594),MAX(0,(1-0.55-Header!$O$3)*Header!$Q$3*$AQ594),"")</f>
      </c>
      <c r="AX594" s="43">
        <f>IF($A594="","",IF(TRIM(IF($A594="","Missing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",""))="","PASS","FAIL: "&amp;TRIM(IF($A594="","Missing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f>
      </c>
      <c r="AY594" s="44">
        <f>IF($M594="","",IF(ISNUMBER($M594),IF($M594&gt;=Header!$C$18,"YES — refer","No"),""))</f>
      </c>
      <c r="AZ594" s="44">
        <f>IF($AD594="","",IF(ISNUMBER($AD594),IF($AD594&lt;Header!$C$20,"BELOW MIN PREMIUM","OK"),""))</f>
      </c>
      <c r="BA594" s="48" t="inlineStr">
        <is>
          <t xml:space="preserve">Yes</t>
        </is>
      </c>
      <c r="BB594" s="48" t="inlineStr">
        <is>
          <t xml:space="preserve">Yes</t>
        </is>
      </c>
      <c r="BC594" s="46" t="inlineStr">
        <is>
          <t xml:space="preserve">Synthetic demo data</t>
        </is>
      </c>
      <c r="BE594" s="45">
        <f>IF(OR($A594="",$L594="",$H594=""),"",IF(AND(LEFT($L594,2)="06",$H594&gt;1945),"FAIL - pre-war class, year "&amp;$H594,IF(AND(LEFT($L594,2)="07",OR($H594&lt;1946,$H594&gt;1972)),"FAIL - 1946-72 class, year "&amp;$H594,IF(AND(LEFT($L594,2)="08",OR($H594&lt;1973,$H594&gt;1999)),"FAIL - 1973-99 class, year "&amp;$H594,IF(AND(LEFT($L594,2)="09",OR($H594&lt;2000,$H594&gt;2010)),"FAIL - 2000-10 class, year "&amp;$H594,"OK")))))</f>
      </c>
      <c r="BF594" s="45">
        <f>IF($AD594="","",IF(ROUND($AO594+$AP594+$AQ594-$AD594,2)=0,"OK","FAIL - out by "&amp;TEXT($AO594+$AP594+$AQ594-$AD594,"$0.00")))</f>
      </c>
    </row>
    <row r="595" spans="1:58" ht="18.75" customHeight="1" x14ac:dyDescent="0.25">
      <c r="A595" s="30" t="inlineStr">
        <is>
          <t xml:space="preserve">CANON-202607-010334</t>
        </is>
      </c>
      <c r="B595" s="30" t="inlineStr">
        <is>
          <t xml:space="preserve">Anouk Nakashima</t>
        </is>
      </c>
      <c r="C595" s="31">
        <v>46222</v>
      </c>
      <c r="D595" s="32" t="inlineStr">
        <is>
          <t xml:space="preserve">Bound - within authority</t>
        </is>
      </c>
      <c r="E595" s="32" t="inlineStr">
        <is>
          <t xml:space="preserve">New business</t>
        </is>
      </c>
      <c r="F595" s="30" t="inlineStr">
        <is>
          <t xml:space="preserve">B1234EXOTIC26</t>
        </is>
      </c>
      <c r="G595" s="33">
        <f>IF($A595="","",IF($C595="","",YEAR($C595)))</f>
      </c>
      <c r="H595" s="34">
        <v>1990</v>
      </c>
      <c r="I595" s="30" t="inlineStr">
        <is>
          <t xml:space="preserve">Ferrari</t>
        </is>
      </c>
      <c r="J595" s="30" t="inlineStr">
        <is>
          <t xml:space="preserve">SF90 Stradale</t>
        </is>
      </c>
      <c r="K595" s="30" t="inlineStr">
        <is>
          <t xml:space="preserve">KPLEY0XWJTLC8LC3J</t>
        </is>
      </c>
      <c r="L595" s="32" t="inlineStr">
        <is>
          <t xml:space="preserve">03 - Supercar</t>
        </is>
      </c>
      <c r="M595" s="35">
        <v>585000</v>
      </c>
      <c r="N595" s="32" t="inlineStr">
        <is>
          <t xml:space="preserve">Personal</t>
        </is>
      </c>
      <c r="O595" s="30" t="inlineStr">
        <is>
          <t xml:space="preserve">Personal - regular use</t>
        </is>
      </c>
      <c r="P595" s="30" t="inlineStr">
        <is>
          <t xml:space="preserve">Under 1,000</t>
        </is>
      </c>
      <c r="Q595" s="30" t="inlineStr">
        <is>
          <t xml:space="preserve">Alaska</t>
        </is>
      </c>
      <c r="R595" s="30" t="inlineStr">
        <is>
          <t xml:space="preserve">99501</t>
        </is>
      </c>
      <c r="S595" s="32" t="inlineStr">
        <is>
          <t xml:space="preserve">Earthquake - high (CA, Cascadia, New Madrid)</t>
        </is>
      </c>
      <c r="T595" s="36">
        <f>IF($A595="","",IF($S595="","",IFERROR(INDEX('[1]natural catastrophe'!$D$6:$D$17,MATCH($S595,'[1]natural catastrophe'!$B$6:$B$17,0)),"?")))</f>
      </c>
      <c r="U595" s="30" t="inlineStr">
        <is>
          <t xml:space="preserve">$5,000</t>
        </is>
      </c>
      <c r="V595" s="32" t="inlineStr">
        <is>
          <t xml:space="preserve">Agreed Value</t>
        </is>
      </c>
      <c r="W595" s="30" t="inlineStr">
        <is>
          <t xml:space="preserve">$1,000</t>
        </is>
      </c>
      <c r="X595" s="32" t="inlineStr">
        <is>
          <t xml:space="preserve">$1,000,000 CSL</t>
        </is>
      </c>
      <c r="Y595" s="30"/>
      <c r="Z595" s="30"/>
      <c r="AA595" s="32" t="inlineStr">
        <is>
          <t xml:space="preserve">Surplus Lines</t>
        </is>
      </c>
      <c r="AB595" s="35">
        <v>9096.9</v>
      </c>
      <c r="AC595" s="37">
        <v>0</v>
      </c>
      <c r="AD595" s="38">
        <f>IF(ISNUMBER($AB595),$AB595*(1+N($AC595)),"")</f>
      </c>
      <c r="AE595" s="35">
        <v>350</v>
      </c>
      <c r="AF595" s="35">
        <v>0</v>
      </c>
      <c r="AG595" s="37"/>
      <c r="AH595" s="39">
        <f>IF(ISNUMBER($AD595),($AD595+$AE595+$AF595)*$AG595,"")</f>
      </c>
      <c r="AI595" s="35"/>
      <c r="AJ595" s="38">
        <f>IF(ISNUMBER($AD595),SUM($AD595:$AH595),"")</f>
      </c>
      <c r="AK595" s="40">
        <f>IF(AND(ISNUMBER($AB595),ISNUMBER($AD595)),IF($AB595&gt;0,$AD595/$AB595,""),"")</f>
      </c>
      <c r="AL595" s="32" t="inlineStr">
        <is>
          <t xml:space="preserve">At technical</t>
        </is>
      </c>
      <c r="AM595" s="41">
        <f>IF(ISNUMBER($AD595),Header!$I$3,"")</f>
      </c>
      <c r="AN595" s="39">
        <f>IF(ISNUMBER($AD595),$AO595+$AP595,"")</f>
      </c>
      <c r="AO595" s="39">
        <f>IF(ISNUMBER($AD595),ROUND($AD595*Header!$K$3,2),"")</f>
      </c>
      <c r="AP595" s="39">
        <f>IF(ISNUMBER($AD595),ROUND($AD595*Header!$M$3,2),"")</f>
      </c>
      <c r="AQ595" s="38">
        <f>IF(ISNUMBER($AD595),ROUND($AD595,2)-$AO595-$AP595,"")</f>
      </c>
      <c r="AR595" s="39">
        <f>IF(ISNUMBER($AD595),IF(Header!$D$34="","?",$AD595*Header!$D$34),"")</f>
      </c>
      <c r="AS595" s="39">
        <f>IF(ISNUMBER($AB595),IF(Header!$D$34="","?",$AB595*Header!$D$34),"")</f>
      </c>
      <c r="AT595" s="42">
        <f>IF(AND(ISNUMBER($AB595),$M595&gt;0),$AB595/$M595*100,"")</f>
      </c>
      <c r="AU595" s="42">
        <f>IF(AND(ISNUMBER($AD595),$M595&gt;0),$AD595/$M595*100,"")</f>
      </c>
      <c r="AV595" s="40">
        <f>IF(AND(ISNUMBER($AB595),ISNUMBER($AD595),ABS($AB595)&gt;0),$AD595/$AB595,"")</f>
      </c>
      <c r="AW595" s="39">
        <f>IF(ISNUMBER($AD595),MAX(0,(1-0.55-Header!$O$3)*Header!$Q$3*$AQ595),"")</f>
      </c>
      <c r="AX595" s="43">
        <f>IF($A595="","",IF(TRIM(IF($A595="","Missing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",""))="","PASS","FAIL: "&amp;TRIM(IF($A595="","Missing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f>
      </c>
      <c r="AY595" s="44">
        <f>IF($M595="","",IF(ISNUMBER($M595),IF($M595&gt;=Header!$C$18,"YES — refer","No"),""))</f>
      </c>
      <c r="AZ595" s="44">
        <f>IF($AD595="","",IF(ISNUMBER($AD595),IF($AD595&lt;Header!$C$20,"BELOW MIN PREMIUM","OK"),""))</f>
      </c>
      <c r="BA595" s="32" t="inlineStr">
        <is>
          <t xml:space="preserve">Yes</t>
        </is>
      </c>
      <c r="BB595" s="32" t="inlineStr">
        <is>
          <t xml:space="preserve">Yes</t>
        </is>
      </c>
      <c r="BC595" s="30" t="inlineStr">
        <is>
          <t xml:space="preserve">Synthetic demo data</t>
        </is>
      </c>
      <c r="BE595" s="45">
        <f>IF(OR($A595="",$L595="",$H595=""),"",IF(AND(LEFT($L595,2)="06",$H595&gt;1945),"FAIL - pre-war class, year "&amp;$H595,IF(AND(LEFT($L595,2)="07",OR($H595&lt;1946,$H595&gt;1972)),"FAIL - 1946-72 class, year "&amp;$H595,IF(AND(LEFT($L595,2)="08",OR($H595&lt;1973,$H595&gt;1999)),"FAIL - 1973-99 class, year "&amp;$H595,IF(AND(LEFT($L595,2)="09",OR($H595&lt;2000,$H595&gt;2010)),"FAIL - 2000-10 class, year "&amp;$H595,"OK")))))</f>
      </c>
      <c r="BF595" s="45">
        <f>IF($AD595="","",IF(ROUND($AO595+$AP595+$AQ595-$AD595,2)=0,"OK","FAIL - out by "&amp;TEXT($AO595+$AP595+$AQ595-$AD595,"$0.00")))</f>
      </c>
    </row>
    <row r="596" spans="1:58" ht="18.75" customHeight="1" x14ac:dyDescent="0.25">
      <c r="A596" s="46" t="inlineStr">
        <is>
          <t xml:space="preserve">CANON-202607-010335</t>
        </is>
      </c>
      <c r="B596" s="46" t="inlineStr">
        <is>
          <t xml:space="preserve">Ramona Thistlewood</t>
        </is>
      </c>
      <c r="C596" s="47">
        <v>46224</v>
      </c>
      <c r="D596" s="48" t="inlineStr">
        <is>
          <t xml:space="preserve">Bound - within authority</t>
        </is>
      </c>
      <c r="E596" s="48" t="inlineStr">
        <is>
          <t xml:space="preserve">New business</t>
        </is>
      </c>
      <c r="F596" s="46" t="inlineStr">
        <is>
          <t xml:space="preserve">B1234EXOTIC26</t>
        </is>
      </c>
      <c r="G596" s="33">
        <f>IF($A596="","",IF($C596="","",YEAR($C596)))</f>
      </c>
      <c r="H596" s="49">
        <v>2004</v>
      </c>
      <c r="I596" s="46" t="inlineStr">
        <is>
          <t xml:space="preserve">Ferrari</t>
        </is>
      </c>
      <c r="J596" s="46" t="inlineStr">
        <is>
          <t xml:space="preserve">SF90 Stradale</t>
        </is>
      </c>
      <c r="K596" s="46" t="inlineStr">
        <is>
          <t xml:space="preserve">U7JXET6SJ13LVLZHU</t>
        </is>
      </c>
      <c r="L596" s="48" t="inlineStr">
        <is>
          <t xml:space="preserve">03 - Supercar</t>
        </is>
      </c>
      <c r="M596" s="50">
        <v>585000</v>
      </c>
      <c r="N596" s="48" t="inlineStr">
        <is>
          <t xml:space="preserve">Personal</t>
        </is>
      </c>
      <c r="O596" s="46" t="inlineStr">
        <is>
          <t xml:space="preserve">Personal - regular use</t>
        </is>
      </c>
      <c r="P596" s="46" t="inlineStr">
        <is>
          <t xml:space="preserve">1,000 - 2,500</t>
        </is>
      </c>
      <c r="Q596" s="46" t="inlineStr">
        <is>
          <t xml:space="preserve">New Mexico</t>
        </is>
      </c>
      <c r="R596" s="46" t="inlineStr">
        <is>
          <t xml:space="preserve">87501</t>
        </is>
      </c>
      <c r="S596" s="48" t="inlineStr">
        <is>
          <t xml:space="preserve">Wildfire - WUI high hazard</t>
        </is>
      </c>
      <c r="T596" s="36">
        <f>IF($A596="","",IF($S596="","",IFERROR(INDEX('[1]natural catastrophe'!$D$6:$D$17,MATCH($S596,'[1]natural catastrophe'!$B$6:$B$17,0)),"?")))</f>
      </c>
      <c r="U596" s="46" t="inlineStr">
        <is>
          <t xml:space="preserve">$5,000</t>
        </is>
      </c>
      <c r="V596" s="48" t="inlineStr">
        <is>
          <t xml:space="preserve">Agreed Value</t>
        </is>
      </c>
      <c r="W596" s="46" t="inlineStr">
        <is>
          <t xml:space="preserve">$1,000</t>
        </is>
      </c>
      <c r="X596" s="48" t="inlineStr">
        <is>
          <t xml:space="preserve">$1,000,000 CSL</t>
        </is>
      </c>
      <c r="Y596" s="46"/>
      <c r="Z596" s="46"/>
      <c r="AA596" s="48" t="inlineStr">
        <is>
          <t xml:space="preserve">Surplus Lines</t>
        </is>
      </c>
      <c r="AB596" s="50">
        <v>10214.06</v>
      </c>
      <c r="AC596" s="51">
        <v>0</v>
      </c>
      <c r="AD596" s="38">
        <f>IF(ISNUMBER($AB596),$AB596*(1+N($AC596)),"")</f>
      </c>
      <c r="AE596" s="50">
        <v>350</v>
      </c>
      <c r="AF596" s="50">
        <v>0</v>
      </c>
      <c r="AG596" s="51"/>
      <c r="AH596" s="39">
        <f>IF(ISNUMBER($AD596),($AD596+$AE596+$AF596)*$AG596,"")</f>
      </c>
      <c r="AI596" s="50"/>
      <c r="AJ596" s="38">
        <f>IF(ISNUMBER($AD596),SUM($AD596:$AH596),"")</f>
      </c>
      <c r="AK596" s="40">
        <f>IF(AND(ISNUMBER($AB596),ISNUMBER($AD596)),IF($AB596&gt;0,$AD596/$AB596,""),"")</f>
      </c>
      <c r="AL596" s="48" t="inlineStr">
        <is>
          <t xml:space="preserve">At technical</t>
        </is>
      </c>
      <c r="AM596" s="41">
        <f>IF(ISNUMBER($AD596),Header!$I$3,"")</f>
      </c>
      <c r="AN596" s="39">
        <f>IF(ISNUMBER($AD596),$AO596+$AP596,"")</f>
      </c>
      <c r="AO596" s="39">
        <f>IF(ISNUMBER($AD596),ROUND($AD596*Header!$K$3,2),"")</f>
      </c>
      <c r="AP596" s="39">
        <f>IF(ISNUMBER($AD596),ROUND($AD596*Header!$M$3,2),"")</f>
      </c>
      <c r="AQ596" s="38">
        <f>IF(ISNUMBER($AD596),ROUND($AD596,2)-$AO596-$AP596,"")</f>
      </c>
      <c r="AR596" s="39">
        <f>IF(ISNUMBER($AD596),IF(Header!$D$34="","?",$AD596*Header!$D$34),"")</f>
      </c>
      <c r="AS596" s="39">
        <f>IF(ISNUMBER($AB596),IF(Header!$D$34="","?",$AB596*Header!$D$34),"")</f>
      </c>
      <c r="AT596" s="42">
        <f>IF(AND(ISNUMBER($AB596),$M596&gt;0),$AB596/$M596*100,"")</f>
      </c>
      <c r="AU596" s="42">
        <f>IF(AND(ISNUMBER($AD596),$M596&gt;0),$AD596/$M596*100,"")</f>
      </c>
      <c r="AV596" s="40">
        <f>IF(AND(ISNUMBER($AB596),ISNUMBER($AD596),ABS($AB596)&gt;0),$AD596/$AB596,"")</f>
      </c>
      <c r="AW596" s="39">
        <f>IF(ISNUMBER($AD596),MAX(0,(1-0.55-Header!$O$3)*Header!$Q$3*$AQ596),"")</f>
      </c>
      <c r="AX596" s="43">
        <f>IF($A596="","",IF(TRIM(IF($A596="","Missing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",""))="","PASS","FAIL: "&amp;TRIM(IF($A596="","Missing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f>
      </c>
      <c r="AY596" s="44">
        <f>IF($M596="","",IF(ISNUMBER($M596),IF($M596&gt;=Header!$C$18,"YES — refer","No"),""))</f>
      </c>
      <c r="AZ596" s="44">
        <f>IF($AD596="","",IF(ISNUMBER($AD596),IF($AD596&lt;Header!$C$20,"BELOW MIN PREMIUM","OK"),""))</f>
      </c>
      <c r="BA596" s="48" t="inlineStr">
        <is>
          <t xml:space="preserve">Yes</t>
        </is>
      </c>
      <c r="BB596" s="48" t="inlineStr">
        <is>
          <t xml:space="preserve">Yes</t>
        </is>
      </c>
      <c r="BC596" s="46" t="inlineStr">
        <is>
          <t xml:space="preserve">Synthetic demo data</t>
        </is>
      </c>
      <c r="BE596" s="45">
        <f>IF(OR($A596="",$L596="",$H596=""),"",IF(AND(LEFT($L596,2)="06",$H596&gt;1945),"FAIL - pre-war class, year "&amp;$H596,IF(AND(LEFT($L596,2)="07",OR($H596&lt;1946,$H596&gt;1972)),"FAIL - 1946-72 class, year "&amp;$H596,IF(AND(LEFT($L596,2)="08",OR($H596&lt;1973,$H596&gt;1999)),"FAIL - 1973-99 class, year "&amp;$H596,IF(AND(LEFT($L596,2)="09",OR($H596&lt;2000,$H596&gt;2010)),"FAIL - 2000-10 class, year "&amp;$H596,"OK")))))</f>
      </c>
      <c r="BF596" s="45">
        <f>IF($AD596="","",IF(ROUND($AO596+$AP596+$AQ596-$AD596,2)=0,"OK","FAIL - out by "&amp;TEXT($AO596+$AP596+$AQ596-$AD596,"$0.00")))</f>
      </c>
    </row>
    <row r="597" spans="1:58" ht="18.75" customHeight="1" x14ac:dyDescent="0.25">
      <c r="A597" s="30" t="inlineStr">
        <is>
          <t xml:space="preserve">CANON-202607-010336</t>
        </is>
      </c>
      <c r="B597" s="30" t="inlineStr">
        <is>
          <t xml:space="preserve">Priya Larsson</t>
        </is>
      </c>
      <c r="C597" s="31">
        <v>46233</v>
      </c>
      <c r="D597" s="32" t="inlineStr">
        <is>
          <t xml:space="preserve">Bound - within authority</t>
        </is>
      </c>
      <c r="E597" s="32" t="inlineStr">
        <is>
          <t xml:space="preserve">New business</t>
        </is>
      </c>
      <c r="F597" s="30" t="inlineStr">
        <is>
          <t xml:space="preserve">B1234EXOTIC26</t>
        </is>
      </c>
      <c r="G597" s="33">
        <f>IF($A597="","",IF($C597="","",YEAR($C597)))</f>
      </c>
      <c r="H597" s="34">
        <v>2016</v>
      </c>
      <c r="I597" s="30" t="inlineStr">
        <is>
          <t xml:space="preserve">Maserati</t>
        </is>
      </c>
      <c r="J597" s="30" t="inlineStr">
        <is>
          <t xml:space="preserve">GranTurismo</t>
        </is>
      </c>
      <c r="K597" s="30" t="inlineStr">
        <is>
          <t xml:space="preserve">362PNCPRR79FURR3W</t>
        </is>
      </c>
      <c r="L597" s="32" t="inlineStr">
        <is>
          <t xml:space="preserve">02 - Sports / GT</t>
        </is>
      </c>
      <c r="M597" s="35">
        <v>190000</v>
      </c>
      <c r="N597" s="32" t="inlineStr">
        <is>
          <t xml:space="preserve">Personal</t>
        </is>
      </c>
      <c r="O597" s="30" t="inlineStr">
        <is>
          <t xml:space="preserve">Personal - regular use</t>
        </is>
      </c>
      <c r="P597" s="30" t="inlineStr">
        <is>
          <t xml:space="preserve">Under 1,000</t>
        </is>
      </c>
      <c r="Q597" s="30" t="inlineStr">
        <is>
          <t xml:space="preserve">South Carolina</t>
        </is>
      </c>
      <c r="R597" s="30" t="inlineStr">
        <is>
          <t xml:space="preserve">29401</t>
        </is>
      </c>
      <c r="S597" s="32" t="inlineStr">
        <is>
          <t xml:space="preserve">Tier 2 - Coastal wind (1-25 miles)</t>
        </is>
      </c>
      <c r="T597" s="36">
        <f>IF($A597="","",IF($S597="","",IFERROR(INDEX('[1]natural catastrophe'!$D$6:$D$17,MATCH($S597,'[1]natural catastrophe'!$B$6:$B$17,0)),"?")))</f>
      </c>
      <c r="U597" s="30" t="inlineStr">
        <is>
          <t xml:space="preserve">2% of agreed value, minimum $10,000</t>
        </is>
      </c>
      <c r="V597" s="32" t="inlineStr">
        <is>
          <t xml:space="preserve">Agreed Value</t>
        </is>
      </c>
      <c r="W597" s="30" t="inlineStr">
        <is>
          <t xml:space="preserve">$1,000</t>
        </is>
      </c>
      <c r="X597" s="32" t="inlineStr">
        <is>
          <t xml:space="preserve">$1,000,000 CSL</t>
        </is>
      </c>
      <c r="Y597" s="30"/>
      <c r="Z597" s="30"/>
      <c r="AA597" s="32" t="inlineStr">
        <is>
          <t xml:space="preserve">Surplus Lines</t>
        </is>
      </c>
      <c r="AB597" s="35">
        <v>3112.23</v>
      </c>
      <c r="AC597" s="37">
        <v>0</v>
      </c>
      <c r="AD597" s="38">
        <f>IF(ISNUMBER($AB597),$AB597*(1+N($AC597)),"")</f>
      </c>
      <c r="AE597" s="35">
        <v>350</v>
      </c>
      <c r="AF597" s="35">
        <v>0</v>
      </c>
      <c r="AG597" s="37"/>
      <c r="AH597" s="39">
        <f>IF(ISNUMBER($AD597),($AD597+$AE597+$AF597)*$AG597,"")</f>
      </c>
      <c r="AI597" s="35"/>
      <c r="AJ597" s="38">
        <f>IF(ISNUMBER($AD597),SUM($AD597:$AH597),"")</f>
      </c>
      <c r="AK597" s="40">
        <f>IF(AND(ISNUMBER($AB597),ISNUMBER($AD597)),IF($AB597&gt;0,$AD597/$AB597,""),"")</f>
      </c>
      <c r="AL597" s="32" t="inlineStr">
        <is>
          <t xml:space="preserve">At technical</t>
        </is>
      </c>
      <c r="AM597" s="41">
        <f>IF(ISNUMBER($AD597),Header!$I$3,"")</f>
      </c>
      <c r="AN597" s="39">
        <f>IF(ISNUMBER($AD597),$AO597+$AP597,"")</f>
      </c>
      <c r="AO597" s="39">
        <f>IF(ISNUMBER($AD597),ROUND($AD597*Header!$K$3,2),"")</f>
      </c>
      <c r="AP597" s="39">
        <f>IF(ISNUMBER($AD597),ROUND($AD597*Header!$M$3,2),"")</f>
      </c>
      <c r="AQ597" s="38">
        <f>IF(ISNUMBER($AD597),ROUND($AD597,2)-$AO597-$AP597,"")</f>
      </c>
      <c r="AR597" s="39">
        <f>IF(ISNUMBER($AD597),IF(Header!$D$34="","?",$AD597*Header!$D$34),"")</f>
      </c>
      <c r="AS597" s="39">
        <f>IF(ISNUMBER($AB597),IF(Header!$D$34="","?",$AB597*Header!$D$34),"")</f>
      </c>
      <c r="AT597" s="42">
        <f>IF(AND(ISNUMBER($AB597),$M597&gt;0),$AB597/$M597*100,"")</f>
      </c>
      <c r="AU597" s="42">
        <f>IF(AND(ISNUMBER($AD597),$M597&gt;0),$AD597/$M597*100,"")</f>
      </c>
      <c r="AV597" s="40">
        <f>IF(AND(ISNUMBER($AB597),ISNUMBER($AD597),ABS($AB597)&gt;0),$AD597/$AB597,"")</f>
      </c>
      <c r="AW597" s="39">
        <f>IF(ISNUMBER($AD597),MAX(0,(1-0.55-Header!$O$3)*Header!$Q$3*$AQ597),"")</f>
      </c>
      <c r="AX597" s="43">
        <f>IF($A597="","",IF(TRIM(IF($A597="","Missing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",""))="","PASS","FAIL: "&amp;TRIM(IF($A597="","Missing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f>
      </c>
      <c r="AY597" s="44">
        <f>IF($M597="","",IF(ISNUMBER($M597),IF($M597&gt;=Header!$C$18,"YES — refer","No"),""))</f>
      </c>
      <c r="AZ597" s="44">
        <f>IF($AD597="","",IF(ISNUMBER($AD597),IF($AD597&lt;Header!$C$20,"BELOW MIN PREMIUM","OK"),""))</f>
      </c>
      <c r="BA597" s="32" t="inlineStr">
        <is>
          <t xml:space="preserve">Yes</t>
        </is>
      </c>
      <c r="BB597" s="32" t="inlineStr">
        <is>
          <t xml:space="preserve">Yes</t>
        </is>
      </c>
      <c r="BC597" s="30" t="inlineStr">
        <is>
          <t xml:space="preserve">Synthetic demo data</t>
        </is>
      </c>
      <c r="BE597" s="45">
        <f>IF(OR($A597="",$L597="",$H597=""),"",IF(AND(LEFT($L597,2)="06",$H597&gt;1945),"FAIL - pre-war class, year "&amp;$H597,IF(AND(LEFT($L597,2)="07",OR($H597&lt;1946,$H597&gt;1972)),"FAIL - 1946-72 class, year "&amp;$H597,IF(AND(LEFT($L597,2)="08",OR($H597&lt;1973,$H597&gt;1999)),"FAIL - 1973-99 class, year "&amp;$H597,IF(AND(LEFT($L597,2)="09",OR($H597&lt;2000,$H597&gt;2010)),"FAIL - 2000-10 class, year "&amp;$H597,"OK")))))</f>
      </c>
      <c r="BF597" s="45">
        <f>IF($AD597="","",IF(ROUND($AO597+$AP597+$AQ597-$AD597,2)=0,"OK","FAIL - out by "&amp;TEXT($AO597+$AP597+$AQ597-$AD597,"$0.00")))</f>
      </c>
    </row>
    <row r="598" spans="1:58" ht="18.75" customHeight="1" x14ac:dyDescent="0.25">
      <c r="A598" s="46" t="inlineStr">
        <is>
          <t xml:space="preserve">CANON-202607-010338</t>
        </is>
      </c>
      <c r="B598" s="46" t="inlineStr">
        <is>
          <t xml:space="preserve">Horace Chattopadhyay</t>
        </is>
      </c>
      <c r="C598" s="47">
        <v>46230</v>
      </c>
      <c r="D598" s="48" t="inlineStr">
        <is>
          <t xml:space="preserve">Bound - within authority</t>
        </is>
      </c>
      <c r="E598" s="48" t="inlineStr">
        <is>
          <t xml:space="preserve">New business</t>
        </is>
      </c>
      <c r="F598" s="46" t="inlineStr">
        <is>
          <t xml:space="preserve">B1234EXOTIC26</t>
        </is>
      </c>
      <c r="G598" s="33">
        <f>IF($A598="","",IF($C598="","",YEAR($C598)))</f>
      </c>
      <c r="H598" s="49">
        <v>1977</v>
      </c>
      <c r="I598" s="46" t="inlineStr">
        <is>
          <t xml:space="preserve">Lamborghini</t>
        </is>
      </c>
      <c r="J598" s="46" t="inlineStr">
        <is>
          <t xml:space="preserve">Huracan EVO</t>
        </is>
      </c>
      <c r="K598" s="46" t="inlineStr">
        <is>
          <t xml:space="preserve">4D5WK9EZWNJ7E254P</t>
        </is>
      </c>
      <c r="L598" s="48" t="inlineStr">
        <is>
          <t xml:space="preserve">03 - Supercar</t>
        </is>
      </c>
      <c r="M598" s="50">
        <v>600000</v>
      </c>
      <c r="N598" s="48" t="inlineStr">
        <is>
          <t xml:space="preserve">Personal</t>
        </is>
      </c>
      <c r="O598" s="46" t="inlineStr">
        <is>
          <t xml:space="preserve">Personal - regular use</t>
        </is>
      </c>
      <c r="P598" s="46" t="inlineStr">
        <is>
          <t xml:space="preserve">Under 1,000</t>
        </is>
      </c>
      <c r="Q598" s="46" t="inlineStr">
        <is>
          <t xml:space="preserve">California</t>
        </is>
      </c>
      <c r="R598" s="46" t="inlineStr">
        <is>
          <t xml:space="preserve">90012</t>
        </is>
      </c>
      <c r="S598" s="48" t="inlineStr">
        <is>
          <t xml:space="preserve">Earthquake - high (CA, Cascadia, New Madrid)</t>
        </is>
      </c>
      <c r="T598" s="36">
        <f>IF($A598="","",IF($S598="","",IFERROR(INDEX('[1]natural catastrophe'!$D$6:$D$17,MATCH($S598,'[1]natural catastrophe'!$B$6:$B$17,0)),"?")))</f>
      </c>
      <c r="U598" s="46" t="inlineStr">
        <is>
          <t xml:space="preserve">$5,000</t>
        </is>
      </c>
      <c r="V598" s="48" t="inlineStr">
        <is>
          <t xml:space="preserve">Agreed Value</t>
        </is>
      </c>
      <c r="W598" s="46" t="inlineStr">
        <is>
          <t xml:space="preserve">$1,000</t>
        </is>
      </c>
      <c r="X598" s="48" t="inlineStr">
        <is>
          <t xml:space="preserve">$1,000,000 CSL</t>
        </is>
      </c>
      <c r="Y598" s="46"/>
      <c r="Z598" s="46"/>
      <c r="AA598" s="48" t="inlineStr">
        <is>
          <t xml:space="preserve">Surplus Lines</t>
        </is>
      </c>
      <c r="AB598" s="50">
        <v>11048.86</v>
      </c>
      <c r="AC598" s="51">
        <v>0</v>
      </c>
      <c r="AD598" s="38">
        <f>IF(ISNUMBER($AB598),$AB598*(1+N($AC598)),"")</f>
      </c>
      <c r="AE598" s="50">
        <v>350</v>
      </c>
      <c r="AF598" s="50">
        <v>0</v>
      </c>
      <c r="AG598" s="51"/>
      <c r="AH598" s="39">
        <f>IF(ISNUMBER($AD598),($AD598+$AE598+$AF598)*$AG598,"")</f>
      </c>
      <c r="AI598" s="50"/>
      <c r="AJ598" s="38">
        <f>IF(ISNUMBER($AD598),SUM($AD598:$AH598),"")</f>
      </c>
      <c r="AK598" s="40">
        <f>IF(AND(ISNUMBER($AB598),ISNUMBER($AD598)),IF($AB598&gt;0,$AD598/$AB598,""),"")</f>
      </c>
      <c r="AL598" s="48" t="inlineStr">
        <is>
          <t xml:space="preserve">At technical</t>
        </is>
      </c>
      <c r="AM598" s="41">
        <f>IF(ISNUMBER($AD598),Header!$I$3,"")</f>
      </c>
      <c r="AN598" s="39">
        <f>IF(ISNUMBER($AD598),$AO598+$AP598,"")</f>
      </c>
      <c r="AO598" s="39">
        <f>IF(ISNUMBER($AD598),ROUND($AD598*Header!$K$3,2),"")</f>
      </c>
      <c r="AP598" s="39">
        <f>IF(ISNUMBER($AD598),ROUND($AD598*Header!$M$3,2),"")</f>
      </c>
      <c r="AQ598" s="38">
        <f>IF(ISNUMBER($AD598),ROUND($AD598,2)-$AO598-$AP598,"")</f>
      </c>
      <c r="AR598" s="39">
        <f>IF(ISNUMBER($AD598),IF(Header!$D$34="","?",$AD598*Header!$D$34),"")</f>
      </c>
      <c r="AS598" s="39">
        <f>IF(ISNUMBER($AB598),IF(Header!$D$34="","?",$AB598*Header!$D$34),"")</f>
      </c>
      <c r="AT598" s="42">
        <f>IF(AND(ISNUMBER($AB598),$M598&gt;0),$AB598/$M598*100,"")</f>
      </c>
      <c r="AU598" s="42">
        <f>IF(AND(ISNUMBER($AD598),$M598&gt;0),$AD598/$M598*100,"")</f>
      </c>
      <c r="AV598" s="40">
        <f>IF(AND(ISNUMBER($AB598),ISNUMBER($AD598),ABS($AB598)&gt;0),$AD598/$AB598,"")</f>
      </c>
      <c r="AW598" s="39">
        <f>IF(ISNUMBER($AD598),MAX(0,(1-0.55-Header!$O$3)*Header!$Q$3*$AQ598),"")</f>
      </c>
      <c r="AX598" s="43">
        <f>IF($A598="","",IF(TRIM(IF($A598="","Missing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",""))="","PASS","FAIL: "&amp;TRIM(IF($A598="","Missing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f>
      </c>
      <c r="AY598" s="44">
        <f>IF($M598="","",IF(ISNUMBER($M598),IF($M598&gt;=Header!$C$18,"YES — refer","No"),""))</f>
      </c>
      <c r="AZ598" s="44">
        <f>IF($AD598="","",IF(ISNUMBER($AD598),IF($AD598&lt;Header!$C$20,"BELOW MIN PREMIUM","OK"),""))</f>
      </c>
      <c r="BA598" s="48" t="inlineStr">
        <is>
          <t xml:space="preserve">Yes</t>
        </is>
      </c>
      <c r="BB598" s="48" t="inlineStr">
        <is>
          <t xml:space="preserve">Yes</t>
        </is>
      </c>
      <c r="BC598" s="46" t="inlineStr">
        <is>
          <t xml:space="preserve">Synthetic demo data</t>
        </is>
      </c>
      <c r="BE598" s="45">
        <f>IF(OR($A598="",$L598="",$H598=""),"",IF(AND(LEFT($L598,2)="06",$H598&gt;1945),"FAIL - pre-war class, year "&amp;$H598,IF(AND(LEFT($L598,2)="07",OR($H598&lt;1946,$H598&gt;1972)),"FAIL - 1946-72 class, year "&amp;$H598,IF(AND(LEFT($L598,2)="08",OR($H598&lt;1973,$H598&gt;1999)),"FAIL - 1973-99 class, year "&amp;$H598,IF(AND(LEFT($L598,2)="09",OR($H598&lt;2000,$H598&gt;2010)),"FAIL - 2000-10 class, year "&amp;$H598,"OK")))))</f>
      </c>
      <c r="BF598" s="45">
        <f>IF($AD598="","",IF(ROUND($AO598+$AP598+$AQ598-$AD598,2)=0,"OK","FAIL - out by "&amp;TEXT($AO598+$AP598+$AQ598-$AD598,"$0.00")))</f>
      </c>
    </row>
    <row r="599" spans="1:58" ht="18.75" customHeight="1" x14ac:dyDescent="0.25">
      <c r="A599" s="30" t="inlineStr">
        <is>
          <t xml:space="preserve">CANON-202607-010340</t>
        </is>
      </c>
      <c r="B599" s="30" t="inlineStr">
        <is>
          <t xml:space="preserve">Ottilie Vandermeer</t>
        </is>
      </c>
      <c r="C599" s="31">
        <v>46221</v>
      </c>
      <c r="D599" s="32" t="inlineStr">
        <is>
          <t xml:space="preserve">Bound - within authority</t>
        </is>
      </c>
      <c r="E599" s="32" t="inlineStr">
        <is>
          <t xml:space="preserve">New business</t>
        </is>
      </c>
      <c r="F599" s="30" t="inlineStr">
        <is>
          <t xml:space="preserve">B1234EXOTIC26</t>
        </is>
      </c>
      <c r="G599" s="33">
        <f>IF($A599="","",IF($C599="","",YEAR($C599)))</f>
      </c>
      <c r="H599" s="34">
        <v>1993</v>
      </c>
      <c r="I599" s="30" t="inlineStr">
        <is>
          <t xml:space="preserve">BMW</t>
        </is>
      </c>
      <c r="J599" s="30" t="inlineStr">
        <is>
          <t xml:space="preserve">M8 Competition</t>
        </is>
      </c>
      <c r="K599" s="30" t="inlineStr">
        <is>
          <t xml:space="preserve">UMENCP77UZ092V5MY</t>
        </is>
      </c>
      <c r="L599" s="32" t="inlineStr">
        <is>
          <t xml:space="preserve">02 - Sports / GT</t>
        </is>
      </c>
      <c r="M599" s="35">
        <v>985000</v>
      </c>
      <c r="N599" s="32" t="inlineStr">
        <is>
          <t xml:space="preserve">Personal</t>
        </is>
      </c>
      <c r="O599" s="30" t="inlineStr">
        <is>
          <t xml:space="preserve">Personal - regular use</t>
        </is>
      </c>
      <c r="P599" s="30" t="inlineStr">
        <is>
          <t xml:space="preserve">1,000 - 2,500</t>
        </is>
      </c>
      <c r="Q599" s="30" t="inlineStr">
        <is>
          <t xml:space="preserve">Maine</t>
        </is>
      </c>
      <c r="R599" s="30" t="inlineStr">
        <is>
          <t xml:space="preserve">04101</t>
        </is>
      </c>
      <c r="S599" s="32" t="inlineStr">
        <is>
          <t xml:space="preserve">Tier 3 - Coastal wind (25-100 miles)</t>
        </is>
      </c>
      <c r="T599" s="36">
        <f>IF($A599="","",IF($S599="","",IFERROR(INDEX('[1]natural catastrophe'!$D$6:$D$17,MATCH($S599,'[1]natural catastrophe'!$B$6:$B$17,0)),"?")))</f>
      </c>
      <c r="U599" s="30" t="inlineStr">
        <is>
          <t xml:space="preserve">2% of agreed value, minimum $10,000</t>
        </is>
      </c>
      <c r="V599" s="32" t="inlineStr">
        <is>
          <t xml:space="preserve">Agreed Value</t>
        </is>
      </c>
      <c r="W599" s="30" t="inlineStr">
        <is>
          <t xml:space="preserve">$1,000</t>
        </is>
      </c>
      <c r="X599" s="32" t="inlineStr">
        <is>
          <t xml:space="preserve">$1,000,000 CSL</t>
        </is>
      </c>
      <c r="Y599" s="30"/>
      <c r="Z599" s="30"/>
      <c r="AA599" s="32" t="inlineStr">
        <is>
          <t xml:space="preserve">Surplus Lines</t>
        </is>
      </c>
      <c r="AB599" s="35">
        <v>9928.46</v>
      </c>
      <c r="AC599" s="37">
        <v>0</v>
      </c>
      <c r="AD599" s="38">
        <f>IF(ISNUMBER($AB599),$AB599*(1+N($AC599)),"")</f>
      </c>
      <c r="AE599" s="35">
        <v>350</v>
      </c>
      <c r="AF599" s="35">
        <v>0</v>
      </c>
      <c r="AG599" s="37"/>
      <c r="AH599" s="39">
        <f>IF(ISNUMBER($AD599),($AD599+$AE599+$AF599)*$AG599,"")</f>
      </c>
      <c r="AI599" s="35"/>
      <c r="AJ599" s="38">
        <f>IF(ISNUMBER($AD599),SUM($AD599:$AH599),"")</f>
      </c>
      <c r="AK599" s="40">
        <f>IF(AND(ISNUMBER($AB599),ISNUMBER($AD599)),IF($AB599&gt;0,$AD599/$AB599,""),"")</f>
      </c>
      <c r="AL599" s="32" t="inlineStr">
        <is>
          <t xml:space="preserve">At technical</t>
        </is>
      </c>
      <c r="AM599" s="41">
        <f>IF(ISNUMBER($AD599),Header!$I$3,"")</f>
      </c>
      <c r="AN599" s="39">
        <f>IF(ISNUMBER($AD599),$AO599+$AP599,"")</f>
      </c>
      <c r="AO599" s="39">
        <f>IF(ISNUMBER($AD599),ROUND($AD599*Header!$K$3,2),"")</f>
      </c>
      <c r="AP599" s="39">
        <f>IF(ISNUMBER($AD599),ROUND($AD599*Header!$M$3,2),"")</f>
      </c>
      <c r="AQ599" s="38">
        <f>IF(ISNUMBER($AD599),ROUND($AD599,2)-$AO599-$AP599,"")</f>
      </c>
      <c r="AR599" s="39">
        <f>IF(ISNUMBER($AD599),IF(Header!$D$34="","?",$AD599*Header!$D$34),"")</f>
      </c>
      <c r="AS599" s="39">
        <f>IF(ISNUMBER($AB599),IF(Header!$D$34="","?",$AB599*Header!$D$34),"")</f>
      </c>
      <c r="AT599" s="42">
        <f>IF(AND(ISNUMBER($AB599),$M599&gt;0),$AB599/$M599*100,"")</f>
      </c>
      <c r="AU599" s="42">
        <f>IF(AND(ISNUMBER($AD599),$M599&gt;0),$AD599/$M599*100,"")</f>
      </c>
      <c r="AV599" s="40">
        <f>IF(AND(ISNUMBER($AB599),ISNUMBER($AD599),ABS($AB599)&gt;0),$AD599/$AB599,"")</f>
      </c>
      <c r="AW599" s="39">
        <f>IF(ISNUMBER($AD599),MAX(0,(1-0.55-Header!$O$3)*Header!$Q$3*$AQ599),"")</f>
      </c>
      <c r="AX599" s="43">
        <f>IF($A599="","",IF(TRIM(IF($A599="","Missing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",""))="","PASS","FAIL: "&amp;TRIM(IF($A599="","Missing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f>
      </c>
      <c r="AY599" s="44">
        <f>IF($M599="","",IF(ISNUMBER($M599),IF($M599&gt;=Header!$C$18,"YES — refer","No"),""))</f>
      </c>
      <c r="AZ599" s="44">
        <f>IF($AD599="","",IF(ISNUMBER($AD599),IF($AD599&lt;Header!$C$20,"BELOW MIN PREMIUM","OK"),""))</f>
      </c>
      <c r="BA599" s="32" t="inlineStr">
        <is>
          <t xml:space="preserve">Yes</t>
        </is>
      </c>
      <c r="BB599" s="32" t="inlineStr">
        <is>
          <t xml:space="preserve">Yes</t>
        </is>
      </c>
      <c r="BC599" s="30" t="inlineStr">
        <is>
          <t xml:space="preserve">Synthetic demo data</t>
        </is>
      </c>
      <c r="BE599" s="45">
        <f>IF(OR($A599="",$L599="",$H599=""),"",IF(AND(LEFT($L599,2)="06",$H599&gt;1945),"FAIL - pre-war class, year "&amp;$H599,IF(AND(LEFT($L599,2)="07",OR($H599&lt;1946,$H599&gt;1972)),"FAIL - 1946-72 class, year "&amp;$H599,IF(AND(LEFT($L599,2)="08",OR($H599&lt;1973,$H599&gt;1999)),"FAIL - 1973-99 class, year "&amp;$H599,IF(AND(LEFT($L599,2)="09",OR($H599&lt;2000,$H599&gt;2010)),"FAIL - 2000-10 class, year "&amp;$H599,"OK")))))</f>
      </c>
      <c r="BF599" s="45">
        <f>IF($AD599="","",IF(ROUND($AO599+$AP599+$AQ599-$AD599,2)=0,"OK","FAIL - out by "&amp;TEXT($AO599+$AP599+$AQ599-$AD599,"$0.00")))</f>
      </c>
    </row>
    <row r="600" spans="1:58" ht="18.75" customHeight="1" x14ac:dyDescent="0.25">
      <c r="A600" s="46" t="inlineStr">
        <is>
          <t xml:space="preserve">CANON-202607-010341</t>
        </is>
      </c>
      <c r="B600" s="46" t="inlineStr">
        <is>
          <t xml:space="preserve">Ramona Underwood</t>
        </is>
      </c>
      <c r="C600" s="47">
        <v>46221</v>
      </c>
      <c r="D600" s="48" t="inlineStr">
        <is>
          <t xml:space="preserve">Bound - within authority</t>
        </is>
      </c>
      <c r="E600" s="48" t="inlineStr">
        <is>
          <t xml:space="preserve">New business</t>
        </is>
      </c>
      <c r="F600" s="46" t="inlineStr">
        <is>
          <t xml:space="preserve">B1234EXOTIC26</t>
        </is>
      </c>
      <c r="G600" s="33">
        <f>IF($A600="","",IF($C600="","",YEAR($C600)))</f>
      </c>
      <c r="H600" s="49">
        <v>2001</v>
      </c>
      <c r="I600" s="46" t="inlineStr">
        <is>
          <t xml:space="preserve">Aston Martin</t>
        </is>
      </c>
      <c r="J600" s="46" t="inlineStr">
        <is>
          <t xml:space="preserve">DB12</t>
        </is>
      </c>
      <c r="K600" s="46" t="inlineStr">
        <is>
          <t xml:space="preserve">0Z61MW2641GLRUPS3</t>
        </is>
      </c>
      <c r="L600" s="48" t="inlineStr">
        <is>
          <t xml:space="preserve">02 - Sports / GT</t>
        </is>
      </c>
      <c r="M600" s="50">
        <v>1205000</v>
      </c>
      <c r="N600" s="48" t="inlineStr">
        <is>
          <t xml:space="preserve">Personal</t>
        </is>
      </c>
      <c r="O600" s="46" t="inlineStr">
        <is>
          <t xml:space="preserve">Personal - regular use</t>
        </is>
      </c>
      <c r="P600" s="46" t="inlineStr">
        <is>
          <t xml:space="preserve">2,500 - 5,000</t>
        </is>
      </c>
      <c r="Q600" s="46" t="inlineStr">
        <is>
          <t xml:space="preserve">New Jersey</t>
        </is>
      </c>
      <c r="R600" s="46" t="inlineStr">
        <is>
          <t xml:space="preserve">07102</t>
        </is>
      </c>
      <c r="S600" s="48" t="inlineStr">
        <is>
          <t xml:space="preserve">Tier 3 - Coastal wind (25-100 miles)</t>
        </is>
      </c>
      <c r="T600" s="36">
        <f>IF($A600="","",IF($S600="","",IFERROR(INDEX('[1]natural catastrophe'!$D$6:$D$17,MATCH($S600,'[1]natural catastrophe'!$B$6:$B$17,0)),"?")))</f>
      </c>
      <c r="U600" s="46" t="inlineStr">
        <is>
          <t xml:space="preserve">2% of agreed value, minimum $10,000</t>
        </is>
      </c>
      <c r="V600" s="48" t="inlineStr">
        <is>
          <t xml:space="preserve">Agreed Value</t>
        </is>
      </c>
      <c r="W600" s="46" t="inlineStr">
        <is>
          <t xml:space="preserve">$1,000</t>
        </is>
      </c>
      <c r="X600" s="48" t="inlineStr">
        <is>
          <t xml:space="preserve">$1,000,000 CSL</t>
        </is>
      </c>
      <c r="Y600" s="46"/>
      <c r="Z600" s="46"/>
      <c r="AA600" s="48" t="inlineStr">
        <is>
          <t xml:space="preserve">Surplus Lines</t>
        </is>
      </c>
      <c r="AB600" s="50">
        <v>8659.64</v>
      </c>
      <c r="AC600" s="51">
        <v>0</v>
      </c>
      <c r="AD600" s="38">
        <f>IF(ISNUMBER($AB600),$AB600*(1+N($AC600)),"")</f>
      </c>
      <c r="AE600" s="50">
        <v>350</v>
      </c>
      <c r="AF600" s="50">
        <v>250</v>
      </c>
      <c r="AG600" s="51"/>
      <c r="AH600" s="39">
        <f>IF(ISNUMBER($AD600),($AD600+$AE600+$AF600)*$AG600,"")</f>
      </c>
      <c r="AI600" s="50"/>
      <c r="AJ600" s="38">
        <f>IF(ISNUMBER($AD600),SUM($AD600:$AH600),"")</f>
      </c>
      <c r="AK600" s="40">
        <f>IF(AND(ISNUMBER($AB600),ISNUMBER($AD600)),IF($AB600&gt;0,$AD600/$AB600,""),"")</f>
      </c>
      <c r="AL600" s="48" t="inlineStr">
        <is>
          <t xml:space="preserve">At technical</t>
        </is>
      </c>
      <c r="AM600" s="41">
        <f>IF(ISNUMBER($AD600),Header!$I$3,"")</f>
      </c>
      <c r="AN600" s="39">
        <f>IF(ISNUMBER($AD600),$AO600+$AP600,"")</f>
      </c>
      <c r="AO600" s="39">
        <f>IF(ISNUMBER($AD600),ROUND($AD600*Header!$K$3,2),"")</f>
      </c>
      <c r="AP600" s="39">
        <f>IF(ISNUMBER($AD600),ROUND($AD600*Header!$M$3,2),"")</f>
      </c>
      <c r="AQ600" s="38">
        <f>IF(ISNUMBER($AD600),ROUND($AD600,2)-$AO600-$AP600,"")</f>
      </c>
      <c r="AR600" s="39">
        <f>IF(ISNUMBER($AD600),IF(Header!$D$34="","?",$AD600*Header!$D$34),"")</f>
      </c>
      <c r="AS600" s="39">
        <f>IF(ISNUMBER($AB600),IF(Header!$D$34="","?",$AB600*Header!$D$34),"")</f>
      </c>
      <c r="AT600" s="42">
        <f>IF(AND(ISNUMBER($AB600),$M600&gt;0),$AB600/$M600*100,"")</f>
      </c>
      <c r="AU600" s="42">
        <f>IF(AND(ISNUMBER($AD600),$M600&gt;0),$AD600/$M600*100,"")</f>
      </c>
      <c r="AV600" s="40">
        <f>IF(AND(ISNUMBER($AB600),ISNUMBER($AD600),ABS($AB600)&gt;0),$AD600/$AB600,"")</f>
      </c>
      <c r="AW600" s="39">
        <f>IF(ISNUMBER($AD600),MAX(0,(1-0.55-Header!$O$3)*Header!$Q$3*$AQ600),"")</f>
      </c>
      <c r="AX600" s="43">
        <f>IF($A600="","",IF(TRIM(IF($A600="","Missing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",""))="","PASS","FAIL: "&amp;TRIM(IF($A600="","Missing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f>
      </c>
      <c r="AY600" s="44">
        <f>IF($M600="","",IF(ISNUMBER($M600),IF($M600&gt;=Header!$C$18,"YES — refer","No"),""))</f>
      </c>
      <c r="AZ600" s="44">
        <f>IF($AD600="","",IF(ISNUMBER($AD600),IF($AD600&lt;Header!$C$20,"BELOW MIN PREMIUM","OK"),""))</f>
      </c>
      <c r="BA600" s="48" t="inlineStr">
        <is>
          <t xml:space="preserve">Yes</t>
        </is>
      </c>
      <c r="BB600" s="48" t="inlineStr">
        <is>
          <t xml:space="preserve">Yes</t>
        </is>
      </c>
      <c r="BC600" s="46" t="inlineStr">
        <is>
          <t xml:space="preserve">Synthetic demo data</t>
        </is>
      </c>
      <c r="BE600" s="45">
        <f>IF(OR($A600="",$L600="",$H600=""),"",IF(AND(LEFT($L600,2)="06",$H600&gt;1945),"FAIL - pre-war class, year "&amp;$H600,IF(AND(LEFT($L600,2)="07",OR($H600&lt;1946,$H600&gt;1972)),"FAIL - 1946-72 class, year "&amp;$H600,IF(AND(LEFT($L600,2)="08",OR($H600&lt;1973,$H600&gt;1999)),"FAIL - 1973-99 class, year "&amp;$H600,IF(AND(LEFT($L600,2)="09",OR($H600&lt;2000,$H600&gt;2010)),"FAIL - 2000-10 class, year "&amp;$H600,"OK")))))</f>
      </c>
      <c r="BF600" s="45">
        <f>IF($AD600="","",IF(ROUND($AO600+$AP600+$AQ600-$AD600,2)=0,"OK","FAIL - out by "&amp;TEXT($AO600+$AP600+$AQ600-$AD600,"$0.00")))</f>
      </c>
    </row>
    <row r="601" spans="1:58" ht="18.75" customHeight="1" x14ac:dyDescent="0.25">
      <c r="A601" s="30" t="inlineStr">
        <is>
          <t xml:space="preserve">CANON-202607-010345</t>
        </is>
      </c>
      <c r="B601" s="30" t="inlineStr">
        <is>
          <t xml:space="preserve">Callum Larsson</t>
        </is>
      </c>
      <c r="C601" s="31">
        <v>46208</v>
      </c>
      <c r="D601" s="32" t="inlineStr">
        <is>
          <t xml:space="preserve">Bound - within authority</t>
        </is>
      </c>
      <c r="E601" s="32" t="inlineStr">
        <is>
          <t xml:space="preserve">New business</t>
        </is>
      </c>
      <c r="F601" s="30" t="inlineStr">
        <is>
          <t xml:space="preserve">B1234EXOTIC26</t>
        </is>
      </c>
      <c r="G601" s="33">
        <f>IF($A601="","",IF($C601="","",YEAR($C601)))</f>
      </c>
      <c r="H601" s="34">
        <v>1966</v>
      </c>
      <c r="I601" s="30" t="inlineStr">
        <is>
          <t xml:space="preserve">Mercedes-Benz</t>
        </is>
      </c>
      <c r="J601" s="30" t="inlineStr">
        <is>
          <t xml:space="preserve">AMG GT</t>
        </is>
      </c>
      <c r="K601" s="30" t="inlineStr">
        <is>
          <t xml:space="preserve">K3M749EN35FBMB16V</t>
        </is>
      </c>
      <c r="L601" s="32" t="inlineStr">
        <is>
          <t xml:space="preserve">02 - Sports / GT</t>
        </is>
      </c>
      <c r="M601" s="35">
        <v>475000</v>
      </c>
      <c r="N601" s="32" t="inlineStr">
        <is>
          <t xml:space="preserve">Personal</t>
        </is>
      </c>
      <c r="O601" s="30" t="inlineStr">
        <is>
          <t xml:space="preserve">Personal - regular use</t>
        </is>
      </c>
      <c r="P601" s="30" t="inlineStr">
        <is>
          <t xml:space="preserve">Under 1,000</t>
        </is>
      </c>
      <c r="Q601" s="30" t="inlineStr">
        <is>
          <t xml:space="preserve">Ohio</t>
        </is>
      </c>
      <c r="R601" s="30" t="inlineStr">
        <is>
          <t xml:space="preserve">43215</t>
        </is>
      </c>
      <c r="S601" s="32" t="inlineStr">
        <is>
          <t xml:space="preserve">Severe convective - hail / tornado (moderate)</t>
        </is>
      </c>
      <c r="T601" s="36">
        <f>IF($A601="","",IF($S601="","",IFERROR(INDEX('[1]natural catastrophe'!$D$6:$D$17,MATCH($S601,'[1]natural catastrophe'!$B$6:$B$17,0)),"?")))</f>
      </c>
      <c r="U601" s="30" t="inlineStr">
        <is>
          <t xml:space="preserve">$5,000</t>
        </is>
      </c>
      <c r="V601" s="32" t="inlineStr">
        <is>
          <t xml:space="preserve">Agreed Value</t>
        </is>
      </c>
      <c r="W601" s="30" t="inlineStr">
        <is>
          <t xml:space="preserve">$1,000</t>
        </is>
      </c>
      <c r="X601" s="32" t="inlineStr">
        <is>
          <t xml:space="preserve">$1,000,000 CSL</t>
        </is>
      </c>
      <c r="Y601" s="30"/>
      <c r="Z601" s="30"/>
      <c r="AA601" s="32" t="inlineStr">
        <is>
          <t xml:space="preserve">Surplus Lines</t>
        </is>
      </c>
      <c r="AB601" s="35">
        <v>7110.14</v>
      </c>
      <c r="AC601" s="37">
        <v>0</v>
      </c>
      <c r="AD601" s="38">
        <f>IF(ISNUMBER($AB601),$AB601*(1+N($AC601)),"")</f>
      </c>
      <c r="AE601" s="35">
        <v>350</v>
      </c>
      <c r="AF601" s="35">
        <v>0</v>
      </c>
      <c r="AG601" s="37"/>
      <c r="AH601" s="39">
        <f>IF(ISNUMBER($AD601),($AD601+$AE601+$AF601)*$AG601,"")</f>
      </c>
      <c r="AI601" s="35"/>
      <c r="AJ601" s="38">
        <f>IF(ISNUMBER($AD601),SUM($AD601:$AH601),"")</f>
      </c>
      <c r="AK601" s="40">
        <f>IF(AND(ISNUMBER($AB601),ISNUMBER($AD601)),IF($AB601&gt;0,$AD601/$AB601,""),"")</f>
      </c>
      <c r="AL601" s="32" t="inlineStr">
        <is>
          <t xml:space="preserve">At technical</t>
        </is>
      </c>
      <c r="AM601" s="41">
        <f>IF(ISNUMBER($AD601),Header!$I$3,"")</f>
      </c>
      <c r="AN601" s="39">
        <f>IF(ISNUMBER($AD601),$AO601+$AP601,"")</f>
      </c>
      <c r="AO601" s="39">
        <f>IF(ISNUMBER($AD601),ROUND($AD601*Header!$K$3,2),"")</f>
      </c>
      <c r="AP601" s="39">
        <f>IF(ISNUMBER($AD601),ROUND($AD601*Header!$M$3,2),"")</f>
      </c>
      <c r="AQ601" s="38">
        <f>IF(ISNUMBER($AD601),ROUND($AD601,2)-$AO601-$AP601,"")</f>
      </c>
      <c r="AR601" s="39">
        <f>IF(ISNUMBER($AD601),IF(Header!$D$34="","?",$AD601*Header!$D$34),"")</f>
      </c>
      <c r="AS601" s="39">
        <f>IF(ISNUMBER($AB601),IF(Header!$D$34="","?",$AB601*Header!$D$34),"")</f>
      </c>
      <c r="AT601" s="42">
        <f>IF(AND(ISNUMBER($AB601),$M601&gt;0),$AB601/$M601*100,"")</f>
      </c>
      <c r="AU601" s="42">
        <f>IF(AND(ISNUMBER($AD601),$M601&gt;0),$AD601/$M601*100,"")</f>
      </c>
      <c r="AV601" s="40">
        <f>IF(AND(ISNUMBER($AB601),ISNUMBER($AD601),ABS($AB601)&gt;0),$AD601/$AB601,"")</f>
      </c>
      <c r="AW601" s="39">
        <f>IF(ISNUMBER($AD601),MAX(0,(1-0.55-Header!$O$3)*Header!$Q$3*$AQ601),"")</f>
      </c>
      <c r="AX601" s="43">
        <f>IF($A601="","",IF(TRIM(IF($A601="","Missing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",""))="","PASS","FAIL: "&amp;TRIM(IF($A601="","Missing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f>
      </c>
      <c r="AY601" s="44">
        <f>IF($M601="","",IF(ISNUMBER($M601),IF($M601&gt;=Header!$C$18,"YES — refer","No"),""))</f>
      </c>
      <c r="AZ601" s="44">
        <f>IF($AD601="","",IF(ISNUMBER($AD601),IF($AD601&lt;Header!$C$20,"BELOW MIN PREMIUM","OK"),""))</f>
      </c>
      <c r="BA601" s="32" t="inlineStr">
        <is>
          <t xml:space="preserve">Yes</t>
        </is>
      </c>
      <c r="BB601" s="32" t="inlineStr">
        <is>
          <t xml:space="preserve">Yes</t>
        </is>
      </c>
      <c r="BC601" s="30" t="inlineStr">
        <is>
          <t xml:space="preserve">Synthetic demo data</t>
        </is>
      </c>
      <c r="BE601" s="45">
        <f>IF(OR($A601="",$L601="",$H601=""),"",IF(AND(LEFT($L601,2)="06",$H601&gt;1945),"FAIL - pre-war class, year "&amp;$H601,IF(AND(LEFT($L601,2)="07",OR($H601&lt;1946,$H601&gt;1972)),"FAIL - 1946-72 class, year "&amp;$H601,IF(AND(LEFT($L601,2)="08",OR($H601&lt;1973,$H601&gt;1999)),"FAIL - 1973-99 class, year "&amp;$H601,IF(AND(LEFT($L601,2)="09",OR($H601&lt;2000,$H601&gt;2010)),"FAIL - 2000-10 class, year "&amp;$H601,"OK")))))</f>
      </c>
      <c r="BF601" s="45">
        <f>IF($AD601="","",IF(ROUND($AO601+$AP601+$AQ601-$AD601,2)=0,"OK","FAIL - out by "&amp;TEXT($AO601+$AP601+$AQ601-$AD601,"$0.00")))</f>
      </c>
    </row>
    <row r="602" spans="1:58" ht="18.75" customHeight="1" x14ac:dyDescent="0.25">
      <c r="A602" s="46" t="inlineStr">
        <is>
          <t xml:space="preserve">CANON-202607-010346</t>
        </is>
      </c>
      <c r="B602" s="46" t="inlineStr">
        <is>
          <t xml:space="preserve">Anouk Kingsford</t>
        </is>
      </c>
      <c r="C602" s="47">
        <v>46224</v>
      </c>
      <c r="D602" s="48" t="inlineStr">
        <is>
          <t xml:space="preserve">Bound - within authority</t>
        </is>
      </c>
      <c r="E602" s="48" t="inlineStr">
        <is>
          <t xml:space="preserve">New business</t>
        </is>
      </c>
      <c r="F602" s="46" t="inlineStr">
        <is>
          <t xml:space="preserve">B1234EXOTIC26</t>
        </is>
      </c>
      <c r="G602" s="33">
        <f>IF($A602="","",IF($C602="","",YEAR($C602)))</f>
      </c>
      <c r="H602" s="49">
        <v>1964</v>
      </c>
      <c r="I602" s="46" t="inlineStr">
        <is>
          <t xml:space="preserve">Ferrari</t>
        </is>
      </c>
      <c r="J602" s="46" t="inlineStr">
        <is>
          <t xml:space="preserve">296 GTB</t>
        </is>
      </c>
      <c r="K602" s="46" t="inlineStr">
        <is>
          <t xml:space="preserve">MNUVKDX5Z3A8S2J9N</t>
        </is>
      </c>
      <c r="L602" s="48" t="inlineStr">
        <is>
          <t xml:space="preserve">03 - Supercar</t>
        </is>
      </c>
      <c r="M602" s="50">
        <v>710000</v>
      </c>
      <c r="N602" s="48" t="inlineStr">
        <is>
          <t xml:space="preserve">Personal</t>
        </is>
      </c>
      <c r="O602" s="46" t="inlineStr">
        <is>
          <t xml:space="preserve">Personal - regular use</t>
        </is>
      </c>
      <c r="P602" s="46" t="inlineStr">
        <is>
          <t xml:space="preserve">1,000 - 2,500</t>
        </is>
      </c>
      <c r="Q602" s="46" t="inlineStr">
        <is>
          <t xml:space="preserve">New York</t>
        </is>
      </c>
      <c r="R602" s="46" t="inlineStr">
        <is>
          <t xml:space="preserve">10022</t>
        </is>
      </c>
      <c r="S602" s="48" t="inlineStr">
        <is>
          <t xml:space="preserve">Tier 3 - Coastal wind (25-100 miles)</t>
        </is>
      </c>
      <c r="T602" s="36">
        <f>IF($A602="","",IF($S602="","",IFERROR(INDEX('[1]natural catastrophe'!$D$6:$D$17,MATCH($S602,'[1]natural catastrophe'!$B$6:$B$17,0)),"?")))</f>
      </c>
      <c r="U602" s="46" t="inlineStr">
        <is>
          <t xml:space="preserve">2% of agreed value, minimum $10,000</t>
        </is>
      </c>
      <c r="V602" s="48" t="inlineStr">
        <is>
          <t xml:space="preserve">Agreed Value</t>
        </is>
      </c>
      <c r="W602" s="46" t="inlineStr">
        <is>
          <t xml:space="preserve">$1,000</t>
        </is>
      </c>
      <c r="X602" s="48" t="inlineStr">
        <is>
          <t xml:space="preserve">$1,000,000 CSL</t>
        </is>
      </c>
      <c r="Y602" s="46"/>
      <c r="Z602" s="46"/>
      <c r="AA602" s="48" t="inlineStr">
        <is>
          <t xml:space="preserve">Surplus Lines</t>
        </is>
      </c>
      <c r="AB602" s="50">
        <v>12396.55</v>
      </c>
      <c r="AC602" s="51">
        <v>0</v>
      </c>
      <c r="AD602" s="38">
        <f>IF(ISNUMBER($AB602),$AB602*(1+N($AC602)),"")</f>
      </c>
      <c r="AE602" s="50">
        <v>350</v>
      </c>
      <c r="AF602" s="50">
        <v>0</v>
      </c>
      <c r="AG602" s="51"/>
      <c r="AH602" s="39">
        <f>IF(ISNUMBER($AD602),($AD602+$AE602+$AF602)*$AG602,"")</f>
      </c>
      <c r="AI602" s="50"/>
      <c r="AJ602" s="38">
        <f>IF(ISNUMBER($AD602),SUM($AD602:$AH602),"")</f>
      </c>
      <c r="AK602" s="40">
        <f>IF(AND(ISNUMBER($AB602),ISNUMBER($AD602)),IF($AB602&gt;0,$AD602/$AB602,""),"")</f>
      </c>
      <c r="AL602" s="48" t="inlineStr">
        <is>
          <t xml:space="preserve">At technical</t>
        </is>
      </c>
      <c r="AM602" s="41">
        <f>IF(ISNUMBER($AD602),Header!$I$3,"")</f>
      </c>
      <c r="AN602" s="39">
        <f>IF(ISNUMBER($AD602),$AO602+$AP602,"")</f>
      </c>
      <c r="AO602" s="39">
        <f>IF(ISNUMBER($AD602),ROUND($AD602*Header!$K$3,2),"")</f>
      </c>
      <c r="AP602" s="39">
        <f>IF(ISNUMBER($AD602),ROUND($AD602*Header!$M$3,2),"")</f>
      </c>
      <c r="AQ602" s="38">
        <f>IF(ISNUMBER($AD602),ROUND($AD602,2)-$AO602-$AP602,"")</f>
      </c>
      <c r="AR602" s="39">
        <f>IF(ISNUMBER($AD602),IF(Header!$D$34="","?",$AD602*Header!$D$34),"")</f>
      </c>
      <c r="AS602" s="39">
        <f>IF(ISNUMBER($AB602),IF(Header!$D$34="","?",$AB602*Header!$D$34),"")</f>
      </c>
      <c r="AT602" s="42">
        <f>IF(AND(ISNUMBER($AB602),$M602&gt;0),$AB602/$M602*100,"")</f>
      </c>
      <c r="AU602" s="42">
        <f>IF(AND(ISNUMBER($AD602),$M602&gt;0),$AD602/$M602*100,"")</f>
      </c>
      <c r="AV602" s="40">
        <f>IF(AND(ISNUMBER($AB602),ISNUMBER($AD602),ABS($AB602)&gt;0),$AD602/$AB602,"")</f>
      </c>
      <c r="AW602" s="39">
        <f>IF(ISNUMBER($AD602),MAX(0,(1-0.55-Header!$O$3)*Header!$Q$3*$AQ602),"")</f>
      </c>
      <c r="AX602" s="43">
        <f>IF($A602="","",IF(TRIM(IF($A602="","Missing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",""))="","PASS","FAIL: "&amp;TRIM(IF($A602="","Missing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f>
      </c>
      <c r="AY602" s="44">
        <f>IF($M602="","",IF(ISNUMBER($M602),IF($M602&gt;=Header!$C$18,"YES — refer","No"),""))</f>
      </c>
      <c r="AZ602" s="44">
        <f>IF($AD602="","",IF(ISNUMBER($AD602),IF($AD602&lt;Header!$C$20,"BELOW MIN PREMIUM","OK"),""))</f>
      </c>
      <c r="BA602" s="48" t="inlineStr">
        <is>
          <t xml:space="preserve">Yes</t>
        </is>
      </c>
      <c r="BB602" s="48" t="inlineStr">
        <is>
          <t xml:space="preserve">Yes</t>
        </is>
      </c>
      <c r="BC602" s="46" t="inlineStr">
        <is>
          <t xml:space="preserve">Synthetic demo data</t>
        </is>
      </c>
      <c r="BE602" s="45">
        <f>IF(OR($A602="",$L602="",$H602=""),"",IF(AND(LEFT($L602,2)="06",$H602&gt;1945),"FAIL - pre-war class, year "&amp;$H602,IF(AND(LEFT($L602,2)="07",OR($H602&lt;1946,$H602&gt;1972)),"FAIL - 1946-72 class, year "&amp;$H602,IF(AND(LEFT($L602,2)="08",OR($H602&lt;1973,$H602&gt;1999)),"FAIL - 1973-99 class, year "&amp;$H602,IF(AND(LEFT($L602,2)="09",OR($H602&lt;2000,$H602&gt;2010)),"FAIL - 2000-10 class, year "&amp;$H602,"OK")))))</f>
      </c>
      <c r="BF602" s="45">
        <f>IF($AD602="","",IF(ROUND($AO602+$AP602+$AQ602-$AD602,2)=0,"OK","FAIL - out by "&amp;TEXT($AO602+$AP602+$AQ602-$AD602,"$0.00")))</f>
      </c>
    </row>
    <row r="603" spans="1:58" ht="18.75" customHeight="1" x14ac:dyDescent="0.25">
      <c r="A603" s="30" t="inlineStr">
        <is>
          <t xml:space="preserve">CANON-202607-010347</t>
        </is>
      </c>
      <c r="B603" s="30" t="inlineStr">
        <is>
          <t xml:space="preserve">Noor Nakashima</t>
        </is>
      </c>
      <c r="C603" s="31">
        <v>46216</v>
      </c>
      <c r="D603" s="32" t="inlineStr">
        <is>
          <t xml:space="preserve">Bound - within authority</t>
        </is>
      </c>
      <c r="E603" s="32" t="inlineStr">
        <is>
          <t xml:space="preserve">New business</t>
        </is>
      </c>
      <c r="F603" s="30" t="inlineStr">
        <is>
          <t xml:space="preserve">B1234EXOTIC26</t>
        </is>
      </c>
      <c r="G603" s="33">
        <f>IF($A603="","",IF($C603="","",YEAR($C603)))</f>
      </c>
      <c r="H603" s="34">
        <v>1995</v>
      </c>
      <c r="I603" s="30" t="inlineStr">
        <is>
          <t xml:space="preserve">BMW</t>
        </is>
      </c>
      <c r="J603" s="30" t="inlineStr">
        <is>
          <t xml:space="preserve">M8 Competition</t>
        </is>
      </c>
      <c r="K603" s="30" t="inlineStr">
        <is>
          <t xml:space="preserve">ZUFK3LTDJT2MG1TY5</t>
        </is>
      </c>
      <c r="L603" s="32" t="inlineStr">
        <is>
          <t xml:space="preserve">02 - Sports / GT</t>
        </is>
      </c>
      <c r="M603" s="35">
        <v>575000</v>
      </c>
      <c r="N603" s="32" t="inlineStr">
        <is>
          <t xml:space="preserve">Personal</t>
        </is>
      </c>
      <c r="O603" s="30" t="inlineStr">
        <is>
          <t xml:space="preserve">Personal - regular use</t>
        </is>
      </c>
      <c r="P603" s="30" t="inlineStr">
        <is>
          <t xml:space="preserve">Under 1,000</t>
        </is>
      </c>
      <c r="Q603" s="30" t="inlineStr">
        <is>
          <t xml:space="preserve">New York</t>
        </is>
      </c>
      <c r="R603" s="30" t="inlineStr">
        <is>
          <t xml:space="preserve">10022</t>
        </is>
      </c>
      <c r="S603" s="32" t="inlineStr">
        <is>
          <t xml:space="preserve">Tier 3 - Coastal wind (25-100 miles)</t>
        </is>
      </c>
      <c r="T603" s="36">
        <f>IF($A603="","",IF($S603="","",IFERROR(INDEX('[1]natural catastrophe'!$D$6:$D$17,MATCH($S603,'[1]natural catastrophe'!$B$6:$B$17,0)),"?")))</f>
      </c>
      <c r="U603" s="30" t="inlineStr">
        <is>
          <t xml:space="preserve">2% of agreed value, minimum $10,000</t>
        </is>
      </c>
      <c r="V603" s="32" t="inlineStr">
        <is>
          <t xml:space="preserve">Agreed Value</t>
        </is>
      </c>
      <c r="W603" s="30" t="inlineStr">
        <is>
          <t xml:space="preserve">$1,000</t>
        </is>
      </c>
      <c r="X603" s="32" t="inlineStr">
        <is>
          <t xml:space="preserve">$1,000,000 CSL</t>
        </is>
      </c>
      <c r="Y603" s="30"/>
      <c r="Z603" s="30"/>
      <c r="AA603" s="32" t="inlineStr">
        <is>
          <t xml:space="preserve">Surplus Lines</t>
        </is>
      </c>
      <c r="AB603" s="35">
        <v>6869.11</v>
      </c>
      <c r="AC603" s="37">
        <v>0</v>
      </c>
      <c r="AD603" s="38">
        <f>IF(ISNUMBER($AB603),$AB603*(1+N($AC603)),"")</f>
      </c>
      <c r="AE603" s="35">
        <v>350</v>
      </c>
      <c r="AF603" s="35">
        <v>0</v>
      </c>
      <c r="AG603" s="37"/>
      <c r="AH603" s="39">
        <f>IF(ISNUMBER($AD603),($AD603+$AE603+$AF603)*$AG603,"")</f>
      </c>
      <c r="AI603" s="35"/>
      <c r="AJ603" s="38">
        <f>IF(ISNUMBER($AD603),SUM($AD603:$AH603),"")</f>
      </c>
      <c r="AK603" s="40">
        <f>IF(AND(ISNUMBER($AB603),ISNUMBER($AD603)),IF($AB603&gt;0,$AD603/$AB603,""),"")</f>
      </c>
      <c r="AL603" s="32" t="inlineStr">
        <is>
          <t xml:space="preserve">At technical</t>
        </is>
      </c>
      <c r="AM603" s="41">
        <f>IF(ISNUMBER($AD603),Header!$I$3,"")</f>
      </c>
      <c r="AN603" s="39">
        <f>IF(ISNUMBER($AD603),$AO603+$AP603,"")</f>
      </c>
      <c r="AO603" s="39">
        <f>IF(ISNUMBER($AD603),ROUND($AD603*Header!$K$3,2),"")</f>
      </c>
      <c r="AP603" s="39">
        <f>IF(ISNUMBER($AD603),ROUND($AD603*Header!$M$3,2),"")</f>
      </c>
      <c r="AQ603" s="38">
        <f>IF(ISNUMBER($AD603),ROUND($AD603,2)-$AO603-$AP603,"")</f>
      </c>
      <c r="AR603" s="39">
        <f>IF(ISNUMBER($AD603),IF(Header!$D$34="","?",$AD603*Header!$D$34),"")</f>
      </c>
      <c r="AS603" s="39">
        <f>IF(ISNUMBER($AB603),IF(Header!$D$34="","?",$AB603*Header!$D$34),"")</f>
      </c>
      <c r="AT603" s="42">
        <f>IF(AND(ISNUMBER($AB603),$M603&gt;0),$AB603/$M603*100,"")</f>
      </c>
      <c r="AU603" s="42">
        <f>IF(AND(ISNUMBER($AD603),$M603&gt;0),$AD603/$M603*100,"")</f>
      </c>
      <c r="AV603" s="40">
        <f>IF(AND(ISNUMBER($AB603),ISNUMBER($AD603),ABS($AB603)&gt;0),$AD603/$AB603,"")</f>
      </c>
      <c r="AW603" s="39">
        <f>IF(ISNUMBER($AD603),MAX(0,(1-0.55-Header!$O$3)*Header!$Q$3*$AQ603),"")</f>
      </c>
      <c r="AX603" s="43">
        <f>IF($A603="","",IF(TRIM(IF($A603="","Missing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",""))="","PASS","FAIL: "&amp;TRIM(IF($A603="","Missing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f>
      </c>
      <c r="AY603" s="44">
        <f>IF($M603="","",IF(ISNUMBER($M603),IF($M603&gt;=Header!$C$18,"YES — refer","No"),""))</f>
      </c>
      <c r="AZ603" s="44">
        <f>IF($AD603="","",IF(ISNUMBER($AD603),IF($AD603&lt;Header!$C$20,"BELOW MIN PREMIUM","OK"),""))</f>
      </c>
      <c r="BA603" s="32" t="inlineStr">
        <is>
          <t xml:space="preserve">Yes</t>
        </is>
      </c>
      <c r="BB603" s="32" t="inlineStr">
        <is>
          <t xml:space="preserve">Yes</t>
        </is>
      </c>
      <c r="BC603" s="30" t="inlineStr">
        <is>
          <t xml:space="preserve">Synthetic demo data</t>
        </is>
      </c>
      <c r="BE603" s="45">
        <f>IF(OR($A603="",$L603="",$H603=""),"",IF(AND(LEFT($L603,2)="06",$H603&gt;1945),"FAIL - pre-war class, year "&amp;$H603,IF(AND(LEFT($L603,2)="07",OR($H603&lt;1946,$H603&gt;1972)),"FAIL - 1946-72 class, year "&amp;$H603,IF(AND(LEFT($L603,2)="08",OR($H603&lt;1973,$H603&gt;1999)),"FAIL - 1973-99 class, year "&amp;$H603,IF(AND(LEFT($L603,2)="09",OR($H603&lt;2000,$H603&gt;2010)),"FAIL - 2000-10 class, year "&amp;$H603,"OK")))))</f>
      </c>
      <c r="BF603" s="45">
        <f>IF($AD603="","",IF(ROUND($AO603+$AP603+$AQ603-$AD603,2)=0,"OK","FAIL - out by "&amp;TEXT($AO603+$AP603+$AQ603-$AD603,"$0.00")))</f>
      </c>
    </row>
    <row r="604" spans="1:58" ht="18.75" customHeight="1" x14ac:dyDescent="0.25">
      <c r="A604" s="46" t="inlineStr">
        <is>
          <t xml:space="preserve">CANON-202607-010348</t>
        </is>
      </c>
      <c r="B604" s="46" t="inlineStr">
        <is>
          <t xml:space="preserve">Leopold Fairweather</t>
        </is>
      </c>
      <c r="C604" s="47">
        <v>46222</v>
      </c>
      <c r="D604" s="48" t="inlineStr">
        <is>
          <t xml:space="preserve">Bound - within authority</t>
        </is>
      </c>
      <c r="E604" s="48" t="inlineStr">
        <is>
          <t xml:space="preserve">New business</t>
        </is>
      </c>
      <c r="F604" s="46" t="inlineStr">
        <is>
          <t xml:space="preserve">B1234EXOTIC26</t>
        </is>
      </c>
      <c r="G604" s="33">
        <f>IF($A604="","",IF($C604="","",YEAR($C604)))</f>
      </c>
      <c r="H604" s="49">
        <v>2021</v>
      </c>
      <c r="I604" s="46" t="inlineStr">
        <is>
          <t xml:space="preserve">Mercedes-Benz</t>
        </is>
      </c>
      <c r="J604" s="46" t="inlineStr">
        <is>
          <t xml:space="preserve">AMG GT</t>
        </is>
      </c>
      <c r="K604" s="46" t="inlineStr">
        <is>
          <t xml:space="preserve">FBV32VYA1S6200ZJK</t>
        </is>
      </c>
      <c r="L604" s="48" t="inlineStr">
        <is>
          <t xml:space="preserve">02 - Sports / GT</t>
        </is>
      </c>
      <c r="M604" s="50">
        <v>425000</v>
      </c>
      <c r="N604" s="48" t="inlineStr">
        <is>
          <t xml:space="preserve">Personal</t>
        </is>
      </c>
      <c r="O604" s="46" t="inlineStr">
        <is>
          <t xml:space="preserve">Personal - regular use</t>
        </is>
      </c>
      <c r="P604" s="46" t="inlineStr">
        <is>
          <t xml:space="preserve">1,000 - 2,500</t>
        </is>
      </c>
      <c r="Q604" s="46" t="inlineStr">
        <is>
          <t xml:space="preserve">New Hampshire</t>
        </is>
      </c>
      <c r="R604" s="46" t="inlineStr">
        <is>
          <t xml:space="preserve">03301</t>
        </is>
      </c>
      <c r="S604" s="48" t="inlineStr">
        <is>
          <t xml:space="preserve">Tier 3 - Coastal wind (25-100 miles)</t>
        </is>
      </c>
      <c r="T604" s="36">
        <f>IF($A604="","",IF($S604="","",IFERROR(INDEX('[1]natural catastrophe'!$D$6:$D$17,MATCH($S604,'[1]natural catastrophe'!$B$6:$B$17,0)),"?")))</f>
      </c>
      <c r="U604" s="46" t="inlineStr">
        <is>
          <t xml:space="preserve">2% of agreed value, minimum $10,000</t>
        </is>
      </c>
      <c r="V604" s="48" t="inlineStr">
        <is>
          <t xml:space="preserve">Agreed Value</t>
        </is>
      </c>
      <c r="W604" s="46" t="inlineStr">
        <is>
          <t xml:space="preserve">$1,000</t>
        </is>
      </c>
      <c r="X604" s="48" t="inlineStr">
        <is>
          <t xml:space="preserve">$1,000,000 CSL</t>
        </is>
      </c>
      <c r="Y604" s="46"/>
      <c r="Z604" s="46"/>
      <c r="AA604" s="48" t="inlineStr">
        <is>
          <t xml:space="preserve">Surplus Lines</t>
        </is>
      </c>
      <c r="AB604" s="50">
        <v>4759.84</v>
      </c>
      <c r="AC604" s="51">
        <v>0</v>
      </c>
      <c r="AD604" s="38">
        <f>IF(ISNUMBER($AB604),$AB604*(1+N($AC604)),"")</f>
      </c>
      <c r="AE604" s="50">
        <v>350</v>
      </c>
      <c r="AF604" s="50">
        <v>0</v>
      </c>
      <c r="AG604" s="51"/>
      <c r="AH604" s="39">
        <f>IF(ISNUMBER($AD604),($AD604+$AE604+$AF604)*$AG604,"")</f>
      </c>
      <c r="AI604" s="50"/>
      <c r="AJ604" s="38">
        <f>IF(ISNUMBER($AD604),SUM($AD604:$AH604),"")</f>
      </c>
      <c r="AK604" s="40">
        <f>IF(AND(ISNUMBER($AB604),ISNUMBER($AD604)),IF($AB604&gt;0,$AD604/$AB604,""),"")</f>
      </c>
      <c r="AL604" s="48" t="inlineStr">
        <is>
          <t xml:space="preserve">At technical</t>
        </is>
      </c>
      <c r="AM604" s="41">
        <f>IF(ISNUMBER($AD604),Header!$I$3,"")</f>
      </c>
      <c r="AN604" s="39">
        <f>IF(ISNUMBER($AD604),$AO604+$AP604,"")</f>
      </c>
      <c r="AO604" s="39">
        <f>IF(ISNUMBER($AD604),ROUND($AD604*Header!$K$3,2),"")</f>
      </c>
      <c r="AP604" s="39">
        <f>IF(ISNUMBER($AD604),ROUND($AD604*Header!$M$3,2),"")</f>
      </c>
      <c r="AQ604" s="38">
        <f>IF(ISNUMBER($AD604),ROUND($AD604,2)-$AO604-$AP604,"")</f>
      </c>
      <c r="AR604" s="39">
        <f>IF(ISNUMBER($AD604),IF(Header!$D$34="","?",$AD604*Header!$D$34),"")</f>
      </c>
      <c r="AS604" s="39">
        <f>IF(ISNUMBER($AB604),IF(Header!$D$34="","?",$AB604*Header!$D$34),"")</f>
      </c>
      <c r="AT604" s="42">
        <f>IF(AND(ISNUMBER($AB604),$M604&gt;0),$AB604/$M604*100,"")</f>
      </c>
      <c r="AU604" s="42">
        <f>IF(AND(ISNUMBER($AD604),$M604&gt;0),$AD604/$M604*100,"")</f>
      </c>
      <c r="AV604" s="40">
        <f>IF(AND(ISNUMBER($AB604),ISNUMBER($AD604),ABS($AB604)&gt;0),$AD604/$AB604,"")</f>
      </c>
      <c r="AW604" s="39">
        <f>IF(ISNUMBER($AD604),MAX(0,(1-0.55-Header!$O$3)*Header!$Q$3*$AQ604),"")</f>
      </c>
      <c r="AX604" s="43">
        <f>IF($A604="","",IF(TRIM(IF($A604="","Missing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",""))="","PASS","FAIL: "&amp;TRIM(IF($A604="","Missing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f>
      </c>
      <c r="AY604" s="44">
        <f>IF($M604="","",IF(ISNUMBER($M604),IF($M604&gt;=Header!$C$18,"YES — refer","No"),""))</f>
      </c>
      <c r="AZ604" s="44">
        <f>IF($AD604="","",IF(ISNUMBER($AD604),IF($AD604&lt;Header!$C$20,"BELOW MIN PREMIUM","OK"),""))</f>
      </c>
      <c r="BA604" s="48" t="inlineStr">
        <is>
          <t xml:space="preserve">Yes</t>
        </is>
      </c>
      <c r="BB604" s="48" t="inlineStr">
        <is>
          <t xml:space="preserve">Yes</t>
        </is>
      </c>
      <c r="BC604" s="46" t="inlineStr">
        <is>
          <t xml:space="preserve">Synthetic demo data</t>
        </is>
      </c>
      <c r="BE604" s="45">
        <f>IF(OR($A604="",$L604="",$H604=""),"",IF(AND(LEFT($L604,2)="06",$H604&gt;1945),"FAIL - pre-war class, year "&amp;$H604,IF(AND(LEFT($L604,2)="07",OR($H604&lt;1946,$H604&gt;1972)),"FAIL - 1946-72 class, year "&amp;$H604,IF(AND(LEFT($L604,2)="08",OR($H604&lt;1973,$H604&gt;1999)),"FAIL - 1973-99 class, year "&amp;$H604,IF(AND(LEFT($L604,2)="09",OR($H604&lt;2000,$H604&gt;2010)),"FAIL - 2000-10 class, year "&amp;$H604,"OK")))))</f>
      </c>
      <c r="BF604" s="45">
        <f>IF($AD604="","",IF(ROUND($AO604+$AP604+$AQ604-$AD604,2)=0,"OK","FAIL - out by "&amp;TEXT($AO604+$AP604+$AQ604-$AD604,"$0.00")))</f>
      </c>
    </row>
    <row r="605" spans="1:58" ht="18.75" customHeight="1" x14ac:dyDescent="0.25">
      <c r="A605" s="30" t="inlineStr">
        <is>
          <t xml:space="preserve">CANON-202607-010349</t>
        </is>
      </c>
      <c r="B605" s="30" t="inlineStr">
        <is>
          <t xml:space="preserve">Leopold Pennington</t>
        </is>
      </c>
      <c r="C605" s="31">
        <v>46227</v>
      </c>
      <c r="D605" s="32" t="inlineStr">
        <is>
          <t xml:space="preserve">Bound - within authority</t>
        </is>
      </c>
      <c r="E605" s="32" t="inlineStr">
        <is>
          <t xml:space="preserve">New business</t>
        </is>
      </c>
      <c r="F605" s="30" t="inlineStr">
        <is>
          <t xml:space="preserve">B1234EXOTIC26</t>
        </is>
      </c>
      <c r="G605" s="33">
        <f>IF($A605="","",IF($C605="","",YEAR($C605)))</f>
      </c>
      <c r="H605" s="34">
        <v>1991</v>
      </c>
      <c r="I605" s="30" t="inlineStr">
        <is>
          <t xml:space="preserve">Aston Martin</t>
        </is>
      </c>
      <c r="J605" s="30" t="inlineStr">
        <is>
          <t xml:space="preserve">DB12</t>
        </is>
      </c>
      <c r="K605" s="30" t="inlineStr">
        <is>
          <t xml:space="preserve">C94W673DBGG2NADHY</t>
        </is>
      </c>
      <c r="L605" s="32" t="inlineStr">
        <is>
          <t xml:space="preserve">02 - Sports / GT</t>
        </is>
      </c>
      <c r="M605" s="35">
        <v>355000</v>
      </c>
      <c r="N605" s="32" t="inlineStr">
        <is>
          <t xml:space="preserve">Personal</t>
        </is>
      </c>
      <c r="O605" s="30" t="inlineStr">
        <is>
          <t xml:space="preserve">Personal - regular use</t>
        </is>
      </c>
      <c r="P605" s="30" t="inlineStr">
        <is>
          <t xml:space="preserve">1,000 - 2,500</t>
        </is>
      </c>
      <c r="Q605" s="30" t="inlineStr">
        <is>
          <t xml:space="preserve">Michigan</t>
        </is>
      </c>
      <c r="R605" s="30" t="inlineStr">
        <is>
          <t xml:space="preserve">48226</t>
        </is>
      </c>
      <c r="S605" s="32" t="inlineStr">
        <is>
          <t xml:space="preserve">Severe convective - hail / tornado (moderate)</t>
        </is>
      </c>
      <c r="T605" s="36">
        <f>IF($A605="","",IF($S605="","",IFERROR(INDEX('[1]natural catastrophe'!$D$6:$D$17,MATCH($S605,'[1]natural catastrophe'!$B$6:$B$17,0)),"?")))</f>
      </c>
      <c r="U605" s="30" t="inlineStr">
        <is>
          <t xml:space="preserve">$5,000</t>
        </is>
      </c>
      <c r="V605" s="32" t="inlineStr">
        <is>
          <t xml:space="preserve">Agreed Value</t>
        </is>
      </c>
      <c r="W605" s="30" t="inlineStr">
        <is>
          <t xml:space="preserve">$1,000</t>
        </is>
      </c>
      <c r="X605" s="32" t="inlineStr">
        <is>
          <t xml:space="preserve">$1,000,000 CSL</t>
        </is>
      </c>
      <c r="Y605" s="30"/>
      <c r="Z605" s="30"/>
      <c r="AA605" s="32" t="inlineStr">
        <is>
          <t xml:space="preserve">Surplus Lines</t>
        </is>
      </c>
      <c r="AB605" s="35">
        <v>5925.57</v>
      </c>
      <c r="AC605" s="37">
        <v>0</v>
      </c>
      <c r="AD605" s="38">
        <f>IF(ISNUMBER($AB605),$AB605*(1+N($AC605)),"")</f>
      </c>
      <c r="AE605" s="35">
        <v>350</v>
      </c>
      <c r="AF605" s="35">
        <v>0</v>
      </c>
      <c r="AG605" s="37"/>
      <c r="AH605" s="39">
        <f>IF(ISNUMBER($AD605),($AD605+$AE605+$AF605)*$AG605,"")</f>
      </c>
      <c r="AI605" s="35"/>
      <c r="AJ605" s="38">
        <f>IF(ISNUMBER($AD605),SUM($AD605:$AH605),"")</f>
      </c>
      <c r="AK605" s="40">
        <f>IF(AND(ISNUMBER($AB605),ISNUMBER($AD605)),IF($AB605&gt;0,$AD605/$AB605,""),"")</f>
      </c>
      <c r="AL605" s="32" t="inlineStr">
        <is>
          <t xml:space="preserve">At technical</t>
        </is>
      </c>
      <c r="AM605" s="41">
        <f>IF(ISNUMBER($AD605),Header!$I$3,"")</f>
      </c>
      <c r="AN605" s="39">
        <f>IF(ISNUMBER($AD605),$AO605+$AP605,"")</f>
      </c>
      <c r="AO605" s="39">
        <f>IF(ISNUMBER($AD605),ROUND($AD605*Header!$K$3,2),"")</f>
      </c>
      <c r="AP605" s="39">
        <f>IF(ISNUMBER($AD605),ROUND($AD605*Header!$M$3,2),"")</f>
      </c>
      <c r="AQ605" s="38">
        <f>IF(ISNUMBER($AD605),ROUND($AD605,2)-$AO605-$AP605,"")</f>
      </c>
      <c r="AR605" s="39">
        <f>IF(ISNUMBER($AD605),IF(Header!$D$34="","?",$AD605*Header!$D$34),"")</f>
      </c>
      <c r="AS605" s="39">
        <f>IF(ISNUMBER($AB605),IF(Header!$D$34="","?",$AB605*Header!$D$34),"")</f>
      </c>
      <c r="AT605" s="42">
        <f>IF(AND(ISNUMBER($AB605),$M605&gt;0),$AB605/$M605*100,"")</f>
      </c>
      <c r="AU605" s="42">
        <f>IF(AND(ISNUMBER($AD605),$M605&gt;0),$AD605/$M605*100,"")</f>
      </c>
      <c r="AV605" s="40">
        <f>IF(AND(ISNUMBER($AB605),ISNUMBER($AD605),ABS($AB605)&gt;0),$AD605/$AB605,"")</f>
      </c>
      <c r="AW605" s="39">
        <f>IF(ISNUMBER($AD605),MAX(0,(1-0.55-Header!$O$3)*Header!$Q$3*$AQ605),"")</f>
      </c>
      <c r="AX605" s="43">
        <f>IF($A605="","",IF(TRIM(IF($A605="","Missing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",""))="","PASS","FAIL: "&amp;TRIM(IF($A605="","Missing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f>
      </c>
      <c r="AY605" s="44">
        <f>IF($M605="","",IF(ISNUMBER($M605),IF($M605&gt;=Header!$C$18,"YES — refer","No"),""))</f>
      </c>
      <c r="AZ605" s="44">
        <f>IF($AD605="","",IF(ISNUMBER($AD605),IF($AD605&lt;Header!$C$20,"BELOW MIN PREMIUM","OK"),""))</f>
      </c>
      <c r="BA605" s="32" t="inlineStr">
        <is>
          <t xml:space="preserve">Yes</t>
        </is>
      </c>
      <c r="BB605" s="32" t="inlineStr">
        <is>
          <t xml:space="preserve">Yes</t>
        </is>
      </c>
      <c r="BC605" s="30" t="inlineStr">
        <is>
          <t xml:space="preserve">Synthetic demo data</t>
        </is>
      </c>
      <c r="BE605" s="45">
        <f>IF(OR($A605="",$L605="",$H605=""),"",IF(AND(LEFT($L605,2)="06",$H605&gt;1945),"FAIL - pre-war class, year "&amp;$H605,IF(AND(LEFT($L605,2)="07",OR($H605&lt;1946,$H605&gt;1972)),"FAIL - 1946-72 class, year "&amp;$H605,IF(AND(LEFT($L605,2)="08",OR($H605&lt;1973,$H605&gt;1999)),"FAIL - 1973-99 class, year "&amp;$H605,IF(AND(LEFT($L605,2)="09",OR($H605&lt;2000,$H605&gt;2010)),"FAIL - 2000-10 class, year "&amp;$H605,"OK")))))</f>
      </c>
      <c r="BF605" s="45">
        <f>IF($AD605="","",IF(ROUND($AO605+$AP605+$AQ605-$AD605,2)=0,"OK","FAIL - out by "&amp;TEXT($AO605+$AP605+$AQ605-$AD605,"$0.00")))</f>
      </c>
    </row>
    <row r="606" spans="1:58" ht="18.75" customHeight="1" x14ac:dyDescent="0.25">
      <c r="A606" s="46" t="inlineStr">
        <is>
          <t xml:space="preserve">CANON-202607-010350</t>
        </is>
      </c>
      <c r="B606" s="46" t="inlineStr">
        <is>
          <t xml:space="preserve">Ramona Vandermeer</t>
        </is>
      </c>
      <c r="C606" s="47">
        <v>46226</v>
      </c>
      <c r="D606" s="48" t="inlineStr">
        <is>
          <t xml:space="preserve">Bound - within authority</t>
        </is>
      </c>
      <c r="E606" s="48" t="inlineStr">
        <is>
          <t xml:space="preserve">New business</t>
        </is>
      </c>
      <c r="F606" s="46" t="inlineStr">
        <is>
          <t xml:space="preserve">B1234EXOTIC26</t>
        </is>
      </c>
      <c r="G606" s="33">
        <f>IF($A606="","",IF($C606="","",YEAR($C606)))</f>
      </c>
      <c r="H606" s="49">
        <v>1986</v>
      </c>
      <c r="I606" s="46" t="inlineStr">
        <is>
          <t xml:space="preserve">Mercedes-Benz</t>
        </is>
      </c>
      <c r="J606" s="46" t="inlineStr">
        <is>
          <t xml:space="preserve">AMG GT</t>
        </is>
      </c>
      <c r="K606" s="46" t="inlineStr">
        <is>
          <t xml:space="preserve">KK9V1ZCX2D9F16DNC</t>
        </is>
      </c>
      <c r="L606" s="48" t="inlineStr">
        <is>
          <t xml:space="preserve">02 - Sports / GT</t>
        </is>
      </c>
      <c r="M606" s="50">
        <v>930000</v>
      </c>
      <c r="N606" s="48" t="inlineStr">
        <is>
          <t xml:space="preserve">Personal</t>
        </is>
      </c>
      <c r="O606" s="46" t="inlineStr">
        <is>
          <t xml:space="preserve">Personal - regular use</t>
        </is>
      </c>
      <c r="P606" s="46" t="inlineStr">
        <is>
          <t xml:space="preserve">2,500 - 5,000</t>
        </is>
      </c>
      <c r="Q606" s="46" t="inlineStr">
        <is>
          <t xml:space="preserve">Illinois</t>
        </is>
      </c>
      <c r="R606" s="46" t="inlineStr">
        <is>
          <t xml:space="preserve">60601</t>
        </is>
      </c>
      <c r="S606" s="48" t="inlineStr">
        <is>
          <t xml:space="preserve">Severe convective - hail / tornado (moderate)</t>
        </is>
      </c>
      <c r="T606" s="36">
        <f>IF($A606="","",IF($S606="","",IFERROR(INDEX('[1]natural catastrophe'!$D$6:$D$17,MATCH($S606,'[1]natural catastrophe'!$B$6:$B$17,0)),"?")))</f>
      </c>
      <c r="U606" s="46" t="inlineStr">
        <is>
          <t xml:space="preserve">$5,000</t>
        </is>
      </c>
      <c r="V606" s="48" t="inlineStr">
        <is>
          <t xml:space="preserve">Agreed Value</t>
        </is>
      </c>
      <c r="W606" s="46" t="inlineStr">
        <is>
          <t xml:space="preserve">$1,000</t>
        </is>
      </c>
      <c r="X606" s="48" t="inlineStr">
        <is>
          <t xml:space="preserve">$1,000,000 CSL</t>
        </is>
      </c>
      <c r="Y606" s="46"/>
      <c r="Z606" s="46"/>
      <c r="AA606" s="48" t="inlineStr">
        <is>
          <t xml:space="preserve">Surplus Lines</t>
        </is>
      </c>
      <c r="AB606" s="50">
        <v>11804.4</v>
      </c>
      <c r="AC606" s="51">
        <v>0</v>
      </c>
      <c r="AD606" s="38">
        <f>IF(ISNUMBER($AB606),$AB606*(1+N($AC606)),"")</f>
      </c>
      <c r="AE606" s="50">
        <v>350</v>
      </c>
      <c r="AF606" s="50">
        <v>0</v>
      </c>
      <c r="AG606" s="51"/>
      <c r="AH606" s="39">
        <f>IF(ISNUMBER($AD606),($AD606+$AE606+$AF606)*$AG606,"")</f>
      </c>
      <c r="AI606" s="50"/>
      <c r="AJ606" s="38">
        <f>IF(ISNUMBER($AD606),SUM($AD606:$AH606),"")</f>
      </c>
      <c r="AK606" s="40">
        <f>IF(AND(ISNUMBER($AB606),ISNUMBER($AD606)),IF($AB606&gt;0,$AD606/$AB606,""),"")</f>
      </c>
      <c r="AL606" s="48" t="inlineStr">
        <is>
          <t xml:space="preserve">At technical</t>
        </is>
      </c>
      <c r="AM606" s="41">
        <f>IF(ISNUMBER($AD606),Header!$I$3,"")</f>
      </c>
      <c r="AN606" s="39">
        <f>IF(ISNUMBER($AD606),$AO606+$AP606,"")</f>
      </c>
      <c r="AO606" s="39">
        <f>IF(ISNUMBER($AD606),ROUND($AD606*Header!$K$3,2),"")</f>
      </c>
      <c r="AP606" s="39">
        <f>IF(ISNUMBER($AD606),ROUND($AD606*Header!$M$3,2),"")</f>
      </c>
      <c r="AQ606" s="38">
        <f>IF(ISNUMBER($AD606),ROUND($AD606,2)-$AO606-$AP606,"")</f>
      </c>
      <c r="AR606" s="39">
        <f>IF(ISNUMBER($AD606),IF(Header!$D$34="","?",$AD606*Header!$D$34),"")</f>
      </c>
      <c r="AS606" s="39">
        <f>IF(ISNUMBER($AB606),IF(Header!$D$34="","?",$AB606*Header!$D$34),"")</f>
      </c>
      <c r="AT606" s="42">
        <f>IF(AND(ISNUMBER($AB606),$M606&gt;0),$AB606/$M606*100,"")</f>
      </c>
      <c r="AU606" s="42">
        <f>IF(AND(ISNUMBER($AD606),$M606&gt;0),$AD606/$M606*100,"")</f>
      </c>
      <c r="AV606" s="40">
        <f>IF(AND(ISNUMBER($AB606),ISNUMBER($AD606),ABS($AB606)&gt;0),$AD606/$AB606,"")</f>
      </c>
      <c r="AW606" s="39">
        <f>IF(ISNUMBER($AD606),MAX(0,(1-0.55-Header!$O$3)*Header!$Q$3*$AQ606),"")</f>
      </c>
      <c r="AX606" s="43">
        <f>IF($A606="","",IF(TRIM(IF($A606="","Missing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",""))="","PASS","FAIL: "&amp;TRIM(IF($A606="","Missing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f>
      </c>
      <c r="AY606" s="44">
        <f>IF($M606="","",IF(ISNUMBER($M606),IF($M606&gt;=Header!$C$18,"YES — refer","No"),""))</f>
      </c>
      <c r="AZ606" s="44">
        <f>IF($AD606="","",IF(ISNUMBER($AD606),IF($AD606&lt;Header!$C$20,"BELOW MIN PREMIUM","OK"),""))</f>
      </c>
      <c r="BA606" s="48" t="inlineStr">
        <is>
          <t xml:space="preserve">Yes</t>
        </is>
      </c>
      <c r="BB606" s="48" t="inlineStr">
        <is>
          <t xml:space="preserve">Yes</t>
        </is>
      </c>
      <c r="BC606" s="46" t="inlineStr">
        <is>
          <t xml:space="preserve">Synthetic demo data</t>
        </is>
      </c>
      <c r="BE606" s="45">
        <f>IF(OR($A606="",$L606="",$H606=""),"",IF(AND(LEFT($L606,2)="06",$H606&gt;1945),"FAIL - pre-war class, year "&amp;$H606,IF(AND(LEFT($L606,2)="07",OR($H606&lt;1946,$H606&gt;1972)),"FAIL - 1946-72 class, year "&amp;$H606,IF(AND(LEFT($L606,2)="08",OR($H606&lt;1973,$H606&gt;1999)),"FAIL - 1973-99 class, year "&amp;$H606,IF(AND(LEFT($L606,2)="09",OR($H606&lt;2000,$H606&gt;2010)),"FAIL - 2000-10 class, year "&amp;$H606,"OK")))))</f>
      </c>
      <c r="BF606" s="45">
        <f>IF($AD606="","",IF(ROUND($AO606+$AP606+$AQ606-$AD606,2)=0,"OK","FAIL - out by "&amp;TEXT($AO606+$AP606+$AQ606-$AD606,"$0.00")))</f>
      </c>
    </row>
    <row r="607" spans="1:58" ht="18.75" customHeight="1" x14ac:dyDescent="0.25">
      <c r="A607" s="30" t="inlineStr">
        <is>
          <t xml:space="preserve">CANON-202607-010352</t>
        </is>
      </c>
      <c r="B607" s="30" t="inlineStr">
        <is>
          <t xml:space="preserve">Everett Bellandi</t>
        </is>
      </c>
      <c r="C607" s="31">
        <v>46214</v>
      </c>
      <c r="D607" s="32" t="inlineStr">
        <is>
          <t xml:space="preserve">Bound - within authority</t>
        </is>
      </c>
      <c r="E607" s="32" t="inlineStr">
        <is>
          <t xml:space="preserve">New business</t>
        </is>
      </c>
      <c r="F607" s="30" t="inlineStr">
        <is>
          <t xml:space="preserve">B1234EXOTIC26</t>
        </is>
      </c>
      <c r="G607" s="33">
        <f>IF($A607="","",IF($C607="","",YEAR($C607)))</f>
      </c>
      <c r="H607" s="34">
        <v>1962</v>
      </c>
      <c r="I607" s="30" t="inlineStr">
        <is>
          <t xml:space="preserve">Bentley</t>
        </is>
      </c>
      <c r="J607" s="30" t="inlineStr">
        <is>
          <t xml:space="preserve">Continental GT</t>
        </is>
      </c>
      <c r="K607" s="30" t="inlineStr">
        <is>
          <t xml:space="preserve">2CPX0DYF0V5PZEUSP</t>
        </is>
      </c>
      <c r="L607" s="32" t="inlineStr">
        <is>
          <t xml:space="preserve">02 - Sports / GT</t>
        </is>
      </c>
      <c r="M607" s="35">
        <v>425000</v>
      </c>
      <c r="N607" s="32" t="inlineStr">
        <is>
          <t xml:space="preserve">Personal</t>
        </is>
      </c>
      <c r="O607" s="30" t="inlineStr">
        <is>
          <t xml:space="preserve">Personal - regular use</t>
        </is>
      </c>
      <c r="P607" s="30" t="inlineStr">
        <is>
          <t xml:space="preserve">Under 1,000</t>
        </is>
      </c>
      <c r="Q607" s="30" t="inlineStr">
        <is>
          <t xml:space="preserve">New Jersey</t>
        </is>
      </c>
      <c r="R607" s="30" t="inlineStr">
        <is>
          <t xml:space="preserve">07102</t>
        </is>
      </c>
      <c r="S607" s="32" t="inlineStr">
        <is>
          <t xml:space="preserve">Tier 3 - Coastal wind (25-100 miles)</t>
        </is>
      </c>
      <c r="T607" s="36">
        <f>IF($A607="","",IF($S607="","",IFERROR(INDEX('[1]natural catastrophe'!$D$6:$D$17,MATCH($S607,'[1]natural catastrophe'!$B$6:$B$17,0)),"?")))</f>
      </c>
      <c r="U607" s="30" t="inlineStr">
        <is>
          <t xml:space="preserve">2% of agreed value, minimum $10,000</t>
        </is>
      </c>
      <c r="V607" s="32" t="inlineStr">
        <is>
          <t xml:space="preserve">Agreed Value</t>
        </is>
      </c>
      <c r="W607" s="30" t="inlineStr">
        <is>
          <t xml:space="preserve">$1,000</t>
        </is>
      </c>
      <c r="X607" s="32" t="inlineStr">
        <is>
          <t xml:space="preserve">$1,000,000 CSL</t>
        </is>
      </c>
      <c r="Y607" s="30"/>
      <c r="Z607" s="30"/>
      <c r="AA607" s="32" t="inlineStr">
        <is>
          <t xml:space="preserve">Surplus Lines</t>
        </is>
      </c>
      <c r="AB607" s="35">
        <v>4164.86</v>
      </c>
      <c r="AC607" s="37">
        <v>0</v>
      </c>
      <c r="AD607" s="38">
        <f>IF(ISNUMBER($AB607),$AB607*(1+N($AC607)),"")</f>
      </c>
      <c r="AE607" s="35">
        <v>350</v>
      </c>
      <c r="AF607" s="35">
        <v>0</v>
      </c>
      <c r="AG607" s="37"/>
      <c r="AH607" s="39">
        <f>IF(ISNUMBER($AD607),($AD607+$AE607+$AF607)*$AG607,"")</f>
      </c>
      <c r="AI607" s="35"/>
      <c r="AJ607" s="38">
        <f>IF(ISNUMBER($AD607),SUM($AD607:$AH607),"")</f>
      </c>
      <c r="AK607" s="40">
        <f>IF(AND(ISNUMBER($AB607),ISNUMBER($AD607)),IF($AB607&gt;0,$AD607/$AB607,""),"")</f>
      </c>
      <c r="AL607" s="32" t="inlineStr">
        <is>
          <t xml:space="preserve">At technical</t>
        </is>
      </c>
      <c r="AM607" s="41">
        <f>IF(ISNUMBER($AD607),Header!$I$3,"")</f>
      </c>
      <c r="AN607" s="39">
        <f>IF(ISNUMBER($AD607),$AO607+$AP607,"")</f>
      </c>
      <c r="AO607" s="39">
        <f>IF(ISNUMBER($AD607),ROUND($AD607*Header!$K$3,2),"")</f>
      </c>
      <c r="AP607" s="39">
        <f>IF(ISNUMBER($AD607),ROUND($AD607*Header!$M$3,2),"")</f>
      </c>
      <c r="AQ607" s="38">
        <f>IF(ISNUMBER($AD607),ROUND($AD607,2)-$AO607-$AP607,"")</f>
      </c>
      <c r="AR607" s="39">
        <f>IF(ISNUMBER($AD607),IF(Header!$D$34="","?",$AD607*Header!$D$34),"")</f>
      </c>
      <c r="AS607" s="39">
        <f>IF(ISNUMBER($AB607),IF(Header!$D$34="","?",$AB607*Header!$D$34),"")</f>
      </c>
      <c r="AT607" s="42">
        <f>IF(AND(ISNUMBER($AB607),$M607&gt;0),$AB607/$M607*100,"")</f>
      </c>
      <c r="AU607" s="42">
        <f>IF(AND(ISNUMBER($AD607),$M607&gt;0),$AD607/$M607*100,"")</f>
      </c>
      <c r="AV607" s="40">
        <f>IF(AND(ISNUMBER($AB607),ISNUMBER($AD607),ABS($AB607)&gt;0),$AD607/$AB607,"")</f>
      </c>
      <c r="AW607" s="39">
        <f>IF(ISNUMBER($AD607),MAX(0,(1-0.55-Header!$O$3)*Header!$Q$3*$AQ607),"")</f>
      </c>
      <c r="AX607" s="43">
        <f>IF($A607="","",IF(TRIM(IF($A607="","Missing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",""))="","PASS","FAIL: "&amp;TRIM(IF($A607="","Missing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f>
      </c>
      <c r="AY607" s="44">
        <f>IF($M607="","",IF(ISNUMBER($M607),IF($M607&gt;=Header!$C$18,"YES — refer","No"),""))</f>
      </c>
      <c r="AZ607" s="44">
        <f>IF($AD607="","",IF(ISNUMBER($AD607),IF($AD607&lt;Header!$C$20,"BELOW MIN PREMIUM","OK"),""))</f>
      </c>
      <c r="BA607" s="32" t="inlineStr">
        <is>
          <t xml:space="preserve">Yes</t>
        </is>
      </c>
      <c r="BB607" s="32" t="inlineStr">
        <is>
          <t xml:space="preserve">Yes</t>
        </is>
      </c>
      <c r="BC607" s="30" t="inlineStr">
        <is>
          <t xml:space="preserve">Synthetic demo data</t>
        </is>
      </c>
      <c r="BE607" s="45">
        <f>IF(OR($A607="",$L607="",$H607=""),"",IF(AND(LEFT($L607,2)="06",$H607&gt;1945),"FAIL - pre-war class, year "&amp;$H607,IF(AND(LEFT($L607,2)="07",OR($H607&lt;1946,$H607&gt;1972)),"FAIL - 1946-72 class, year "&amp;$H607,IF(AND(LEFT($L607,2)="08",OR($H607&lt;1973,$H607&gt;1999)),"FAIL - 1973-99 class, year "&amp;$H607,IF(AND(LEFT($L607,2)="09",OR($H607&lt;2000,$H607&gt;2010)),"FAIL - 2000-10 class, year "&amp;$H607,"OK")))))</f>
      </c>
      <c r="BF607" s="45">
        <f>IF($AD607="","",IF(ROUND($AO607+$AP607+$AQ607-$AD607,2)=0,"OK","FAIL - out by "&amp;TEXT($AO607+$AP607+$AQ607-$AD607,"$0.00")))</f>
      </c>
    </row>
    <row r="608" spans="1:58" ht="18.75" customHeight="1" x14ac:dyDescent="0.25">
      <c r="A608" s="46" t="inlineStr">
        <is>
          <t xml:space="preserve">CANON-202607-010353</t>
        </is>
      </c>
      <c r="B608" s="46" t="inlineStr">
        <is>
          <t xml:space="preserve">Saoirse Chattopadhyay</t>
        </is>
      </c>
      <c r="C608" s="47">
        <v>46204</v>
      </c>
      <c r="D608" s="48" t="inlineStr">
        <is>
          <t xml:space="preserve">Bound - within authority</t>
        </is>
      </c>
      <c r="E608" s="48" t="inlineStr">
        <is>
          <t xml:space="preserve">New business</t>
        </is>
      </c>
      <c r="F608" s="46" t="inlineStr">
        <is>
          <t xml:space="preserve">B1234EXOTIC26</t>
        </is>
      </c>
      <c r="G608" s="33">
        <f>IF($A608="","",IF($C608="","",YEAR($C608)))</f>
      </c>
      <c r="H608" s="49">
        <v>2022</v>
      </c>
      <c r="I608" s="46" t="inlineStr">
        <is>
          <t xml:space="preserve">Ferrari</t>
        </is>
      </c>
      <c r="J608" s="46" t="inlineStr">
        <is>
          <t xml:space="preserve">296 GTB</t>
        </is>
      </c>
      <c r="K608" s="46" t="inlineStr">
        <is>
          <t xml:space="preserve">S60ERFV45U4LPAH5Z</t>
        </is>
      </c>
      <c r="L608" s="48" t="inlineStr">
        <is>
          <t xml:space="preserve">03 - Supercar</t>
        </is>
      </c>
      <c r="M608" s="50">
        <v>340000</v>
      </c>
      <c r="N608" s="48" t="inlineStr">
        <is>
          <t xml:space="preserve">Personal</t>
        </is>
      </c>
      <c r="O608" s="46" t="inlineStr">
        <is>
          <t xml:space="preserve">Personal - regular use</t>
        </is>
      </c>
      <c r="P608" s="46" t="inlineStr">
        <is>
          <t xml:space="preserve">1,000 - 2,500</t>
        </is>
      </c>
      <c r="Q608" s="46" t="inlineStr">
        <is>
          <t xml:space="preserve">Massachusetts</t>
        </is>
      </c>
      <c r="R608" s="46" t="inlineStr">
        <is>
          <t xml:space="preserve">02108</t>
        </is>
      </c>
      <c r="S608" s="48" t="inlineStr">
        <is>
          <t xml:space="preserve">Tier 3 - Coastal wind (25-100 miles)</t>
        </is>
      </c>
      <c r="T608" s="36">
        <f>IF($A608="","",IF($S608="","",IFERROR(INDEX('[1]natural catastrophe'!$D$6:$D$17,MATCH($S608,'[1]natural catastrophe'!$B$6:$B$17,0)),"?")))</f>
      </c>
      <c r="U608" s="46" t="inlineStr">
        <is>
          <t xml:space="preserve">2% of agreed value, minimum $10,000</t>
        </is>
      </c>
      <c r="V608" s="48" t="inlineStr">
        <is>
          <t xml:space="preserve">Agreed Value</t>
        </is>
      </c>
      <c r="W608" s="46" t="inlineStr">
        <is>
          <t xml:space="preserve">$1,000</t>
        </is>
      </c>
      <c r="X608" s="48" t="inlineStr">
        <is>
          <t xml:space="preserve">$1,000,000 CSL</t>
        </is>
      </c>
      <c r="Y608" s="46"/>
      <c r="Z608" s="46"/>
      <c r="AA608" s="48" t="inlineStr">
        <is>
          <t xml:space="preserve">Surplus Lines</t>
        </is>
      </c>
      <c r="AB608" s="50">
        <v>7017.71</v>
      </c>
      <c r="AC608" s="51">
        <v>0</v>
      </c>
      <c r="AD608" s="38">
        <f>IF(ISNUMBER($AB608),$AB608*(1+N($AC608)),"")</f>
      </c>
      <c r="AE608" s="50">
        <v>350</v>
      </c>
      <c r="AF608" s="50">
        <v>0</v>
      </c>
      <c r="AG608" s="51"/>
      <c r="AH608" s="39">
        <f>IF(ISNUMBER($AD608),($AD608+$AE608+$AF608)*$AG608,"")</f>
      </c>
      <c r="AI608" s="50"/>
      <c r="AJ608" s="38">
        <f>IF(ISNUMBER($AD608),SUM($AD608:$AH608),"")</f>
      </c>
      <c r="AK608" s="40">
        <f>IF(AND(ISNUMBER($AB608),ISNUMBER($AD608)),IF($AB608&gt;0,$AD608/$AB608,""),"")</f>
      </c>
      <c r="AL608" s="48" t="inlineStr">
        <is>
          <t xml:space="preserve">At technical</t>
        </is>
      </c>
      <c r="AM608" s="41">
        <f>IF(ISNUMBER($AD608),Header!$I$3,"")</f>
      </c>
      <c r="AN608" s="39">
        <f>IF(ISNUMBER($AD608),$AO608+$AP608,"")</f>
      </c>
      <c r="AO608" s="39">
        <f>IF(ISNUMBER($AD608),ROUND($AD608*Header!$K$3,2),"")</f>
      </c>
      <c r="AP608" s="39">
        <f>IF(ISNUMBER($AD608),ROUND($AD608*Header!$M$3,2),"")</f>
      </c>
      <c r="AQ608" s="38">
        <f>IF(ISNUMBER($AD608),ROUND($AD608,2)-$AO608-$AP608,"")</f>
      </c>
      <c r="AR608" s="39">
        <f>IF(ISNUMBER($AD608),IF(Header!$D$34="","?",$AD608*Header!$D$34),"")</f>
      </c>
      <c r="AS608" s="39">
        <f>IF(ISNUMBER($AB608),IF(Header!$D$34="","?",$AB608*Header!$D$34),"")</f>
      </c>
      <c r="AT608" s="42">
        <f>IF(AND(ISNUMBER($AB608),$M608&gt;0),$AB608/$M608*100,"")</f>
      </c>
      <c r="AU608" s="42">
        <f>IF(AND(ISNUMBER($AD608),$M608&gt;0),$AD608/$M608*100,"")</f>
      </c>
      <c r="AV608" s="40">
        <f>IF(AND(ISNUMBER($AB608),ISNUMBER($AD608),ABS($AB608)&gt;0),$AD608/$AB608,"")</f>
      </c>
      <c r="AW608" s="39">
        <f>IF(ISNUMBER($AD608),MAX(0,(1-0.55-Header!$O$3)*Header!$Q$3*$AQ608),"")</f>
      </c>
      <c r="AX608" s="43">
        <f>IF($A608="","",IF(TRIM(IF($A608="","Missing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",""))="","PASS","FAIL: "&amp;TRIM(IF($A608="","Missing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f>
      </c>
      <c r="AY608" s="44">
        <f>IF($M608="","",IF(ISNUMBER($M608),IF($M608&gt;=Header!$C$18,"YES — refer","No"),""))</f>
      </c>
      <c r="AZ608" s="44">
        <f>IF($AD608="","",IF(ISNUMBER($AD608),IF($AD608&lt;Header!$C$20,"BELOW MIN PREMIUM","OK"),""))</f>
      </c>
      <c r="BA608" s="48" t="inlineStr">
        <is>
          <t xml:space="preserve">Yes</t>
        </is>
      </c>
      <c r="BB608" s="48" t="inlineStr">
        <is>
          <t xml:space="preserve">Yes</t>
        </is>
      </c>
      <c r="BC608" s="46" t="inlineStr">
        <is>
          <t xml:space="preserve">Synthetic demo data</t>
        </is>
      </c>
      <c r="BE608" s="45">
        <f>IF(OR($A608="",$L608="",$H608=""),"",IF(AND(LEFT($L608,2)="06",$H608&gt;1945),"FAIL - pre-war class, year "&amp;$H608,IF(AND(LEFT($L608,2)="07",OR($H608&lt;1946,$H608&gt;1972)),"FAIL - 1946-72 class, year "&amp;$H608,IF(AND(LEFT($L608,2)="08",OR($H608&lt;1973,$H608&gt;1999)),"FAIL - 1973-99 class, year "&amp;$H608,IF(AND(LEFT($L608,2)="09",OR($H608&lt;2000,$H608&gt;2010)),"FAIL - 2000-10 class, year "&amp;$H608,"OK")))))</f>
      </c>
      <c r="BF608" s="45">
        <f>IF($AD608="","",IF(ROUND($AO608+$AP608+$AQ608-$AD608,2)=0,"OK","FAIL - out by "&amp;TEXT($AO608+$AP608+$AQ608-$AD608,"$0.00")))</f>
      </c>
    </row>
    <row r="609" spans="1:58" ht="18.75" customHeight="1" x14ac:dyDescent="0.25">
      <c r="A609" s="30" t="inlineStr">
        <is>
          <t xml:space="preserve">CANON-202607-010354</t>
        </is>
      </c>
      <c r="B609" s="30" t="inlineStr">
        <is>
          <t xml:space="preserve">Desmond Blackwood</t>
        </is>
      </c>
      <c r="C609" s="31">
        <v>46217</v>
      </c>
      <c r="D609" s="32" t="inlineStr">
        <is>
          <t xml:space="preserve">Bound - within authority</t>
        </is>
      </c>
      <c r="E609" s="32" t="inlineStr">
        <is>
          <t xml:space="preserve">New business</t>
        </is>
      </c>
      <c r="F609" s="30" t="inlineStr">
        <is>
          <t xml:space="preserve">B1234EXOTIC26</t>
        </is>
      </c>
      <c r="G609" s="33">
        <f>IF($A609="","",IF($C609="","",YEAR($C609)))</f>
      </c>
      <c r="H609" s="34">
        <v>1974</v>
      </c>
      <c r="I609" s="30" t="inlineStr">
        <is>
          <t xml:space="preserve">Jaguar</t>
        </is>
      </c>
      <c r="J609" s="30" t="inlineStr">
        <is>
          <t xml:space="preserve">E-Type Series 1</t>
        </is>
      </c>
      <c r="K609" s="30" t="inlineStr">
        <is>
          <t xml:space="preserve">A7J62W0G3FLCSPX98</t>
        </is>
      </c>
      <c r="L609" s="32" t="inlineStr">
        <is>
          <t xml:space="preserve">08 - Modern Classic (1973-1999)</t>
        </is>
      </c>
      <c r="M609" s="35">
        <v>485000</v>
      </c>
      <c r="N609" s="32" t="inlineStr">
        <is>
          <t xml:space="preserve">Personal</t>
        </is>
      </c>
      <c r="O609" s="30" t="inlineStr">
        <is>
          <t xml:space="preserve">Personal - regular use</t>
        </is>
      </c>
      <c r="P609" s="30" t="inlineStr">
        <is>
          <t xml:space="preserve">Under 1,000</t>
        </is>
      </c>
      <c r="Q609" s="30" t="inlineStr">
        <is>
          <t xml:space="preserve">Kentucky</t>
        </is>
      </c>
      <c r="R609" s="30" t="inlineStr">
        <is>
          <t xml:space="preserve">40202</t>
        </is>
      </c>
      <c r="S609" s="32" t="inlineStr">
        <is>
          <t xml:space="preserve">Severe convective - hail / tornado (moderate)</t>
        </is>
      </c>
      <c r="T609" s="36">
        <f>IF($A609="","",IF($S609="","",IFERROR(INDEX('[1]natural catastrophe'!$D$6:$D$17,MATCH($S609,'[1]natural catastrophe'!$B$6:$B$17,0)),"?")))</f>
      </c>
      <c r="U609" s="30" t="inlineStr">
        <is>
          <t xml:space="preserve">$5,000</t>
        </is>
      </c>
      <c r="V609" s="32" t="inlineStr">
        <is>
          <t xml:space="preserve">Agreed Value</t>
        </is>
      </c>
      <c r="W609" s="30" t="inlineStr">
        <is>
          <t xml:space="preserve">$1,000</t>
        </is>
      </c>
      <c r="X609" s="32" t="inlineStr">
        <is>
          <t xml:space="preserve">$1,000,000 CSL</t>
        </is>
      </c>
      <c r="Y609" s="30"/>
      <c r="Z609" s="30"/>
      <c r="AA609" s="32" t="inlineStr">
        <is>
          <t xml:space="preserve">Surplus Lines</t>
        </is>
      </c>
      <c r="AB609" s="35">
        <v>4479.16</v>
      </c>
      <c r="AC609" s="37">
        <v>0</v>
      </c>
      <c r="AD609" s="38">
        <f>IF(ISNUMBER($AB609),$AB609*(1+N($AC609)),"")</f>
      </c>
      <c r="AE609" s="35">
        <v>350</v>
      </c>
      <c r="AF609" s="35">
        <v>0</v>
      </c>
      <c r="AG609" s="37"/>
      <c r="AH609" s="39">
        <f>IF(ISNUMBER($AD609),($AD609+$AE609+$AF609)*$AG609,"")</f>
      </c>
      <c r="AI609" s="35"/>
      <c r="AJ609" s="38">
        <f>IF(ISNUMBER($AD609),SUM($AD609:$AH609),"")</f>
      </c>
      <c r="AK609" s="40">
        <f>IF(AND(ISNUMBER($AB609),ISNUMBER($AD609)),IF($AB609&gt;0,$AD609/$AB609,""),"")</f>
      </c>
      <c r="AL609" s="32" t="inlineStr">
        <is>
          <t xml:space="preserve">At technical</t>
        </is>
      </c>
      <c r="AM609" s="41">
        <f>IF(ISNUMBER($AD609),Header!$I$3,"")</f>
      </c>
      <c r="AN609" s="39">
        <f>IF(ISNUMBER($AD609),$AO609+$AP609,"")</f>
      </c>
      <c r="AO609" s="39">
        <f>IF(ISNUMBER($AD609),ROUND($AD609*Header!$K$3,2),"")</f>
      </c>
      <c r="AP609" s="39">
        <f>IF(ISNUMBER($AD609),ROUND($AD609*Header!$M$3,2),"")</f>
      </c>
      <c r="AQ609" s="38">
        <f>IF(ISNUMBER($AD609),ROUND($AD609,2)-$AO609-$AP609,"")</f>
      </c>
      <c r="AR609" s="39">
        <f>IF(ISNUMBER($AD609),IF(Header!$D$34="","?",$AD609*Header!$D$34),"")</f>
      </c>
      <c r="AS609" s="39">
        <f>IF(ISNUMBER($AB609),IF(Header!$D$34="","?",$AB609*Header!$D$34),"")</f>
      </c>
      <c r="AT609" s="42">
        <f>IF(AND(ISNUMBER($AB609),$M609&gt;0),$AB609/$M609*100,"")</f>
      </c>
      <c r="AU609" s="42">
        <f>IF(AND(ISNUMBER($AD609),$M609&gt;0),$AD609/$M609*100,"")</f>
      </c>
      <c r="AV609" s="40">
        <f>IF(AND(ISNUMBER($AB609),ISNUMBER($AD609),ABS($AB609)&gt;0),$AD609/$AB609,"")</f>
      </c>
      <c r="AW609" s="39">
        <f>IF(ISNUMBER($AD609),MAX(0,(1-0.55-Header!$O$3)*Header!$Q$3*$AQ609),"")</f>
      </c>
      <c r="AX609" s="43">
        <f>IF($A609="","",IF(TRIM(IF($A609="","Missing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",""))="","PASS","FAIL: "&amp;TRIM(IF($A609="","Missing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f>
      </c>
      <c r="AY609" s="44">
        <f>IF($M609="","",IF(ISNUMBER($M609),IF($M609&gt;=Header!$C$18,"YES — refer","No"),""))</f>
      </c>
      <c r="AZ609" s="44">
        <f>IF($AD609="","",IF(ISNUMBER($AD609),IF($AD609&lt;Header!$C$20,"BELOW MIN PREMIUM","OK"),""))</f>
      </c>
      <c r="BA609" s="32" t="inlineStr">
        <is>
          <t xml:space="preserve">Yes</t>
        </is>
      </c>
      <c r="BB609" s="32" t="inlineStr">
        <is>
          <t xml:space="preserve">Yes</t>
        </is>
      </c>
      <c r="BC609" s="30" t="inlineStr">
        <is>
          <t xml:space="preserve">Synthetic demo data</t>
        </is>
      </c>
      <c r="BE609" s="45">
        <f>IF(OR($A609="",$L609="",$H609=""),"",IF(AND(LEFT($L609,2)="06",$H609&gt;1945),"FAIL - pre-war class, year "&amp;$H609,IF(AND(LEFT($L609,2)="07",OR($H609&lt;1946,$H609&gt;1972)),"FAIL - 1946-72 class, year "&amp;$H609,IF(AND(LEFT($L609,2)="08",OR($H609&lt;1973,$H609&gt;1999)),"FAIL - 1973-99 class, year "&amp;$H609,IF(AND(LEFT($L609,2)="09",OR($H609&lt;2000,$H609&gt;2010)),"FAIL - 2000-10 class, year "&amp;$H609,"OK")))))</f>
      </c>
      <c r="BF609" s="45">
        <f>IF($AD609="","",IF(ROUND($AO609+$AP609+$AQ609-$AD609,2)=0,"OK","FAIL - out by "&amp;TEXT($AO609+$AP609+$AQ609-$AD609,"$0.00")))</f>
      </c>
    </row>
    <row r="610" spans="1:58" ht="18.75" customHeight="1" x14ac:dyDescent="0.25">
      <c r="A610" s="46" t="inlineStr">
        <is>
          <t xml:space="preserve">CANON-202607-010355</t>
        </is>
      </c>
      <c r="B610" s="46" t="inlineStr">
        <is>
          <t xml:space="preserve">Beatrix Farkas</t>
        </is>
      </c>
      <c r="C610" s="47">
        <v>46209</v>
      </c>
      <c r="D610" s="48" t="inlineStr">
        <is>
          <t xml:space="preserve">Bound - within authority</t>
        </is>
      </c>
      <c r="E610" s="48" t="inlineStr">
        <is>
          <t xml:space="preserve">New business</t>
        </is>
      </c>
      <c r="F610" s="46" t="inlineStr">
        <is>
          <t xml:space="preserve">B1234EXOTIC26</t>
        </is>
      </c>
      <c r="G610" s="33">
        <f>IF($A610="","",IF($C610="","",YEAR($C610)))</f>
      </c>
      <c r="H610" s="49">
        <v>2006</v>
      </c>
      <c r="I610" s="46" t="inlineStr">
        <is>
          <t xml:space="preserve">Porsche</t>
        </is>
      </c>
      <c r="J610" s="46" t="inlineStr">
        <is>
          <t xml:space="preserve">911 Turbo S</t>
        </is>
      </c>
      <c r="K610" s="46" t="inlineStr">
        <is>
          <t xml:space="preserve">CSDFBP3KWECW0J9LY</t>
        </is>
      </c>
      <c r="L610" s="48" t="inlineStr">
        <is>
          <t xml:space="preserve">02 - Sports / GT</t>
        </is>
      </c>
      <c r="M610" s="50">
        <v>210000</v>
      </c>
      <c r="N610" s="48" t="inlineStr">
        <is>
          <t xml:space="preserve">Personal</t>
        </is>
      </c>
      <c r="O610" s="46" t="inlineStr">
        <is>
          <t xml:space="preserve">Personal - regular use</t>
        </is>
      </c>
      <c r="P610" s="46" t="inlineStr">
        <is>
          <t xml:space="preserve">Under 1,000</t>
        </is>
      </c>
      <c r="Q610" s="46" t="inlineStr">
        <is>
          <t xml:space="preserve">Vermont</t>
        </is>
      </c>
      <c r="R610" s="46" t="inlineStr">
        <is>
          <t xml:space="preserve">05601</t>
        </is>
      </c>
      <c r="S610" s="48" t="inlineStr">
        <is>
          <t xml:space="preserve">Low hazard - inland benign</t>
        </is>
      </c>
      <c r="T610" s="36">
        <f>IF($A610="","",IF($S610="","",IFERROR(INDEX('[1]natural catastrophe'!$D$6:$D$17,MATCH($S610,'[1]natural catastrophe'!$B$6:$B$17,0)),"?")))</f>
      </c>
      <c r="U610" s="46" t="inlineStr">
        <is>
          <t xml:space="preserve">$5,000</t>
        </is>
      </c>
      <c r="V610" s="48" t="inlineStr">
        <is>
          <t xml:space="preserve">Agreed Value</t>
        </is>
      </c>
      <c r="W610" s="46" t="inlineStr">
        <is>
          <t xml:space="preserve">$1,000</t>
        </is>
      </c>
      <c r="X610" s="48" t="inlineStr">
        <is>
          <t xml:space="preserve">$1,000,000 CSL</t>
        </is>
      </c>
      <c r="Y610" s="46"/>
      <c r="Z610" s="46"/>
      <c r="AA610" s="48" t="inlineStr">
        <is>
          <t xml:space="preserve">Surplus Lines</t>
        </is>
      </c>
      <c r="AB610" s="50">
        <v>3384.36</v>
      </c>
      <c r="AC610" s="51">
        <v>0</v>
      </c>
      <c r="AD610" s="38">
        <f>IF(ISNUMBER($AB610),$AB610*(1+N($AC610)),"")</f>
      </c>
      <c r="AE610" s="50">
        <v>350</v>
      </c>
      <c r="AF610" s="50">
        <v>0</v>
      </c>
      <c r="AG610" s="51"/>
      <c r="AH610" s="39">
        <f>IF(ISNUMBER($AD610),($AD610+$AE610+$AF610)*$AG610,"")</f>
      </c>
      <c r="AI610" s="50"/>
      <c r="AJ610" s="38">
        <f>IF(ISNUMBER($AD610),SUM($AD610:$AH610),"")</f>
      </c>
      <c r="AK610" s="40">
        <f>IF(AND(ISNUMBER($AB610),ISNUMBER($AD610)),IF($AB610&gt;0,$AD610/$AB610,""),"")</f>
      </c>
      <c r="AL610" s="48" t="inlineStr">
        <is>
          <t xml:space="preserve">At technical</t>
        </is>
      </c>
      <c r="AM610" s="41">
        <f>IF(ISNUMBER($AD610),Header!$I$3,"")</f>
      </c>
      <c r="AN610" s="39">
        <f>IF(ISNUMBER($AD610),$AO610+$AP610,"")</f>
      </c>
      <c r="AO610" s="39">
        <f>IF(ISNUMBER($AD610),ROUND($AD610*Header!$K$3,2),"")</f>
      </c>
      <c r="AP610" s="39">
        <f>IF(ISNUMBER($AD610),ROUND($AD610*Header!$M$3,2),"")</f>
      </c>
      <c r="AQ610" s="38">
        <f>IF(ISNUMBER($AD610),ROUND($AD610,2)-$AO610-$AP610,"")</f>
      </c>
      <c r="AR610" s="39">
        <f>IF(ISNUMBER($AD610),IF(Header!$D$34="","?",$AD610*Header!$D$34),"")</f>
      </c>
      <c r="AS610" s="39">
        <f>IF(ISNUMBER($AB610),IF(Header!$D$34="","?",$AB610*Header!$D$34),"")</f>
      </c>
      <c r="AT610" s="42">
        <f>IF(AND(ISNUMBER($AB610),$M610&gt;0),$AB610/$M610*100,"")</f>
      </c>
      <c r="AU610" s="42">
        <f>IF(AND(ISNUMBER($AD610),$M610&gt;0),$AD610/$M610*100,"")</f>
      </c>
      <c r="AV610" s="40">
        <f>IF(AND(ISNUMBER($AB610),ISNUMBER($AD610),ABS($AB610)&gt;0),$AD610/$AB610,"")</f>
      </c>
      <c r="AW610" s="39">
        <f>IF(ISNUMBER($AD610),MAX(0,(1-0.55-Header!$O$3)*Header!$Q$3*$AQ610),"")</f>
      </c>
      <c r="AX610" s="43">
        <f>IF($A610="","",IF(TRIM(IF($A610="","Missing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",""))="","PASS","FAIL: "&amp;TRIM(IF($A610="","Missing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f>
      </c>
      <c r="AY610" s="44">
        <f>IF($M610="","",IF(ISNUMBER($M610),IF($M610&gt;=Header!$C$18,"YES — refer","No"),""))</f>
      </c>
      <c r="AZ610" s="44">
        <f>IF($AD610="","",IF(ISNUMBER($AD610),IF($AD610&lt;Header!$C$20,"BELOW MIN PREMIUM","OK"),""))</f>
      </c>
      <c r="BA610" s="48" t="inlineStr">
        <is>
          <t xml:space="preserve">Yes</t>
        </is>
      </c>
      <c r="BB610" s="48" t="inlineStr">
        <is>
          <t xml:space="preserve">Yes</t>
        </is>
      </c>
      <c r="BC610" s="46" t="inlineStr">
        <is>
          <t xml:space="preserve">Synthetic demo data</t>
        </is>
      </c>
      <c r="BE610" s="45">
        <f>IF(OR($A610="",$L610="",$H610=""),"",IF(AND(LEFT($L610,2)="06",$H610&gt;1945),"FAIL - pre-war class, year "&amp;$H610,IF(AND(LEFT($L610,2)="07",OR($H610&lt;1946,$H610&gt;1972)),"FAIL - 1946-72 class, year "&amp;$H610,IF(AND(LEFT($L610,2)="08",OR($H610&lt;1973,$H610&gt;1999)),"FAIL - 1973-99 class, year "&amp;$H610,IF(AND(LEFT($L610,2)="09",OR($H610&lt;2000,$H610&gt;2010)),"FAIL - 2000-10 class, year "&amp;$H610,"OK")))))</f>
      </c>
      <c r="BF610" s="45">
        <f>IF($AD610="","",IF(ROUND($AO610+$AP610+$AQ610-$AD610,2)=0,"OK","FAIL - out by "&amp;TEXT($AO610+$AP610+$AQ610-$AD610,"$0.00")))</f>
      </c>
    </row>
    <row r="611" spans="1:58" ht="18.75" customHeight="1" x14ac:dyDescent="0.25">
      <c r="A611" s="30" t="inlineStr">
        <is>
          <t xml:space="preserve">CANON-202607-010356</t>
        </is>
      </c>
      <c r="B611" s="30" t="inlineStr">
        <is>
          <t xml:space="preserve">Anouk Chattopadhyay</t>
        </is>
      </c>
      <c r="C611" s="31">
        <v>46212</v>
      </c>
      <c r="D611" s="32" t="inlineStr">
        <is>
          <t xml:space="preserve">Bound - within authority</t>
        </is>
      </c>
      <c r="E611" s="32" t="inlineStr">
        <is>
          <t xml:space="preserve">New business</t>
        </is>
      </c>
      <c r="F611" s="30" t="inlineStr">
        <is>
          <t xml:space="preserve">B1234EXOTIC26</t>
        </is>
      </c>
      <c r="G611" s="33">
        <f>IF($A611="","",IF($C611="","",YEAR($C611)))</f>
      </c>
      <c r="H611" s="34">
        <v>1961</v>
      </c>
      <c r="I611" s="30" t="inlineStr">
        <is>
          <t xml:space="preserve">BMW</t>
        </is>
      </c>
      <c r="J611" s="30" t="inlineStr">
        <is>
          <t xml:space="preserve">M8 Competition</t>
        </is>
      </c>
      <c r="K611" s="30" t="inlineStr">
        <is>
          <t xml:space="preserve">HWPXC77CA8JK11XAZ</t>
        </is>
      </c>
      <c r="L611" s="32" t="inlineStr">
        <is>
          <t xml:space="preserve">02 - Sports / GT</t>
        </is>
      </c>
      <c r="M611" s="35">
        <v>1185000</v>
      </c>
      <c r="N611" s="32" t="inlineStr">
        <is>
          <t xml:space="preserve">Personal</t>
        </is>
      </c>
      <c r="O611" s="30" t="inlineStr">
        <is>
          <t xml:space="preserve">Personal - regular use</t>
        </is>
      </c>
      <c r="P611" s="30" t="inlineStr">
        <is>
          <t xml:space="preserve">1,000 - 2,500</t>
        </is>
      </c>
      <c r="Q611" s="30" t="inlineStr">
        <is>
          <t xml:space="preserve">Colorado</t>
        </is>
      </c>
      <c r="R611" s="30" t="inlineStr">
        <is>
          <t xml:space="preserve">80202</t>
        </is>
      </c>
      <c r="S611" s="32" t="inlineStr">
        <is>
          <t xml:space="preserve">Severe convective - hail alley (high)</t>
        </is>
      </c>
      <c r="T611" s="36">
        <f>IF($A611="","",IF($S611="","",IFERROR(INDEX('[1]natural catastrophe'!$D$6:$D$17,MATCH($S611,'[1]natural catastrophe'!$B$6:$B$17,0)),"?")))</f>
      </c>
      <c r="U611" s="30" t="inlineStr">
        <is>
          <t xml:space="preserve">$5,000</t>
        </is>
      </c>
      <c r="V611" s="32" t="inlineStr">
        <is>
          <t xml:space="preserve">Agreed Value</t>
        </is>
      </c>
      <c r="W611" s="30" t="inlineStr">
        <is>
          <t xml:space="preserve">$1,000</t>
        </is>
      </c>
      <c r="X611" s="32" t="inlineStr">
        <is>
          <t xml:space="preserve">$1,000,000 CSL</t>
        </is>
      </c>
      <c r="Y611" s="30"/>
      <c r="Z611" s="30"/>
      <c r="AA611" s="32" t="inlineStr">
        <is>
          <t xml:space="preserve">Surplus Lines</t>
        </is>
      </c>
      <c r="AB611" s="35">
        <v>10293.96</v>
      </c>
      <c r="AC611" s="37">
        <v>0</v>
      </c>
      <c r="AD611" s="38">
        <f>IF(ISNUMBER($AB611),$AB611*(1+N($AC611)),"")</f>
      </c>
      <c r="AE611" s="35">
        <v>350</v>
      </c>
      <c r="AF611" s="35">
        <v>250</v>
      </c>
      <c r="AG611" s="37"/>
      <c r="AH611" s="39">
        <f>IF(ISNUMBER($AD611),($AD611+$AE611+$AF611)*$AG611,"")</f>
      </c>
      <c r="AI611" s="35"/>
      <c r="AJ611" s="38">
        <f>IF(ISNUMBER($AD611),SUM($AD611:$AH611),"")</f>
      </c>
      <c r="AK611" s="40">
        <f>IF(AND(ISNUMBER($AB611),ISNUMBER($AD611)),IF($AB611&gt;0,$AD611/$AB611,""),"")</f>
      </c>
      <c r="AL611" s="32" t="inlineStr">
        <is>
          <t xml:space="preserve">At technical</t>
        </is>
      </c>
      <c r="AM611" s="41">
        <f>IF(ISNUMBER($AD611),Header!$I$3,"")</f>
      </c>
      <c r="AN611" s="39">
        <f>IF(ISNUMBER($AD611),$AO611+$AP611,"")</f>
      </c>
      <c r="AO611" s="39">
        <f>IF(ISNUMBER($AD611),ROUND($AD611*Header!$K$3,2),"")</f>
      </c>
      <c r="AP611" s="39">
        <f>IF(ISNUMBER($AD611),ROUND($AD611*Header!$M$3,2),"")</f>
      </c>
      <c r="AQ611" s="38">
        <f>IF(ISNUMBER($AD611),ROUND($AD611,2)-$AO611-$AP611,"")</f>
      </c>
      <c r="AR611" s="39">
        <f>IF(ISNUMBER($AD611),IF(Header!$D$34="","?",$AD611*Header!$D$34),"")</f>
      </c>
      <c r="AS611" s="39">
        <f>IF(ISNUMBER($AB611),IF(Header!$D$34="","?",$AB611*Header!$D$34),"")</f>
      </c>
      <c r="AT611" s="42">
        <f>IF(AND(ISNUMBER($AB611),$M611&gt;0),$AB611/$M611*100,"")</f>
      </c>
      <c r="AU611" s="42">
        <f>IF(AND(ISNUMBER($AD611),$M611&gt;0),$AD611/$M611*100,"")</f>
      </c>
      <c r="AV611" s="40">
        <f>IF(AND(ISNUMBER($AB611),ISNUMBER($AD611),ABS($AB611)&gt;0),$AD611/$AB611,"")</f>
      </c>
      <c r="AW611" s="39">
        <f>IF(ISNUMBER($AD611),MAX(0,(1-0.55-Header!$O$3)*Header!$Q$3*$AQ611),"")</f>
      </c>
      <c r="AX611" s="43">
        <f>IF($A611="","",IF(TRIM(IF($A611="","Missing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",""))="","PASS","FAIL: "&amp;TRIM(IF($A611="","Missing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f>
      </c>
      <c r="AY611" s="44">
        <f>IF($M611="","",IF(ISNUMBER($M611),IF($M611&gt;=Header!$C$18,"YES — refer","No"),""))</f>
      </c>
      <c r="AZ611" s="44">
        <f>IF($AD611="","",IF(ISNUMBER($AD611),IF($AD611&lt;Header!$C$20,"BELOW MIN PREMIUM","OK"),""))</f>
      </c>
      <c r="BA611" s="32" t="inlineStr">
        <is>
          <t xml:space="preserve">Yes</t>
        </is>
      </c>
      <c r="BB611" s="32" t="inlineStr">
        <is>
          <t xml:space="preserve">Yes</t>
        </is>
      </c>
      <c r="BC611" s="30" t="inlineStr">
        <is>
          <t xml:space="preserve">Synthetic demo data</t>
        </is>
      </c>
      <c r="BE611" s="45">
        <f>IF(OR($A611="",$L611="",$H611=""),"",IF(AND(LEFT($L611,2)="06",$H611&gt;1945),"FAIL - pre-war class, year "&amp;$H611,IF(AND(LEFT($L611,2)="07",OR($H611&lt;1946,$H611&gt;1972)),"FAIL - 1946-72 class, year "&amp;$H611,IF(AND(LEFT($L611,2)="08",OR($H611&lt;1973,$H611&gt;1999)),"FAIL - 1973-99 class, year "&amp;$H611,IF(AND(LEFT($L611,2)="09",OR($H611&lt;2000,$H611&gt;2010)),"FAIL - 2000-10 class, year "&amp;$H611,"OK")))))</f>
      </c>
      <c r="BF611" s="45">
        <f>IF($AD611="","",IF(ROUND($AO611+$AP611+$AQ611-$AD611,2)=0,"OK","FAIL - out by "&amp;TEXT($AO611+$AP611+$AQ611-$AD611,"$0.00")))</f>
      </c>
    </row>
    <row r="612" spans="1:58" ht="18.75" customHeight="1" x14ac:dyDescent="0.25">
      <c r="A612" s="46" t="inlineStr">
        <is>
          <t xml:space="preserve">CANON-202607-010358</t>
        </is>
      </c>
      <c r="B612" s="46" t="inlineStr">
        <is>
          <t xml:space="preserve">Ottilie Whitlock</t>
        </is>
      </c>
      <c r="C612" s="47">
        <v>46232</v>
      </c>
      <c r="D612" s="48" t="inlineStr">
        <is>
          <t xml:space="preserve">Bound - within authority</t>
        </is>
      </c>
      <c r="E612" s="48" t="inlineStr">
        <is>
          <t xml:space="preserve">New business</t>
        </is>
      </c>
      <c r="F612" s="46" t="inlineStr">
        <is>
          <t xml:space="preserve">B1234EXOTIC26</t>
        </is>
      </c>
      <c r="G612" s="33">
        <f>IF($A612="","",IF($C612="","",YEAR($C612)))</f>
      </c>
      <c r="H612" s="49">
        <v>1976</v>
      </c>
      <c r="I612" s="46" t="inlineStr">
        <is>
          <t xml:space="preserve">BMW</t>
        </is>
      </c>
      <c r="J612" s="46" t="inlineStr">
        <is>
          <t xml:space="preserve">M8 Competition</t>
        </is>
      </c>
      <c r="K612" s="46" t="inlineStr">
        <is>
          <t xml:space="preserve">VEUE5GVCYVK1BVPSP</t>
        </is>
      </c>
      <c r="L612" s="48" t="inlineStr">
        <is>
          <t xml:space="preserve">02 - Sports / GT</t>
        </is>
      </c>
      <c r="M612" s="50">
        <v>240000</v>
      </c>
      <c r="N612" s="48" t="inlineStr">
        <is>
          <t xml:space="preserve">Personal</t>
        </is>
      </c>
      <c r="O612" s="46" t="inlineStr">
        <is>
          <t xml:space="preserve">Personal - regular use</t>
        </is>
      </c>
      <c r="P612" s="46" t="inlineStr">
        <is>
          <t xml:space="preserve">2,500 - 5,000</t>
        </is>
      </c>
      <c r="Q612" s="46" t="inlineStr">
        <is>
          <t xml:space="preserve">Colorado</t>
        </is>
      </c>
      <c r="R612" s="46" t="inlineStr">
        <is>
          <t xml:space="preserve">80202</t>
        </is>
      </c>
      <c r="S612" s="48" t="inlineStr">
        <is>
          <t xml:space="preserve">Severe convective - hail alley (high)</t>
        </is>
      </c>
      <c r="T612" s="36">
        <f>IF($A612="","",IF($S612="","",IFERROR(INDEX('[1]natural catastrophe'!$D$6:$D$17,MATCH($S612,'[1]natural catastrophe'!$B$6:$B$17,0)),"?")))</f>
      </c>
      <c r="U612" s="46" t="inlineStr">
        <is>
          <t xml:space="preserve">$5,000</t>
        </is>
      </c>
      <c r="V612" s="48" t="inlineStr">
        <is>
          <t xml:space="preserve">Agreed Value</t>
        </is>
      </c>
      <c r="W612" s="46" t="inlineStr">
        <is>
          <t xml:space="preserve">$1,000</t>
        </is>
      </c>
      <c r="X612" s="48" t="inlineStr">
        <is>
          <t xml:space="preserve">$1,000,000 CSL</t>
        </is>
      </c>
      <c r="Y612" s="46"/>
      <c r="Z612" s="46"/>
      <c r="AA612" s="48" t="inlineStr">
        <is>
          <t xml:space="preserve">Surplus Lines</t>
        </is>
      </c>
      <c r="AB612" s="50">
        <v>3487.39</v>
      </c>
      <c r="AC612" s="51">
        <v>0</v>
      </c>
      <c r="AD612" s="38">
        <f>IF(ISNUMBER($AB612),$AB612*(1+N($AC612)),"")</f>
      </c>
      <c r="AE612" s="50">
        <v>350</v>
      </c>
      <c r="AF612" s="50">
        <v>0</v>
      </c>
      <c r="AG612" s="51"/>
      <c r="AH612" s="39">
        <f>IF(ISNUMBER($AD612),($AD612+$AE612+$AF612)*$AG612,"")</f>
      </c>
      <c r="AI612" s="50"/>
      <c r="AJ612" s="38">
        <f>IF(ISNUMBER($AD612),SUM($AD612:$AH612),"")</f>
      </c>
      <c r="AK612" s="40">
        <f>IF(AND(ISNUMBER($AB612),ISNUMBER($AD612)),IF($AB612&gt;0,$AD612/$AB612,""),"")</f>
      </c>
      <c r="AL612" s="48" t="inlineStr">
        <is>
          <t xml:space="preserve">At technical</t>
        </is>
      </c>
      <c r="AM612" s="41">
        <f>IF(ISNUMBER($AD612),Header!$I$3,"")</f>
      </c>
      <c r="AN612" s="39">
        <f>IF(ISNUMBER($AD612),$AO612+$AP612,"")</f>
      </c>
      <c r="AO612" s="39">
        <f>IF(ISNUMBER($AD612),ROUND($AD612*Header!$K$3,2),"")</f>
      </c>
      <c r="AP612" s="39">
        <f>IF(ISNUMBER($AD612),ROUND($AD612*Header!$M$3,2),"")</f>
      </c>
      <c r="AQ612" s="38">
        <f>IF(ISNUMBER($AD612),ROUND($AD612,2)-$AO612-$AP612,"")</f>
      </c>
      <c r="AR612" s="39">
        <f>IF(ISNUMBER($AD612),IF(Header!$D$34="","?",$AD612*Header!$D$34),"")</f>
      </c>
      <c r="AS612" s="39">
        <f>IF(ISNUMBER($AB612),IF(Header!$D$34="","?",$AB612*Header!$D$34),"")</f>
      </c>
      <c r="AT612" s="42">
        <f>IF(AND(ISNUMBER($AB612),$M612&gt;0),$AB612/$M612*100,"")</f>
      </c>
      <c r="AU612" s="42">
        <f>IF(AND(ISNUMBER($AD612),$M612&gt;0),$AD612/$M612*100,"")</f>
      </c>
      <c r="AV612" s="40">
        <f>IF(AND(ISNUMBER($AB612),ISNUMBER($AD612),ABS($AB612)&gt;0),$AD612/$AB612,"")</f>
      </c>
      <c r="AW612" s="39">
        <f>IF(ISNUMBER($AD612),MAX(0,(1-0.55-Header!$O$3)*Header!$Q$3*$AQ612),"")</f>
      </c>
      <c r="AX612" s="43">
        <f>IF($A612="","",IF(TRIM(IF($A612="","Missing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",""))="","PASS","FAIL: "&amp;TRIM(IF($A612="","Missing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f>
      </c>
      <c r="AY612" s="44">
        <f>IF($M612="","",IF(ISNUMBER($M612),IF($M612&gt;=Header!$C$18,"YES — refer","No"),""))</f>
      </c>
      <c r="AZ612" s="44">
        <f>IF($AD612="","",IF(ISNUMBER($AD612),IF($AD612&lt;Header!$C$20,"BELOW MIN PREMIUM","OK"),""))</f>
      </c>
      <c r="BA612" s="48" t="inlineStr">
        <is>
          <t xml:space="preserve">Yes</t>
        </is>
      </c>
      <c r="BB612" s="48" t="inlineStr">
        <is>
          <t xml:space="preserve">Yes</t>
        </is>
      </c>
      <c r="BC612" s="46" t="inlineStr">
        <is>
          <t xml:space="preserve">Synthetic demo data</t>
        </is>
      </c>
      <c r="BE612" s="45">
        <f>IF(OR($A612="",$L612="",$H612=""),"",IF(AND(LEFT($L612,2)="06",$H612&gt;1945),"FAIL - pre-war class, year "&amp;$H612,IF(AND(LEFT($L612,2)="07",OR($H612&lt;1946,$H612&gt;1972)),"FAIL - 1946-72 class, year "&amp;$H612,IF(AND(LEFT($L612,2)="08",OR($H612&lt;1973,$H612&gt;1999)),"FAIL - 1973-99 class, year "&amp;$H612,IF(AND(LEFT($L612,2)="09",OR($H612&lt;2000,$H612&gt;2010)),"FAIL - 2000-10 class, year "&amp;$H612,"OK")))))</f>
      </c>
      <c r="BF612" s="45">
        <f>IF($AD612="","",IF(ROUND($AO612+$AP612+$AQ612-$AD612,2)=0,"OK","FAIL - out by "&amp;TEXT($AO612+$AP612+$AQ612-$AD612,"$0.00")))</f>
      </c>
    </row>
    <row r="613" spans="1:58" ht="18.75" customHeight="1" x14ac:dyDescent="0.25">
      <c r="A613" s="30" t="inlineStr">
        <is>
          <t xml:space="preserve">CANON-202607-010360</t>
        </is>
      </c>
      <c r="B613" s="30" t="inlineStr">
        <is>
          <t xml:space="preserve">Noor Fairweather</t>
        </is>
      </c>
      <c r="C613" s="31">
        <v>46210</v>
      </c>
      <c r="D613" s="32" t="inlineStr">
        <is>
          <t xml:space="preserve">Bound - within authority</t>
        </is>
      </c>
      <c r="E613" s="32" t="inlineStr">
        <is>
          <t xml:space="preserve">New business</t>
        </is>
      </c>
      <c r="F613" s="30" t="inlineStr">
        <is>
          <t xml:space="preserve">B1234EXOTIC26</t>
        </is>
      </c>
      <c r="G613" s="33">
        <f>IF($A613="","",IF($C613="","",YEAR($C613)))</f>
      </c>
      <c r="H613" s="34">
        <v>1995</v>
      </c>
      <c r="I613" s="30" t="inlineStr">
        <is>
          <t xml:space="preserve">Porsche</t>
        </is>
      </c>
      <c r="J613" s="30" t="inlineStr">
        <is>
          <t xml:space="preserve">911 Turbo S</t>
        </is>
      </c>
      <c r="K613" s="30" t="inlineStr">
        <is>
          <t xml:space="preserve">B41VB66E6K7GXLZH0</t>
        </is>
      </c>
      <c r="L613" s="32" t="inlineStr">
        <is>
          <t xml:space="preserve">02 - Sports / GT</t>
        </is>
      </c>
      <c r="M613" s="35">
        <v>545000</v>
      </c>
      <c r="N613" s="32" t="inlineStr">
        <is>
          <t xml:space="preserve">Personal</t>
        </is>
      </c>
      <c r="O613" s="30" t="inlineStr">
        <is>
          <t xml:space="preserve">Personal - regular use</t>
        </is>
      </c>
      <c r="P613" s="30" t="inlineStr">
        <is>
          <t xml:space="preserve">2,500 - 5,000</t>
        </is>
      </c>
      <c r="Q613" s="30" t="inlineStr">
        <is>
          <t xml:space="preserve">Texas</t>
        </is>
      </c>
      <c r="R613" s="30" t="inlineStr">
        <is>
          <t xml:space="preserve">75201</t>
        </is>
      </c>
      <c r="S613" s="32" t="inlineStr">
        <is>
          <t xml:space="preserve">Tier 2 - Coastal wind (1-25 miles)</t>
        </is>
      </c>
      <c r="T613" s="36">
        <f>IF($A613="","",IF($S613="","",IFERROR(INDEX('[1]natural catastrophe'!$D$6:$D$17,MATCH($S613,'[1]natural catastrophe'!$B$6:$B$17,0)),"?")))</f>
      </c>
      <c r="U613" s="30" t="inlineStr">
        <is>
          <t xml:space="preserve">2% of agreed value, minimum $10,000</t>
        </is>
      </c>
      <c r="V613" s="32" t="inlineStr">
        <is>
          <t xml:space="preserve">Agreed Value</t>
        </is>
      </c>
      <c r="W613" s="30" t="inlineStr">
        <is>
          <t xml:space="preserve">$1,000</t>
        </is>
      </c>
      <c r="X613" s="32" t="inlineStr">
        <is>
          <t xml:space="preserve">$1,000,000 CSL</t>
        </is>
      </c>
      <c r="Y613" s="30"/>
      <c r="Z613" s="30"/>
      <c r="AA613" s="32" t="inlineStr">
        <is>
          <t xml:space="preserve">Surplus Lines</t>
        </is>
      </c>
      <c r="AB613" s="35">
        <v>5849.47</v>
      </c>
      <c r="AC613" s="37">
        <v>0</v>
      </c>
      <c r="AD613" s="38">
        <f>IF(ISNUMBER($AB613),$AB613*(1+N($AC613)),"")</f>
      </c>
      <c r="AE613" s="35">
        <v>350</v>
      </c>
      <c r="AF613" s="35">
        <v>0</v>
      </c>
      <c r="AG613" s="37"/>
      <c r="AH613" s="39">
        <f>IF(ISNUMBER($AD613),($AD613+$AE613+$AF613)*$AG613,"")</f>
      </c>
      <c r="AI613" s="35"/>
      <c r="AJ613" s="38">
        <f>IF(ISNUMBER($AD613),SUM($AD613:$AH613),"")</f>
      </c>
      <c r="AK613" s="40">
        <f>IF(AND(ISNUMBER($AB613),ISNUMBER($AD613)),IF($AB613&gt;0,$AD613/$AB613,""),"")</f>
      </c>
      <c r="AL613" s="32" t="inlineStr">
        <is>
          <t xml:space="preserve">At technical</t>
        </is>
      </c>
      <c r="AM613" s="41">
        <f>IF(ISNUMBER($AD613),Header!$I$3,"")</f>
      </c>
      <c r="AN613" s="39">
        <f>IF(ISNUMBER($AD613),$AO613+$AP613,"")</f>
      </c>
      <c r="AO613" s="39">
        <f>IF(ISNUMBER($AD613),ROUND($AD613*Header!$K$3,2),"")</f>
      </c>
      <c r="AP613" s="39">
        <f>IF(ISNUMBER($AD613),ROUND($AD613*Header!$M$3,2),"")</f>
      </c>
      <c r="AQ613" s="38">
        <f>IF(ISNUMBER($AD613),ROUND($AD613,2)-$AO613-$AP613,"")</f>
      </c>
      <c r="AR613" s="39">
        <f>IF(ISNUMBER($AD613),IF(Header!$D$34="","?",$AD613*Header!$D$34),"")</f>
      </c>
      <c r="AS613" s="39">
        <f>IF(ISNUMBER($AB613),IF(Header!$D$34="","?",$AB613*Header!$D$34),"")</f>
      </c>
      <c r="AT613" s="42">
        <f>IF(AND(ISNUMBER($AB613),$M613&gt;0),$AB613/$M613*100,"")</f>
      </c>
      <c r="AU613" s="42">
        <f>IF(AND(ISNUMBER($AD613),$M613&gt;0),$AD613/$M613*100,"")</f>
      </c>
      <c r="AV613" s="40">
        <f>IF(AND(ISNUMBER($AB613),ISNUMBER($AD613),ABS($AB613)&gt;0),$AD613/$AB613,"")</f>
      </c>
      <c r="AW613" s="39">
        <f>IF(ISNUMBER($AD613),MAX(0,(1-0.55-Header!$O$3)*Header!$Q$3*$AQ613),"")</f>
      </c>
      <c r="AX613" s="43">
        <f>IF($A613="","",IF(TRIM(IF($A613="","Missing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",""))="","PASS","FAIL: "&amp;TRIM(IF($A613="","Missing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f>
      </c>
      <c r="AY613" s="44">
        <f>IF($M613="","",IF(ISNUMBER($M613),IF($M613&gt;=Header!$C$18,"YES — refer","No"),""))</f>
      </c>
      <c r="AZ613" s="44">
        <f>IF($AD613="","",IF(ISNUMBER($AD613),IF($AD613&lt;Header!$C$20,"BELOW MIN PREMIUM","OK"),""))</f>
      </c>
      <c r="BA613" s="32" t="inlineStr">
        <is>
          <t xml:space="preserve">Yes</t>
        </is>
      </c>
      <c r="BB613" s="32" t="inlineStr">
        <is>
          <t xml:space="preserve">Yes</t>
        </is>
      </c>
      <c r="BC613" s="30" t="inlineStr">
        <is>
          <t xml:space="preserve">Synthetic demo data</t>
        </is>
      </c>
      <c r="BE613" s="45">
        <f>IF(OR($A613="",$L613="",$H613=""),"",IF(AND(LEFT($L613,2)="06",$H613&gt;1945),"FAIL - pre-war class, year "&amp;$H613,IF(AND(LEFT($L613,2)="07",OR($H613&lt;1946,$H613&gt;1972)),"FAIL - 1946-72 class, year "&amp;$H613,IF(AND(LEFT($L613,2)="08",OR($H613&lt;1973,$H613&gt;1999)),"FAIL - 1973-99 class, year "&amp;$H613,IF(AND(LEFT($L613,2)="09",OR($H613&lt;2000,$H613&gt;2010)),"FAIL - 2000-10 class, year "&amp;$H613,"OK")))))</f>
      </c>
      <c r="BF613" s="45">
        <f>IF($AD613="","",IF(ROUND($AO613+$AP613+$AQ613-$AD613,2)=0,"OK","FAIL - out by "&amp;TEXT($AO613+$AP613+$AQ613-$AD613,"$0.00")))</f>
      </c>
    </row>
    <row r="614" spans="1:58" ht="18.75" customHeight="1" x14ac:dyDescent="0.25">
      <c r="A614" s="46" t="inlineStr">
        <is>
          <t xml:space="preserve">CANON-202607-010362</t>
        </is>
      </c>
      <c r="B614" s="46" t="inlineStr">
        <is>
          <t xml:space="preserve">Sunniva Kingsford</t>
        </is>
      </c>
      <c r="C614" s="47">
        <v>46218</v>
      </c>
      <c r="D614" s="48" t="inlineStr">
        <is>
          <t xml:space="preserve">Bound - within authority</t>
        </is>
      </c>
      <c r="E614" s="48" t="inlineStr">
        <is>
          <t xml:space="preserve">New business</t>
        </is>
      </c>
      <c r="F614" s="46" t="inlineStr">
        <is>
          <t xml:space="preserve">B1234EXOTIC26</t>
        </is>
      </c>
      <c r="G614" s="33">
        <f>IF($A614="","",IF($C614="","",YEAR($C614)))</f>
      </c>
      <c r="H614" s="49">
        <v>1969</v>
      </c>
      <c r="I614" s="46" t="inlineStr">
        <is>
          <t xml:space="preserve">BMW</t>
        </is>
      </c>
      <c r="J614" s="46" t="inlineStr">
        <is>
          <t xml:space="preserve">M8 Competition</t>
        </is>
      </c>
      <c r="K614" s="46" t="inlineStr">
        <is>
          <t xml:space="preserve">V9LTJ2LB164NWSYV2</t>
        </is>
      </c>
      <c r="L614" s="48" t="inlineStr">
        <is>
          <t xml:space="preserve">02 - Sports / GT</t>
        </is>
      </c>
      <c r="M614" s="50">
        <v>230000</v>
      </c>
      <c r="N614" s="48" t="inlineStr">
        <is>
          <t xml:space="preserve">Personal</t>
        </is>
      </c>
      <c r="O614" s="46" t="inlineStr">
        <is>
          <t xml:space="preserve">Personal - regular use</t>
        </is>
      </c>
      <c r="P614" s="46" t="inlineStr">
        <is>
          <t xml:space="preserve">Under 1,000</t>
        </is>
      </c>
      <c r="Q614" s="46" t="inlineStr">
        <is>
          <t xml:space="preserve">Minnesota</t>
        </is>
      </c>
      <c r="R614" s="46" t="inlineStr">
        <is>
          <t xml:space="preserve">55401</t>
        </is>
      </c>
      <c r="S614" s="48" t="inlineStr">
        <is>
          <t xml:space="preserve">Severe convective - hail / tornado (moderate)</t>
        </is>
      </c>
      <c r="T614" s="36">
        <f>IF($A614="","",IF($S614="","",IFERROR(INDEX('[1]natural catastrophe'!$D$6:$D$17,MATCH($S614,'[1]natural catastrophe'!$B$6:$B$17,0)),"?")))</f>
      </c>
      <c r="U614" s="46" t="inlineStr">
        <is>
          <t xml:space="preserve">$5,000</t>
        </is>
      </c>
      <c r="V614" s="48" t="inlineStr">
        <is>
          <t xml:space="preserve">Agreed Value</t>
        </is>
      </c>
      <c r="W614" s="46" t="inlineStr">
        <is>
          <t xml:space="preserve">$1,000</t>
        </is>
      </c>
      <c r="X614" s="48" t="inlineStr">
        <is>
          <t xml:space="preserve">$1,000,000 CSL</t>
        </is>
      </c>
      <c r="Y614" s="46"/>
      <c r="Z614" s="46"/>
      <c r="AA614" s="48" t="inlineStr">
        <is>
          <t xml:space="preserve">Surplus Lines</t>
        </is>
      </c>
      <c r="AB614" s="50">
        <v>4010.5</v>
      </c>
      <c r="AC614" s="51">
        <v>0</v>
      </c>
      <c r="AD614" s="38">
        <f>IF(ISNUMBER($AB614),$AB614*(1+N($AC614)),"")</f>
      </c>
      <c r="AE614" s="50">
        <v>350</v>
      </c>
      <c r="AF614" s="50">
        <v>0</v>
      </c>
      <c r="AG614" s="51"/>
      <c r="AH614" s="39">
        <f>IF(ISNUMBER($AD614),($AD614+$AE614+$AF614)*$AG614,"")</f>
      </c>
      <c r="AI614" s="50"/>
      <c r="AJ614" s="38">
        <f>IF(ISNUMBER($AD614),SUM($AD614:$AH614),"")</f>
      </c>
      <c r="AK614" s="40">
        <f>IF(AND(ISNUMBER($AB614),ISNUMBER($AD614)),IF($AB614&gt;0,$AD614/$AB614,""),"")</f>
      </c>
      <c r="AL614" s="48" t="inlineStr">
        <is>
          <t xml:space="preserve">At technical</t>
        </is>
      </c>
      <c r="AM614" s="41">
        <f>IF(ISNUMBER($AD614),Header!$I$3,"")</f>
      </c>
      <c r="AN614" s="39">
        <f>IF(ISNUMBER($AD614),$AO614+$AP614,"")</f>
      </c>
      <c r="AO614" s="39">
        <f>IF(ISNUMBER($AD614),ROUND($AD614*Header!$K$3,2),"")</f>
      </c>
      <c r="AP614" s="39">
        <f>IF(ISNUMBER($AD614),ROUND($AD614*Header!$M$3,2),"")</f>
      </c>
      <c r="AQ614" s="38">
        <f>IF(ISNUMBER($AD614),ROUND($AD614,2)-$AO614-$AP614,"")</f>
      </c>
      <c r="AR614" s="39">
        <f>IF(ISNUMBER($AD614),IF(Header!$D$34="","?",$AD614*Header!$D$34),"")</f>
      </c>
      <c r="AS614" s="39">
        <f>IF(ISNUMBER($AB614),IF(Header!$D$34="","?",$AB614*Header!$D$34),"")</f>
      </c>
      <c r="AT614" s="42">
        <f>IF(AND(ISNUMBER($AB614),$M614&gt;0),$AB614/$M614*100,"")</f>
      </c>
      <c r="AU614" s="42">
        <f>IF(AND(ISNUMBER($AD614),$M614&gt;0),$AD614/$M614*100,"")</f>
      </c>
      <c r="AV614" s="40">
        <f>IF(AND(ISNUMBER($AB614),ISNUMBER($AD614),ABS($AB614)&gt;0),$AD614/$AB614,"")</f>
      </c>
      <c r="AW614" s="39">
        <f>IF(ISNUMBER($AD614),MAX(0,(1-0.55-Header!$O$3)*Header!$Q$3*$AQ614),"")</f>
      </c>
      <c r="AX614" s="43">
        <f>IF($A614="","",IF(TRIM(IF($A614="","Missing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",""))="","PASS","FAIL: "&amp;TRIM(IF($A614="","Missing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f>
      </c>
      <c r="AY614" s="44">
        <f>IF($M614="","",IF(ISNUMBER($M614),IF($M614&gt;=Header!$C$18,"YES — refer","No"),""))</f>
      </c>
      <c r="AZ614" s="44">
        <f>IF($AD614="","",IF(ISNUMBER($AD614),IF($AD614&lt;Header!$C$20,"BELOW MIN PREMIUM","OK"),""))</f>
      </c>
      <c r="BA614" s="48" t="inlineStr">
        <is>
          <t xml:space="preserve">Yes</t>
        </is>
      </c>
      <c r="BB614" s="48" t="inlineStr">
        <is>
          <t xml:space="preserve">Yes</t>
        </is>
      </c>
      <c r="BC614" s="46" t="inlineStr">
        <is>
          <t xml:space="preserve">Synthetic demo data</t>
        </is>
      </c>
      <c r="BE614" s="45">
        <f>IF(OR($A614="",$L614="",$H614=""),"",IF(AND(LEFT($L614,2)="06",$H614&gt;1945),"FAIL - pre-war class, year "&amp;$H614,IF(AND(LEFT($L614,2)="07",OR($H614&lt;1946,$H614&gt;1972)),"FAIL - 1946-72 class, year "&amp;$H614,IF(AND(LEFT($L614,2)="08",OR($H614&lt;1973,$H614&gt;1999)),"FAIL - 1973-99 class, year "&amp;$H614,IF(AND(LEFT($L614,2)="09",OR($H614&lt;2000,$H614&gt;2010)),"FAIL - 2000-10 class, year "&amp;$H614,"OK")))))</f>
      </c>
      <c r="BF614" s="45">
        <f>IF($AD614="","",IF(ROUND($AO614+$AP614+$AQ614-$AD614,2)=0,"OK","FAIL - out by "&amp;TEXT($AO614+$AP614+$AQ614-$AD614,"$0.00")))</f>
      </c>
    </row>
    <row r="615" spans="1:58" ht="18.75" customHeight="1" x14ac:dyDescent="0.25">
      <c r="A615" s="30" t="inlineStr">
        <is>
          <t xml:space="preserve">CANON-202607-010363</t>
        </is>
      </c>
      <c r="B615" s="30" t="inlineStr">
        <is>
          <t xml:space="preserve">Fitzgerald Montoya</t>
        </is>
      </c>
      <c r="C615" s="31">
        <v>46221</v>
      </c>
      <c r="D615" s="32" t="inlineStr">
        <is>
          <t xml:space="preserve">Bound - within authority</t>
        </is>
      </c>
      <c r="E615" s="32" t="inlineStr">
        <is>
          <t xml:space="preserve">New business</t>
        </is>
      </c>
      <c r="F615" s="30" t="inlineStr">
        <is>
          <t xml:space="preserve">B1234EXOTIC26</t>
        </is>
      </c>
      <c r="G615" s="33">
        <f>IF($A615="","",IF($C615="","",YEAR($C615)))</f>
      </c>
      <c r="H615" s="34">
        <v>1975</v>
      </c>
      <c r="I615" s="30" t="inlineStr">
        <is>
          <t xml:space="preserve">Bentley</t>
        </is>
      </c>
      <c r="J615" s="30" t="inlineStr">
        <is>
          <t xml:space="preserve">Continental GT</t>
        </is>
      </c>
      <c r="K615" s="30" t="inlineStr">
        <is>
          <t xml:space="preserve">JM6VA0EGJMTHCJJH0</t>
        </is>
      </c>
      <c r="L615" s="32" t="inlineStr">
        <is>
          <t xml:space="preserve">02 - Sports / GT</t>
        </is>
      </c>
      <c r="M615" s="35">
        <v>400000</v>
      </c>
      <c r="N615" s="32" t="inlineStr">
        <is>
          <t xml:space="preserve">Personal</t>
        </is>
      </c>
      <c r="O615" s="30" t="inlineStr">
        <is>
          <t xml:space="preserve">Personal - regular use</t>
        </is>
      </c>
      <c r="P615" s="30" t="inlineStr">
        <is>
          <t xml:space="preserve">2,500 - 5,000</t>
        </is>
      </c>
      <c r="Q615" s="30" t="inlineStr">
        <is>
          <t xml:space="preserve">Ohio</t>
        </is>
      </c>
      <c r="R615" s="30" t="inlineStr">
        <is>
          <t xml:space="preserve">43215</t>
        </is>
      </c>
      <c r="S615" s="32" t="inlineStr">
        <is>
          <t xml:space="preserve">Severe convective - hail / tornado (moderate)</t>
        </is>
      </c>
      <c r="T615" s="36">
        <f>IF($A615="","",IF($S615="","",IFERROR(INDEX('[1]natural catastrophe'!$D$6:$D$17,MATCH($S615,'[1]natural catastrophe'!$B$6:$B$17,0)),"?")))</f>
      </c>
      <c r="U615" s="30" t="inlineStr">
        <is>
          <t xml:space="preserve">$5,000</t>
        </is>
      </c>
      <c r="V615" s="32" t="inlineStr">
        <is>
          <t xml:space="preserve">Agreed Value</t>
        </is>
      </c>
      <c r="W615" s="30" t="inlineStr">
        <is>
          <t xml:space="preserve">$1,000</t>
        </is>
      </c>
      <c r="X615" s="32" t="inlineStr">
        <is>
          <t xml:space="preserve">$1,000,000 CSL</t>
        </is>
      </c>
      <c r="Y615" s="30"/>
      <c r="Z615" s="30"/>
      <c r="AA615" s="32" t="inlineStr">
        <is>
          <t xml:space="preserve">Surplus Lines</t>
        </is>
      </c>
      <c r="AB615" s="35">
        <v>5987.49</v>
      </c>
      <c r="AC615" s="37">
        <v>0</v>
      </c>
      <c r="AD615" s="38">
        <f>IF(ISNUMBER($AB615),$AB615*(1+N($AC615)),"")</f>
      </c>
      <c r="AE615" s="35">
        <v>350</v>
      </c>
      <c r="AF615" s="35">
        <v>0</v>
      </c>
      <c r="AG615" s="37"/>
      <c r="AH615" s="39">
        <f>IF(ISNUMBER($AD615),($AD615+$AE615+$AF615)*$AG615,"")</f>
      </c>
      <c r="AI615" s="35"/>
      <c r="AJ615" s="38">
        <f>IF(ISNUMBER($AD615),SUM($AD615:$AH615),"")</f>
      </c>
      <c r="AK615" s="40">
        <f>IF(AND(ISNUMBER($AB615),ISNUMBER($AD615)),IF($AB615&gt;0,$AD615/$AB615,""),"")</f>
      </c>
      <c r="AL615" s="32" t="inlineStr">
        <is>
          <t xml:space="preserve">At technical</t>
        </is>
      </c>
      <c r="AM615" s="41">
        <f>IF(ISNUMBER($AD615),Header!$I$3,"")</f>
      </c>
      <c r="AN615" s="39">
        <f>IF(ISNUMBER($AD615),$AO615+$AP615,"")</f>
      </c>
      <c r="AO615" s="39">
        <f>IF(ISNUMBER($AD615),ROUND($AD615*Header!$K$3,2),"")</f>
      </c>
      <c r="AP615" s="39">
        <f>IF(ISNUMBER($AD615),ROUND($AD615*Header!$M$3,2),"")</f>
      </c>
      <c r="AQ615" s="38">
        <f>IF(ISNUMBER($AD615),ROUND($AD615,2)-$AO615-$AP615,"")</f>
      </c>
      <c r="AR615" s="39">
        <f>IF(ISNUMBER($AD615),IF(Header!$D$34="","?",$AD615*Header!$D$34),"")</f>
      </c>
      <c r="AS615" s="39">
        <f>IF(ISNUMBER($AB615),IF(Header!$D$34="","?",$AB615*Header!$D$34),"")</f>
      </c>
      <c r="AT615" s="42">
        <f>IF(AND(ISNUMBER($AB615),$M615&gt;0),$AB615/$M615*100,"")</f>
      </c>
      <c r="AU615" s="42">
        <f>IF(AND(ISNUMBER($AD615),$M615&gt;0),$AD615/$M615*100,"")</f>
      </c>
      <c r="AV615" s="40">
        <f>IF(AND(ISNUMBER($AB615),ISNUMBER($AD615),ABS($AB615)&gt;0),$AD615/$AB615,"")</f>
      </c>
      <c r="AW615" s="39">
        <f>IF(ISNUMBER($AD615),MAX(0,(1-0.55-Header!$O$3)*Header!$Q$3*$AQ615),"")</f>
      </c>
      <c r="AX615" s="43">
        <f>IF($A615="","",IF(TRIM(IF($A615="","Missing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",""))="","PASS","FAIL: "&amp;TRIM(IF($A615="","Missing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f>
      </c>
      <c r="AY615" s="44">
        <f>IF($M615="","",IF(ISNUMBER($M615),IF($M615&gt;=Header!$C$18,"YES — refer","No"),""))</f>
      </c>
      <c r="AZ615" s="44">
        <f>IF($AD615="","",IF(ISNUMBER($AD615),IF($AD615&lt;Header!$C$20,"BELOW MIN PREMIUM","OK"),""))</f>
      </c>
      <c r="BA615" s="32" t="inlineStr">
        <is>
          <t xml:space="preserve">Yes</t>
        </is>
      </c>
      <c r="BB615" s="32" t="inlineStr">
        <is>
          <t xml:space="preserve">Yes</t>
        </is>
      </c>
      <c r="BC615" s="30" t="inlineStr">
        <is>
          <t xml:space="preserve">Synthetic demo data</t>
        </is>
      </c>
      <c r="BE615" s="45">
        <f>IF(OR($A615="",$L615="",$H615=""),"",IF(AND(LEFT($L615,2)="06",$H615&gt;1945),"FAIL - pre-war class, year "&amp;$H615,IF(AND(LEFT($L615,2)="07",OR($H615&lt;1946,$H615&gt;1972)),"FAIL - 1946-72 class, year "&amp;$H615,IF(AND(LEFT($L615,2)="08",OR($H615&lt;1973,$H615&gt;1999)),"FAIL - 1973-99 class, year "&amp;$H615,IF(AND(LEFT($L615,2)="09",OR($H615&lt;2000,$H615&gt;2010)),"FAIL - 2000-10 class, year "&amp;$H615,"OK")))))</f>
      </c>
      <c r="BF615" s="45">
        <f>IF($AD615="","",IF(ROUND($AO615+$AP615+$AQ615-$AD615,2)=0,"OK","FAIL - out by "&amp;TEXT($AO615+$AP615+$AQ615-$AD615,"$0.00")))</f>
      </c>
    </row>
    <row r="616" spans="1:58" ht="18.75" customHeight="1" x14ac:dyDescent="0.25">
      <c r="A616" s="46" t="inlineStr">
        <is>
          <t xml:space="preserve">CANON-202607-010365</t>
        </is>
      </c>
      <c r="B616" s="46" t="inlineStr">
        <is>
          <t xml:space="preserve">Marisol Thistlewood</t>
        </is>
      </c>
      <c r="C616" s="47">
        <v>46228</v>
      </c>
      <c r="D616" s="48" t="inlineStr">
        <is>
          <t xml:space="preserve">Bound - within authority</t>
        </is>
      </c>
      <c r="E616" s="48" t="inlineStr">
        <is>
          <t xml:space="preserve">New business</t>
        </is>
      </c>
      <c r="F616" s="46" t="inlineStr">
        <is>
          <t xml:space="preserve">B1234EXOTIC26</t>
        </is>
      </c>
      <c r="G616" s="33">
        <f>IF($A616="","",IF($C616="","",YEAR($C616)))</f>
      </c>
      <c r="H616" s="49">
        <v>1964</v>
      </c>
      <c r="I616" s="46" t="inlineStr">
        <is>
          <t xml:space="preserve">Aston Martin</t>
        </is>
      </c>
      <c r="J616" s="46" t="inlineStr">
        <is>
          <t xml:space="preserve">DB5</t>
        </is>
      </c>
      <c r="K616" s="46" t="inlineStr">
        <is>
          <t xml:space="preserve">XFY51ZCSDEBD8KHSG</t>
        </is>
      </c>
      <c r="L616" s="48" t="inlineStr">
        <is>
          <t xml:space="preserve">07 - Post-War Classic (1946-1972)</t>
        </is>
      </c>
      <c r="M616" s="50">
        <v>650000</v>
      </c>
      <c r="N616" s="48" t="inlineStr">
        <is>
          <t xml:space="preserve">Personal</t>
        </is>
      </c>
      <c r="O616" s="46" t="inlineStr">
        <is>
          <t xml:space="preserve">Personal - regular use</t>
        </is>
      </c>
      <c r="P616" s="46" t="inlineStr">
        <is>
          <t xml:space="preserve">1,000 - 2,500</t>
        </is>
      </c>
      <c r="Q616" s="46" t="inlineStr">
        <is>
          <t xml:space="preserve">Michigan</t>
        </is>
      </c>
      <c r="R616" s="46" t="inlineStr">
        <is>
          <t xml:space="preserve">48226</t>
        </is>
      </c>
      <c r="S616" s="48" t="inlineStr">
        <is>
          <t xml:space="preserve">Severe convective - hail / tornado (moderate)</t>
        </is>
      </c>
      <c r="T616" s="36">
        <f>IF($A616="","",IF($S616="","",IFERROR(INDEX('[1]natural catastrophe'!$D$6:$D$17,MATCH($S616,'[1]natural catastrophe'!$B$6:$B$17,0)),"?")))</f>
      </c>
      <c r="U616" s="46" t="inlineStr">
        <is>
          <t xml:space="preserve">$5,000</t>
        </is>
      </c>
      <c r="V616" s="48" t="inlineStr">
        <is>
          <t xml:space="preserve">Agreed Value</t>
        </is>
      </c>
      <c r="W616" s="46" t="inlineStr">
        <is>
          <t xml:space="preserve">$1,000</t>
        </is>
      </c>
      <c r="X616" s="48" t="inlineStr">
        <is>
          <t xml:space="preserve">$1,000,000 CSL</t>
        </is>
      </c>
      <c r="Y616" s="46"/>
      <c r="Z616" s="46"/>
      <c r="AA616" s="48" t="inlineStr">
        <is>
          <t xml:space="preserve">Surplus Lines</t>
        </is>
      </c>
      <c r="AB616" s="50">
        <v>6220.46</v>
      </c>
      <c r="AC616" s="51">
        <v>0</v>
      </c>
      <c r="AD616" s="38">
        <f>IF(ISNUMBER($AB616),$AB616*(1+N($AC616)),"")</f>
      </c>
      <c r="AE616" s="50">
        <v>350</v>
      </c>
      <c r="AF616" s="50">
        <v>0</v>
      </c>
      <c r="AG616" s="51"/>
      <c r="AH616" s="39">
        <f>IF(ISNUMBER($AD616),($AD616+$AE616+$AF616)*$AG616,"")</f>
      </c>
      <c r="AI616" s="50"/>
      <c r="AJ616" s="38">
        <f>IF(ISNUMBER($AD616),SUM($AD616:$AH616),"")</f>
      </c>
      <c r="AK616" s="40">
        <f>IF(AND(ISNUMBER($AB616),ISNUMBER($AD616)),IF($AB616&gt;0,$AD616/$AB616,""),"")</f>
      </c>
      <c r="AL616" s="48" t="inlineStr">
        <is>
          <t xml:space="preserve">At technical</t>
        </is>
      </c>
      <c r="AM616" s="41">
        <f>IF(ISNUMBER($AD616),Header!$I$3,"")</f>
      </c>
      <c r="AN616" s="39">
        <f>IF(ISNUMBER($AD616),$AO616+$AP616,"")</f>
      </c>
      <c r="AO616" s="39">
        <f>IF(ISNUMBER($AD616),ROUND($AD616*Header!$K$3,2),"")</f>
      </c>
      <c r="AP616" s="39">
        <f>IF(ISNUMBER($AD616),ROUND($AD616*Header!$M$3,2),"")</f>
      </c>
      <c r="AQ616" s="38">
        <f>IF(ISNUMBER($AD616),ROUND($AD616,2)-$AO616-$AP616,"")</f>
      </c>
      <c r="AR616" s="39">
        <f>IF(ISNUMBER($AD616),IF(Header!$D$34="","?",$AD616*Header!$D$34),"")</f>
      </c>
      <c r="AS616" s="39">
        <f>IF(ISNUMBER($AB616),IF(Header!$D$34="","?",$AB616*Header!$D$34),"")</f>
      </c>
      <c r="AT616" s="42">
        <f>IF(AND(ISNUMBER($AB616),$M616&gt;0),$AB616/$M616*100,"")</f>
      </c>
      <c r="AU616" s="42">
        <f>IF(AND(ISNUMBER($AD616),$M616&gt;0),$AD616/$M616*100,"")</f>
      </c>
      <c r="AV616" s="40">
        <f>IF(AND(ISNUMBER($AB616),ISNUMBER($AD616),ABS($AB616)&gt;0),$AD616/$AB616,"")</f>
      </c>
      <c r="AW616" s="39">
        <f>IF(ISNUMBER($AD616),MAX(0,(1-0.55-Header!$O$3)*Header!$Q$3*$AQ616),"")</f>
      </c>
      <c r="AX616" s="43">
        <f>IF($A616="","",IF(TRIM(IF($A616="","Missing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",""))="","PASS","FAIL: "&amp;TRIM(IF($A616="","Missing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f>
      </c>
      <c r="AY616" s="44">
        <f>IF($M616="","",IF(ISNUMBER($M616),IF($M616&gt;=Header!$C$18,"YES — refer","No"),""))</f>
      </c>
      <c r="AZ616" s="44">
        <f>IF($AD616="","",IF(ISNUMBER($AD616),IF($AD616&lt;Header!$C$20,"BELOW MIN PREMIUM","OK"),""))</f>
      </c>
      <c r="BA616" s="48" t="inlineStr">
        <is>
          <t xml:space="preserve">Yes</t>
        </is>
      </c>
      <c r="BB616" s="48" t="inlineStr">
        <is>
          <t xml:space="preserve">Yes</t>
        </is>
      </c>
      <c r="BC616" s="46" t="inlineStr">
        <is>
          <t xml:space="preserve">Synthetic demo data</t>
        </is>
      </c>
      <c r="BE616" s="45">
        <f>IF(OR($A616="",$L616="",$H616=""),"",IF(AND(LEFT($L616,2)="06",$H616&gt;1945),"FAIL - pre-war class, year "&amp;$H616,IF(AND(LEFT($L616,2)="07",OR($H616&lt;1946,$H616&gt;1972)),"FAIL - 1946-72 class, year "&amp;$H616,IF(AND(LEFT($L616,2)="08",OR($H616&lt;1973,$H616&gt;1999)),"FAIL - 1973-99 class, year "&amp;$H616,IF(AND(LEFT($L616,2)="09",OR($H616&lt;2000,$H616&gt;2010)),"FAIL - 2000-10 class, year "&amp;$H616,"OK")))))</f>
      </c>
      <c r="BF616" s="45">
        <f>IF($AD616="","",IF(ROUND($AO616+$AP616+$AQ616-$AD616,2)=0,"OK","FAIL - out by "&amp;TEXT($AO616+$AP616+$AQ616-$AD616,"$0.00")))</f>
      </c>
    </row>
    <row r="617" spans="1:58" ht="18.75" customHeight="1" x14ac:dyDescent="0.25">
      <c r="A617" s="30" t="inlineStr">
        <is>
          <t xml:space="preserve">CANON-202607-010366</t>
        </is>
      </c>
      <c r="B617" s="30" t="inlineStr">
        <is>
          <t xml:space="preserve">Marisol Pennington</t>
        </is>
      </c>
      <c r="C617" s="31">
        <v>46210</v>
      </c>
      <c r="D617" s="32" t="inlineStr">
        <is>
          <t xml:space="preserve">Bound - within authority</t>
        </is>
      </c>
      <c r="E617" s="32" t="inlineStr">
        <is>
          <t xml:space="preserve">New business</t>
        </is>
      </c>
      <c r="F617" s="30" t="inlineStr">
        <is>
          <t xml:space="preserve">B1234EXOTIC26</t>
        </is>
      </c>
      <c r="G617" s="33">
        <f>IF($A617="","",IF($C617="","",YEAR($C617)))</f>
      </c>
      <c r="H617" s="34">
        <v>1967</v>
      </c>
      <c r="I617" s="30" t="inlineStr">
        <is>
          <t xml:space="preserve">McLaren</t>
        </is>
      </c>
      <c r="J617" s="30" t="inlineStr">
        <is>
          <t xml:space="preserve">750S</t>
        </is>
      </c>
      <c r="K617" s="30" t="inlineStr">
        <is>
          <t xml:space="preserve">23FL4TV5TYUSWBMCT</t>
        </is>
      </c>
      <c r="L617" s="32" t="inlineStr">
        <is>
          <t xml:space="preserve">03 - Supercar</t>
        </is>
      </c>
      <c r="M617" s="35">
        <v>445000</v>
      </c>
      <c r="N617" s="32" t="inlineStr">
        <is>
          <t xml:space="preserve">Personal</t>
        </is>
      </c>
      <c r="O617" s="30" t="inlineStr">
        <is>
          <t xml:space="preserve">Personal - regular use</t>
        </is>
      </c>
      <c r="P617" s="30" t="inlineStr">
        <is>
          <t xml:space="preserve">2,500 - 5,000</t>
        </is>
      </c>
      <c r="Q617" s="30" t="inlineStr">
        <is>
          <t xml:space="preserve">West Virginia</t>
        </is>
      </c>
      <c r="R617" s="30" t="inlineStr">
        <is>
          <t xml:space="preserve">25301</t>
        </is>
      </c>
      <c r="S617" s="32" t="inlineStr">
        <is>
          <t xml:space="preserve">Low hazard - inland benign</t>
        </is>
      </c>
      <c r="T617" s="36">
        <f>IF($A617="","",IF($S617="","",IFERROR(INDEX('[1]natural catastrophe'!$D$6:$D$17,MATCH($S617,'[1]natural catastrophe'!$B$6:$B$17,0)),"?")))</f>
      </c>
      <c r="U617" s="30" t="inlineStr">
        <is>
          <t xml:space="preserve">$5,000</t>
        </is>
      </c>
      <c r="V617" s="32" t="inlineStr">
        <is>
          <t xml:space="preserve">Agreed Value</t>
        </is>
      </c>
      <c r="W617" s="30" t="inlineStr">
        <is>
          <t xml:space="preserve">$1,000</t>
        </is>
      </c>
      <c r="X617" s="32" t="inlineStr">
        <is>
          <t xml:space="preserve">$1,000,000 CSL</t>
        </is>
      </c>
      <c r="Y617" s="30"/>
      <c r="Z617" s="30"/>
      <c r="AA617" s="32" t="inlineStr">
        <is>
          <t xml:space="preserve">Surplus Lines</t>
        </is>
      </c>
      <c r="AB617" s="35">
        <v>9772.78</v>
      </c>
      <c r="AC617" s="37">
        <v>0</v>
      </c>
      <c r="AD617" s="38">
        <f>IF(ISNUMBER($AB617),$AB617*(1+N($AC617)),"")</f>
      </c>
      <c r="AE617" s="35">
        <v>350</v>
      </c>
      <c r="AF617" s="35">
        <v>0</v>
      </c>
      <c r="AG617" s="37"/>
      <c r="AH617" s="39">
        <f>IF(ISNUMBER($AD617),($AD617+$AE617+$AF617)*$AG617,"")</f>
      </c>
      <c r="AI617" s="35"/>
      <c r="AJ617" s="38">
        <f>IF(ISNUMBER($AD617),SUM($AD617:$AH617),"")</f>
      </c>
      <c r="AK617" s="40">
        <f>IF(AND(ISNUMBER($AB617),ISNUMBER($AD617)),IF($AB617&gt;0,$AD617/$AB617,""),"")</f>
      </c>
      <c r="AL617" s="32" t="inlineStr">
        <is>
          <t xml:space="preserve">At technical</t>
        </is>
      </c>
      <c r="AM617" s="41">
        <f>IF(ISNUMBER($AD617),Header!$I$3,"")</f>
      </c>
      <c r="AN617" s="39">
        <f>IF(ISNUMBER($AD617),$AO617+$AP617,"")</f>
      </c>
      <c r="AO617" s="39">
        <f>IF(ISNUMBER($AD617),ROUND($AD617*Header!$K$3,2),"")</f>
      </c>
      <c r="AP617" s="39">
        <f>IF(ISNUMBER($AD617),ROUND($AD617*Header!$M$3,2),"")</f>
      </c>
      <c r="AQ617" s="38">
        <f>IF(ISNUMBER($AD617),ROUND($AD617,2)-$AO617-$AP617,"")</f>
      </c>
      <c r="AR617" s="39">
        <f>IF(ISNUMBER($AD617),IF(Header!$D$34="","?",$AD617*Header!$D$34),"")</f>
      </c>
      <c r="AS617" s="39">
        <f>IF(ISNUMBER($AB617),IF(Header!$D$34="","?",$AB617*Header!$D$34),"")</f>
      </c>
      <c r="AT617" s="42">
        <f>IF(AND(ISNUMBER($AB617),$M617&gt;0),$AB617/$M617*100,"")</f>
      </c>
      <c r="AU617" s="42">
        <f>IF(AND(ISNUMBER($AD617),$M617&gt;0),$AD617/$M617*100,"")</f>
      </c>
      <c r="AV617" s="40">
        <f>IF(AND(ISNUMBER($AB617),ISNUMBER($AD617),ABS($AB617)&gt;0),$AD617/$AB617,"")</f>
      </c>
      <c r="AW617" s="39">
        <f>IF(ISNUMBER($AD617),MAX(0,(1-0.55-Header!$O$3)*Header!$Q$3*$AQ617),"")</f>
      </c>
      <c r="AX617" s="43">
        <f>IF($A617="","",IF(TRIM(IF($A617="","Missing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",""))="","PASS","FAIL: "&amp;TRIM(IF($A617="","Missing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f>
      </c>
      <c r="AY617" s="44">
        <f>IF($M617="","",IF(ISNUMBER($M617),IF($M617&gt;=Header!$C$18,"YES — refer","No"),""))</f>
      </c>
      <c r="AZ617" s="44">
        <f>IF($AD617="","",IF(ISNUMBER($AD617),IF($AD617&lt;Header!$C$20,"BELOW MIN PREMIUM","OK"),""))</f>
      </c>
      <c r="BA617" s="32" t="inlineStr">
        <is>
          <t xml:space="preserve">Yes</t>
        </is>
      </c>
      <c r="BB617" s="32" t="inlineStr">
        <is>
          <t xml:space="preserve">Yes</t>
        </is>
      </c>
      <c r="BC617" s="30" t="inlineStr">
        <is>
          <t xml:space="preserve">Synthetic demo data</t>
        </is>
      </c>
      <c r="BE617" s="45">
        <f>IF(OR($A617="",$L617="",$H617=""),"",IF(AND(LEFT($L617,2)="06",$H617&gt;1945),"FAIL - pre-war class, year "&amp;$H617,IF(AND(LEFT($L617,2)="07",OR($H617&lt;1946,$H617&gt;1972)),"FAIL - 1946-72 class, year "&amp;$H617,IF(AND(LEFT($L617,2)="08",OR($H617&lt;1973,$H617&gt;1999)),"FAIL - 1973-99 class, year "&amp;$H617,IF(AND(LEFT($L617,2)="09",OR($H617&lt;2000,$H617&gt;2010)),"FAIL - 2000-10 class, year "&amp;$H617,"OK")))))</f>
      </c>
      <c r="BF617" s="45">
        <f>IF($AD617="","",IF(ROUND($AO617+$AP617+$AQ617-$AD617,2)=0,"OK","FAIL - out by "&amp;TEXT($AO617+$AP617+$AQ617-$AD617,"$0.00")))</f>
      </c>
    </row>
    <row r="618" spans="1:58" ht="18.75" customHeight="1" x14ac:dyDescent="0.25">
      <c r="A618" s="46" t="inlineStr">
        <is>
          <t xml:space="preserve">CANON-202607-010368</t>
        </is>
      </c>
      <c r="B618" s="46" t="inlineStr">
        <is>
          <t xml:space="preserve">Noor Chattopadhyay</t>
        </is>
      </c>
      <c r="C618" s="47">
        <v>46217</v>
      </c>
      <c r="D618" s="48" t="inlineStr">
        <is>
          <t xml:space="preserve">Bound - within authority</t>
        </is>
      </c>
      <c r="E618" s="48" t="inlineStr">
        <is>
          <t xml:space="preserve">New business</t>
        </is>
      </c>
      <c r="F618" s="46" t="inlineStr">
        <is>
          <t xml:space="preserve">B1234EXOTIC26</t>
        </is>
      </c>
      <c r="G618" s="33">
        <f>IF($A618="","",IF($C618="","",YEAR($C618)))</f>
      </c>
      <c r="H618" s="49">
        <v>1971</v>
      </c>
      <c r="I618" s="46" t="inlineStr">
        <is>
          <t xml:space="preserve">Aston Martin</t>
        </is>
      </c>
      <c r="J618" s="46" t="inlineStr">
        <is>
          <t xml:space="preserve">DB12</t>
        </is>
      </c>
      <c r="K618" s="46" t="inlineStr">
        <is>
          <t xml:space="preserve">DWZX7W6H6B7E7P1GP</t>
        </is>
      </c>
      <c r="L618" s="48" t="inlineStr">
        <is>
          <t xml:space="preserve">02 - Sports / GT</t>
        </is>
      </c>
      <c r="M618" s="50">
        <v>285000</v>
      </c>
      <c r="N618" s="48" t="inlineStr">
        <is>
          <t xml:space="preserve">Personal</t>
        </is>
      </c>
      <c r="O618" s="46" t="inlineStr">
        <is>
          <t xml:space="preserve">Personal - regular use</t>
        </is>
      </c>
      <c r="P618" s="46" t="inlineStr">
        <is>
          <t xml:space="preserve">1,000 - 2,500</t>
        </is>
      </c>
      <c r="Q618" s="46" t="inlineStr">
        <is>
          <t xml:space="preserve">Ohio</t>
        </is>
      </c>
      <c r="R618" s="46" t="inlineStr">
        <is>
          <t xml:space="preserve">43215</t>
        </is>
      </c>
      <c r="S618" s="48" t="inlineStr">
        <is>
          <t xml:space="preserve">Severe convective - hail / tornado (moderate)</t>
        </is>
      </c>
      <c r="T618" s="36">
        <f>IF($A618="","",IF($S618="","",IFERROR(INDEX('[1]natural catastrophe'!$D$6:$D$17,MATCH($S618,'[1]natural catastrophe'!$B$6:$B$17,0)),"?")))</f>
      </c>
      <c r="U618" s="46" t="inlineStr">
        <is>
          <t xml:space="preserve">$5,000</t>
        </is>
      </c>
      <c r="V618" s="48" t="inlineStr">
        <is>
          <t xml:space="preserve">Agreed Value</t>
        </is>
      </c>
      <c r="W618" s="46" t="inlineStr">
        <is>
          <t xml:space="preserve">$1,000</t>
        </is>
      </c>
      <c r="X618" s="48" t="inlineStr">
        <is>
          <t xml:space="preserve">$1,000,000 CSL</t>
        </is>
      </c>
      <c r="Y618" s="46"/>
      <c r="Z618" s="46"/>
      <c r="AA618" s="48" t="inlineStr">
        <is>
          <t xml:space="preserve">Surplus Lines</t>
        </is>
      </c>
      <c r="AB618" s="50">
        <v>4266.09</v>
      </c>
      <c r="AC618" s="51">
        <v>0</v>
      </c>
      <c r="AD618" s="38">
        <f>IF(ISNUMBER($AB618),$AB618*(1+N($AC618)),"")</f>
      </c>
      <c r="AE618" s="50">
        <v>350</v>
      </c>
      <c r="AF618" s="50">
        <v>0</v>
      </c>
      <c r="AG618" s="51"/>
      <c r="AH618" s="39">
        <f>IF(ISNUMBER($AD618),($AD618+$AE618+$AF618)*$AG618,"")</f>
      </c>
      <c r="AI618" s="50"/>
      <c r="AJ618" s="38">
        <f>IF(ISNUMBER($AD618),SUM($AD618:$AH618),"")</f>
      </c>
      <c r="AK618" s="40">
        <f>IF(AND(ISNUMBER($AB618),ISNUMBER($AD618)),IF($AB618&gt;0,$AD618/$AB618,""),"")</f>
      </c>
      <c r="AL618" s="48" t="inlineStr">
        <is>
          <t xml:space="preserve">At technical</t>
        </is>
      </c>
      <c r="AM618" s="41">
        <f>IF(ISNUMBER($AD618),Header!$I$3,"")</f>
      </c>
      <c r="AN618" s="39">
        <f>IF(ISNUMBER($AD618),$AO618+$AP618,"")</f>
      </c>
      <c r="AO618" s="39">
        <f>IF(ISNUMBER($AD618),ROUND($AD618*Header!$K$3,2),"")</f>
      </c>
      <c r="AP618" s="39">
        <f>IF(ISNUMBER($AD618),ROUND($AD618*Header!$M$3,2),"")</f>
      </c>
      <c r="AQ618" s="38">
        <f>IF(ISNUMBER($AD618),ROUND($AD618,2)-$AO618-$AP618,"")</f>
      </c>
      <c r="AR618" s="39">
        <f>IF(ISNUMBER($AD618),IF(Header!$D$34="","?",$AD618*Header!$D$34),"")</f>
      </c>
      <c r="AS618" s="39">
        <f>IF(ISNUMBER($AB618),IF(Header!$D$34="","?",$AB618*Header!$D$34),"")</f>
      </c>
      <c r="AT618" s="42">
        <f>IF(AND(ISNUMBER($AB618),$M618&gt;0),$AB618/$M618*100,"")</f>
      </c>
      <c r="AU618" s="42">
        <f>IF(AND(ISNUMBER($AD618),$M618&gt;0),$AD618/$M618*100,"")</f>
      </c>
      <c r="AV618" s="40">
        <f>IF(AND(ISNUMBER($AB618),ISNUMBER($AD618),ABS($AB618)&gt;0),$AD618/$AB618,"")</f>
      </c>
      <c r="AW618" s="39">
        <f>IF(ISNUMBER($AD618),MAX(0,(1-0.55-Header!$O$3)*Header!$Q$3*$AQ618),"")</f>
      </c>
      <c r="AX618" s="43">
        <f>IF($A618="","",IF(TRIM(IF($A618="","Missing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",""))="","PASS","FAIL: "&amp;TRIM(IF($A618="","Missing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f>
      </c>
      <c r="AY618" s="44">
        <f>IF($M618="","",IF(ISNUMBER($M618),IF($M618&gt;=Header!$C$18,"YES — refer","No"),""))</f>
      </c>
      <c r="AZ618" s="44">
        <f>IF($AD618="","",IF(ISNUMBER($AD618),IF($AD618&lt;Header!$C$20,"BELOW MIN PREMIUM","OK"),""))</f>
      </c>
      <c r="BA618" s="48" t="inlineStr">
        <is>
          <t xml:space="preserve">Yes</t>
        </is>
      </c>
      <c r="BB618" s="48" t="inlineStr">
        <is>
          <t xml:space="preserve">Yes</t>
        </is>
      </c>
      <c r="BC618" s="46" t="inlineStr">
        <is>
          <t xml:space="preserve">Synthetic demo data</t>
        </is>
      </c>
      <c r="BE618" s="45">
        <f>IF(OR($A618="",$L618="",$H618=""),"",IF(AND(LEFT($L618,2)="06",$H618&gt;1945),"FAIL - pre-war class, year "&amp;$H618,IF(AND(LEFT($L618,2)="07",OR($H618&lt;1946,$H618&gt;1972)),"FAIL - 1946-72 class, year "&amp;$H618,IF(AND(LEFT($L618,2)="08",OR($H618&lt;1973,$H618&gt;1999)),"FAIL - 1973-99 class, year "&amp;$H618,IF(AND(LEFT($L618,2)="09",OR($H618&lt;2000,$H618&gt;2010)),"FAIL - 2000-10 class, year "&amp;$H618,"OK")))))</f>
      </c>
      <c r="BF618" s="45">
        <f>IF($AD618="","",IF(ROUND($AO618+$AP618+$AQ618-$AD618,2)=0,"OK","FAIL - out by "&amp;TEXT($AO618+$AP618+$AQ618-$AD618,"$0.00")))</f>
      </c>
    </row>
    <row r="619" spans="1:58" ht="18.75" customHeight="1" x14ac:dyDescent="0.25">
      <c r="A619" s="30" t="inlineStr">
        <is>
          <t xml:space="preserve">CANON-202607-010369</t>
        </is>
      </c>
      <c r="B619" s="30" t="inlineStr">
        <is>
          <t xml:space="preserve">Thaddeus Whitlock</t>
        </is>
      </c>
      <c r="C619" s="31">
        <v>46217</v>
      </c>
      <c r="D619" s="32" t="inlineStr">
        <is>
          <t xml:space="preserve">Bound - within authority</t>
        </is>
      </c>
      <c r="E619" s="32" t="inlineStr">
        <is>
          <t xml:space="preserve">New business</t>
        </is>
      </c>
      <c r="F619" s="30" t="inlineStr">
        <is>
          <t xml:space="preserve">B1234EXOTIC26</t>
        </is>
      </c>
      <c r="G619" s="33">
        <f>IF($A619="","",IF($C619="","",YEAR($C619)))</f>
      </c>
      <c r="H619" s="34">
        <v>2019</v>
      </c>
      <c r="I619" s="30" t="inlineStr">
        <is>
          <t xml:space="preserve">BMW</t>
        </is>
      </c>
      <c r="J619" s="30" t="inlineStr">
        <is>
          <t xml:space="preserve">M8 Competition</t>
        </is>
      </c>
      <c r="K619" s="30" t="inlineStr">
        <is>
          <t xml:space="preserve">FC0KX2EX1X2WTUS8A</t>
        </is>
      </c>
      <c r="L619" s="32" t="inlineStr">
        <is>
          <t xml:space="preserve">02 - Sports / GT</t>
        </is>
      </c>
      <c r="M619" s="35">
        <v>490000</v>
      </c>
      <c r="N619" s="32" t="inlineStr">
        <is>
          <t xml:space="preserve">Personal</t>
        </is>
      </c>
      <c r="O619" s="30" t="inlineStr">
        <is>
          <t xml:space="preserve">Personal - regular use</t>
        </is>
      </c>
      <c r="P619" s="30" t="inlineStr">
        <is>
          <t xml:space="preserve">1,000 - 2,500</t>
        </is>
      </c>
      <c r="Q619" s="30" t="inlineStr">
        <is>
          <t xml:space="preserve">Montana</t>
        </is>
      </c>
      <c r="R619" s="30" t="inlineStr">
        <is>
          <t xml:space="preserve">59601</t>
        </is>
      </c>
      <c r="S619" s="32" t="inlineStr">
        <is>
          <t xml:space="preserve">Wildfire - WUI high hazard</t>
        </is>
      </c>
      <c r="T619" s="36">
        <f>IF($A619="","",IF($S619="","",IFERROR(INDEX('[1]natural catastrophe'!$D$6:$D$17,MATCH($S619,'[1]natural catastrophe'!$B$6:$B$17,0)),"?")))</f>
      </c>
      <c r="U619" s="30" t="inlineStr">
        <is>
          <t xml:space="preserve">$5,000</t>
        </is>
      </c>
      <c r="V619" s="32" t="inlineStr">
        <is>
          <t xml:space="preserve">Agreed Value</t>
        </is>
      </c>
      <c r="W619" s="30" t="inlineStr">
        <is>
          <t xml:space="preserve">$1,000</t>
        </is>
      </c>
      <c r="X619" s="32" t="inlineStr">
        <is>
          <t xml:space="preserve">$1,000,000 CSL</t>
        </is>
      </c>
      <c r="Y619" s="30"/>
      <c r="Z619" s="30"/>
      <c r="AA619" s="32" t="inlineStr">
        <is>
          <t xml:space="preserve">Surplus Lines</t>
        </is>
      </c>
      <c r="AB619" s="35">
        <v>4907.37</v>
      </c>
      <c r="AC619" s="37">
        <v>0</v>
      </c>
      <c r="AD619" s="38">
        <f>IF(ISNUMBER($AB619),$AB619*(1+N($AC619)),"")</f>
      </c>
      <c r="AE619" s="35">
        <v>350</v>
      </c>
      <c r="AF619" s="35">
        <v>0</v>
      </c>
      <c r="AG619" s="37"/>
      <c r="AH619" s="39">
        <f>IF(ISNUMBER($AD619),($AD619+$AE619+$AF619)*$AG619,"")</f>
      </c>
      <c r="AI619" s="35"/>
      <c r="AJ619" s="38">
        <f>IF(ISNUMBER($AD619),SUM($AD619:$AH619),"")</f>
      </c>
      <c r="AK619" s="40">
        <f>IF(AND(ISNUMBER($AB619),ISNUMBER($AD619)),IF($AB619&gt;0,$AD619/$AB619,""),"")</f>
      </c>
      <c r="AL619" s="32" t="inlineStr">
        <is>
          <t xml:space="preserve">At technical</t>
        </is>
      </c>
      <c r="AM619" s="41">
        <f>IF(ISNUMBER($AD619),Header!$I$3,"")</f>
      </c>
      <c r="AN619" s="39">
        <f>IF(ISNUMBER($AD619),$AO619+$AP619,"")</f>
      </c>
      <c r="AO619" s="39">
        <f>IF(ISNUMBER($AD619),ROUND($AD619*Header!$K$3,2),"")</f>
      </c>
      <c r="AP619" s="39">
        <f>IF(ISNUMBER($AD619),ROUND($AD619*Header!$M$3,2),"")</f>
      </c>
      <c r="AQ619" s="38">
        <f>IF(ISNUMBER($AD619),ROUND($AD619,2)-$AO619-$AP619,"")</f>
      </c>
      <c r="AR619" s="39">
        <f>IF(ISNUMBER($AD619),IF(Header!$D$34="","?",$AD619*Header!$D$34),"")</f>
      </c>
      <c r="AS619" s="39">
        <f>IF(ISNUMBER($AB619),IF(Header!$D$34="","?",$AB619*Header!$D$34),"")</f>
      </c>
      <c r="AT619" s="42">
        <f>IF(AND(ISNUMBER($AB619),$M619&gt;0),$AB619/$M619*100,"")</f>
      </c>
      <c r="AU619" s="42">
        <f>IF(AND(ISNUMBER($AD619),$M619&gt;0),$AD619/$M619*100,"")</f>
      </c>
      <c r="AV619" s="40">
        <f>IF(AND(ISNUMBER($AB619),ISNUMBER($AD619),ABS($AB619)&gt;0),$AD619/$AB619,"")</f>
      </c>
      <c r="AW619" s="39">
        <f>IF(ISNUMBER($AD619),MAX(0,(1-0.55-Header!$O$3)*Header!$Q$3*$AQ619),"")</f>
      </c>
      <c r="AX619" s="43">
        <f>IF($A619="","",IF(TRIM(IF($A619="","Missing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",""))="","PASS","FAIL: "&amp;TRIM(IF($A619="","Missing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f>
      </c>
      <c r="AY619" s="44">
        <f>IF($M619="","",IF(ISNUMBER($M619),IF($M619&gt;=Header!$C$18,"YES — refer","No"),""))</f>
      </c>
      <c r="AZ619" s="44">
        <f>IF($AD619="","",IF(ISNUMBER($AD619),IF($AD619&lt;Header!$C$20,"BELOW MIN PREMIUM","OK"),""))</f>
      </c>
      <c r="BA619" s="32" t="inlineStr">
        <is>
          <t xml:space="preserve">Yes</t>
        </is>
      </c>
      <c r="BB619" s="32" t="inlineStr">
        <is>
          <t xml:space="preserve">Yes</t>
        </is>
      </c>
      <c r="BC619" s="30" t="inlineStr">
        <is>
          <t xml:space="preserve">Synthetic demo data</t>
        </is>
      </c>
      <c r="BE619" s="45">
        <f>IF(OR($A619="",$L619="",$H619=""),"",IF(AND(LEFT($L619,2)="06",$H619&gt;1945),"FAIL - pre-war class, year "&amp;$H619,IF(AND(LEFT($L619,2)="07",OR($H619&lt;1946,$H619&gt;1972)),"FAIL - 1946-72 class, year "&amp;$H619,IF(AND(LEFT($L619,2)="08",OR($H619&lt;1973,$H619&gt;1999)),"FAIL - 1973-99 class, year "&amp;$H619,IF(AND(LEFT($L619,2)="09",OR($H619&lt;2000,$H619&gt;2010)),"FAIL - 2000-10 class, year "&amp;$H619,"OK")))))</f>
      </c>
      <c r="BF619" s="45">
        <f>IF($AD619="","",IF(ROUND($AO619+$AP619+$AQ619-$AD619,2)=0,"OK","FAIL - out by "&amp;TEXT($AO619+$AP619+$AQ619-$AD619,"$0.00")))</f>
      </c>
    </row>
    <row r="620" spans="1:58" ht="18.75" customHeight="1" x14ac:dyDescent="0.25">
      <c r="A620" s="46" t="inlineStr">
        <is>
          <t xml:space="preserve">CANON-202607-010370</t>
        </is>
      </c>
      <c r="B620" s="46" t="inlineStr">
        <is>
          <t xml:space="preserve">Noor Vandermeer</t>
        </is>
      </c>
      <c r="C620" s="47">
        <v>46214</v>
      </c>
      <c r="D620" s="48" t="inlineStr">
        <is>
          <t xml:space="preserve">Bound - within authority</t>
        </is>
      </c>
      <c r="E620" s="48" t="inlineStr">
        <is>
          <t xml:space="preserve">New business</t>
        </is>
      </c>
      <c r="F620" s="46" t="inlineStr">
        <is>
          <t xml:space="preserve">B1234EXOTIC26</t>
        </is>
      </c>
      <c r="G620" s="33">
        <f>IF($A620="","",IF($C620="","",YEAR($C620)))</f>
      </c>
      <c r="H620" s="49">
        <v>1984</v>
      </c>
      <c r="I620" s="46" t="inlineStr">
        <is>
          <t xml:space="preserve">Aston Martin</t>
        </is>
      </c>
      <c r="J620" s="46" t="inlineStr">
        <is>
          <t xml:space="preserve">DB12</t>
        </is>
      </c>
      <c r="K620" s="46" t="inlineStr">
        <is>
          <t xml:space="preserve">ZG13C34AYHZ1FA68P</t>
        </is>
      </c>
      <c r="L620" s="48" t="inlineStr">
        <is>
          <t xml:space="preserve">02 - Sports / GT</t>
        </is>
      </c>
      <c r="M620" s="50">
        <v>1490000</v>
      </c>
      <c r="N620" s="48" t="inlineStr">
        <is>
          <t xml:space="preserve">Personal</t>
        </is>
      </c>
      <c r="O620" s="46" t="inlineStr">
        <is>
          <t xml:space="preserve">Personal - regular use</t>
        </is>
      </c>
      <c r="P620" s="46" t="inlineStr">
        <is>
          <t xml:space="preserve">Under 1,000</t>
        </is>
      </c>
      <c r="Q620" s="46" t="inlineStr">
        <is>
          <t xml:space="preserve">New Jersey</t>
        </is>
      </c>
      <c r="R620" s="46" t="inlineStr">
        <is>
          <t xml:space="preserve">07102</t>
        </is>
      </c>
      <c r="S620" s="48" t="inlineStr">
        <is>
          <t xml:space="preserve">Tier 3 - Coastal wind (25-100 miles)</t>
        </is>
      </c>
      <c r="T620" s="36">
        <f>IF($A620="","",IF($S620="","",IFERROR(INDEX('[1]natural catastrophe'!$D$6:$D$17,MATCH($S620,'[1]natural catastrophe'!$B$6:$B$17,0)),"?")))</f>
      </c>
      <c r="U620" s="46" t="inlineStr">
        <is>
          <t xml:space="preserve">2% of agreed value, minimum $10,000</t>
        </is>
      </c>
      <c r="V620" s="48" t="inlineStr">
        <is>
          <t xml:space="preserve">Agreed Value</t>
        </is>
      </c>
      <c r="W620" s="46" t="inlineStr">
        <is>
          <t xml:space="preserve">$1,000</t>
        </is>
      </c>
      <c r="X620" s="48" t="inlineStr">
        <is>
          <t xml:space="preserve">$1,000,000 CSL</t>
        </is>
      </c>
      <c r="Y620" s="46"/>
      <c r="Z620" s="46"/>
      <c r="AA620" s="48" t="inlineStr">
        <is>
          <t xml:space="preserve">Surplus Lines</t>
        </is>
      </c>
      <c r="AB620" s="50">
        <v>10707.77</v>
      </c>
      <c r="AC620" s="51">
        <v>0</v>
      </c>
      <c r="AD620" s="38">
        <f>IF(ISNUMBER($AB620),$AB620*(1+N($AC620)),"")</f>
      </c>
      <c r="AE620" s="50">
        <v>350</v>
      </c>
      <c r="AF620" s="50">
        <v>250</v>
      </c>
      <c r="AG620" s="51"/>
      <c r="AH620" s="39">
        <f>IF(ISNUMBER($AD620),($AD620+$AE620+$AF620)*$AG620,"")</f>
      </c>
      <c r="AI620" s="50"/>
      <c r="AJ620" s="38">
        <f>IF(ISNUMBER($AD620),SUM($AD620:$AH620),"")</f>
      </c>
      <c r="AK620" s="40">
        <f>IF(AND(ISNUMBER($AB620),ISNUMBER($AD620)),IF($AB620&gt;0,$AD620/$AB620,""),"")</f>
      </c>
      <c r="AL620" s="48" t="inlineStr">
        <is>
          <t xml:space="preserve">At technical</t>
        </is>
      </c>
      <c r="AM620" s="41">
        <f>IF(ISNUMBER($AD620),Header!$I$3,"")</f>
      </c>
      <c r="AN620" s="39">
        <f>IF(ISNUMBER($AD620),$AO620+$AP620,"")</f>
      </c>
      <c r="AO620" s="39">
        <f>IF(ISNUMBER($AD620),ROUND($AD620*Header!$K$3,2),"")</f>
      </c>
      <c r="AP620" s="39">
        <f>IF(ISNUMBER($AD620),ROUND($AD620*Header!$M$3,2),"")</f>
      </c>
      <c r="AQ620" s="38">
        <f>IF(ISNUMBER($AD620),ROUND($AD620,2)-$AO620-$AP620,"")</f>
      </c>
      <c r="AR620" s="39">
        <f>IF(ISNUMBER($AD620),IF(Header!$D$34="","?",$AD620*Header!$D$34),"")</f>
      </c>
      <c r="AS620" s="39">
        <f>IF(ISNUMBER($AB620),IF(Header!$D$34="","?",$AB620*Header!$D$34),"")</f>
      </c>
      <c r="AT620" s="42">
        <f>IF(AND(ISNUMBER($AB620),$M620&gt;0),$AB620/$M620*100,"")</f>
      </c>
      <c r="AU620" s="42">
        <f>IF(AND(ISNUMBER($AD620),$M620&gt;0),$AD620/$M620*100,"")</f>
      </c>
      <c r="AV620" s="40">
        <f>IF(AND(ISNUMBER($AB620),ISNUMBER($AD620),ABS($AB620)&gt;0),$AD620/$AB620,"")</f>
      </c>
      <c r="AW620" s="39">
        <f>IF(ISNUMBER($AD620),MAX(0,(1-0.55-Header!$O$3)*Header!$Q$3*$AQ620),"")</f>
      </c>
      <c r="AX620" s="43">
        <f>IF($A620="","",IF(TRIM(IF($A620="","Missing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",""))="","PASS","FAIL: "&amp;TRIM(IF($A620="","Missing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f>
      </c>
      <c r="AY620" s="44">
        <f>IF($M620="","",IF(ISNUMBER($M620),IF($M620&gt;=Header!$C$18,"YES — refer","No"),""))</f>
      </c>
      <c r="AZ620" s="44">
        <f>IF($AD620="","",IF(ISNUMBER($AD620),IF($AD620&lt;Header!$C$20,"BELOW MIN PREMIUM","OK"),""))</f>
      </c>
      <c r="BA620" s="48" t="inlineStr">
        <is>
          <t xml:space="preserve">Yes</t>
        </is>
      </c>
      <c r="BB620" s="48" t="inlineStr">
        <is>
          <t xml:space="preserve">Yes</t>
        </is>
      </c>
      <c r="BC620" s="46" t="inlineStr">
        <is>
          <t xml:space="preserve">Synthetic demo data</t>
        </is>
      </c>
      <c r="BE620" s="45">
        <f>IF(OR($A620="",$L620="",$H620=""),"",IF(AND(LEFT($L620,2)="06",$H620&gt;1945),"FAIL - pre-war class, year "&amp;$H620,IF(AND(LEFT($L620,2)="07",OR($H620&lt;1946,$H620&gt;1972)),"FAIL - 1946-72 class, year "&amp;$H620,IF(AND(LEFT($L620,2)="08",OR($H620&lt;1973,$H620&gt;1999)),"FAIL - 1973-99 class, year "&amp;$H620,IF(AND(LEFT($L620,2)="09",OR($H620&lt;2000,$H620&gt;2010)),"FAIL - 2000-10 class, year "&amp;$H620,"OK")))))</f>
      </c>
      <c r="BF620" s="45">
        <f>IF($AD620="","",IF(ROUND($AO620+$AP620+$AQ620-$AD620,2)=0,"OK","FAIL - out by "&amp;TEXT($AO620+$AP620+$AQ620-$AD620,"$0.00")))</f>
      </c>
    </row>
    <row r="621" spans="1:58" ht="18.75" customHeight="1" x14ac:dyDescent="0.25">
      <c r="A621" s="30" t="inlineStr">
        <is>
          <t xml:space="preserve">CANON-202607-010371</t>
        </is>
      </c>
      <c r="B621" s="30" t="inlineStr">
        <is>
          <t xml:space="preserve">Everett Okonkwo</t>
        </is>
      </c>
      <c r="C621" s="31">
        <v>46204</v>
      </c>
      <c r="D621" s="32" t="inlineStr">
        <is>
          <t xml:space="preserve">Bound - within authority</t>
        </is>
      </c>
      <c r="E621" s="32" t="inlineStr">
        <is>
          <t xml:space="preserve">New business</t>
        </is>
      </c>
      <c r="F621" s="30" t="inlineStr">
        <is>
          <t xml:space="preserve">B1234EXOTIC26</t>
        </is>
      </c>
      <c r="G621" s="33">
        <f>IF($A621="","",IF($C621="","",YEAR($C621)))</f>
      </c>
      <c r="H621" s="34">
        <v>2009</v>
      </c>
      <c r="I621" s="30" t="inlineStr">
        <is>
          <t xml:space="preserve">Lamborghini</t>
        </is>
      </c>
      <c r="J621" s="30" t="inlineStr">
        <is>
          <t xml:space="preserve">Huracan EVO</t>
        </is>
      </c>
      <c r="K621" s="30" t="inlineStr">
        <is>
          <t xml:space="preserve">E1B1K7E52F9Z97XNY</t>
        </is>
      </c>
      <c r="L621" s="32" t="inlineStr">
        <is>
          <t xml:space="preserve">03 - Supercar</t>
        </is>
      </c>
      <c r="M621" s="35">
        <v>240000</v>
      </c>
      <c r="N621" s="32" t="inlineStr">
        <is>
          <t xml:space="preserve">Personal</t>
        </is>
      </c>
      <c r="O621" s="30" t="inlineStr">
        <is>
          <t xml:space="preserve">Personal - regular use</t>
        </is>
      </c>
      <c r="P621" s="30" t="inlineStr">
        <is>
          <t xml:space="preserve">2,500 - 5,000</t>
        </is>
      </c>
      <c r="Q621" s="30" t="inlineStr">
        <is>
          <t xml:space="preserve">Colorado</t>
        </is>
      </c>
      <c r="R621" s="30" t="inlineStr">
        <is>
          <t xml:space="preserve">80202</t>
        </is>
      </c>
      <c r="S621" s="32" t="inlineStr">
        <is>
          <t xml:space="preserve">Severe convective - hail alley (high)</t>
        </is>
      </c>
      <c r="T621" s="36">
        <f>IF($A621="","",IF($S621="","",IFERROR(INDEX('[1]natural catastrophe'!$D$6:$D$17,MATCH($S621,'[1]natural catastrophe'!$B$6:$B$17,0)),"?")))</f>
      </c>
      <c r="U621" s="30" t="inlineStr">
        <is>
          <t xml:space="preserve">$5,000</t>
        </is>
      </c>
      <c r="V621" s="32" t="inlineStr">
        <is>
          <t xml:space="preserve">Agreed Value</t>
        </is>
      </c>
      <c r="W621" s="30" t="inlineStr">
        <is>
          <t xml:space="preserve">$1,000</t>
        </is>
      </c>
      <c r="X621" s="32" t="inlineStr">
        <is>
          <t xml:space="preserve">$1,000,000 CSL</t>
        </is>
      </c>
      <c r="Y621" s="30"/>
      <c r="Z621" s="30"/>
      <c r="AA621" s="32" t="inlineStr">
        <is>
          <t xml:space="preserve">Surplus Lines</t>
        </is>
      </c>
      <c r="AB621" s="35">
        <v>5382.71</v>
      </c>
      <c r="AC621" s="37">
        <v>0</v>
      </c>
      <c r="AD621" s="38">
        <f>IF(ISNUMBER($AB621),$AB621*(1+N($AC621)),"")</f>
      </c>
      <c r="AE621" s="35">
        <v>350</v>
      </c>
      <c r="AF621" s="35">
        <v>0</v>
      </c>
      <c r="AG621" s="37"/>
      <c r="AH621" s="39">
        <f>IF(ISNUMBER($AD621),($AD621+$AE621+$AF621)*$AG621,"")</f>
      </c>
      <c r="AI621" s="35"/>
      <c r="AJ621" s="38">
        <f>IF(ISNUMBER($AD621),SUM($AD621:$AH621),"")</f>
      </c>
      <c r="AK621" s="40">
        <f>IF(AND(ISNUMBER($AB621),ISNUMBER($AD621)),IF($AB621&gt;0,$AD621/$AB621,""),"")</f>
      </c>
      <c r="AL621" s="32" t="inlineStr">
        <is>
          <t xml:space="preserve">At technical</t>
        </is>
      </c>
      <c r="AM621" s="41">
        <f>IF(ISNUMBER($AD621),Header!$I$3,"")</f>
      </c>
      <c r="AN621" s="39">
        <f>IF(ISNUMBER($AD621),$AO621+$AP621,"")</f>
      </c>
      <c r="AO621" s="39">
        <f>IF(ISNUMBER($AD621),ROUND($AD621*Header!$K$3,2),"")</f>
      </c>
      <c r="AP621" s="39">
        <f>IF(ISNUMBER($AD621),ROUND($AD621*Header!$M$3,2),"")</f>
      </c>
      <c r="AQ621" s="38">
        <f>IF(ISNUMBER($AD621),ROUND($AD621,2)-$AO621-$AP621,"")</f>
      </c>
      <c r="AR621" s="39">
        <f>IF(ISNUMBER($AD621),IF(Header!$D$34="","?",$AD621*Header!$D$34),"")</f>
      </c>
      <c r="AS621" s="39">
        <f>IF(ISNUMBER($AB621),IF(Header!$D$34="","?",$AB621*Header!$D$34),"")</f>
      </c>
      <c r="AT621" s="42">
        <f>IF(AND(ISNUMBER($AB621),$M621&gt;0),$AB621/$M621*100,"")</f>
      </c>
      <c r="AU621" s="42">
        <f>IF(AND(ISNUMBER($AD621),$M621&gt;0),$AD621/$M621*100,"")</f>
      </c>
      <c r="AV621" s="40">
        <f>IF(AND(ISNUMBER($AB621),ISNUMBER($AD621),ABS($AB621)&gt;0),$AD621/$AB621,"")</f>
      </c>
      <c r="AW621" s="39">
        <f>IF(ISNUMBER($AD621),MAX(0,(1-0.55-Header!$O$3)*Header!$Q$3*$AQ621),"")</f>
      </c>
      <c r="AX621" s="43">
        <f>IF($A621="","",IF(TRIM(IF($A621="","Missing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",""))="","PASS","FAIL: "&amp;TRIM(IF($A621="","Missing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f>
      </c>
      <c r="AY621" s="44">
        <f>IF($M621="","",IF(ISNUMBER($M621),IF($M621&gt;=Header!$C$18,"YES — refer","No"),""))</f>
      </c>
      <c r="AZ621" s="44">
        <f>IF($AD621="","",IF(ISNUMBER($AD621),IF($AD621&lt;Header!$C$20,"BELOW MIN PREMIUM","OK"),""))</f>
      </c>
      <c r="BA621" s="32" t="inlineStr">
        <is>
          <t xml:space="preserve">Yes</t>
        </is>
      </c>
      <c r="BB621" s="32" t="inlineStr">
        <is>
          <t xml:space="preserve">Yes</t>
        </is>
      </c>
      <c r="BC621" s="30" t="inlineStr">
        <is>
          <t xml:space="preserve">Synthetic demo data</t>
        </is>
      </c>
      <c r="BE621" s="45">
        <f>IF(OR($A621="",$L621="",$H621=""),"",IF(AND(LEFT($L621,2)="06",$H621&gt;1945),"FAIL - pre-war class, year "&amp;$H621,IF(AND(LEFT($L621,2)="07",OR($H621&lt;1946,$H621&gt;1972)),"FAIL - 1946-72 class, year "&amp;$H621,IF(AND(LEFT($L621,2)="08",OR($H621&lt;1973,$H621&gt;1999)),"FAIL - 1973-99 class, year "&amp;$H621,IF(AND(LEFT($L621,2)="09",OR($H621&lt;2000,$H621&gt;2010)),"FAIL - 2000-10 class, year "&amp;$H621,"OK")))))</f>
      </c>
      <c r="BF621" s="45">
        <f>IF($AD621="","",IF(ROUND($AO621+$AP621+$AQ621-$AD621,2)=0,"OK","FAIL - out by "&amp;TEXT($AO621+$AP621+$AQ621-$AD621,"$0.00")))</f>
      </c>
    </row>
    <row r="622" spans="1:58" ht="18.75" customHeight="1" x14ac:dyDescent="0.25">
      <c r="A622" s="46" t="inlineStr">
        <is>
          <t xml:space="preserve">CANON-202607-010372</t>
        </is>
      </c>
      <c r="B622" s="46" t="inlineStr">
        <is>
          <t xml:space="preserve">Ingrid Chattopadhyay</t>
        </is>
      </c>
      <c r="C622" s="47">
        <v>46234</v>
      </c>
      <c r="D622" s="48" t="inlineStr">
        <is>
          <t xml:space="preserve">Bound - within authority</t>
        </is>
      </c>
      <c r="E622" s="48" t="inlineStr">
        <is>
          <t xml:space="preserve">New business</t>
        </is>
      </c>
      <c r="F622" s="46" t="inlineStr">
        <is>
          <t xml:space="preserve">B1234EXOTIC26</t>
        </is>
      </c>
      <c r="G622" s="33">
        <f>IF($A622="","",IF($C622="","",YEAR($C622)))</f>
      </c>
      <c r="H622" s="49">
        <v>1977</v>
      </c>
      <c r="I622" s="46" t="inlineStr">
        <is>
          <t xml:space="preserve">Bentley</t>
        </is>
      </c>
      <c r="J622" s="46" t="inlineStr">
        <is>
          <t xml:space="preserve">Continental GT</t>
        </is>
      </c>
      <c r="K622" s="46" t="inlineStr">
        <is>
          <t xml:space="preserve">GS910P6RZ7SD5R0DA</t>
        </is>
      </c>
      <c r="L622" s="48" t="inlineStr">
        <is>
          <t xml:space="preserve">02 - Sports / GT</t>
        </is>
      </c>
      <c r="M622" s="50">
        <v>680000</v>
      </c>
      <c r="N622" s="48" t="inlineStr">
        <is>
          <t xml:space="preserve">Personal</t>
        </is>
      </c>
      <c r="O622" s="46" t="inlineStr">
        <is>
          <t xml:space="preserve">Personal - regular use</t>
        </is>
      </c>
      <c r="P622" s="46" t="inlineStr">
        <is>
          <t xml:space="preserve">2,500 - 5,000</t>
        </is>
      </c>
      <c r="Q622" s="46" t="inlineStr">
        <is>
          <t xml:space="preserve">California</t>
        </is>
      </c>
      <c r="R622" s="46" t="inlineStr">
        <is>
          <t xml:space="preserve">90012</t>
        </is>
      </c>
      <c r="S622" s="48" t="inlineStr">
        <is>
          <t xml:space="preserve">Earthquake - high (CA, Cascadia, New Madrid)</t>
        </is>
      </c>
      <c r="T622" s="36">
        <f>IF($A622="","",IF($S622="","",IFERROR(INDEX('[1]natural catastrophe'!$D$6:$D$17,MATCH($S622,'[1]natural catastrophe'!$B$6:$B$17,0)),"?")))</f>
      </c>
      <c r="U622" s="46" t="inlineStr">
        <is>
          <t xml:space="preserve">$5,000</t>
        </is>
      </c>
      <c r="V622" s="48" t="inlineStr">
        <is>
          <t xml:space="preserve">Agreed Value</t>
        </is>
      </c>
      <c r="W622" s="46" t="inlineStr">
        <is>
          <t xml:space="preserve">$1,000</t>
        </is>
      </c>
      <c r="X622" s="48" t="inlineStr">
        <is>
          <t xml:space="preserve">$1,000,000 CSL</t>
        </is>
      </c>
      <c r="Y622" s="46"/>
      <c r="Z622" s="46"/>
      <c r="AA622" s="48" t="inlineStr">
        <is>
          <t xml:space="preserve">Surplus Lines</t>
        </is>
      </c>
      <c r="AB622" s="50">
        <v>8567.71</v>
      </c>
      <c r="AC622" s="51">
        <v>0</v>
      </c>
      <c r="AD622" s="38">
        <f>IF(ISNUMBER($AB622),$AB622*(1+N($AC622)),"")</f>
      </c>
      <c r="AE622" s="50">
        <v>350</v>
      </c>
      <c r="AF622" s="50">
        <v>0</v>
      </c>
      <c r="AG622" s="51"/>
      <c r="AH622" s="39">
        <f>IF(ISNUMBER($AD622),($AD622+$AE622+$AF622)*$AG622,"")</f>
      </c>
      <c r="AI622" s="50"/>
      <c r="AJ622" s="38">
        <f>IF(ISNUMBER($AD622),SUM($AD622:$AH622),"")</f>
      </c>
      <c r="AK622" s="40">
        <f>IF(AND(ISNUMBER($AB622),ISNUMBER($AD622)),IF($AB622&gt;0,$AD622/$AB622,""),"")</f>
      </c>
      <c r="AL622" s="48" t="inlineStr">
        <is>
          <t xml:space="preserve">At technical</t>
        </is>
      </c>
      <c r="AM622" s="41">
        <f>IF(ISNUMBER($AD622),Header!$I$3,"")</f>
      </c>
      <c r="AN622" s="39">
        <f>IF(ISNUMBER($AD622),$AO622+$AP622,"")</f>
      </c>
      <c r="AO622" s="39">
        <f>IF(ISNUMBER($AD622),ROUND($AD622*Header!$K$3,2),"")</f>
      </c>
      <c r="AP622" s="39">
        <f>IF(ISNUMBER($AD622),ROUND($AD622*Header!$M$3,2),"")</f>
      </c>
      <c r="AQ622" s="38">
        <f>IF(ISNUMBER($AD622),ROUND($AD622,2)-$AO622-$AP622,"")</f>
      </c>
      <c r="AR622" s="39">
        <f>IF(ISNUMBER($AD622),IF(Header!$D$34="","?",$AD622*Header!$D$34),"")</f>
      </c>
      <c r="AS622" s="39">
        <f>IF(ISNUMBER($AB622),IF(Header!$D$34="","?",$AB622*Header!$D$34),"")</f>
      </c>
      <c r="AT622" s="42">
        <f>IF(AND(ISNUMBER($AB622),$M622&gt;0),$AB622/$M622*100,"")</f>
      </c>
      <c r="AU622" s="42">
        <f>IF(AND(ISNUMBER($AD622),$M622&gt;0),$AD622/$M622*100,"")</f>
      </c>
      <c r="AV622" s="40">
        <f>IF(AND(ISNUMBER($AB622),ISNUMBER($AD622),ABS($AB622)&gt;0),$AD622/$AB622,"")</f>
      </c>
      <c r="AW622" s="39">
        <f>IF(ISNUMBER($AD622),MAX(0,(1-0.55-Header!$O$3)*Header!$Q$3*$AQ622),"")</f>
      </c>
      <c r="AX622" s="43">
        <f>IF($A622="","",IF(TRIM(IF($A622="","Missing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",""))="","PASS","FAIL: "&amp;TRIM(IF($A622="","Missing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f>
      </c>
      <c r="AY622" s="44">
        <f>IF($M622="","",IF(ISNUMBER($M622),IF($M622&gt;=Header!$C$18,"YES — refer","No"),""))</f>
      </c>
      <c r="AZ622" s="44">
        <f>IF($AD622="","",IF(ISNUMBER($AD622),IF($AD622&lt;Header!$C$20,"BELOW MIN PREMIUM","OK"),""))</f>
      </c>
      <c r="BA622" s="48" t="inlineStr">
        <is>
          <t xml:space="preserve">Yes</t>
        </is>
      </c>
      <c r="BB622" s="48" t="inlineStr">
        <is>
          <t xml:space="preserve">Yes</t>
        </is>
      </c>
      <c r="BC622" s="46" t="inlineStr">
        <is>
          <t xml:space="preserve">Synthetic demo data</t>
        </is>
      </c>
      <c r="BE622" s="45">
        <f>IF(OR($A622="",$L622="",$H622=""),"",IF(AND(LEFT($L622,2)="06",$H622&gt;1945),"FAIL - pre-war class, year "&amp;$H622,IF(AND(LEFT($L622,2)="07",OR($H622&lt;1946,$H622&gt;1972)),"FAIL - 1946-72 class, year "&amp;$H622,IF(AND(LEFT($L622,2)="08",OR($H622&lt;1973,$H622&gt;1999)),"FAIL - 1973-99 class, year "&amp;$H622,IF(AND(LEFT($L622,2)="09",OR($H622&lt;2000,$H622&gt;2010)),"FAIL - 2000-10 class, year "&amp;$H622,"OK")))))</f>
      </c>
      <c r="BF622" s="45">
        <f>IF($AD622="","",IF(ROUND($AO622+$AP622+$AQ622-$AD622,2)=0,"OK","FAIL - out by "&amp;TEXT($AO622+$AP622+$AQ622-$AD622,"$0.00")))</f>
      </c>
    </row>
    <row r="623" spans="1:58" ht="18.75" customHeight="1" x14ac:dyDescent="0.25">
      <c r="A623" s="30" t="inlineStr">
        <is>
          <t xml:space="preserve">CANON-202607-010377</t>
        </is>
      </c>
      <c r="B623" s="30" t="inlineStr">
        <is>
          <t xml:space="preserve">Mireille Vandermeer</t>
        </is>
      </c>
      <c r="C623" s="31">
        <v>46214</v>
      </c>
      <c r="D623" s="32" t="inlineStr">
        <is>
          <t xml:space="preserve">Bound - within authority</t>
        </is>
      </c>
      <c r="E623" s="32" t="inlineStr">
        <is>
          <t xml:space="preserve">New business</t>
        </is>
      </c>
      <c r="F623" s="30" t="inlineStr">
        <is>
          <t xml:space="preserve">B1234EXOTIC26</t>
        </is>
      </c>
      <c r="G623" s="33">
        <f>IF($A623="","",IF($C623="","",YEAR($C623)))</f>
      </c>
      <c r="H623" s="34">
        <v>1967</v>
      </c>
      <c r="I623" s="30" t="inlineStr">
        <is>
          <t xml:space="preserve">Aston Martin</t>
        </is>
      </c>
      <c r="J623" s="30" t="inlineStr">
        <is>
          <t xml:space="preserve">DB12</t>
        </is>
      </c>
      <c r="K623" s="30" t="inlineStr">
        <is>
          <t xml:space="preserve">C81BXA3ZZXWU1028J</t>
        </is>
      </c>
      <c r="L623" s="32" t="inlineStr">
        <is>
          <t xml:space="preserve">02 - Sports / GT</t>
        </is>
      </c>
      <c r="M623" s="35">
        <v>475000</v>
      </c>
      <c r="N623" s="32" t="inlineStr">
        <is>
          <t xml:space="preserve">Personal</t>
        </is>
      </c>
      <c r="O623" s="30" t="inlineStr">
        <is>
          <t xml:space="preserve">Personal - regular use</t>
        </is>
      </c>
      <c r="P623" s="30" t="inlineStr">
        <is>
          <t xml:space="preserve">2,500 - 5,000</t>
        </is>
      </c>
      <c r="Q623" s="30" t="inlineStr">
        <is>
          <t xml:space="preserve">Tennessee</t>
        </is>
      </c>
      <c r="R623" s="30" t="inlineStr">
        <is>
          <t xml:space="preserve">37203</t>
        </is>
      </c>
      <c r="S623" s="32" t="inlineStr">
        <is>
          <t xml:space="preserve">Severe convective - hail / tornado (moderate)</t>
        </is>
      </c>
      <c r="T623" s="36">
        <f>IF($A623="","",IF($S623="","",IFERROR(INDEX('[1]natural catastrophe'!$D$6:$D$17,MATCH($S623,'[1]natural catastrophe'!$B$6:$B$17,0)),"?")))</f>
      </c>
      <c r="U623" s="30" t="inlineStr">
        <is>
          <t xml:space="preserve">$5,000</t>
        </is>
      </c>
      <c r="V623" s="32" t="inlineStr">
        <is>
          <t xml:space="preserve">Agreed Value</t>
        </is>
      </c>
      <c r="W623" s="30" t="inlineStr">
        <is>
          <t xml:space="preserve">$1,000</t>
        </is>
      </c>
      <c r="X623" s="32" t="inlineStr">
        <is>
          <t xml:space="preserve">$1,000,000 CSL</t>
        </is>
      </c>
      <c r="Y623" s="30"/>
      <c r="Z623" s="30"/>
      <c r="AA623" s="32" t="inlineStr">
        <is>
          <t xml:space="preserve">Surplus Lines</t>
        </is>
      </c>
      <c r="AB623" s="35">
        <v>5012.9</v>
      </c>
      <c r="AC623" s="37">
        <v>0</v>
      </c>
      <c r="AD623" s="38">
        <f>IF(ISNUMBER($AB623),$AB623*(1+N($AC623)),"")</f>
      </c>
      <c r="AE623" s="35">
        <v>350</v>
      </c>
      <c r="AF623" s="35">
        <v>0</v>
      </c>
      <c r="AG623" s="37"/>
      <c r="AH623" s="39">
        <f>IF(ISNUMBER($AD623),($AD623+$AE623+$AF623)*$AG623,"")</f>
      </c>
      <c r="AI623" s="35"/>
      <c r="AJ623" s="38">
        <f>IF(ISNUMBER($AD623),SUM($AD623:$AH623),"")</f>
      </c>
      <c r="AK623" s="40">
        <f>IF(AND(ISNUMBER($AB623),ISNUMBER($AD623)),IF($AB623&gt;0,$AD623/$AB623,""),"")</f>
      </c>
      <c r="AL623" s="32" t="inlineStr">
        <is>
          <t xml:space="preserve">At technical</t>
        </is>
      </c>
      <c r="AM623" s="41">
        <f>IF(ISNUMBER($AD623),Header!$I$3,"")</f>
      </c>
      <c r="AN623" s="39">
        <f>IF(ISNUMBER($AD623),$AO623+$AP623,"")</f>
      </c>
      <c r="AO623" s="39">
        <f>IF(ISNUMBER($AD623),ROUND($AD623*Header!$K$3,2),"")</f>
      </c>
      <c r="AP623" s="39">
        <f>IF(ISNUMBER($AD623),ROUND($AD623*Header!$M$3,2),"")</f>
      </c>
      <c r="AQ623" s="38">
        <f>IF(ISNUMBER($AD623),ROUND($AD623,2)-$AO623-$AP623,"")</f>
      </c>
      <c r="AR623" s="39">
        <f>IF(ISNUMBER($AD623),IF(Header!$D$34="","?",$AD623*Header!$D$34),"")</f>
      </c>
      <c r="AS623" s="39">
        <f>IF(ISNUMBER($AB623),IF(Header!$D$34="","?",$AB623*Header!$D$34),"")</f>
      </c>
      <c r="AT623" s="42">
        <f>IF(AND(ISNUMBER($AB623),$M623&gt;0),$AB623/$M623*100,"")</f>
      </c>
      <c r="AU623" s="42">
        <f>IF(AND(ISNUMBER($AD623),$M623&gt;0),$AD623/$M623*100,"")</f>
      </c>
      <c r="AV623" s="40">
        <f>IF(AND(ISNUMBER($AB623),ISNUMBER($AD623),ABS($AB623)&gt;0),$AD623/$AB623,"")</f>
      </c>
      <c r="AW623" s="39">
        <f>IF(ISNUMBER($AD623),MAX(0,(1-0.55-Header!$O$3)*Header!$Q$3*$AQ623),"")</f>
      </c>
      <c r="AX623" s="43">
        <f>IF($A623="","",IF(TRIM(IF($A623="","Missing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",""))="","PASS","FAIL: "&amp;TRIM(IF($A623="","Missing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f>
      </c>
      <c r="AY623" s="44">
        <f>IF($M623="","",IF(ISNUMBER($M623),IF($M623&gt;=Header!$C$18,"YES — refer","No"),""))</f>
      </c>
      <c r="AZ623" s="44">
        <f>IF($AD623="","",IF(ISNUMBER($AD623),IF($AD623&lt;Header!$C$20,"BELOW MIN PREMIUM","OK"),""))</f>
      </c>
      <c r="BA623" s="32" t="inlineStr">
        <is>
          <t xml:space="preserve">Yes</t>
        </is>
      </c>
      <c r="BB623" s="32" t="inlineStr">
        <is>
          <t xml:space="preserve">Yes</t>
        </is>
      </c>
      <c r="BC623" s="30" t="inlineStr">
        <is>
          <t xml:space="preserve">Synthetic demo data</t>
        </is>
      </c>
      <c r="BE623" s="45">
        <f>IF(OR($A623="",$L623="",$H623=""),"",IF(AND(LEFT($L623,2)="06",$H623&gt;1945),"FAIL - pre-war class, year "&amp;$H623,IF(AND(LEFT($L623,2)="07",OR($H623&lt;1946,$H623&gt;1972)),"FAIL - 1946-72 class, year "&amp;$H623,IF(AND(LEFT($L623,2)="08",OR($H623&lt;1973,$H623&gt;1999)),"FAIL - 1973-99 class, year "&amp;$H623,IF(AND(LEFT($L623,2)="09",OR($H623&lt;2000,$H623&gt;2010)),"FAIL - 2000-10 class, year "&amp;$H623,"OK")))))</f>
      </c>
      <c r="BF623" s="45">
        <f>IF($AD623="","",IF(ROUND($AO623+$AP623+$AQ623-$AD623,2)=0,"OK","FAIL - out by "&amp;TEXT($AO623+$AP623+$AQ623-$AD623,"$0.00")))</f>
      </c>
    </row>
    <row r="624" spans="1:58" ht="18.75" customHeight="1" x14ac:dyDescent="0.25">
      <c r="A624" s="46" t="inlineStr">
        <is>
          <t xml:space="preserve">CANON-202607-010379</t>
        </is>
      </c>
      <c r="B624" s="46" t="inlineStr">
        <is>
          <t xml:space="preserve">Fenwick Harrington</t>
        </is>
      </c>
      <c r="C624" s="47">
        <v>46234</v>
      </c>
      <c r="D624" s="48" t="inlineStr">
        <is>
          <t xml:space="preserve">Bound - within authority</t>
        </is>
      </c>
      <c r="E624" s="48" t="inlineStr">
        <is>
          <t xml:space="preserve">New business</t>
        </is>
      </c>
      <c r="F624" s="46" t="inlineStr">
        <is>
          <t xml:space="preserve">B1234EXOTIC26</t>
        </is>
      </c>
      <c r="G624" s="33">
        <f>IF($A624="","",IF($C624="","",YEAR($C624)))</f>
      </c>
      <c r="H624" s="49">
        <v>1997</v>
      </c>
      <c r="I624" s="46" t="inlineStr">
        <is>
          <t xml:space="preserve">Ferrari</t>
        </is>
      </c>
      <c r="J624" s="46" t="inlineStr">
        <is>
          <t xml:space="preserve">296 GTB</t>
        </is>
      </c>
      <c r="K624" s="46" t="inlineStr">
        <is>
          <t xml:space="preserve">P667DT8TLN429BYHK</t>
        </is>
      </c>
      <c r="L624" s="48" t="inlineStr">
        <is>
          <t xml:space="preserve">03 - Supercar</t>
        </is>
      </c>
      <c r="M624" s="50">
        <v>1195000</v>
      </c>
      <c r="N624" s="48" t="inlineStr">
        <is>
          <t xml:space="preserve">Personal</t>
        </is>
      </c>
      <c r="O624" s="46" t="inlineStr">
        <is>
          <t xml:space="preserve">Personal - regular use</t>
        </is>
      </c>
      <c r="P624" s="46" t="inlineStr">
        <is>
          <t xml:space="preserve">1,000 - 2,500</t>
        </is>
      </c>
      <c r="Q624" s="46" t="inlineStr">
        <is>
          <t xml:space="preserve">Idaho</t>
        </is>
      </c>
      <c r="R624" s="46" t="inlineStr">
        <is>
          <t xml:space="preserve">83702</t>
        </is>
      </c>
      <c r="S624" s="48" t="inlineStr">
        <is>
          <t xml:space="preserve">Wildfire - WUI high hazard</t>
        </is>
      </c>
      <c r="T624" s="36">
        <f>IF($A624="","",IF($S624="","",IFERROR(INDEX('[1]natural catastrophe'!$D$6:$D$17,MATCH($S624,'[1]natural catastrophe'!$B$6:$B$17,0)),"?")))</f>
      </c>
      <c r="U624" s="46" t="inlineStr">
        <is>
          <t xml:space="preserve">$5,000</t>
        </is>
      </c>
      <c r="V624" s="48" t="inlineStr">
        <is>
          <t xml:space="preserve">Agreed Value</t>
        </is>
      </c>
      <c r="W624" s="46" t="inlineStr">
        <is>
          <t xml:space="preserve">$1,000</t>
        </is>
      </c>
      <c r="X624" s="48" t="inlineStr">
        <is>
          <t xml:space="preserve">$1,000,000 CSL</t>
        </is>
      </c>
      <c r="Y624" s="46"/>
      <c r="Z624" s="46"/>
      <c r="AA624" s="48" t="inlineStr">
        <is>
          <t xml:space="preserve">Surplus Lines</t>
        </is>
      </c>
      <c r="AB624" s="50">
        <v>13589.45</v>
      </c>
      <c r="AC624" s="51">
        <v>0</v>
      </c>
      <c r="AD624" s="38">
        <f>IF(ISNUMBER($AB624),$AB624*(1+N($AC624)),"")</f>
      </c>
      <c r="AE624" s="50">
        <v>350</v>
      </c>
      <c r="AF624" s="50">
        <v>250</v>
      </c>
      <c r="AG624" s="51"/>
      <c r="AH624" s="39">
        <f>IF(ISNUMBER($AD624),($AD624+$AE624+$AF624)*$AG624,"")</f>
      </c>
      <c r="AI624" s="50"/>
      <c r="AJ624" s="38">
        <f>IF(ISNUMBER($AD624),SUM($AD624:$AH624),"")</f>
      </c>
      <c r="AK624" s="40">
        <f>IF(AND(ISNUMBER($AB624),ISNUMBER($AD624)),IF($AB624&gt;0,$AD624/$AB624,""),"")</f>
      </c>
      <c r="AL624" s="48" t="inlineStr">
        <is>
          <t xml:space="preserve">At technical</t>
        </is>
      </c>
      <c r="AM624" s="41">
        <f>IF(ISNUMBER($AD624),Header!$I$3,"")</f>
      </c>
      <c r="AN624" s="39">
        <f>IF(ISNUMBER($AD624),$AO624+$AP624,"")</f>
      </c>
      <c r="AO624" s="39">
        <f>IF(ISNUMBER($AD624),ROUND($AD624*Header!$K$3,2),"")</f>
      </c>
      <c r="AP624" s="39">
        <f>IF(ISNUMBER($AD624),ROUND($AD624*Header!$M$3,2),"")</f>
      </c>
      <c r="AQ624" s="38">
        <f>IF(ISNUMBER($AD624),ROUND($AD624,2)-$AO624-$AP624,"")</f>
      </c>
      <c r="AR624" s="39">
        <f>IF(ISNUMBER($AD624),IF(Header!$D$34="","?",$AD624*Header!$D$34),"")</f>
      </c>
      <c r="AS624" s="39">
        <f>IF(ISNUMBER($AB624),IF(Header!$D$34="","?",$AB624*Header!$D$34),"")</f>
      </c>
      <c r="AT624" s="42">
        <f>IF(AND(ISNUMBER($AB624),$M624&gt;0),$AB624/$M624*100,"")</f>
      </c>
      <c r="AU624" s="42">
        <f>IF(AND(ISNUMBER($AD624),$M624&gt;0),$AD624/$M624*100,"")</f>
      </c>
      <c r="AV624" s="40">
        <f>IF(AND(ISNUMBER($AB624),ISNUMBER($AD624),ABS($AB624)&gt;0),$AD624/$AB624,"")</f>
      </c>
      <c r="AW624" s="39">
        <f>IF(ISNUMBER($AD624),MAX(0,(1-0.55-Header!$O$3)*Header!$Q$3*$AQ624),"")</f>
      </c>
      <c r="AX624" s="43">
        <f>IF($A624="","",IF(TRIM(IF($A624="","Missing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",""))="","PASS","FAIL: "&amp;TRIM(IF($A624="","Missing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f>
      </c>
      <c r="AY624" s="44">
        <f>IF($M624="","",IF(ISNUMBER($M624),IF($M624&gt;=Header!$C$18,"YES — refer","No"),""))</f>
      </c>
      <c r="AZ624" s="44">
        <f>IF($AD624="","",IF(ISNUMBER($AD624),IF($AD624&lt;Header!$C$20,"BELOW MIN PREMIUM","OK"),""))</f>
      </c>
      <c r="BA624" s="48" t="inlineStr">
        <is>
          <t xml:space="preserve">Yes</t>
        </is>
      </c>
      <c r="BB624" s="48" t="inlineStr">
        <is>
          <t xml:space="preserve">Yes</t>
        </is>
      </c>
      <c r="BC624" s="46" t="inlineStr">
        <is>
          <t xml:space="preserve">Synthetic demo data</t>
        </is>
      </c>
      <c r="BE624" s="45">
        <f>IF(OR($A624="",$L624="",$H624=""),"",IF(AND(LEFT($L624,2)="06",$H624&gt;1945),"FAIL - pre-war class, year "&amp;$H624,IF(AND(LEFT($L624,2)="07",OR($H624&lt;1946,$H624&gt;1972)),"FAIL - 1946-72 class, year "&amp;$H624,IF(AND(LEFT($L624,2)="08",OR($H624&lt;1973,$H624&gt;1999)),"FAIL - 1973-99 class, year "&amp;$H624,IF(AND(LEFT($L624,2)="09",OR($H624&lt;2000,$H624&gt;2010)),"FAIL - 2000-10 class, year "&amp;$H624,"OK")))))</f>
      </c>
      <c r="BF624" s="45">
        <f>IF($AD624="","",IF(ROUND($AO624+$AP624+$AQ624-$AD624,2)=0,"OK","FAIL - out by "&amp;TEXT($AO624+$AP624+$AQ624-$AD624,"$0.00")))</f>
      </c>
    </row>
    <row r="625" spans="1:58" ht="18.75" customHeight="1" x14ac:dyDescent="0.25">
      <c r="A625" s="30" t="inlineStr">
        <is>
          <t xml:space="preserve">CANON-202607-010380</t>
        </is>
      </c>
      <c r="B625" s="30" t="inlineStr">
        <is>
          <t xml:space="preserve">Lorenzo Rourke</t>
        </is>
      </c>
      <c r="C625" s="31">
        <v>46227</v>
      </c>
      <c r="D625" s="32" t="inlineStr">
        <is>
          <t xml:space="preserve">Bound - within authority</t>
        </is>
      </c>
      <c r="E625" s="32" t="inlineStr">
        <is>
          <t xml:space="preserve">New business</t>
        </is>
      </c>
      <c r="F625" s="30" t="inlineStr">
        <is>
          <t xml:space="preserve">B1234EXOTIC26</t>
        </is>
      </c>
      <c r="G625" s="33">
        <f>IF($A625="","",IF($C625="","",YEAR($C625)))</f>
      </c>
      <c r="H625" s="34">
        <v>2015</v>
      </c>
      <c r="I625" s="30" t="inlineStr">
        <is>
          <t xml:space="preserve">Jaguar</t>
        </is>
      </c>
      <c r="J625" s="30" t="inlineStr">
        <is>
          <t xml:space="preserve">E-Type Series 1</t>
        </is>
      </c>
      <c r="K625" s="30" t="inlineStr">
        <is>
          <t xml:space="preserve">3HNYSN7LZYV1FHR9H</t>
        </is>
      </c>
      <c r="L625" s="32" t="inlineStr">
        <is>
          <t xml:space="preserve">02 - Sports / GT</t>
        </is>
      </c>
      <c r="M625" s="35">
        <v>315000</v>
      </c>
      <c r="N625" s="32" t="inlineStr">
        <is>
          <t xml:space="preserve">Personal</t>
        </is>
      </c>
      <c r="O625" s="30" t="inlineStr">
        <is>
          <t xml:space="preserve">Personal - regular use</t>
        </is>
      </c>
      <c r="P625" s="30" t="inlineStr">
        <is>
          <t xml:space="preserve">1,000 - 2,500</t>
        </is>
      </c>
      <c r="Q625" s="30" t="inlineStr">
        <is>
          <t xml:space="preserve">Texas</t>
        </is>
      </c>
      <c r="R625" s="30" t="inlineStr">
        <is>
          <t xml:space="preserve">75201</t>
        </is>
      </c>
      <c r="S625" s="32" t="inlineStr">
        <is>
          <t xml:space="preserve">Tier 2 - Coastal wind (1-25 miles)</t>
        </is>
      </c>
      <c r="T625" s="36">
        <f>IF($A625="","",IF($S625="","",IFERROR(INDEX('[1]natural catastrophe'!$D$6:$D$17,MATCH($S625,'[1]natural catastrophe'!$B$6:$B$17,0)),"?")))</f>
      </c>
      <c r="U625" s="30" t="inlineStr">
        <is>
          <t xml:space="preserve">2% of agreed value, minimum $10,000</t>
        </is>
      </c>
      <c r="V625" s="32" t="inlineStr">
        <is>
          <t xml:space="preserve">Agreed Value</t>
        </is>
      </c>
      <c r="W625" s="30" t="inlineStr">
        <is>
          <t xml:space="preserve">$1,000</t>
        </is>
      </c>
      <c r="X625" s="32" t="inlineStr">
        <is>
          <t xml:space="preserve">$1,000,000 CSL</t>
        </is>
      </c>
      <c r="Y625" s="30"/>
      <c r="Z625" s="30"/>
      <c r="AA625" s="32" t="inlineStr">
        <is>
          <t xml:space="preserve">Surplus Lines</t>
        </is>
      </c>
      <c r="AB625" s="35">
        <v>2496.65</v>
      </c>
      <c r="AC625" s="37">
        <v>0</v>
      </c>
      <c r="AD625" s="38">
        <f>IF(ISNUMBER($AB625),$AB625*(1+N($AC625)),"")</f>
      </c>
      <c r="AE625" s="35">
        <v>350</v>
      </c>
      <c r="AF625" s="35">
        <v>0</v>
      </c>
      <c r="AG625" s="37"/>
      <c r="AH625" s="39">
        <f>IF(ISNUMBER($AD625),($AD625+$AE625+$AF625)*$AG625,"")</f>
      </c>
      <c r="AI625" s="35"/>
      <c r="AJ625" s="38">
        <f>IF(ISNUMBER($AD625),SUM($AD625:$AH625),"")</f>
      </c>
      <c r="AK625" s="40">
        <f>IF(AND(ISNUMBER($AB625),ISNUMBER($AD625)),IF($AB625&gt;0,$AD625/$AB625,""),"")</f>
      </c>
      <c r="AL625" s="32" t="inlineStr">
        <is>
          <t xml:space="preserve">At technical</t>
        </is>
      </c>
      <c r="AM625" s="41">
        <f>IF(ISNUMBER($AD625),Header!$I$3,"")</f>
      </c>
      <c r="AN625" s="39">
        <f>IF(ISNUMBER($AD625),$AO625+$AP625,"")</f>
      </c>
      <c r="AO625" s="39">
        <f>IF(ISNUMBER($AD625),ROUND($AD625*Header!$K$3,2),"")</f>
      </c>
      <c r="AP625" s="39">
        <f>IF(ISNUMBER($AD625),ROUND($AD625*Header!$M$3,2),"")</f>
      </c>
      <c r="AQ625" s="38">
        <f>IF(ISNUMBER($AD625),ROUND($AD625,2)-$AO625-$AP625,"")</f>
      </c>
      <c r="AR625" s="39">
        <f>IF(ISNUMBER($AD625),IF(Header!$D$34="","?",$AD625*Header!$D$34),"")</f>
      </c>
      <c r="AS625" s="39">
        <f>IF(ISNUMBER($AB625),IF(Header!$D$34="","?",$AB625*Header!$D$34),"")</f>
      </c>
      <c r="AT625" s="42">
        <f>IF(AND(ISNUMBER($AB625),$M625&gt;0),$AB625/$M625*100,"")</f>
      </c>
      <c r="AU625" s="42">
        <f>IF(AND(ISNUMBER($AD625),$M625&gt;0),$AD625/$M625*100,"")</f>
      </c>
      <c r="AV625" s="40">
        <f>IF(AND(ISNUMBER($AB625),ISNUMBER($AD625),ABS($AB625)&gt;0),$AD625/$AB625,"")</f>
      </c>
      <c r="AW625" s="39">
        <f>IF(ISNUMBER($AD625),MAX(0,(1-0.55-Header!$O$3)*Header!$Q$3*$AQ625),"")</f>
      </c>
      <c r="AX625" s="43">
        <f>IF($A625="","",IF(TRIM(IF($A625="","Missing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",""))="","PASS","FAIL: "&amp;TRIM(IF($A625="","Missing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f>
      </c>
      <c r="AY625" s="44">
        <f>IF($M625="","",IF(ISNUMBER($M625),IF($M625&gt;=Header!$C$18,"YES — refer","No"),""))</f>
      </c>
      <c r="AZ625" s="44">
        <f>IF($AD625="","",IF(ISNUMBER($AD625),IF($AD625&lt;Header!$C$20,"BELOW MIN PREMIUM","OK"),""))</f>
      </c>
      <c r="BA625" s="32" t="inlineStr">
        <is>
          <t xml:space="preserve">Yes</t>
        </is>
      </c>
      <c r="BB625" s="32" t="inlineStr">
        <is>
          <t xml:space="preserve">Yes</t>
        </is>
      </c>
      <c r="BC625" s="30" t="inlineStr">
        <is>
          <t xml:space="preserve">Synthetic demo data</t>
        </is>
      </c>
      <c r="BE625" s="45">
        <f>IF(OR($A625="",$L625="",$H625=""),"",IF(AND(LEFT($L625,2)="06",$H625&gt;1945),"FAIL - pre-war class, year "&amp;$H625,IF(AND(LEFT($L625,2)="07",OR($H625&lt;1946,$H625&gt;1972)),"FAIL - 1946-72 class, year "&amp;$H625,IF(AND(LEFT($L625,2)="08",OR($H625&lt;1973,$H625&gt;1999)),"FAIL - 1973-99 class, year "&amp;$H625,IF(AND(LEFT($L625,2)="09",OR($H625&lt;2000,$H625&gt;2010)),"FAIL - 2000-10 class, year "&amp;$H625,"OK")))))</f>
      </c>
      <c r="BF625" s="45">
        <f>IF($AD625="","",IF(ROUND($AO625+$AP625+$AQ625-$AD625,2)=0,"OK","FAIL - out by "&amp;TEXT($AO625+$AP625+$AQ625-$AD625,"$0.00")))</f>
      </c>
    </row>
    <row r="626" spans="1:58" ht="18.75" customHeight="1" x14ac:dyDescent="0.25">
      <c r="A626" s="46" t="inlineStr">
        <is>
          <t xml:space="preserve">CANON-202607-010382</t>
        </is>
      </c>
      <c r="B626" s="46" t="inlineStr">
        <is>
          <t xml:space="preserve">Desmond Pennington</t>
        </is>
      </c>
      <c r="C626" s="47">
        <v>46219</v>
      </c>
      <c r="D626" s="48" t="inlineStr">
        <is>
          <t xml:space="preserve">Bound - within authority</t>
        </is>
      </c>
      <c r="E626" s="48" t="inlineStr">
        <is>
          <t xml:space="preserve">New business</t>
        </is>
      </c>
      <c r="F626" s="46" t="inlineStr">
        <is>
          <t xml:space="preserve">B1234EXOTIC26</t>
        </is>
      </c>
      <c r="G626" s="33">
        <f>IF($A626="","",IF($C626="","",YEAR($C626)))</f>
      </c>
      <c r="H626" s="49">
        <v>2018</v>
      </c>
      <c r="I626" s="46" t="inlineStr">
        <is>
          <t xml:space="preserve">Mercedes-Benz</t>
        </is>
      </c>
      <c r="J626" s="46" t="inlineStr">
        <is>
          <t xml:space="preserve">280SL Pagoda</t>
        </is>
      </c>
      <c r="K626" s="46" t="inlineStr">
        <is>
          <t xml:space="preserve">CUFJHNNT2E41KFK9F</t>
        </is>
      </c>
      <c r="L626" s="48" t="inlineStr">
        <is>
          <t xml:space="preserve">02 - Sports / GT</t>
        </is>
      </c>
      <c r="M626" s="50">
        <v>595000</v>
      </c>
      <c r="N626" s="48" t="inlineStr">
        <is>
          <t xml:space="preserve">Personal</t>
        </is>
      </c>
      <c r="O626" s="46" t="inlineStr">
        <is>
          <t xml:space="preserve">Personal - regular use</t>
        </is>
      </c>
      <c r="P626" s="46" t="inlineStr">
        <is>
          <t xml:space="preserve">2,500 - 5,000</t>
        </is>
      </c>
      <c r="Q626" s="46" t="inlineStr">
        <is>
          <t xml:space="preserve">Montana</t>
        </is>
      </c>
      <c r="R626" s="46" t="inlineStr">
        <is>
          <t xml:space="preserve">59601</t>
        </is>
      </c>
      <c r="S626" s="48" t="inlineStr">
        <is>
          <t xml:space="preserve">Wildfire - WUI high hazard</t>
        </is>
      </c>
      <c r="T626" s="36">
        <f>IF($A626="","",IF($S626="","",IFERROR(INDEX('[1]natural catastrophe'!$D$6:$D$17,MATCH($S626,'[1]natural catastrophe'!$B$6:$B$17,0)),"?")))</f>
      </c>
      <c r="U626" s="46" t="inlineStr">
        <is>
          <t xml:space="preserve">$5,000</t>
        </is>
      </c>
      <c r="V626" s="48" t="inlineStr">
        <is>
          <t xml:space="preserve">Agreed Value</t>
        </is>
      </c>
      <c r="W626" s="46" t="inlineStr">
        <is>
          <t xml:space="preserve">$1,000</t>
        </is>
      </c>
      <c r="X626" s="48" t="inlineStr">
        <is>
          <t xml:space="preserve">$1,000,000 CSL</t>
        </is>
      </c>
      <c r="Y626" s="46"/>
      <c r="Z626" s="46"/>
      <c r="AA626" s="48" t="inlineStr">
        <is>
          <t xml:space="preserve">Surplus Lines</t>
        </is>
      </c>
      <c r="AB626" s="50">
        <v>3416.46</v>
      </c>
      <c r="AC626" s="51">
        <v>0</v>
      </c>
      <c r="AD626" s="38">
        <f>IF(ISNUMBER($AB626),$AB626*(1+N($AC626)),"")</f>
      </c>
      <c r="AE626" s="50">
        <v>350</v>
      </c>
      <c r="AF626" s="50">
        <v>0</v>
      </c>
      <c r="AG626" s="51"/>
      <c r="AH626" s="39">
        <f>IF(ISNUMBER($AD626),($AD626+$AE626+$AF626)*$AG626,"")</f>
      </c>
      <c r="AI626" s="50"/>
      <c r="AJ626" s="38">
        <f>IF(ISNUMBER($AD626),SUM($AD626:$AH626),"")</f>
      </c>
      <c r="AK626" s="40">
        <f>IF(AND(ISNUMBER($AB626),ISNUMBER($AD626)),IF($AB626&gt;0,$AD626/$AB626,""),"")</f>
      </c>
      <c r="AL626" s="48" t="inlineStr">
        <is>
          <t xml:space="preserve">At technical</t>
        </is>
      </c>
      <c r="AM626" s="41">
        <f>IF(ISNUMBER($AD626),Header!$I$3,"")</f>
      </c>
      <c r="AN626" s="39">
        <f>IF(ISNUMBER($AD626),$AO626+$AP626,"")</f>
      </c>
      <c r="AO626" s="39">
        <f>IF(ISNUMBER($AD626),ROUND($AD626*Header!$K$3,2),"")</f>
      </c>
      <c r="AP626" s="39">
        <f>IF(ISNUMBER($AD626),ROUND($AD626*Header!$M$3,2),"")</f>
      </c>
      <c r="AQ626" s="38">
        <f>IF(ISNUMBER($AD626),ROUND($AD626,2)-$AO626-$AP626,"")</f>
      </c>
      <c r="AR626" s="39">
        <f>IF(ISNUMBER($AD626),IF(Header!$D$34="","?",$AD626*Header!$D$34),"")</f>
      </c>
      <c r="AS626" s="39">
        <f>IF(ISNUMBER($AB626),IF(Header!$D$34="","?",$AB626*Header!$D$34),"")</f>
      </c>
      <c r="AT626" s="42">
        <f>IF(AND(ISNUMBER($AB626),$M626&gt;0),$AB626/$M626*100,"")</f>
      </c>
      <c r="AU626" s="42">
        <f>IF(AND(ISNUMBER($AD626),$M626&gt;0),$AD626/$M626*100,"")</f>
      </c>
      <c r="AV626" s="40">
        <f>IF(AND(ISNUMBER($AB626),ISNUMBER($AD626),ABS($AB626)&gt;0),$AD626/$AB626,"")</f>
      </c>
      <c r="AW626" s="39">
        <f>IF(ISNUMBER($AD626),MAX(0,(1-0.55-Header!$O$3)*Header!$Q$3*$AQ626),"")</f>
      </c>
      <c r="AX626" s="43">
        <f>IF($A626="","",IF(TRIM(IF($A626="","Missing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",""))="","PASS","FAIL: "&amp;TRIM(IF($A626="","Missing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f>
      </c>
      <c r="AY626" s="44">
        <f>IF($M626="","",IF(ISNUMBER($M626),IF($M626&gt;=Header!$C$18,"YES — refer","No"),""))</f>
      </c>
      <c r="AZ626" s="44">
        <f>IF($AD626="","",IF(ISNUMBER($AD626),IF($AD626&lt;Header!$C$20,"BELOW MIN PREMIUM","OK"),""))</f>
      </c>
      <c r="BA626" s="48" t="inlineStr">
        <is>
          <t xml:space="preserve">Yes</t>
        </is>
      </c>
      <c r="BB626" s="48" t="inlineStr">
        <is>
          <t xml:space="preserve">Yes</t>
        </is>
      </c>
      <c r="BC626" s="46" t="inlineStr">
        <is>
          <t xml:space="preserve">Synthetic demo data</t>
        </is>
      </c>
      <c r="BE626" s="45">
        <f>IF(OR($A626="",$L626="",$H626=""),"",IF(AND(LEFT($L626,2)="06",$H626&gt;1945),"FAIL - pre-war class, year "&amp;$H626,IF(AND(LEFT($L626,2)="07",OR($H626&lt;1946,$H626&gt;1972)),"FAIL - 1946-72 class, year "&amp;$H626,IF(AND(LEFT($L626,2)="08",OR($H626&lt;1973,$H626&gt;1999)),"FAIL - 1973-99 class, year "&amp;$H626,IF(AND(LEFT($L626,2)="09",OR($H626&lt;2000,$H626&gt;2010)),"FAIL - 2000-10 class, year "&amp;$H626,"OK")))))</f>
      </c>
      <c r="BF626" s="45">
        <f>IF($AD626="","",IF(ROUND($AO626+$AP626+$AQ626-$AD626,2)=0,"OK","FAIL - out by "&amp;TEXT($AO626+$AP626+$AQ626-$AD626,"$0.00")))</f>
      </c>
    </row>
    <row r="627" spans="1:58" ht="18.75" customHeight="1" x14ac:dyDescent="0.25">
      <c r="A627" s="30" t="inlineStr">
        <is>
          <t xml:space="preserve">CANON-202607-010383</t>
        </is>
      </c>
      <c r="B627" s="30" t="inlineStr">
        <is>
          <t xml:space="preserve">Leopold Rourke</t>
        </is>
      </c>
      <c r="C627" s="31">
        <v>46224</v>
      </c>
      <c r="D627" s="32" t="inlineStr">
        <is>
          <t xml:space="preserve">Bound - within authority</t>
        </is>
      </c>
      <c r="E627" s="32" t="inlineStr">
        <is>
          <t xml:space="preserve">New business</t>
        </is>
      </c>
      <c r="F627" s="30" t="inlineStr">
        <is>
          <t xml:space="preserve">B1234EXOTIC26</t>
        </is>
      </c>
      <c r="G627" s="33">
        <f>IF($A627="","",IF($C627="","",YEAR($C627)))</f>
      </c>
      <c r="H627" s="34">
        <v>2003</v>
      </c>
      <c r="I627" s="30" t="inlineStr">
        <is>
          <t xml:space="preserve">Porsche</t>
        </is>
      </c>
      <c r="J627" s="30" t="inlineStr">
        <is>
          <t xml:space="preserve">911 Turbo S</t>
        </is>
      </c>
      <c r="K627" s="30" t="inlineStr">
        <is>
          <t xml:space="preserve">CEJU6B13797CMX26X</t>
        </is>
      </c>
      <c r="L627" s="32" t="inlineStr">
        <is>
          <t xml:space="preserve">02 - Sports / GT</t>
        </is>
      </c>
      <c r="M627" s="35">
        <v>1120000</v>
      </c>
      <c r="N627" s="32" t="inlineStr">
        <is>
          <t xml:space="preserve">Personal</t>
        </is>
      </c>
      <c r="O627" s="30" t="inlineStr">
        <is>
          <t xml:space="preserve">Personal - regular use</t>
        </is>
      </c>
      <c r="P627" s="30" t="inlineStr">
        <is>
          <t xml:space="preserve">Under 1,000</t>
        </is>
      </c>
      <c r="Q627" s="30" t="inlineStr">
        <is>
          <t xml:space="preserve">New Hampshire</t>
        </is>
      </c>
      <c r="R627" s="30" t="inlineStr">
        <is>
          <t xml:space="preserve">03301</t>
        </is>
      </c>
      <c r="S627" s="32" t="inlineStr">
        <is>
          <t xml:space="preserve">Tier 3 - Coastal wind (25-100 miles)</t>
        </is>
      </c>
      <c r="T627" s="36">
        <f>IF($A627="","",IF($S627="","",IFERROR(INDEX('[1]natural catastrophe'!$D$6:$D$17,MATCH($S627,'[1]natural catastrophe'!$B$6:$B$17,0)),"?")))</f>
      </c>
      <c r="U627" s="30" t="inlineStr">
        <is>
          <t xml:space="preserve">2% of agreed value, minimum $10,000</t>
        </is>
      </c>
      <c r="V627" s="32" t="inlineStr">
        <is>
          <t xml:space="preserve">Agreed Value</t>
        </is>
      </c>
      <c r="W627" s="30" t="inlineStr">
        <is>
          <t xml:space="preserve">$1,000</t>
        </is>
      </c>
      <c r="X627" s="32" t="inlineStr">
        <is>
          <t xml:space="preserve">$1,000,000 CSL</t>
        </is>
      </c>
      <c r="Y627" s="30"/>
      <c r="Z627" s="30"/>
      <c r="AA627" s="32" t="inlineStr">
        <is>
          <t xml:space="preserve">Surplus Lines</t>
        </is>
      </c>
      <c r="AB627" s="35">
        <v>9198.63</v>
      </c>
      <c r="AC627" s="37">
        <v>0</v>
      </c>
      <c r="AD627" s="38">
        <f>IF(ISNUMBER($AB627),$AB627*(1+N($AC627)),"")</f>
      </c>
      <c r="AE627" s="35">
        <v>350</v>
      </c>
      <c r="AF627" s="35">
        <v>250</v>
      </c>
      <c r="AG627" s="37"/>
      <c r="AH627" s="39">
        <f>IF(ISNUMBER($AD627),($AD627+$AE627+$AF627)*$AG627,"")</f>
      </c>
      <c r="AI627" s="35"/>
      <c r="AJ627" s="38">
        <f>IF(ISNUMBER($AD627),SUM($AD627:$AH627),"")</f>
      </c>
      <c r="AK627" s="40">
        <f>IF(AND(ISNUMBER($AB627),ISNUMBER($AD627)),IF($AB627&gt;0,$AD627/$AB627,""),"")</f>
      </c>
      <c r="AL627" s="32" t="inlineStr">
        <is>
          <t xml:space="preserve">At technical</t>
        </is>
      </c>
      <c r="AM627" s="41">
        <f>IF(ISNUMBER($AD627),Header!$I$3,"")</f>
      </c>
      <c r="AN627" s="39">
        <f>IF(ISNUMBER($AD627),$AO627+$AP627,"")</f>
      </c>
      <c r="AO627" s="39">
        <f>IF(ISNUMBER($AD627),ROUND($AD627*Header!$K$3,2),"")</f>
      </c>
      <c r="AP627" s="39">
        <f>IF(ISNUMBER($AD627),ROUND($AD627*Header!$M$3,2),"")</f>
      </c>
      <c r="AQ627" s="38">
        <f>IF(ISNUMBER($AD627),ROUND($AD627,2)-$AO627-$AP627,"")</f>
      </c>
      <c r="AR627" s="39">
        <f>IF(ISNUMBER($AD627),IF(Header!$D$34="","?",$AD627*Header!$D$34),"")</f>
      </c>
      <c r="AS627" s="39">
        <f>IF(ISNUMBER($AB627),IF(Header!$D$34="","?",$AB627*Header!$D$34),"")</f>
      </c>
      <c r="AT627" s="42">
        <f>IF(AND(ISNUMBER($AB627),$M627&gt;0),$AB627/$M627*100,"")</f>
      </c>
      <c r="AU627" s="42">
        <f>IF(AND(ISNUMBER($AD627),$M627&gt;0),$AD627/$M627*100,"")</f>
      </c>
      <c r="AV627" s="40">
        <f>IF(AND(ISNUMBER($AB627),ISNUMBER($AD627),ABS($AB627)&gt;0),$AD627/$AB627,"")</f>
      </c>
      <c r="AW627" s="39">
        <f>IF(ISNUMBER($AD627),MAX(0,(1-0.55-Header!$O$3)*Header!$Q$3*$AQ627),"")</f>
      </c>
      <c r="AX627" s="43">
        <f>IF($A627="","",IF(TRIM(IF($A627="","Missing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",""))="","PASS","FAIL: "&amp;TRIM(IF($A627="","Missing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f>
      </c>
      <c r="AY627" s="44">
        <f>IF($M627="","",IF(ISNUMBER($M627),IF($M627&gt;=Header!$C$18,"YES — refer","No"),""))</f>
      </c>
      <c r="AZ627" s="44">
        <f>IF($AD627="","",IF(ISNUMBER($AD627),IF($AD627&lt;Header!$C$20,"BELOW MIN PREMIUM","OK"),""))</f>
      </c>
      <c r="BA627" s="32" t="inlineStr">
        <is>
          <t xml:space="preserve">Yes</t>
        </is>
      </c>
      <c r="BB627" s="32" t="inlineStr">
        <is>
          <t xml:space="preserve">Yes</t>
        </is>
      </c>
      <c r="BC627" s="30" t="inlineStr">
        <is>
          <t xml:space="preserve">Synthetic demo data</t>
        </is>
      </c>
      <c r="BE627" s="45">
        <f>IF(OR($A627="",$L627="",$H627=""),"",IF(AND(LEFT($L627,2)="06",$H627&gt;1945),"FAIL - pre-war class, year "&amp;$H627,IF(AND(LEFT($L627,2)="07",OR($H627&lt;1946,$H627&gt;1972)),"FAIL - 1946-72 class, year "&amp;$H627,IF(AND(LEFT($L627,2)="08",OR($H627&lt;1973,$H627&gt;1999)),"FAIL - 1973-99 class, year "&amp;$H627,IF(AND(LEFT($L627,2)="09",OR($H627&lt;2000,$H627&gt;2010)),"FAIL - 2000-10 class, year "&amp;$H627,"OK")))))</f>
      </c>
      <c r="BF627" s="45">
        <f>IF($AD627="","",IF(ROUND($AO627+$AP627+$AQ627-$AD627,2)=0,"OK","FAIL - out by "&amp;TEXT($AO627+$AP627+$AQ627-$AD627,"$0.00")))</f>
      </c>
    </row>
    <row r="628" spans="1:58" ht="18.75" customHeight="1" x14ac:dyDescent="0.25">
      <c r="A628" s="46" t="inlineStr">
        <is>
          <t xml:space="preserve">CANON-202607-010386</t>
        </is>
      </c>
      <c r="B628" s="46" t="inlineStr">
        <is>
          <t xml:space="preserve">Sunniva Rourke</t>
        </is>
      </c>
      <c r="C628" s="47">
        <v>46234</v>
      </c>
      <c r="D628" s="48" t="inlineStr">
        <is>
          <t xml:space="preserve">Bound - within authority</t>
        </is>
      </c>
      <c r="E628" s="48" t="inlineStr">
        <is>
          <t xml:space="preserve">New business</t>
        </is>
      </c>
      <c r="F628" s="46" t="inlineStr">
        <is>
          <t xml:space="preserve">B1234EXOTIC26</t>
        </is>
      </c>
      <c r="G628" s="33">
        <f>IF($A628="","",IF($C628="","",YEAR($C628)))</f>
      </c>
      <c r="H628" s="49">
        <v>1976</v>
      </c>
      <c r="I628" s="46" t="inlineStr">
        <is>
          <t xml:space="preserve">BMW</t>
        </is>
      </c>
      <c r="J628" s="46" t="inlineStr">
        <is>
          <t xml:space="preserve">M8 Competition</t>
        </is>
      </c>
      <c r="K628" s="46" t="inlineStr">
        <is>
          <t xml:space="preserve">RRDFCTGP3V7SY8PXG</t>
        </is>
      </c>
      <c r="L628" s="48" t="inlineStr">
        <is>
          <t xml:space="preserve">02 - Sports / GT</t>
        </is>
      </c>
      <c r="M628" s="50">
        <v>655000</v>
      </c>
      <c r="N628" s="48" t="inlineStr">
        <is>
          <t xml:space="preserve">Personal</t>
        </is>
      </c>
      <c r="O628" s="46" t="inlineStr">
        <is>
          <t xml:space="preserve">Personal - regular use</t>
        </is>
      </c>
      <c r="P628" s="46" t="inlineStr">
        <is>
          <t xml:space="preserve">2,500 - 5,000</t>
        </is>
      </c>
      <c r="Q628" s="46" t="inlineStr">
        <is>
          <t xml:space="preserve">Massachusetts</t>
        </is>
      </c>
      <c r="R628" s="46" t="inlineStr">
        <is>
          <t xml:space="preserve">02108</t>
        </is>
      </c>
      <c r="S628" s="48" t="inlineStr">
        <is>
          <t xml:space="preserve">Tier 3 - Coastal wind (25-100 miles)</t>
        </is>
      </c>
      <c r="T628" s="36">
        <f>IF($A628="","",IF($S628="","",IFERROR(INDEX('[1]natural catastrophe'!$D$6:$D$17,MATCH($S628,'[1]natural catastrophe'!$B$6:$B$17,0)),"?")))</f>
      </c>
      <c r="U628" s="46" t="inlineStr">
        <is>
          <t xml:space="preserve">2% of agreed value, minimum $10,000</t>
        </is>
      </c>
      <c r="V628" s="48" t="inlineStr">
        <is>
          <t xml:space="preserve">Agreed Value</t>
        </is>
      </c>
      <c r="W628" s="46" t="inlineStr">
        <is>
          <t xml:space="preserve">$1,000</t>
        </is>
      </c>
      <c r="X628" s="48" t="inlineStr">
        <is>
          <t xml:space="preserve">$1,000,000 CSL</t>
        </is>
      </c>
      <c r="Y628" s="46"/>
      <c r="Z628" s="46"/>
      <c r="AA628" s="48" t="inlineStr">
        <is>
          <t xml:space="preserve">Surplus Lines</t>
        </is>
      </c>
      <c r="AB628" s="50">
        <v>7641.41</v>
      </c>
      <c r="AC628" s="51">
        <v>0</v>
      </c>
      <c r="AD628" s="38">
        <f>IF(ISNUMBER($AB628),$AB628*(1+N($AC628)),"")</f>
      </c>
      <c r="AE628" s="50">
        <v>350</v>
      </c>
      <c r="AF628" s="50">
        <v>0</v>
      </c>
      <c r="AG628" s="51"/>
      <c r="AH628" s="39">
        <f>IF(ISNUMBER($AD628),($AD628+$AE628+$AF628)*$AG628,"")</f>
      </c>
      <c r="AI628" s="50"/>
      <c r="AJ628" s="38">
        <f>IF(ISNUMBER($AD628),SUM($AD628:$AH628),"")</f>
      </c>
      <c r="AK628" s="40">
        <f>IF(AND(ISNUMBER($AB628),ISNUMBER($AD628)),IF($AB628&gt;0,$AD628/$AB628,""),"")</f>
      </c>
      <c r="AL628" s="48" t="inlineStr">
        <is>
          <t xml:space="preserve">At technical</t>
        </is>
      </c>
      <c r="AM628" s="41">
        <f>IF(ISNUMBER($AD628),Header!$I$3,"")</f>
      </c>
      <c r="AN628" s="39">
        <f>IF(ISNUMBER($AD628),$AO628+$AP628,"")</f>
      </c>
      <c r="AO628" s="39">
        <f>IF(ISNUMBER($AD628),ROUND($AD628*Header!$K$3,2),"")</f>
      </c>
      <c r="AP628" s="39">
        <f>IF(ISNUMBER($AD628),ROUND($AD628*Header!$M$3,2),"")</f>
      </c>
      <c r="AQ628" s="38">
        <f>IF(ISNUMBER($AD628),ROUND($AD628,2)-$AO628-$AP628,"")</f>
      </c>
      <c r="AR628" s="39">
        <f>IF(ISNUMBER($AD628),IF(Header!$D$34="","?",$AD628*Header!$D$34),"")</f>
      </c>
      <c r="AS628" s="39">
        <f>IF(ISNUMBER($AB628),IF(Header!$D$34="","?",$AB628*Header!$D$34),"")</f>
      </c>
      <c r="AT628" s="42">
        <f>IF(AND(ISNUMBER($AB628),$M628&gt;0),$AB628/$M628*100,"")</f>
      </c>
      <c r="AU628" s="42">
        <f>IF(AND(ISNUMBER($AD628),$M628&gt;0),$AD628/$M628*100,"")</f>
      </c>
      <c r="AV628" s="40">
        <f>IF(AND(ISNUMBER($AB628),ISNUMBER($AD628),ABS($AB628)&gt;0),$AD628/$AB628,"")</f>
      </c>
      <c r="AW628" s="39">
        <f>IF(ISNUMBER($AD628),MAX(0,(1-0.55-Header!$O$3)*Header!$Q$3*$AQ628),"")</f>
      </c>
      <c r="AX628" s="43">
        <f>IF($A628="","",IF(TRIM(IF($A628="","Missing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",""))="","PASS","FAIL: "&amp;TRIM(IF($A628="","Missing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f>
      </c>
      <c r="AY628" s="44">
        <f>IF($M628="","",IF(ISNUMBER($M628),IF($M628&gt;=Header!$C$18,"YES — refer","No"),""))</f>
      </c>
      <c r="AZ628" s="44">
        <f>IF($AD628="","",IF(ISNUMBER($AD628),IF($AD628&lt;Header!$C$20,"BELOW MIN PREMIUM","OK"),""))</f>
      </c>
      <c r="BA628" s="48" t="inlineStr">
        <is>
          <t xml:space="preserve">Yes</t>
        </is>
      </c>
      <c r="BB628" s="48" t="inlineStr">
        <is>
          <t xml:space="preserve">Yes</t>
        </is>
      </c>
      <c r="BC628" s="46" t="inlineStr">
        <is>
          <t xml:space="preserve">Synthetic demo data</t>
        </is>
      </c>
      <c r="BE628" s="45">
        <f>IF(OR($A628="",$L628="",$H628=""),"",IF(AND(LEFT($L628,2)="06",$H628&gt;1945),"FAIL - pre-war class, year "&amp;$H628,IF(AND(LEFT($L628,2)="07",OR($H628&lt;1946,$H628&gt;1972)),"FAIL - 1946-72 class, year "&amp;$H628,IF(AND(LEFT($L628,2)="08",OR($H628&lt;1973,$H628&gt;1999)),"FAIL - 1973-99 class, year "&amp;$H628,IF(AND(LEFT($L628,2)="09",OR($H628&lt;2000,$H628&gt;2010)),"FAIL - 2000-10 class, year "&amp;$H628,"OK")))))</f>
      </c>
      <c r="BF628" s="45">
        <f>IF($AD628="","",IF(ROUND($AO628+$AP628+$AQ628-$AD628,2)=0,"OK","FAIL - out by "&amp;TEXT($AO628+$AP628+$AQ628-$AD628,"$0.00")))</f>
      </c>
    </row>
    <row r="629" spans="1:58" ht="18.75" customHeight="1" x14ac:dyDescent="0.25">
      <c r="A629" s="30" t="inlineStr">
        <is>
          <t xml:space="preserve">CANON-202607-010388</t>
        </is>
      </c>
      <c r="B629" s="30" t="inlineStr">
        <is>
          <t xml:space="preserve">Cassius Castellanos</t>
        </is>
      </c>
      <c r="C629" s="31">
        <v>46232</v>
      </c>
      <c r="D629" s="32" t="inlineStr">
        <is>
          <t xml:space="preserve">Bound - within authority</t>
        </is>
      </c>
      <c r="E629" s="32" t="inlineStr">
        <is>
          <t xml:space="preserve">New business</t>
        </is>
      </c>
      <c r="F629" s="30" t="inlineStr">
        <is>
          <t xml:space="preserve">B1234EXOTIC26</t>
        </is>
      </c>
      <c r="G629" s="33">
        <f>IF($A629="","",IF($C629="","",YEAR($C629)))</f>
      </c>
      <c r="H629" s="34">
        <v>2000</v>
      </c>
      <c r="I629" s="30" t="inlineStr">
        <is>
          <t xml:space="preserve">McLaren</t>
        </is>
      </c>
      <c r="J629" s="30" t="inlineStr">
        <is>
          <t xml:space="preserve">750S</t>
        </is>
      </c>
      <c r="K629" s="30" t="inlineStr">
        <is>
          <t xml:space="preserve">GZ6ZEUX9XL2U6UL6S</t>
        </is>
      </c>
      <c r="L629" s="32" t="inlineStr">
        <is>
          <t xml:space="preserve">03 - Supercar</t>
        </is>
      </c>
      <c r="M629" s="35">
        <v>520000</v>
      </c>
      <c r="N629" s="32" t="inlineStr">
        <is>
          <t xml:space="preserve">Personal</t>
        </is>
      </c>
      <c r="O629" s="30" t="inlineStr">
        <is>
          <t xml:space="preserve">Personal - regular use</t>
        </is>
      </c>
      <c r="P629" s="30" t="inlineStr">
        <is>
          <t xml:space="preserve">1,000 - 2,500</t>
        </is>
      </c>
      <c r="Q629" s="30" t="inlineStr">
        <is>
          <t xml:space="preserve">Washington</t>
        </is>
      </c>
      <c r="R629" s="30" t="inlineStr">
        <is>
          <t xml:space="preserve">98101</t>
        </is>
      </c>
      <c r="S629" s="32" t="inlineStr">
        <is>
          <t xml:space="preserve">Earthquake - high (CA, Cascadia, New Madrid)</t>
        </is>
      </c>
      <c r="T629" s="36">
        <f>IF($A629="","",IF($S629="","",IFERROR(INDEX('[1]natural catastrophe'!$D$6:$D$17,MATCH($S629,'[1]natural catastrophe'!$B$6:$B$17,0)),"?")))</f>
      </c>
      <c r="U629" s="30" t="inlineStr">
        <is>
          <t xml:space="preserve">$5,000</t>
        </is>
      </c>
      <c r="V629" s="32" t="inlineStr">
        <is>
          <t xml:space="preserve">Agreed Value</t>
        </is>
      </c>
      <c r="W629" s="30" t="inlineStr">
        <is>
          <t xml:space="preserve">$1,000</t>
        </is>
      </c>
      <c r="X629" s="32" t="inlineStr">
        <is>
          <t xml:space="preserve">$1,000,000 CSL</t>
        </is>
      </c>
      <c r="Y629" s="30"/>
      <c r="Z629" s="30"/>
      <c r="AA629" s="32" t="inlineStr">
        <is>
          <t xml:space="preserve">Surplus Lines</t>
        </is>
      </c>
      <c r="AB629" s="35">
        <v>6809.37</v>
      </c>
      <c r="AC629" s="37">
        <v>0</v>
      </c>
      <c r="AD629" s="38">
        <f>IF(ISNUMBER($AB629),$AB629*(1+N($AC629)),"")</f>
      </c>
      <c r="AE629" s="35">
        <v>350</v>
      </c>
      <c r="AF629" s="35">
        <v>0</v>
      </c>
      <c r="AG629" s="37"/>
      <c r="AH629" s="39">
        <f>IF(ISNUMBER($AD629),($AD629+$AE629+$AF629)*$AG629,"")</f>
      </c>
      <c r="AI629" s="35"/>
      <c r="AJ629" s="38">
        <f>IF(ISNUMBER($AD629),SUM($AD629:$AH629),"")</f>
      </c>
      <c r="AK629" s="40">
        <f>IF(AND(ISNUMBER($AB629),ISNUMBER($AD629)),IF($AB629&gt;0,$AD629/$AB629,""),"")</f>
      </c>
      <c r="AL629" s="32" t="inlineStr">
        <is>
          <t xml:space="preserve">At technical</t>
        </is>
      </c>
      <c r="AM629" s="41">
        <f>IF(ISNUMBER($AD629),Header!$I$3,"")</f>
      </c>
      <c r="AN629" s="39">
        <f>IF(ISNUMBER($AD629),$AO629+$AP629,"")</f>
      </c>
      <c r="AO629" s="39">
        <f>IF(ISNUMBER($AD629),ROUND($AD629*Header!$K$3,2),"")</f>
      </c>
      <c r="AP629" s="39">
        <f>IF(ISNUMBER($AD629),ROUND($AD629*Header!$M$3,2),"")</f>
      </c>
      <c r="AQ629" s="38">
        <f>IF(ISNUMBER($AD629),ROUND($AD629,2)-$AO629-$AP629,"")</f>
      </c>
      <c r="AR629" s="39">
        <f>IF(ISNUMBER($AD629),IF(Header!$D$34="","?",$AD629*Header!$D$34),"")</f>
      </c>
      <c r="AS629" s="39">
        <f>IF(ISNUMBER($AB629),IF(Header!$D$34="","?",$AB629*Header!$D$34),"")</f>
      </c>
      <c r="AT629" s="42">
        <f>IF(AND(ISNUMBER($AB629),$M629&gt;0),$AB629/$M629*100,"")</f>
      </c>
      <c r="AU629" s="42">
        <f>IF(AND(ISNUMBER($AD629),$M629&gt;0),$AD629/$M629*100,"")</f>
      </c>
      <c r="AV629" s="40">
        <f>IF(AND(ISNUMBER($AB629),ISNUMBER($AD629),ABS($AB629)&gt;0),$AD629/$AB629,"")</f>
      </c>
      <c r="AW629" s="39">
        <f>IF(ISNUMBER($AD629),MAX(0,(1-0.55-Header!$O$3)*Header!$Q$3*$AQ629),"")</f>
      </c>
      <c r="AX629" s="43">
        <f>IF($A629="","",IF(TRIM(IF($A629="","Missing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",""))="","PASS","FAIL: "&amp;TRIM(IF($A629="","Missing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f>
      </c>
      <c r="AY629" s="44">
        <f>IF($M629="","",IF(ISNUMBER($M629),IF($M629&gt;=Header!$C$18,"YES — refer","No"),""))</f>
      </c>
      <c r="AZ629" s="44">
        <f>IF($AD629="","",IF(ISNUMBER($AD629),IF($AD629&lt;Header!$C$20,"BELOW MIN PREMIUM","OK"),""))</f>
      </c>
      <c r="BA629" s="32" t="inlineStr">
        <is>
          <t xml:space="preserve">Yes</t>
        </is>
      </c>
      <c r="BB629" s="32" t="inlineStr">
        <is>
          <t xml:space="preserve">Yes</t>
        </is>
      </c>
      <c r="BC629" s="30" t="inlineStr">
        <is>
          <t xml:space="preserve">Synthetic demo data</t>
        </is>
      </c>
      <c r="BE629" s="45">
        <f>IF(OR($A629="",$L629="",$H629=""),"",IF(AND(LEFT($L629,2)="06",$H629&gt;1945),"FAIL - pre-war class, year "&amp;$H629,IF(AND(LEFT($L629,2)="07",OR($H629&lt;1946,$H629&gt;1972)),"FAIL - 1946-72 class, year "&amp;$H629,IF(AND(LEFT($L629,2)="08",OR($H629&lt;1973,$H629&gt;1999)),"FAIL - 1973-99 class, year "&amp;$H629,IF(AND(LEFT($L629,2)="09",OR($H629&lt;2000,$H629&gt;2010)),"FAIL - 2000-10 class, year "&amp;$H629,"OK")))))</f>
      </c>
      <c r="BF629" s="45">
        <f>IF($AD629="","",IF(ROUND($AO629+$AP629+$AQ629-$AD629,2)=0,"OK","FAIL - out by "&amp;TEXT($AO629+$AP629+$AQ629-$AD629,"$0.00")))</f>
      </c>
    </row>
    <row r="630" spans="1:58" ht="18.75" customHeight="1" x14ac:dyDescent="0.25">
      <c r="A630" s="46" t="inlineStr">
        <is>
          <t xml:space="preserve">CANON-202607-010390</t>
        </is>
      </c>
      <c r="B630" s="46" t="inlineStr">
        <is>
          <t xml:space="preserve">Mireille Underwood</t>
        </is>
      </c>
      <c r="C630" s="47">
        <v>46223</v>
      </c>
      <c r="D630" s="48" t="inlineStr">
        <is>
          <t xml:space="preserve">Bound - within authority</t>
        </is>
      </c>
      <c r="E630" s="48" t="inlineStr">
        <is>
          <t xml:space="preserve">New business</t>
        </is>
      </c>
      <c r="F630" s="46" t="inlineStr">
        <is>
          <t xml:space="preserve">B1234EXOTIC26</t>
        </is>
      </c>
      <c r="G630" s="33">
        <f>IF($A630="","",IF($C630="","",YEAR($C630)))</f>
      </c>
      <c r="H630" s="49">
        <v>2003</v>
      </c>
      <c r="I630" s="46" t="inlineStr">
        <is>
          <t xml:space="preserve">Porsche</t>
        </is>
      </c>
      <c r="J630" s="46" t="inlineStr">
        <is>
          <t xml:space="preserve">911 Turbo S</t>
        </is>
      </c>
      <c r="K630" s="46" t="inlineStr">
        <is>
          <t xml:space="preserve">AF4KHTLVAPRMRWCWK</t>
        </is>
      </c>
      <c r="L630" s="48" t="inlineStr">
        <is>
          <t xml:space="preserve">02 - Sports / GT</t>
        </is>
      </c>
      <c r="M630" s="50">
        <v>215000</v>
      </c>
      <c r="N630" s="48" t="inlineStr">
        <is>
          <t xml:space="preserve">Personal</t>
        </is>
      </c>
      <c r="O630" s="46" t="inlineStr">
        <is>
          <t xml:space="preserve">Personal - regular use</t>
        </is>
      </c>
      <c r="P630" s="46" t="inlineStr">
        <is>
          <t xml:space="preserve">Under 1,000</t>
        </is>
      </c>
      <c r="Q630" s="46" t="inlineStr">
        <is>
          <t xml:space="preserve">Florida</t>
        </is>
      </c>
      <c r="R630" s="46" t="inlineStr">
        <is>
          <t xml:space="preserve">33139</t>
        </is>
      </c>
      <c r="S630" s="48" t="inlineStr">
        <is>
          <t xml:space="preserve">Tier 2 - Coastal wind (1-25 miles)</t>
        </is>
      </c>
      <c r="T630" s="36">
        <f>IF($A630="","",IF($S630="","",IFERROR(INDEX('[1]natural catastrophe'!$D$6:$D$17,MATCH($S630,'[1]natural catastrophe'!$B$6:$B$17,0)),"?")))</f>
      </c>
      <c r="U630" s="46" t="inlineStr">
        <is>
          <t xml:space="preserve">2% of agreed value, minimum $10,000</t>
        </is>
      </c>
      <c r="V630" s="48" t="inlineStr">
        <is>
          <t xml:space="preserve">Agreed Value</t>
        </is>
      </c>
      <c r="W630" s="46" t="inlineStr">
        <is>
          <t xml:space="preserve">$1,000</t>
        </is>
      </c>
      <c r="X630" s="48" t="inlineStr">
        <is>
          <t xml:space="preserve">$1,000,000 CSL</t>
        </is>
      </c>
      <c r="Y630" s="46"/>
      <c r="Z630" s="46"/>
      <c r="AA630" s="48" t="inlineStr">
        <is>
          <t xml:space="preserve">Surplus Lines</t>
        </is>
      </c>
      <c r="AB630" s="50">
        <v>4032.96</v>
      </c>
      <c r="AC630" s="51">
        <v>0</v>
      </c>
      <c r="AD630" s="38">
        <f>IF(ISNUMBER($AB630),$AB630*(1+N($AC630)),"")</f>
      </c>
      <c r="AE630" s="50">
        <v>350</v>
      </c>
      <c r="AF630" s="50">
        <v>0</v>
      </c>
      <c r="AG630" s="51"/>
      <c r="AH630" s="39">
        <f>IF(ISNUMBER($AD630),($AD630+$AE630+$AF630)*$AG630,"")</f>
      </c>
      <c r="AI630" s="50"/>
      <c r="AJ630" s="38">
        <f>IF(ISNUMBER($AD630),SUM($AD630:$AH630),"")</f>
      </c>
      <c r="AK630" s="40">
        <f>IF(AND(ISNUMBER($AB630),ISNUMBER($AD630)),IF($AB630&gt;0,$AD630/$AB630,""),"")</f>
      </c>
      <c r="AL630" s="48" t="inlineStr">
        <is>
          <t xml:space="preserve">At technical</t>
        </is>
      </c>
      <c r="AM630" s="41">
        <f>IF(ISNUMBER($AD630),Header!$I$3,"")</f>
      </c>
      <c r="AN630" s="39">
        <f>IF(ISNUMBER($AD630),$AO630+$AP630,"")</f>
      </c>
      <c r="AO630" s="39">
        <f>IF(ISNUMBER($AD630),ROUND($AD630*Header!$K$3,2),"")</f>
      </c>
      <c r="AP630" s="39">
        <f>IF(ISNUMBER($AD630),ROUND($AD630*Header!$M$3,2),"")</f>
      </c>
      <c r="AQ630" s="38">
        <f>IF(ISNUMBER($AD630),ROUND($AD630,2)-$AO630-$AP630,"")</f>
      </c>
      <c r="AR630" s="39">
        <f>IF(ISNUMBER($AD630),IF(Header!$D$34="","?",$AD630*Header!$D$34),"")</f>
      </c>
      <c r="AS630" s="39">
        <f>IF(ISNUMBER($AB630),IF(Header!$D$34="","?",$AB630*Header!$D$34),"")</f>
      </c>
      <c r="AT630" s="42">
        <f>IF(AND(ISNUMBER($AB630),$M630&gt;0),$AB630/$M630*100,"")</f>
      </c>
      <c r="AU630" s="42">
        <f>IF(AND(ISNUMBER($AD630),$M630&gt;0),$AD630/$M630*100,"")</f>
      </c>
      <c r="AV630" s="40">
        <f>IF(AND(ISNUMBER($AB630),ISNUMBER($AD630),ABS($AB630)&gt;0),$AD630/$AB630,"")</f>
      </c>
      <c r="AW630" s="39">
        <f>IF(ISNUMBER($AD630),MAX(0,(1-0.55-Header!$O$3)*Header!$Q$3*$AQ630),"")</f>
      </c>
      <c r="AX630" s="43">
        <f>IF($A630="","",IF(TRIM(IF($A630="","Missing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",""))="","PASS","FAIL: "&amp;TRIM(IF($A630="","Missing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f>
      </c>
      <c r="AY630" s="44">
        <f>IF($M630="","",IF(ISNUMBER($M630),IF($M630&gt;=Header!$C$18,"YES — refer","No"),""))</f>
      </c>
      <c r="AZ630" s="44">
        <f>IF($AD630="","",IF(ISNUMBER($AD630),IF($AD630&lt;Header!$C$20,"BELOW MIN PREMIUM","OK"),""))</f>
      </c>
      <c r="BA630" s="48" t="inlineStr">
        <is>
          <t xml:space="preserve">Yes</t>
        </is>
      </c>
      <c r="BB630" s="48" t="inlineStr">
        <is>
          <t xml:space="preserve">Yes</t>
        </is>
      </c>
      <c r="BC630" s="46" t="inlineStr">
        <is>
          <t xml:space="preserve">Synthetic demo data</t>
        </is>
      </c>
      <c r="BE630" s="45">
        <f>IF(OR($A630="",$L630="",$H630=""),"",IF(AND(LEFT($L630,2)="06",$H630&gt;1945),"FAIL - pre-war class, year "&amp;$H630,IF(AND(LEFT($L630,2)="07",OR($H630&lt;1946,$H630&gt;1972)),"FAIL - 1946-72 class, year "&amp;$H630,IF(AND(LEFT($L630,2)="08",OR($H630&lt;1973,$H630&gt;1999)),"FAIL - 1973-99 class, year "&amp;$H630,IF(AND(LEFT($L630,2)="09",OR($H630&lt;2000,$H630&gt;2010)),"FAIL - 2000-10 class, year "&amp;$H630,"OK")))))</f>
      </c>
      <c r="BF630" s="45">
        <f>IF($AD630="","",IF(ROUND($AO630+$AP630+$AQ630-$AD630,2)=0,"OK","FAIL - out by "&amp;TEXT($AO630+$AP630+$AQ630-$AD630,"$0.00")))</f>
      </c>
    </row>
    <row r="631" spans="1:58" ht="18.75" customHeight="1" x14ac:dyDescent="0.25">
      <c r="A631" s="30" t="inlineStr">
        <is>
          <t xml:space="preserve">CANON-202607-010391</t>
        </is>
      </c>
      <c r="B631" s="30" t="inlineStr">
        <is>
          <t xml:space="preserve">Everett Vandermeer</t>
        </is>
      </c>
      <c r="C631" s="31">
        <v>46229</v>
      </c>
      <c r="D631" s="32" t="inlineStr">
        <is>
          <t xml:space="preserve">Bound - within authority</t>
        </is>
      </c>
      <c r="E631" s="32" t="inlineStr">
        <is>
          <t xml:space="preserve">New business</t>
        </is>
      </c>
      <c r="F631" s="30" t="inlineStr">
        <is>
          <t xml:space="preserve">B1234EXOTIC26</t>
        </is>
      </c>
      <c r="G631" s="33">
        <f>IF($A631="","",IF($C631="","",YEAR($C631)))</f>
      </c>
      <c r="H631" s="34">
        <v>1977</v>
      </c>
      <c r="I631" s="30" t="inlineStr">
        <is>
          <t xml:space="preserve">Bugatti</t>
        </is>
      </c>
      <c r="J631" s="30" t="inlineStr">
        <is>
          <t xml:space="preserve">Type 57</t>
        </is>
      </c>
      <c r="K631" s="30" t="inlineStr">
        <is>
          <t xml:space="preserve">MGPTZT3DZ0EK44KLX</t>
        </is>
      </c>
      <c r="L631" s="32" t="inlineStr">
        <is>
          <t xml:space="preserve">08 - Modern Classic (1973-1999)</t>
        </is>
      </c>
      <c r="M631" s="35">
        <v>1950000</v>
      </c>
      <c r="N631" s="32" t="inlineStr">
        <is>
          <t xml:space="preserve">Personal</t>
        </is>
      </c>
      <c r="O631" s="30" t="inlineStr">
        <is>
          <t xml:space="preserve">Personal - regular use</t>
        </is>
      </c>
      <c r="P631" s="30" t="inlineStr">
        <is>
          <t xml:space="preserve">Under 1,000</t>
        </is>
      </c>
      <c r="Q631" s="30" t="inlineStr">
        <is>
          <t xml:space="preserve">Indiana</t>
        </is>
      </c>
      <c r="R631" s="30" t="inlineStr">
        <is>
          <t xml:space="preserve">46204</t>
        </is>
      </c>
      <c r="S631" s="32" t="inlineStr">
        <is>
          <t xml:space="preserve">Severe convective - hail / tornado (moderate)</t>
        </is>
      </c>
      <c r="T631" s="36">
        <f>IF($A631="","",IF($S631="","",IFERROR(INDEX('[1]natural catastrophe'!$D$6:$D$17,MATCH($S631,'[1]natural catastrophe'!$B$6:$B$17,0)),"?")))</f>
      </c>
      <c r="U631" s="30" t="inlineStr">
        <is>
          <t xml:space="preserve">$5,000</t>
        </is>
      </c>
      <c r="V631" s="32" t="inlineStr">
        <is>
          <t xml:space="preserve">Agreed Value</t>
        </is>
      </c>
      <c r="W631" s="30" t="inlineStr">
        <is>
          <t xml:space="preserve">$1,000</t>
        </is>
      </c>
      <c r="X631" s="32" t="inlineStr">
        <is>
          <t xml:space="preserve">$1,000,000 CSL</t>
        </is>
      </c>
      <c r="Y631" s="30"/>
      <c r="Z631" s="30"/>
      <c r="AA631" s="32" t="inlineStr">
        <is>
          <t xml:space="preserve">Surplus Lines</t>
        </is>
      </c>
      <c r="AB631" s="35">
        <v>11709.2</v>
      </c>
      <c r="AC631" s="37">
        <v>0</v>
      </c>
      <c r="AD631" s="38">
        <f>IF(ISNUMBER($AB631),$AB631*(1+N($AC631)),"")</f>
      </c>
      <c r="AE631" s="35">
        <v>350</v>
      </c>
      <c r="AF631" s="35">
        <v>250</v>
      </c>
      <c r="AG631" s="37"/>
      <c r="AH631" s="39">
        <f>IF(ISNUMBER($AD631),($AD631+$AE631+$AF631)*$AG631,"")</f>
      </c>
      <c r="AI631" s="35"/>
      <c r="AJ631" s="38">
        <f>IF(ISNUMBER($AD631),SUM($AD631:$AH631),"")</f>
      </c>
      <c r="AK631" s="40">
        <f>IF(AND(ISNUMBER($AB631),ISNUMBER($AD631)),IF($AB631&gt;0,$AD631/$AB631,""),"")</f>
      </c>
      <c r="AL631" s="32" t="inlineStr">
        <is>
          <t xml:space="preserve">At technical</t>
        </is>
      </c>
      <c r="AM631" s="41">
        <f>IF(ISNUMBER($AD631),Header!$I$3,"")</f>
      </c>
      <c r="AN631" s="39">
        <f>IF(ISNUMBER($AD631),$AO631+$AP631,"")</f>
      </c>
      <c r="AO631" s="39">
        <f>IF(ISNUMBER($AD631),ROUND($AD631*Header!$K$3,2),"")</f>
      </c>
      <c r="AP631" s="39">
        <f>IF(ISNUMBER($AD631),ROUND($AD631*Header!$M$3,2),"")</f>
      </c>
      <c r="AQ631" s="38">
        <f>IF(ISNUMBER($AD631),ROUND($AD631,2)-$AO631-$AP631,"")</f>
      </c>
      <c r="AR631" s="39">
        <f>IF(ISNUMBER($AD631),IF(Header!$D$34="","?",$AD631*Header!$D$34),"")</f>
      </c>
      <c r="AS631" s="39">
        <f>IF(ISNUMBER($AB631),IF(Header!$D$34="","?",$AB631*Header!$D$34),"")</f>
      </c>
      <c r="AT631" s="42">
        <f>IF(AND(ISNUMBER($AB631),$M631&gt;0),$AB631/$M631*100,"")</f>
      </c>
      <c r="AU631" s="42">
        <f>IF(AND(ISNUMBER($AD631),$M631&gt;0),$AD631/$M631*100,"")</f>
      </c>
      <c r="AV631" s="40">
        <f>IF(AND(ISNUMBER($AB631),ISNUMBER($AD631),ABS($AB631)&gt;0),$AD631/$AB631,"")</f>
      </c>
      <c r="AW631" s="39">
        <f>IF(ISNUMBER($AD631),MAX(0,(1-0.55-Header!$O$3)*Header!$Q$3*$AQ631),"")</f>
      </c>
      <c r="AX631" s="43">
        <f>IF($A631="","",IF(TRIM(IF($A631="","Missing certificate ref. ","") &amp; IF($C631="","Missing effective date. ","") &amp; IF($D631="","Missing binding status. ","") &amp; IF($E631="","Missing movement type. ","") &amp; IF($I631="","Missing make. ","") &amp; IF($L631="","Missing vehicle class. ","") &amp; IF($M631="","Missing agreed value. ","") &amp; IF($N631="","Missing policy type. ","") &amp; IF($Q631="","Missing garaging state. ","") &amp; IF($R631="","Missing garaging ZIP. ","") &amp; IF($S631="","Missing cat zone. ","") &amp; IF($V631="","Missing valuation basis. ","") &amp; IF($W631="","Missing PD deductible. ","") &amp; IF($X631="","Missing liability limit. ","") &amp; IF($AB631="","Missing technical premium. ","") &amp; IF($AF631="","Missing surplus lines tax %. ",""))="","PASS","FAIL: "&amp;TRIM(IF($A631="","Missing certificate ref. ","") &amp; IF($C631="","Missing effective date. ","") &amp; IF($D631="","Missing binding status. ","") &amp; IF($E631="","Missing movement type. ","") &amp; IF($I631="","Missing make. ","") &amp; IF($L631="","Missing vehicle class. ","") &amp; IF($M631="","Missing agreed value. ","") &amp; IF($N631="","Missing policy type. ","") &amp; IF($Q631="","Missing garaging state. ","") &amp; IF($R631="","Missing garaging ZIP. ","") &amp; IF($S631="","Missing cat zone. ","") &amp; IF($V631="","Missing valuation basis. ","") &amp; IF($W631="","Missing PD deductible. ","") &amp; IF($X631="","Missing liability limit. ","") &amp; IF($AB631="","Missing technical premium. ","") &amp; IF($AF631="","Missing surplus lines tax %. ",""))))</f>
      </c>
      <c r="AY631" s="44">
        <f>IF($M631="","",IF(ISNUMBER($M631),IF($M631&gt;=Header!$C$18,"YES — refer","No"),""))</f>
      </c>
      <c r="AZ631" s="44">
        <f>IF($AD631="","",IF(ISNUMBER($AD631),IF($AD631&lt;Header!$C$20,"BELOW MIN PREMIUM","OK"),""))</f>
      </c>
      <c r="BA631" s="32" t="inlineStr">
        <is>
          <t xml:space="preserve">Yes</t>
        </is>
      </c>
      <c r="BB631" s="32" t="inlineStr">
        <is>
          <t xml:space="preserve">Yes</t>
        </is>
      </c>
      <c r="BC631" s="30" t="inlineStr">
        <is>
          <t xml:space="preserve">Synthetic demo data</t>
        </is>
      </c>
      <c r="BE631" s="45">
        <f>IF(OR($A631="",$L631="",$H631=""),"",IF(AND(LEFT($L631,2)="06",$H631&gt;1945),"FAIL - pre-war class, year "&amp;$H631,IF(AND(LEFT($L631,2)="07",OR($H631&lt;1946,$H631&gt;1972)),"FAIL - 1946-72 class, year "&amp;$H631,IF(AND(LEFT($L631,2)="08",OR($H631&lt;1973,$H631&gt;1999)),"FAIL - 1973-99 class, year "&amp;$H631,IF(AND(LEFT($L631,2)="09",OR($H631&lt;2000,$H631&gt;2010)),"FAIL - 2000-10 class, year "&amp;$H631,"OK")))))</f>
      </c>
      <c r="BF631" s="45">
        <f>IF($AD631="","",IF(ROUND($AO631+$AP631+$AQ631-$AD631,2)=0,"OK","FAIL - out by "&amp;TEXT($AO631+$AP631+$AQ631-$AD631,"$0.00")))</f>
      </c>
    </row>
    <row r="632" spans="1:58" ht="18.75" customHeight="1" x14ac:dyDescent="0.25">
      <c r="A632" s="46" t="inlineStr">
        <is>
          <t xml:space="preserve">CANON-202607-010392</t>
        </is>
      </c>
      <c r="B632" s="46" t="inlineStr">
        <is>
          <t xml:space="preserve">Sunniva Vandermeer</t>
        </is>
      </c>
      <c r="C632" s="47">
        <v>46226</v>
      </c>
      <c r="D632" s="48" t="inlineStr">
        <is>
          <t xml:space="preserve">Bound - within authority</t>
        </is>
      </c>
      <c r="E632" s="48" t="inlineStr">
        <is>
          <t xml:space="preserve">New business</t>
        </is>
      </c>
      <c r="F632" s="46" t="inlineStr">
        <is>
          <t xml:space="preserve">B1234EXOTIC26</t>
        </is>
      </c>
      <c r="G632" s="33">
        <f>IF($A632="","",IF($C632="","",YEAR($C632)))</f>
      </c>
      <c r="H632" s="49">
        <v>1967</v>
      </c>
      <c r="I632" s="46" t="inlineStr">
        <is>
          <t xml:space="preserve">BMW</t>
        </is>
      </c>
      <c r="J632" s="46" t="inlineStr">
        <is>
          <t xml:space="preserve">M8 Competition</t>
        </is>
      </c>
      <c r="K632" s="46" t="inlineStr">
        <is>
          <t xml:space="preserve">XRU08PYF77XHJKK0B</t>
        </is>
      </c>
      <c r="L632" s="48" t="inlineStr">
        <is>
          <t xml:space="preserve">02 - Sports / GT</t>
        </is>
      </c>
      <c r="M632" s="50">
        <v>320000</v>
      </c>
      <c r="N632" s="48" t="inlineStr">
        <is>
          <t xml:space="preserve">Personal</t>
        </is>
      </c>
      <c r="O632" s="46" t="inlineStr">
        <is>
          <t xml:space="preserve">Personal - regular use</t>
        </is>
      </c>
      <c r="P632" s="46" t="inlineStr">
        <is>
          <t xml:space="preserve">Under 1,000</t>
        </is>
      </c>
      <c r="Q632" s="46" t="inlineStr">
        <is>
          <t xml:space="preserve">West Virginia</t>
        </is>
      </c>
      <c r="R632" s="46" t="inlineStr">
        <is>
          <t xml:space="preserve">25301</t>
        </is>
      </c>
      <c r="S632" s="48" t="inlineStr">
        <is>
          <t xml:space="preserve">Low hazard - inland benign</t>
        </is>
      </c>
      <c r="T632" s="36">
        <f>IF($A632="","",IF($S632="","",IFERROR(INDEX('[1]natural catastrophe'!$D$6:$D$17,MATCH($S632,'[1]natural catastrophe'!$B$6:$B$17,0)),"?")))</f>
      </c>
      <c r="U632" s="46" t="inlineStr">
        <is>
          <t xml:space="preserve">$5,000</t>
        </is>
      </c>
      <c r="V632" s="48" t="inlineStr">
        <is>
          <t xml:space="preserve">Agreed Value</t>
        </is>
      </c>
      <c r="W632" s="46" t="inlineStr">
        <is>
          <t xml:space="preserve">$1,000</t>
        </is>
      </c>
      <c r="X632" s="48" t="inlineStr">
        <is>
          <t xml:space="preserve">$1,000,000 CSL</t>
        </is>
      </c>
      <c r="Y632" s="46"/>
      <c r="Z632" s="46"/>
      <c r="AA632" s="48" t="inlineStr">
        <is>
          <t xml:space="preserve">Surplus Lines</t>
        </is>
      </c>
      <c r="AB632" s="50">
        <v>4583.23</v>
      </c>
      <c r="AC632" s="51">
        <v>0</v>
      </c>
      <c r="AD632" s="38">
        <f>IF(ISNUMBER($AB632),$AB632*(1+N($AC632)),"")</f>
      </c>
      <c r="AE632" s="50">
        <v>350</v>
      </c>
      <c r="AF632" s="50">
        <v>0</v>
      </c>
      <c r="AG632" s="51"/>
      <c r="AH632" s="39">
        <f>IF(ISNUMBER($AD632),($AD632+$AE632+$AF632)*$AG632,"")</f>
      </c>
      <c r="AI632" s="50"/>
      <c r="AJ632" s="38">
        <f>IF(ISNUMBER($AD632),SUM($AD632:$AH632),"")</f>
      </c>
      <c r="AK632" s="40">
        <f>IF(AND(ISNUMBER($AB632),ISNUMBER($AD632)),IF($AB632&gt;0,$AD632/$AB632,""),"")</f>
      </c>
      <c r="AL632" s="48" t="inlineStr">
        <is>
          <t xml:space="preserve">At technical</t>
        </is>
      </c>
      <c r="AM632" s="41">
        <f>IF(ISNUMBER($AD632),Header!$I$3,"")</f>
      </c>
      <c r="AN632" s="39">
        <f>IF(ISNUMBER($AD632),$AO632+$AP632,"")</f>
      </c>
      <c r="AO632" s="39">
        <f>IF(ISNUMBER($AD632),ROUND($AD632*Header!$K$3,2),"")</f>
      </c>
      <c r="AP632" s="39">
        <f>IF(ISNUMBER($AD632),ROUND($AD632*Header!$M$3,2),"")</f>
      </c>
      <c r="AQ632" s="38">
        <f>IF(ISNUMBER($AD632),ROUND($AD632,2)-$AO632-$AP632,"")</f>
      </c>
      <c r="AR632" s="39">
        <f>IF(ISNUMBER($AD632),IF(Header!$D$34="","?",$AD632*Header!$D$34),"")</f>
      </c>
      <c r="AS632" s="39">
        <f>IF(ISNUMBER($AB632),IF(Header!$D$34="","?",$AB632*Header!$D$34),"")</f>
      </c>
      <c r="AT632" s="42">
        <f>IF(AND(ISNUMBER($AB632),$M632&gt;0),$AB632/$M632*100,"")</f>
      </c>
      <c r="AU632" s="42">
        <f>IF(AND(ISNUMBER($AD632),$M632&gt;0),$AD632/$M632*100,"")</f>
      </c>
      <c r="AV632" s="40">
        <f>IF(AND(ISNUMBER($AB632),ISNUMBER($AD632),ABS($AB632)&gt;0),$AD632/$AB632,"")</f>
      </c>
      <c r="AW632" s="39">
        <f>IF(ISNUMBER($AD632),MAX(0,(1-0.55-Header!$O$3)*Header!$Q$3*$AQ632),"")</f>
      </c>
      <c r="AX632" s="43">
        <f>IF($A632="","",IF(TRIM(IF($A632="","Missing certificate ref. ","") &amp; IF($C632="","Missing effective date. ","") &amp; IF($D632="","Missing binding status. ","") &amp; IF($E632="","Missing movement type. ","") &amp; IF($I632="","Missing make. ","") &amp; IF($L632="","Missing vehicle class. ","") &amp; IF($M632="","Missing agreed value. ","") &amp; IF($N632="","Missing policy type. ","") &amp; IF($Q632="","Missing garaging state. ","") &amp; IF($R632="","Missing garaging ZIP. ","") &amp; IF($S632="","Missing cat zone. ","") &amp; IF($V632="","Missing valuation basis. ","") &amp; IF($W632="","Missing PD deductible. ","") &amp; IF($X632="","Missing liability limit. ","") &amp; IF($AB632="","Missing technical premium. ","") &amp; IF($AF632="","Missing surplus lines tax %. ",""))="","PASS","FAIL: "&amp;TRIM(IF($A632="","Missing certificate ref. ","") &amp; IF($C632="","Missing effective date. ","") &amp; IF($D632="","Missing binding status. ","") &amp; IF($E632="","Missing movement type. ","") &amp; IF($I632="","Missing make. ","") &amp; IF($L632="","Missing vehicle class. ","") &amp; IF($M632="","Missing agreed value. ","") &amp; IF($N632="","Missing policy type. ","") &amp; IF($Q632="","Missing garaging state. ","") &amp; IF($R632="","Missing garaging ZIP. ","") &amp; IF($S632="","Missing cat zone. ","") &amp; IF($V632="","Missing valuation basis. ","") &amp; IF($W632="","Missing PD deductible. ","") &amp; IF($X632="","Missing liability limit. ","") &amp; IF($AB632="","Missing technical premium. ","") &amp; IF($AF632="","Missing surplus lines tax %. ",""))))</f>
      </c>
      <c r="AY632" s="44">
        <f>IF($M632="","",IF(ISNUMBER($M632),IF($M632&gt;=Header!$C$18,"YES — refer","No"),""))</f>
      </c>
      <c r="AZ632" s="44">
        <f>IF($AD632="","",IF(ISNUMBER($AD632),IF($AD632&lt;Header!$C$20,"BELOW MIN PREMIUM","OK"),""))</f>
      </c>
      <c r="BA632" s="48" t="inlineStr">
        <is>
          <t xml:space="preserve">Yes</t>
        </is>
      </c>
      <c r="BB632" s="48" t="inlineStr">
        <is>
          <t xml:space="preserve">Yes</t>
        </is>
      </c>
      <c r="BC632" s="46" t="inlineStr">
        <is>
          <t xml:space="preserve">Synthetic demo data</t>
        </is>
      </c>
      <c r="BE632" s="45">
        <f>IF(OR($A632="",$L632="",$H632=""),"",IF(AND(LEFT($L632,2)="06",$H632&gt;1945),"FAIL - pre-war class, year "&amp;$H632,IF(AND(LEFT($L632,2)="07",OR($H632&lt;1946,$H632&gt;1972)),"FAIL - 1946-72 class, year "&amp;$H632,IF(AND(LEFT($L632,2)="08",OR($H632&lt;1973,$H632&gt;1999)),"FAIL - 1973-99 class, year "&amp;$H632,IF(AND(LEFT($L632,2)="09",OR($H632&lt;2000,$H632&gt;2010)),"FAIL - 2000-10 class, year "&amp;$H632,"OK")))))</f>
      </c>
      <c r="BF632" s="45">
        <f>IF($AD632="","",IF(ROUND($AO632+$AP632+$AQ632-$AD632,2)=0,"OK","FAIL - out by "&amp;TEXT($AO632+$AP632+$AQ632-$AD632,"$0.00")))</f>
      </c>
    </row>
    <row r="633" spans="1:58" ht="18.75" customHeight="1" x14ac:dyDescent="0.25">
      <c r="A633" s="30" t="inlineStr">
        <is>
          <t xml:space="preserve">CANON-202607-010393</t>
        </is>
      </c>
      <c r="B633" s="30" t="inlineStr">
        <is>
          <t xml:space="preserve">Cassius Vasquez</t>
        </is>
      </c>
      <c r="C633" s="31">
        <v>46210</v>
      </c>
      <c r="D633" s="32" t="inlineStr">
        <is>
          <t xml:space="preserve">Bound - within authority</t>
        </is>
      </c>
      <c r="E633" s="32" t="inlineStr">
        <is>
          <t xml:space="preserve">New business</t>
        </is>
      </c>
      <c r="F633" s="30" t="inlineStr">
        <is>
          <t xml:space="preserve">B1234EXOTIC26</t>
        </is>
      </c>
      <c r="G633" s="33">
        <f>IF($A633="","",IF($C633="","",YEAR($C633)))</f>
      </c>
      <c r="H633" s="34">
        <v>1956</v>
      </c>
      <c r="I633" s="30" t="inlineStr">
        <is>
          <t xml:space="preserve">Bentley</t>
        </is>
      </c>
      <c r="J633" s="30" t="inlineStr">
        <is>
          <t xml:space="preserve">Continental GT</t>
        </is>
      </c>
      <c r="K633" s="30" t="inlineStr">
        <is>
          <t xml:space="preserve">J8HRM7WX1SLEVR5CA</t>
        </is>
      </c>
      <c r="L633" s="32" t="inlineStr">
        <is>
          <t xml:space="preserve">02 - Sports / GT</t>
        </is>
      </c>
      <c r="M633" s="35">
        <v>700000</v>
      </c>
      <c r="N633" s="32" t="inlineStr">
        <is>
          <t xml:space="preserve">Personal</t>
        </is>
      </c>
      <c r="O633" s="30" t="inlineStr">
        <is>
          <t xml:space="preserve">Personal - regular use</t>
        </is>
      </c>
      <c r="P633" s="30" t="inlineStr">
        <is>
          <t xml:space="preserve">2,500 - 5,000</t>
        </is>
      </c>
      <c r="Q633" s="30" t="inlineStr">
        <is>
          <t xml:space="preserve">Pennsylvania</t>
        </is>
      </c>
      <c r="R633" s="30" t="inlineStr">
        <is>
          <t xml:space="preserve">19103</t>
        </is>
      </c>
      <c r="S633" s="32" t="inlineStr">
        <is>
          <t xml:space="preserve">Low hazard - inland benign</t>
        </is>
      </c>
      <c r="T633" s="36">
        <f>IF($A633="","",IF($S633="","",IFERROR(INDEX('[1]natural catastrophe'!$D$6:$D$17,MATCH($S633,'[1]natural catastrophe'!$B$6:$B$17,0)),"?")))</f>
      </c>
      <c r="U633" s="30" t="inlineStr">
        <is>
          <t xml:space="preserve">$5,000</t>
        </is>
      </c>
      <c r="V633" s="32" t="inlineStr">
        <is>
          <t xml:space="preserve">Agreed Value</t>
        </is>
      </c>
      <c r="W633" s="30" t="inlineStr">
        <is>
          <t xml:space="preserve">$1,000</t>
        </is>
      </c>
      <c r="X633" s="32" t="inlineStr">
        <is>
          <t xml:space="preserve">$1,000,000 CSL</t>
        </is>
      </c>
      <c r="Y633" s="30"/>
      <c r="Z633" s="30"/>
      <c r="AA633" s="32" t="inlineStr">
        <is>
          <t xml:space="preserve">Surplus Lines</t>
        </is>
      </c>
      <c r="AB633" s="35">
        <v>6533.12</v>
      </c>
      <c r="AC633" s="37">
        <v>0</v>
      </c>
      <c r="AD633" s="38">
        <f>IF(ISNUMBER($AB633),$AB633*(1+N($AC633)),"")</f>
      </c>
      <c r="AE633" s="35">
        <v>350</v>
      </c>
      <c r="AF633" s="35">
        <v>0</v>
      </c>
      <c r="AG633" s="37"/>
      <c r="AH633" s="39">
        <f>IF(ISNUMBER($AD633),($AD633+$AE633+$AF633)*$AG633,"")</f>
      </c>
      <c r="AI633" s="35"/>
      <c r="AJ633" s="38">
        <f>IF(ISNUMBER($AD633),SUM($AD633:$AH633),"")</f>
      </c>
      <c r="AK633" s="40">
        <f>IF(AND(ISNUMBER($AB633),ISNUMBER($AD633)),IF($AB633&gt;0,$AD633/$AB633,""),"")</f>
      </c>
      <c r="AL633" s="32" t="inlineStr">
        <is>
          <t xml:space="preserve">At technical</t>
        </is>
      </c>
      <c r="AM633" s="41">
        <f>IF(ISNUMBER($AD633),Header!$I$3,"")</f>
      </c>
      <c r="AN633" s="39">
        <f>IF(ISNUMBER($AD633),$AO633+$AP633,"")</f>
      </c>
      <c r="AO633" s="39">
        <f>IF(ISNUMBER($AD633),ROUND($AD633*Header!$K$3,2),"")</f>
      </c>
      <c r="AP633" s="39">
        <f>IF(ISNUMBER($AD633),ROUND($AD633*Header!$M$3,2),"")</f>
      </c>
      <c r="AQ633" s="38">
        <f>IF(ISNUMBER($AD633),ROUND($AD633,2)-$AO633-$AP633,"")</f>
      </c>
      <c r="AR633" s="39">
        <f>IF(ISNUMBER($AD633),IF(Header!$D$34="","?",$AD633*Header!$D$34),"")</f>
      </c>
      <c r="AS633" s="39">
        <f>IF(ISNUMBER($AB633),IF(Header!$D$34="","?",$AB633*Header!$D$34),"")</f>
      </c>
      <c r="AT633" s="42">
        <f>IF(AND(ISNUMBER($AB633),$M633&gt;0),$AB633/$M633*100,"")</f>
      </c>
      <c r="AU633" s="42">
        <f>IF(AND(ISNUMBER($AD633),$M633&gt;0),$AD633/$M633*100,"")</f>
      </c>
      <c r="AV633" s="40">
        <f>IF(AND(ISNUMBER($AB633),ISNUMBER($AD633),ABS($AB633)&gt;0),$AD633/$AB633,"")</f>
      </c>
      <c r="AW633" s="39">
        <f>IF(ISNUMBER($AD633),MAX(0,(1-0.55-Header!$O$3)*Header!$Q$3*$AQ633),"")</f>
      </c>
      <c r="AX633" s="43">
        <f>IF($A633="","",IF(TRIM(IF($A633="","Missing certificate ref. ","") &amp; IF($C633="","Missing effective date. ","") &amp; IF($D633="","Missing binding status. ","") &amp; IF($E633="","Missing movement type. ","") &amp; IF($I633="","Missing make. ","") &amp; IF($L633="","Missing vehicle class. ","") &amp; IF($M633="","Missing agreed value. ","") &amp; IF($N633="","Missing policy type. ","") &amp; IF($Q633="","Missing garaging state. ","") &amp; IF($R633="","Missing garaging ZIP. ","") &amp; IF($S633="","Missing cat zone. ","") &amp; IF($V633="","Missing valuation basis. ","") &amp; IF($W633="","Missing PD deductible. ","") &amp; IF($X633="","Missing liability limit. ","") &amp; IF($AB633="","Missing technical premium. ","") &amp; IF($AF633="","Missing surplus lines tax %. ",""))="","PASS","FAIL: "&amp;TRIM(IF($A633="","Missing certificate ref. ","") &amp; IF($C633="","Missing effective date. ","") &amp; IF($D633="","Missing binding status. ","") &amp; IF($E633="","Missing movement type. ","") &amp; IF($I633="","Missing make. ","") &amp; IF($L633="","Missing vehicle class. ","") &amp; IF($M633="","Missing agreed value. ","") &amp; IF($N633="","Missing policy type. ","") &amp; IF($Q633="","Missing garaging state. ","") &amp; IF($R633="","Missing garaging ZIP. ","") &amp; IF($S633="","Missing cat zone. ","") &amp; IF($V633="","Missing valuation basis. ","") &amp; IF($W633="","Missing PD deductible. ","") &amp; IF($X633="","Missing liability limit. ","") &amp; IF($AB633="","Missing technical premium. ","") &amp; IF($AF633="","Missing surplus lines tax %. ",""))))</f>
      </c>
      <c r="AY633" s="44">
        <f>IF($M633="","",IF(ISNUMBER($M633),IF($M633&gt;=Header!$C$18,"YES — refer","No"),""))</f>
      </c>
      <c r="AZ633" s="44">
        <f>IF($AD633="","",IF(ISNUMBER($AD633),IF($AD633&lt;Header!$C$20,"BELOW MIN PREMIUM","OK"),""))</f>
      </c>
      <c r="BA633" s="32" t="inlineStr">
        <is>
          <t xml:space="preserve">Yes</t>
        </is>
      </c>
      <c r="BB633" s="32" t="inlineStr">
        <is>
          <t xml:space="preserve">Yes</t>
        </is>
      </c>
      <c r="BC633" s="30" t="inlineStr">
        <is>
          <t xml:space="preserve">Synthetic demo data</t>
        </is>
      </c>
      <c r="BE633" s="45">
        <f>IF(OR($A633="",$L633="",$H633=""),"",IF(AND(LEFT($L633,2)="06",$H633&gt;1945),"FAIL - pre-war class, year "&amp;$H633,IF(AND(LEFT($L633,2)="07",OR($H633&lt;1946,$H633&gt;1972)),"FAIL - 1946-72 class, year "&amp;$H633,IF(AND(LEFT($L633,2)="08",OR($H633&lt;1973,$H633&gt;1999)),"FAIL - 1973-99 class, year "&amp;$H633,IF(AND(LEFT($L633,2)="09",OR($H633&lt;2000,$H633&gt;2010)),"FAIL - 2000-10 class, year "&amp;$H633,"OK")))))</f>
      </c>
      <c r="BF633" s="45">
        <f>IF($AD633="","",IF(ROUND($AO633+$AP633+$AQ633-$AD633,2)=0,"OK","FAIL - out by "&amp;TEXT($AO633+$AP633+$AQ633-$AD633,"$0.00")))</f>
      </c>
    </row>
    <row r="634" spans="1:58" ht="18.75" customHeight="1" x14ac:dyDescent="0.25">
      <c r="A634" s="46" t="inlineStr">
        <is>
          <t xml:space="preserve">CANON-202607-010394</t>
        </is>
      </c>
      <c r="B634" s="46" t="inlineStr">
        <is>
          <t xml:space="preserve">Horace Delacroix</t>
        </is>
      </c>
      <c r="C634" s="47">
        <v>46226</v>
      </c>
      <c r="D634" s="48" t="inlineStr">
        <is>
          <t xml:space="preserve">Bound - within authority</t>
        </is>
      </c>
      <c r="E634" s="48" t="inlineStr">
        <is>
          <t xml:space="preserve">New business</t>
        </is>
      </c>
      <c r="F634" s="46" t="inlineStr">
        <is>
          <t xml:space="preserve">B1234EXOTIC26</t>
        </is>
      </c>
      <c r="G634" s="33">
        <f>IF($A634="","",IF($C634="","",YEAR($C634)))</f>
      </c>
      <c r="H634" s="49">
        <v>1978</v>
      </c>
      <c r="I634" s="46" t="inlineStr">
        <is>
          <t xml:space="preserve">Ferrari</t>
        </is>
      </c>
      <c r="J634" s="46" t="inlineStr">
        <is>
          <t xml:space="preserve">296 GTB</t>
        </is>
      </c>
      <c r="K634" s="46" t="inlineStr">
        <is>
          <t xml:space="preserve">805CFL0MUYVBVCNS1</t>
        </is>
      </c>
      <c r="L634" s="48" t="inlineStr">
        <is>
          <t xml:space="preserve">03 - Supercar</t>
        </is>
      </c>
      <c r="M634" s="50">
        <v>365000</v>
      </c>
      <c r="N634" s="48" t="inlineStr">
        <is>
          <t xml:space="preserve">Personal</t>
        </is>
      </c>
      <c r="O634" s="46" t="inlineStr">
        <is>
          <t xml:space="preserve">Personal - regular use</t>
        </is>
      </c>
      <c r="P634" s="46" t="inlineStr">
        <is>
          <t xml:space="preserve">2,500 - 5,000</t>
        </is>
      </c>
      <c r="Q634" s="46" t="inlineStr">
        <is>
          <t xml:space="preserve">Virginia</t>
        </is>
      </c>
      <c r="R634" s="46" t="inlineStr">
        <is>
          <t xml:space="preserve">23219</t>
        </is>
      </c>
      <c r="S634" s="48" t="inlineStr">
        <is>
          <t xml:space="preserve">Tier 3 - Coastal wind (25-100 miles)</t>
        </is>
      </c>
      <c r="T634" s="36">
        <f>IF($A634="","",IF($S634="","",IFERROR(INDEX('[1]natural catastrophe'!$D$6:$D$17,MATCH($S634,'[1]natural catastrophe'!$B$6:$B$17,0)),"?")))</f>
      </c>
      <c r="U634" s="46" t="inlineStr">
        <is>
          <t xml:space="preserve">2% of agreed value, minimum $10,000</t>
        </is>
      </c>
      <c r="V634" s="48" t="inlineStr">
        <is>
          <t xml:space="preserve">Agreed Value</t>
        </is>
      </c>
      <c r="W634" s="46" t="inlineStr">
        <is>
          <t xml:space="preserve">$1,000</t>
        </is>
      </c>
      <c r="X634" s="48" t="inlineStr">
        <is>
          <t xml:space="preserve">$1,000,000 CSL</t>
        </is>
      </c>
      <c r="Y634" s="46"/>
      <c r="Z634" s="46"/>
      <c r="AA634" s="48" t="inlineStr">
        <is>
          <t xml:space="preserve">Surplus Lines</t>
        </is>
      </c>
      <c r="AB634" s="50">
        <v>6569.4</v>
      </c>
      <c r="AC634" s="51">
        <v>0</v>
      </c>
      <c r="AD634" s="38">
        <f>IF(ISNUMBER($AB634),$AB634*(1+N($AC634)),"")</f>
      </c>
      <c r="AE634" s="50">
        <v>350</v>
      </c>
      <c r="AF634" s="50">
        <v>0</v>
      </c>
      <c r="AG634" s="51"/>
      <c r="AH634" s="39">
        <f>IF(ISNUMBER($AD634),($AD634+$AE634+$AF634)*$AG634,"")</f>
      </c>
      <c r="AI634" s="50"/>
      <c r="AJ634" s="38">
        <f>IF(ISNUMBER($AD634),SUM($AD634:$AH634),"")</f>
      </c>
      <c r="AK634" s="40">
        <f>IF(AND(ISNUMBER($AB634),ISNUMBER($AD634)),IF($AB634&gt;0,$AD634/$AB634,""),"")</f>
      </c>
      <c r="AL634" s="48" t="inlineStr">
        <is>
          <t xml:space="preserve">At technical</t>
        </is>
      </c>
      <c r="AM634" s="41">
        <f>IF(ISNUMBER($AD634),Header!$I$3,"")</f>
      </c>
      <c r="AN634" s="39">
        <f>IF(ISNUMBER($AD634),$AO634+$AP634,"")</f>
      </c>
      <c r="AO634" s="39">
        <f>IF(ISNUMBER($AD634),ROUND($AD634*Header!$K$3,2),"")</f>
      </c>
      <c r="AP634" s="39">
        <f>IF(ISNUMBER($AD634),ROUND($AD634*Header!$M$3,2),"")</f>
      </c>
      <c r="AQ634" s="38">
        <f>IF(ISNUMBER($AD634),ROUND($AD634,2)-$AO634-$AP634,"")</f>
      </c>
      <c r="AR634" s="39">
        <f>IF(ISNUMBER($AD634),IF(Header!$D$34="","?",$AD634*Header!$D$34),"")</f>
      </c>
      <c r="AS634" s="39">
        <f>IF(ISNUMBER($AB634),IF(Header!$D$34="","?",$AB634*Header!$D$34),"")</f>
      </c>
      <c r="AT634" s="42">
        <f>IF(AND(ISNUMBER($AB634),$M634&gt;0),$AB634/$M634*100,"")</f>
      </c>
      <c r="AU634" s="42">
        <f>IF(AND(ISNUMBER($AD634),$M634&gt;0),$AD634/$M634*100,"")</f>
      </c>
      <c r="AV634" s="40">
        <f>IF(AND(ISNUMBER($AB634),ISNUMBER($AD634),ABS($AB634)&gt;0),$AD634/$AB634,"")</f>
      </c>
      <c r="AW634" s="39">
        <f>IF(ISNUMBER($AD634),MAX(0,(1-0.55-Header!$O$3)*Header!$Q$3*$AQ634),"")</f>
      </c>
      <c r="AX634" s="43">
        <f>IF($A634="","",IF(TRIM(IF($A634="","Missing certificate ref. ","") &amp; IF($C634="","Missing effective date. ","") &amp; IF($D634="","Missing binding status. ","") &amp; IF($E634="","Missing movement type. ","") &amp; IF($I634="","Missing make. ","") &amp; IF($L634="","Missing vehicle class. ","") &amp; IF($M634="","Missing agreed value. ","") &amp; IF($N634="","Missing policy type. ","") &amp; IF($Q634="","Missing garaging state. ","") &amp; IF($R634="","Missing garaging ZIP. ","") &amp; IF($S634="","Missing cat zone. ","") &amp; IF($V634="","Missing valuation basis. ","") &amp; IF($W634="","Missing PD deductible. ","") &amp; IF($X634="","Missing liability limit. ","") &amp; IF($AB634="","Missing technical premium. ","") &amp; IF($AF634="","Missing surplus lines tax %. ",""))="","PASS","FAIL: "&amp;TRIM(IF($A634="","Missing certificate ref. ","") &amp; IF($C634="","Missing effective date. ","") &amp; IF($D634="","Missing binding status. ","") &amp; IF($E634="","Missing movement type. ","") &amp; IF($I634="","Missing make. ","") &amp; IF($L634="","Missing vehicle class. ","") &amp; IF($M634="","Missing agreed value. ","") &amp; IF($N634="","Missing policy type. ","") &amp; IF($Q634="","Missing garaging state. ","") &amp; IF($R634="","Missing garaging ZIP. ","") &amp; IF($S634="","Missing cat zone. ","") &amp; IF($V634="","Missing valuation basis. ","") &amp; IF($W634="","Missing PD deductible. ","") &amp; IF($X634="","Missing liability limit. ","") &amp; IF($AB634="","Missing technical premium. ","") &amp; IF($AF634="","Missing surplus lines tax %. ",""))))</f>
      </c>
      <c r="AY634" s="44">
        <f>IF($M634="","",IF(ISNUMBER($M634),IF($M634&gt;=Header!$C$18,"YES — refer","No"),""))</f>
      </c>
      <c r="AZ634" s="44">
        <f>IF($AD634="","",IF(ISNUMBER($AD634),IF($AD634&lt;Header!$C$20,"BELOW MIN PREMIUM","OK"),""))</f>
      </c>
      <c r="BA634" s="48" t="inlineStr">
        <is>
          <t xml:space="preserve">Yes</t>
        </is>
      </c>
      <c r="BB634" s="48" t="inlineStr">
        <is>
          <t xml:space="preserve">Yes</t>
        </is>
      </c>
      <c r="BC634" s="46" t="inlineStr">
        <is>
          <t xml:space="preserve">Synthetic demo data</t>
        </is>
      </c>
      <c r="BE634" s="45">
        <f>IF(OR($A634="",$L634="",$H634=""),"",IF(AND(LEFT($L634,2)="06",$H634&gt;1945),"FAIL - pre-war class, year "&amp;$H634,IF(AND(LEFT($L634,2)="07",OR($H634&lt;1946,$H634&gt;1972)),"FAIL - 1946-72 class, year "&amp;$H634,IF(AND(LEFT($L634,2)="08",OR($H634&lt;1973,$H634&gt;1999)),"FAIL - 1973-99 class, year "&amp;$H634,IF(AND(LEFT($L634,2)="09",OR($H634&lt;2000,$H634&gt;2010)),"FAIL - 2000-10 class, year "&amp;$H634,"OK")))))</f>
      </c>
      <c r="BF634" s="45">
        <f>IF($AD634="","",IF(ROUND($AO634+$AP634+$AQ634-$AD634,2)=0,"OK","FAIL - out by "&amp;TEXT($AO634+$AP634+$AQ634-$AD634,"$0.00")))</f>
      </c>
    </row>
    <row r="635" spans="1:58" ht="18.75" customHeight="1" x14ac:dyDescent="0.25">
      <c r="A635" s="30" t="inlineStr">
        <is>
          <t xml:space="preserve">CANON-202607-010397</t>
        </is>
      </c>
      <c r="B635" s="30" t="inlineStr">
        <is>
          <t xml:space="preserve">Emiliano Pennington</t>
        </is>
      </c>
      <c r="C635" s="31">
        <v>46234</v>
      </c>
      <c r="D635" s="32" t="inlineStr">
        <is>
          <t xml:space="preserve">Bound - within authority</t>
        </is>
      </c>
      <c r="E635" s="32" t="inlineStr">
        <is>
          <t xml:space="preserve">New business</t>
        </is>
      </c>
      <c r="F635" s="30" t="inlineStr">
        <is>
          <t xml:space="preserve">B1234EXOTIC26</t>
        </is>
      </c>
      <c r="G635" s="33">
        <f>IF($A635="","",IF($C635="","",YEAR($C635)))</f>
      </c>
      <c r="H635" s="34">
        <v>1963</v>
      </c>
      <c r="I635" s="30" t="inlineStr">
        <is>
          <t xml:space="preserve">Mercedes-Benz</t>
        </is>
      </c>
      <c r="J635" s="30" t="inlineStr">
        <is>
          <t xml:space="preserve">AMG GT</t>
        </is>
      </c>
      <c r="K635" s="30" t="inlineStr">
        <is>
          <t xml:space="preserve">6Z8W1F4KS7HG07JEW</t>
        </is>
      </c>
      <c r="L635" s="32" t="inlineStr">
        <is>
          <t xml:space="preserve">02 - Sports / GT</t>
        </is>
      </c>
      <c r="M635" s="35">
        <v>220000</v>
      </c>
      <c r="N635" s="32" t="inlineStr">
        <is>
          <t xml:space="preserve">Personal</t>
        </is>
      </c>
      <c r="O635" s="30" t="inlineStr">
        <is>
          <t xml:space="preserve">Personal - regular use</t>
        </is>
      </c>
      <c r="P635" s="30" t="inlineStr">
        <is>
          <t xml:space="preserve">1,000 - 2,500</t>
        </is>
      </c>
      <c r="Q635" s="30" t="inlineStr">
        <is>
          <t xml:space="preserve">Utah</t>
        </is>
      </c>
      <c r="R635" s="30" t="inlineStr">
        <is>
          <t xml:space="preserve">84101</t>
        </is>
      </c>
      <c r="S635" s="32" t="inlineStr">
        <is>
          <t xml:space="preserve">Wildfire - WUI high hazard</t>
        </is>
      </c>
      <c r="T635" s="36">
        <f>IF($A635="","",IF($S635="","",IFERROR(INDEX('[1]natural catastrophe'!$D$6:$D$17,MATCH($S635,'[1]natural catastrophe'!$B$6:$B$17,0)),"?")))</f>
      </c>
      <c r="U635" s="30" t="inlineStr">
        <is>
          <t xml:space="preserve">$5,000</t>
        </is>
      </c>
      <c r="V635" s="32" t="inlineStr">
        <is>
          <t xml:space="preserve">Agreed Value</t>
        </is>
      </c>
      <c r="W635" s="30" t="inlineStr">
        <is>
          <t xml:space="preserve">$1,000</t>
        </is>
      </c>
      <c r="X635" s="32" t="inlineStr">
        <is>
          <t xml:space="preserve">$1,000,000 CSL</t>
        </is>
      </c>
      <c r="Y635" s="30"/>
      <c r="Z635" s="30"/>
      <c r="AA635" s="32" t="inlineStr">
        <is>
          <t xml:space="preserve">Surplus Lines</t>
        </is>
      </c>
      <c r="AB635" s="35">
        <v>3923.31</v>
      </c>
      <c r="AC635" s="37">
        <v>0</v>
      </c>
      <c r="AD635" s="38">
        <f>IF(ISNUMBER($AB635),$AB635*(1+N($AC635)),"")</f>
      </c>
      <c r="AE635" s="35">
        <v>350</v>
      </c>
      <c r="AF635" s="35">
        <v>0</v>
      </c>
      <c r="AG635" s="37"/>
      <c r="AH635" s="39">
        <f>IF(ISNUMBER($AD635),($AD635+$AE635+$AF635)*$AG635,"")</f>
      </c>
      <c r="AI635" s="35"/>
      <c r="AJ635" s="38">
        <f>IF(ISNUMBER($AD635),SUM($AD635:$AH635),"")</f>
      </c>
      <c r="AK635" s="40">
        <f>IF(AND(ISNUMBER($AB635),ISNUMBER($AD635)),IF($AB635&gt;0,$AD635/$AB635,""),"")</f>
      </c>
      <c r="AL635" s="32" t="inlineStr">
        <is>
          <t xml:space="preserve">At technical</t>
        </is>
      </c>
      <c r="AM635" s="41">
        <f>IF(ISNUMBER($AD635),Header!$I$3,"")</f>
      </c>
      <c r="AN635" s="39">
        <f>IF(ISNUMBER($AD635),$AO635+$AP635,"")</f>
      </c>
      <c r="AO635" s="39">
        <f>IF(ISNUMBER($AD635),ROUND($AD635*Header!$K$3,2),"")</f>
      </c>
      <c r="AP635" s="39">
        <f>IF(ISNUMBER($AD635),ROUND($AD635*Header!$M$3,2),"")</f>
      </c>
      <c r="AQ635" s="38">
        <f>IF(ISNUMBER($AD635),ROUND($AD635,2)-$AO635-$AP635,"")</f>
      </c>
      <c r="AR635" s="39">
        <f>IF(ISNUMBER($AD635),IF(Header!$D$34="","?",$AD635*Header!$D$34),"")</f>
      </c>
      <c r="AS635" s="39">
        <f>IF(ISNUMBER($AB635),IF(Header!$D$34="","?",$AB635*Header!$D$34),"")</f>
      </c>
      <c r="AT635" s="42">
        <f>IF(AND(ISNUMBER($AB635),$M635&gt;0),$AB635/$M635*100,"")</f>
      </c>
      <c r="AU635" s="42">
        <f>IF(AND(ISNUMBER($AD635),$M635&gt;0),$AD635/$M635*100,"")</f>
      </c>
      <c r="AV635" s="40">
        <f>IF(AND(ISNUMBER($AB635),ISNUMBER($AD635),ABS($AB635)&gt;0),$AD635/$AB635,"")</f>
      </c>
      <c r="AW635" s="39">
        <f>IF(ISNUMBER($AD635),MAX(0,(1-0.55-Header!$O$3)*Header!$Q$3*$AQ635),"")</f>
      </c>
      <c r="AX635" s="43">
        <f>IF($A635="","",IF(TRIM(IF($A635="","Missing certificate ref. ","") &amp; IF($C635="","Missing effective date. ","") &amp; IF($D635="","Missing binding status. ","") &amp; IF($E635="","Missing movement type. ","") &amp; IF($I635="","Missing make. ","") &amp; IF($L635="","Missing vehicle class. ","") &amp; IF($M635="","Missing agreed value. ","") &amp; IF($N635="","Missing policy type. ","") &amp; IF($Q635="","Missing garaging state. ","") &amp; IF($R635="","Missing garaging ZIP. ","") &amp; IF($S635="","Missing cat zone. ","") &amp; IF($V635="","Missing valuation basis. ","") &amp; IF($W635="","Missing PD deductible. ","") &amp; IF($X635="","Missing liability limit. ","") &amp; IF($AB635="","Missing technical premium. ","") &amp; IF($AF635="","Missing surplus lines tax %. ",""))="","PASS","FAIL: "&amp;TRIM(IF($A635="","Missing certificate ref. ","") &amp; IF($C635="","Missing effective date. ","") &amp; IF($D635="","Missing binding status. ","") &amp; IF($E635="","Missing movement type. ","") &amp; IF($I635="","Missing make. ","") &amp; IF($L635="","Missing vehicle class. ","") &amp; IF($M635="","Missing agreed value. ","") &amp; IF($N635="","Missing policy type. ","") &amp; IF($Q635="","Missing garaging state. ","") &amp; IF($R635="","Missing garaging ZIP. ","") &amp; IF($S635="","Missing cat zone. ","") &amp; IF($V635="","Missing valuation basis. ","") &amp; IF($W635="","Missing PD deductible. ","") &amp; IF($X635="","Missing liability limit. ","") &amp; IF($AB635="","Missing technical premium. ","") &amp; IF($AF635="","Missing surplus lines tax %. ",""))))</f>
      </c>
      <c r="AY635" s="44">
        <f>IF($M635="","",IF(ISNUMBER($M635),IF($M635&gt;=Header!$C$18,"YES — refer","No"),""))</f>
      </c>
      <c r="AZ635" s="44">
        <f>IF($AD635="","",IF(ISNUMBER($AD635),IF($AD635&lt;Header!$C$20,"BELOW MIN PREMIUM","OK"),""))</f>
      </c>
      <c r="BA635" s="32" t="inlineStr">
        <is>
          <t xml:space="preserve">Yes</t>
        </is>
      </c>
      <c r="BB635" s="32" t="inlineStr">
        <is>
          <t xml:space="preserve">Yes</t>
        </is>
      </c>
      <c r="BC635" s="30" t="inlineStr">
        <is>
          <t xml:space="preserve">Synthetic demo data</t>
        </is>
      </c>
      <c r="BE635" s="45">
        <f>IF(OR($A635="",$L635="",$H635=""),"",IF(AND(LEFT($L635,2)="06",$H635&gt;1945),"FAIL - pre-war class, year "&amp;$H635,IF(AND(LEFT($L635,2)="07",OR($H635&lt;1946,$H635&gt;1972)),"FAIL - 1946-72 class, year "&amp;$H635,IF(AND(LEFT($L635,2)="08",OR($H635&lt;1973,$H635&gt;1999)),"FAIL - 1973-99 class, year "&amp;$H635,IF(AND(LEFT($L635,2)="09",OR($H635&lt;2000,$H635&gt;2010)),"FAIL - 2000-10 class, year "&amp;$H635,"OK")))))</f>
      </c>
      <c r="BF635" s="45">
        <f>IF($AD635="","",IF(ROUND($AO635+$AP635+$AQ635-$AD635,2)=0,"OK","FAIL - out by "&amp;TEXT($AO635+$AP635+$AQ635-$AD635,"$0.00")))</f>
      </c>
    </row>
    <row r="636" spans="1:58" ht="18.75" customHeight="1" x14ac:dyDescent="0.25">
      <c r="A636" s="46" t="inlineStr">
        <is>
          <t xml:space="preserve">CANON-202607-010398</t>
        </is>
      </c>
      <c r="B636" s="46" t="inlineStr">
        <is>
          <t xml:space="preserve">Callum Thistlewood</t>
        </is>
      </c>
      <c r="C636" s="47">
        <v>46212</v>
      </c>
      <c r="D636" s="48" t="inlineStr">
        <is>
          <t xml:space="preserve">Bound - within authority</t>
        </is>
      </c>
      <c r="E636" s="48" t="inlineStr">
        <is>
          <t xml:space="preserve">New business</t>
        </is>
      </c>
      <c r="F636" s="46" t="inlineStr">
        <is>
          <t xml:space="preserve">B1234EXOTIC26</t>
        </is>
      </c>
      <c r="G636" s="33">
        <f>IF($A636="","",IF($C636="","",YEAR($C636)))</f>
      </c>
      <c r="H636" s="49">
        <v>1965</v>
      </c>
      <c r="I636" s="46" t="inlineStr">
        <is>
          <t xml:space="preserve">Aston Martin</t>
        </is>
      </c>
      <c r="J636" s="46" t="inlineStr">
        <is>
          <t xml:space="preserve">DB12</t>
        </is>
      </c>
      <c r="K636" s="46" t="inlineStr">
        <is>
          <t xml:space="preserve">9AE564BNZ0KANT9Z7</t>
        </is>
      </c>
      <c r="L636" s="48" t="inlineStr">
        <is>
          <t xml:space="preserve">02 - Sports / GT</t>
        </is>
      </c>
      <c r="M636" s="50">
        <v>1235000</v>
      </c>
      <c r="N636" s="48" t="inlineStr">
        <is>
          <t xml:space="preserve">Personal</t>
        </is>
      </c>
      <c r="O636" s="46" t="inlineStr">
        <is>
          <t xml:space="preserve">Personal - regular use</t>
        </is>
      </c>
      <c r="P636" s="46" t="inlineStr">
        <is>
          <t xml:space="preserve">Under 1,000</t>
        </is>
      </c>
      <c r="Q636" s="46" t="inlineStr">
        <is>
          <t xml:space="preserve">Ohio</t>
        </is>
      </c>
      <c r="R636" s="46" t="inlineStr">
        <is>
          <t xml:space="preserve">43215</t>
        </is>
      </c>
      <c r="S636" s="48" t="inlineStr">
        <is>
          <t xml:space="preserve">Severe convective - hail / tornado (moderate)</t>
        </is>
      </c>
      <c r="T636" s="36">
        <f>IF($A636="","",IF($S636="","",IFERROR(INDEX('[1]natural catastrophe'!$D$6:$D$17,MATCH($S636,'[1]natural catastrophe'!$B$6:$B$17,0)),"?")))</f>
      </c>
      <c r="U636" s="46" t="inlineStr">
        <is>
          <t xml:space="preserve">$5,000</t>
        </is>
      </c>
      <c r="V636" s="48" t="inlineStr">
        <is>
          <t xml:space="preserve">Agreed Value</t>
        </is>
      </c>
      <c r="W636" s="46" t="inlineStr">
        <is>
          <t xml:space="preserve">$1,000</t>
        </is>
      </c>
      <c r="X636" s="48" t="inlineStr">
        <is>
          <t xml:space="preserve">$1,000,000 CSL</t>
        </is>
      </c>
      <c r="Y636" s="46"/>
      <c r="Z636" s="46"/>
      <c r="AA636" s="48" t="inlineStr">
        <is>
          <t xml:space="preserve">Surplus Lines</t>
        </is>
      </c>
      <c r="AB636" s="50">
        <v>13556.67</v>
      </c>
      <c r="AC636" s="51">
        <v>0</v>
      </c>
      <c r="AD636" s="38">
        <f>IF(ISNUMBER($AB636),$AB636*(1+N($AC636)),"")</f>
      </c>
      <c r="AE636" s="50">
        <v>350</v>
      </c>
      <c r="AF636" s="50">
        <v>250</v>
      </c>
      <c r="AG636" s="51"/>
      <c r="AH636" s="39">
        <f>IF(ISNUMBER($AD636),($AD636+$AE636+$AF636)*$AG636,"")</f>
      </c>
      <c r="AI636" s="50"/>
      <c r="AJ636" s="38">
        <f>IF(ISNUMBER($AD636),SUM($AD636:$AH636),"")</f>
      </c>
      <c r="AK636" s="40">
        <f>IF(AND(ISNUMBER($AB636),ISNUMBER($AD636)),IF($AB636&gt;0,$AD636/$AB636,""),"")</f>
      </c>
      <c r="AL636" s="48" t="inlineStr">
        <is>
          <t xml:space="preserve">At technical</t>
        </is>
      </c>
      <c r="AM636" s="41">
        <f>IF(ISNUMBER($AD636),Header!$I$3,"")</f>
      </c>
      <c r="AN636" s="39">
        <f>IF(ISNUMBER($AD636),$AO636+$AP636,"")</f>
      </c>
      <c r="AO636" s="39">
        <f>IF(ISNUMBER($AD636),ROUND($AD636*Header!$K$3,2),"")</f>
      </c>
      <c r="AP636" s="39">
        <f>IF(ISNUMBER($AD636),ROUND($AD636*Header!$M$3,2),"")</f>
      </c>
      <c r="AQ636" s="38">
        <f>IF(ISNUMBER($AD636),ROUND($AD636,2)-$AO636-$AP636,"")</f>
      </c>
      <c r="AR636" s="39">
        <f>IF(ISNUMBER($AD636),IF(Header!$D$34="","?",$AD636*Header!$D$34),"")</f>
      </c>
      <c r="AS636" s="39">
        <f>IF(ISNUMBER($AB636),IF(Header!$D$34="","?",$AB636*Header!$D$34),"")</f>
      </c>
      <c r="AT636" s="42">
        <f>IF(AND(ISNUMBER($AB636),$M636&gt;0),$AB636/$M636*100,"")</f>
      </c>
      <c r="AU636" s="42">
        <f>IF(AND(ISNUMBER($AD636),$M636&gt;0),$AD636/$M636*100,"")</f>
      </c>
      <c r="AV636" s="40">
        <f>IF(AND(ISNUMBER($AB636),ISNUMBER($AD636),ABS($AB636)&gt;0),$AD636/$AB636,"")</f>
      </c>
      <c r="AW636" s="39">
        <f>IF(ISNUMBER($AD636),MAX(0,(1-0.55-Header!$O$3)*Header!$Q$3*$AQ636),"")</f>
      </c>
      <c r="AX636" s="43">
        <f>IF($A636="","",IF(TRIM(IF($A636="","Missing certificate ref. ","") &amp; IF($C636="","Missing effective date. ","") &amp; IF($D636="","Missing binding status. ","") &amp; IF($E636="","Missing movement type. ","") &amp; IF($I636="","Missing make. ","") &amp; IF($L636="","Missing vehicle class. ","") &amp; IF($M636="","Missing agreed value. ","") &amp; IF($N636="","Missing policy type. ","") &amp; IF($Q636="","Missing garaging state. ","") &amp; IF($R636="","Missing garaging ZIP. ","") &amp; IF($S636="","Missing cat zone. ","") &amp; IF($V636="","Missing valuation basis. ","") &amp; IF($W636="","Missing PD deductible. ","") &amp; IF($X636="","Missing liability limit. ","") &amp; IF($AB636="","Missing technical premium. ","") &amp; IF($AF636="","Missing surplus lines tax %. ",""))="","PASS","FAIL: "&amp;TRIM(IF($A636="","Missing certificate ref. ","") &amp; IF($C636="","Missing effective date. ","") &amp; IF($D636="","Missing binding status. ","") &amp; IF($E636="","Missing movement type. ","") &amp; IF($I636="","Missing make. ","") &amp; IF($L636="","Missing vehicle class. ","") &amp; IF($M636="","Missing agreed value. ","") &amp; IF($N636="","Missing policy type. ","") &amp; IF($Q636="","Missing garaging state. ","") &amp; IF($R636="","Missing garaging ZIP. ","") &amp; IF($S636="","Missing cat zone. ","") &amp; IF($V636="","Missing valuation basis. ","") &amp; IF($W636="","Missing PD deductible. ","") &amp; IF($X636="","Missing liability limit. ","") &amp; IF($AB636="","Missing technical premium. ","") &amp; IF($AF636="","Missing surplus lines tax %. ",""))))</f>
      </c>
      <c r="AY636" s="44">
        <f>IF($M636="","",IF(ISNUMBER($M636),IF($M636&gt;=Header!$C$18,"YES — refer","No"),""))</f>
      </c>
      <c r="AZ636" s="44">
        <f>IF($AD636="","",IF(ISNUMBER($AD636),IF($AD636&lt;Header!$C$20,"BELOW MIN PREMIUM","OK"),""))</f>
      </c>
      <c r="BA636" s="48" t="inlineStr">
        <is>
          <t xml:space="preserve">Yes</t>
        </is>
      </c>
      <c r="BB636" s="48" t="inlineStr">
        <is>
          <t xml:space="preserve">Yes</t>
        </is>
      </c>
      <c r="BC636" s="46" t="inlineStr">
        <is>
          <t xml:space="preserve">Synthetic demo data</t>
        </is>
      </c>
      <c r="BE636" s="45">
        <f>IF(OR($A636="",$L636="",$H636=""),"",IF(AND(LEFT($L636,2)="06",$H636&gt;1945),"FAIL - pre-war class, year "&amp;$H636,IF(AND(LEFT($L636,2)="07",OR($H636&lt;1946,$H636&gt;1972)),"FAIL - 1946-72 class, year "&amp;$H636,IF(AND(LEFT($L636,2)="08",OR($H636&lt;1973,$H636&gt;1999)),"FAIL - 1973-99 class, year "&amp;$H636,IF(AND(LEFT($L636,2)="09",OR($H636&lt;2000,$H636&gt;2010)),"FAIL - 2000-10 class, year "&amp;$H636,"OK")))))</f>
      </c>
      <c r="BF636" s="45">
        <f>IF($AD636="","",IF(ROUND($AO636+$AP636+$AQ636-$AD636,2)=0,"OK","FAIL - out by "&amp;TEXT($AO636+$AP636+$AQ636-$AD636,"$0.00")))</f>
      </c>
    </row>
    <row r="637" spans="1:58" ht="18.75" customHeight="1" x14ac:dyDescent="0.25">
      <c r="A637" s="30" t="inlineStr">
        <is>
          <t xml:space="preserve">CANON-202607-010400</t>
        </is>
      </c>
      <c r="B637" s="30" t="inlineStr">
        <is>
          <t xml:space="preserve">Noor Chattopadhyay</t>
        </is>
      </c>
      <c r="C637" s="31">
        <v>46218</v>
      </c>
      <c r="D637" s="32" t="inlineStr">
        <is>
          <t xml:space="preserve">Bound - within authority</t>
        </is>
      </c>
      <c r="E637" s="32" t="inlineStr">
        <is>
          <t xml:space="preserve">New business</t>
        </is>
      </c>
      <c r="F637" s="30" t="inlineStr">
        <is>
          <t xml:space="preserve">B1234EXOTIC26</t>
        </is>
      </c>
      <c r="G637" s="33">
        <f>IF($A637="","",IF($C637="","",YEAR($C637)))</f>
      </c>
      <c r="H637" s="34">
        <v>1973</v>
      </c>
      <c r="I637" s="30" t="inlineStr">
        <is>
          <t xml:space="preserve">McLaren</t>
        </is>
      </c>
      <c r="J637" s="30" t="inlineStr">
        <is>
          <t xml:space="preserve">750S</t>
        </is>
      </c>
      <c r="K637" s="30" t="inlineStr">
        <is>
          <t xml:space="preserve">3S473LGMM1T9CFPHL</t>
        </is>
      </c>
      <c r="L637" s="32" t="inlineStr">
        <is>
          <t xml:space="preserve">03 - Supercar</t>
        </is>
      </c>
      <c r="M637" s="35">
        <v>1530000</v>
      </c>
      <c r="N637" s="32" t="inlineStr">
        <is>
          <t xml:space="preserve">Personal</t>
        </is>
      </c>
      <c r="O637" s="30" t="inlineStr">
        <is>
          <t xml:space="preserve">Personal - regular use</t>
        </is>
      </c>
      <c r="P637" s="30" t="inlineStr">
        <is>
          <t xml:space="preserve">1,000 - 2,500</t>
        </is>
      </c>
      <c r="Q637" s="30" t="inlineStr">
        <is>
          <t xml:space="preserve">Nebraska</t>
        </is>
      </c>
      <c r="R637" s="30" t="inlineStr">
        <is>
          <t xml:space="preserve">68102</t>
        </is>
      </c>
      <c r="S637" s="32" t="inlineStr">
        <is>
          <t xml:space="preserve">Severe convective - hail alley (high)</t>
        </is>
      </c>
      <c r="T637" s="36">
        <f>IF($A637="","",IF($S637="","",IFERROR(INDEX('[1]natural catastrophe'!$D$6:$D$17,MATCH($S637,'[1]natural catastrophe'!$B$6:$B$17,0)),"?")))</f>
      </c>
      <c r="U637" s="30" t="inlineStr">
        <is>
          <t xml:space="preserve">$5,000</t>
        </is>
      </c>
      <c r="V637" s="32" t="inlineStr">
        <is>
          <t xml:space="preserve">Agreed Value</t>
        </is>
      </c>
      <c r="W637" s="30" t="inlineStr">
        <is>
          <t xml:space="preserve">$1,000</t>
        </is>
      </c>
      <c r="X637" s="32" t="inlineStr">
        <is>
          <t xml:space="preserve">$1,000,000 CSL</t>
        </is>
      </c>
      <c r="Y637" s="30"/>
      <c r="Z637" s="30"/>
      <c r="AA637" s="32" t="inlineStr">
        <is>
          <t xml:space="preserve">Surplus Lines</t>
        </is>
      </c>
      <c r="AB637" s="35">
        <v>22847.23</v>
      </c>
      <c r="AC637" s="37">
        <v>0</v>
      </c>
      <c r="AD637" s="38">
        <f>IF(ISNUMBER($AB637),$AB637*(1+N($AC637)),"")</f>
      </c>
      <c r="AE637" s="35">
        <v>350</v>
      </c>
      <c r="AF637" s="35">
        <v>250</v>
      </c>
      <c r="AG637" s="37"/>
      <c r="AH637" s="39">
        <f>IF(ISNUMBER($AD637),($AD637+$AE637+$AF637)*$AG637,"")</f>
      </c>
      <c r="AI637" s="35"/>
      <c r="AJ637" s="38">
        <f>IF(ISNUMBER($AD637),SUM($AD637:$AH637),"")</f>
      </c>
      <c r="AK637" s="40">
        <f>IF(AND(ISNUMBER($AB637),ISNUMBER($AD637)),IF($AB637&gt;0,$AD637/$AB637,""),"")</f>
      </c>
      <c r="AL637" s="32" t="inlineStr">
        <is>
          <t xml:space="preserve">At technical</t>
        </is>
      </c>
      <c r="AM637" s="41">
        <f>IF(ISNUMBER($AD637),Header!$I$3,"")</f>
      </c>
      <c r="AN637" s="39">
        <f>IF(ISNUMBER($AD637),$AO637+$AP637,"")</f>
      </c>
      <c r="AO637" s="39">
        <f>IF(ISNUMBER($AD637),ROUND($AD637*Header!$K$3,2),"")</f>
      </c>
      <c r="AP637" s="39">
        <f>IF(ISNUMBER($AD637),ROUND($AD637*Header!$M$3,2),"")</f>
      </c>
      <c r="AQ637" s="38">
        <f>IF(ISNUMBER($AD637),ROUND($AD637,2)-$AO637-$AP637,"")</f>
      </c>
      <c r="AR637" s="39">
        <f>IF(ISNUMBER($AD637),IF(Header!$D$34="","?",$AD637*Header!$D$34),"")</f>
      </c>
      <c r="AS637" s="39">
        <f>IF(ISNUMBER($AB637),IF(Header!$D$34="","?",$AB637*Header!$D$34),"")</f>
      </c>
      <c r="AT637" s="42">
        <f>IF(AND(ISNUMBER($AB637),$M637&gt;0),$AB637/$M637*100,"")</f>
      </c>
      <c r="AU637" s="42">
        <f>IF(AND(ISNUMBER($AD637),$M637&gt;0),$AD637/$M637*100,"")</f>
      </c>
      <c r="AV637" s="40">
        <f>IF(AND(ISNUMBER($AB637),ISNUMBER($AD637),ABS($AB637)&gt;0),$AD637/$AB637,"")</f>
      </c>
      <c r="AW637" s="39">
        <f>IF(ISNUMBER($AD637),MAX(0,(1-0.55-Header!$O$3)*Header!$Q$3*$AQ637),"")</f>
      </c>
      <c r="AX637" s="43">
        <f>IF($A637="","",IF(TRIM(IF($A637="","Missing certificate ref. ","") &amp; IF($C637="","Missing effective date. ","") &amp; IF($D637="","Missing binding status. ","") &amp; IF($E637="","Missing movement type. ","") &amp; IF($I637="","Missing make. ","") &amp; IF($L637="","Missing vehicle class. ","") &amp; IF($M637="","Missing agreed value. ","") &amp; IF($N637="","Missing policy type. ","") &amp; IF($Q637="","Missing garaging state. ","") &amp; IF($R637="","Missing garaging ZIP. ","") &amp; IF($S637="","Missing cat zone. ","") &amp; IF($V637="","Missing valuation basis. ","") &amp; IF($W637="","Missing PD deductible. ","") &amp; IF($X637="","Missing liability limit. ","") &amp; IF($AB637="","Missing technical premium. ","") &amp; IF($AF637="","Missing surplus lines tax %. ",""))="","PASS","FAIL: "&amp;TRIM(IF($A637="","Missing certificate ref. ","") &amp; IF($C637="","Missing effective date. ","") &amp; IF($D637="","Missing binding status. ","") &amp; IF($E637="","Missing movement type. ","") &amp; IF($I637="","Missing make. ","") &amp; IF($L637="","Missing vehicle class. ","") &amp; IF($M637="","Missing agreed value. ","") &amp; IF($N637="","Missing policy type. ","") &amp; IF($Q637="","Missing garaging state. ","") &amp; IF($R637="","Missing garaging ZIP. ","") &amp; IF($S637="","Missing cat zone. ","") &amp; IF($V637="","Missing valuation basis. ","") &amp; IF($W637="","Missing PD deductible. ","") &amp; IF($X637="","Missing liability limit. ","") &amp; IF($AB637="","Missing technical premium. ","") &amp; IF($AF637="","Missing surplus lines tax %. ",""))))</f>
      </c>
      <c r="AY637" s="44">
        <f>IF($M637="","",IF(ISNUMBER($M637),IF($M637&gt;=Header!$C$18,"YES — refer","No"),""))</f>
      </c>
      <c r="AZ637" s="44">
        <f>IF($AD637="","",IF(ISNUMBER($AD637),IF($AD637&lt;Header!$C$20,"BELOW MIN PREMIUM","OK"),""))</f>
      </c>
      <c r="BA637" s="32" t="inlineStr">
        <is>
          <t xml:space="preserve">Yes</t>
        </is>
      </c>
      <c r="BB637" s="32" t="inlineStr">
        <is>
          <t xml:space="preserve">Yes</t>
        </is>
      </c>
      <c r="BC637" s="30" t="inlineStr">
        <is>
          <t xml:space="preserve">Synthetic demo data</t>
        </is>
      </c>
      <c r="BE637" s="45">
        <f>IF(OR($A637="",$L637="",$H637=""),"",IF(AND(LEFT($L637,2)="06",$H637&gt;1945),"FAIL - pre-war class, year "&amp;$H637,IF(AND(LEFT($L637,2)="07",OR($H637&lt;1946,$H637&gt;1972)),"FAIL - 1946-72 class, year "&amp;$H637,IF(AND(LEFT($L637,2)="08",OR($H637&lt;1973,$H637&gt;1999)),"FAIL - 1973-99 class, year "&amp;$H637,IF(AND(LEFT($L637,2)="09",OR($H637&lt;2000,$H637&gt;2010)),"FAIL - 2000-10 class, year "&amp;$H637,"OK")))))</f>
      </c>
      <c r="BF637" s="45">
        <f>IF($AD637="","",IF(ROUND($AO637+$AP637+$AQ637-$AD637,2)=0,"OK","FAIL - out by "&amp;TEXT($AO637+$AP637+$AQ637-$AD637,"$0.00")))</f>
      </c>
    </row>
    <row r="638" spans="1:58" ht="18.75" customHeight="1" x14ac:dyDescent="0.25">
      <c r="A638" s="46" t="inlineStr">
        <is>
          <t xml:space="preserve">CANON-202607-010401</t>
        </is>
      </c>
      <c r="B638" s="46" t="inlineStr">
        <is>
          <t xml:space="preserve">Fenwick Fairweather</t>
        </is>
      </c>
      <c r="C638" s="47">
        <v>46218</v>
      </c>
      <c r="D638" s="48" t="inlineStr">
        <is>
          <t xml:space="preserve">Bound - within authority</t>
        </is>
      </c>
      <c r="E638" s="48" t="inlineStr">
        <is>
          <t xml:space="preserve">New business</t>
        </is>
      </c>
      <c r="F638" s="46" t="inlineStr">
        <is>
          <t xml:space="preserve">B1234EXOTIC26</t>
        </is>
      </c>
      <c r="G638" s="33">
        <f>IF($A638="","",IF($C638="","",YEAR($C638)))</f>
      </c>
      <c r="H638" s="49">
        <v>1975</v>
      </c>
      <c r="I638" s="46" t="inlineStr">
        <is>
          <t xml:space="preserve">Porsche</t>
        </is>
      </c>
      <c r="J638" s="46" t="inlineStr">
        <is>
          <t xml:space="preserve">911 Turbo S</t>
        </is>
      </c>
      <c r="K638" s="46" t="inlineStr">
        <is>
          <t xml:space="preserve">ERZTSM71KRPPG5CJY</t>
        </is>
      </c>
      <c r="L638" s="48" t="inlineStr">
        <is>
          <t xml:space="preserve">02 - Sports / GT</t>
        </is>
      </c>
      <c r="M638" s="50">
        <v>1095000</v>
      </c>
      <c r="N638" s="48" t="inlineStr">
        <is>
          <t xml:space="preserve">Personal</t>
        </is>
      </c>
      <c r="O638" s="46" t="inlineStr">
        <is>
          <t xml:space="preserve">Personal - regular use</t>
        </is>
      </c>
      <c r="P638" s="46" t="inlineStr">
        <is>
          <t xml:space="preserve">Under 1,000</t>
        </is>
      </c>
      <c r="Q638" s="46" t="inlineStr">
        <is>
          <t xml:space="preserve">Oregon</t>
        </is>
      </c>
      <c r="R638" s="46" t="inlineStr">
        <is>
          <t xml:space="preserve">97204</t>
        </is>
      </c>
      <c r="S638" s="48" t="inlineStr">
        <is>
          <t xml:space="preserve">Earthquake - high (CA, Cascadia, New Madrid)</t>
        </is>
      </c>
      <c r="T638" s="36">
        <f>IF($A638="","",IF($S638="","",IFERROR(INDEX('[1]natural catastrophe'!$D$6:$D$17,MATCH($S638,'[1]natural catastrophe'!$B$6:$B$17,0)),"?")))</f>
      </c>
      <c r="U638" s="46" t="inlineStr">
        <is>
          <t xml:space="preserve">$5,000</t>
        </is>
      </c>
      <c r="V638" s="48" t="inlineStr">
        <is>
          <t xml:space="preserve">Agreed Value</t>
        </is>
      </c>
      <c r="W638" s="46" t="inlineStr">
        <is>
          <t xml:space="preserve">$1,000</t>
        </is>
      </c>
      <c r="X638" s="48" t="inlineStr">
        <is>
          <t xml:space="preserve">$1,000,000 CSL</t>
        </is>
      </c>
      <c r="Y638" s="46"/>
      <c r="Z638" s="46"/>
      <c r="AA638" s="48" t="inlineStr">
        <is>
          <t xml:space="preserve">Surplus Lines</t>
        </is>
      </c>
      <c r="AB638" s="50">
        <v>9771.56</v>
      </c>
      <c r="AC638" s="51">
        <v>0</v>
      </c>
      <c r="AD638" s="38">
        <f>IF(ISNUMBER($AB638),$AB638*(1+N($AC638)),"")</f>
      </c>
      <c r="AE638" s="50">
        <v>350</v>
      </c>
      <c r="AF638" s="50">
        <v>250</v>
      </c>
      <c r="AG638" s="51"/>
      <c r="AH638" s="39">
        <f>IF(ISNUMBER($AD638),($AD638+$AE638+$AF638)*$AG638,"")</f>
      </c>
      <c r="AI638" s="50"/>
      <c r="AJ638" s="38">
        <f>IF(ISNUMBER($AD638),SUM($AD638:$AH638),"")</f>
      </c>
      <c r="AK638" s="40">
        <f>IF(AND(ISNUMBER($AB638),ISNUMBER($AD638)),IF($AB638&gt;0,$AD638/$AB638,""),"")</f>
      </c>
      <c r="AL638" s="48" t="inlineStr">
        <is>
          <t xml:space="preserve">At technical</t>
        </is>
      </c>
      <c r="AM638" s="41">
        <f>IF(ISNUMBER($AD638),Header!$I$3,"")</f>
      </c>
      <c r="AN638" s="39">
        <f>IF(ISNUMBER($AD638),$AO638+$AP638,"")</f>
      </c>
      <c r="AO638" s="39">
        <f>IF(ISNUMBER($AD638),ROUND($AD638*Header!$K$3,2),"")</f>
      </c>
      <c r="AP638" s="39">
        <f>IF(ISNUMBER($AD638),ROUND($AD638*Header!$M$3,2),"")</f>
      </c>
      <c r="AQ638" s="38">
        <f>IF(ISNUMBER($AD638),ROUND($AD638,2)-$AO638-$AP638,"")</f>
      </c>
      <c r="AR638" s="39">
        <f>IF(ISNUMBER($AD638),IF(Header!$D$34="","?",$AD638*Header!$D$34),"")</f>
      </c>
      <c r="AS638" s="39">
        <f>IF(ISNUMBER($AB638),IF(Header!$D$34="","?",$AB638*Header!$D$34),"")</f>
      </c>
      <c r="AT638" s="42">
        <f>IF(AND(ISNUMBER($AB638),$M638&gt;0),$AB638/$M638*100,"")</f>
      </c>
      <c r="AU638" s="42">
        <f>IF(AND(ISNUMBER($AD638),$M638&gt;0),$AD638/$M638*100,"")</f>
      </c>
      <c r="AV638" s="40">
        <f>IF(AND(ISNUMBER($AB638),ISNUMBER($AD638),ABS($AB638)&gt;0),$AD638/$AB638,"")</f>
      </c>
      <c r="AW638" s="39">
        <f>IF(ISNUMBER($AD638),MAX(0,(1-0.55-Header!$O$3)*Header!$Q$3*$AQ638),"")</f>
      </c>
      <c r="AX638" s="43">
        <f>IF($A638="","",IF(TRIM(IF($A638="","Missing certificate ref. ","") &amp; IF($C638="","Missing effective date. ","") &amp; IF($D638="","Missing binding status. ","") &amp; IF($E638="","Missing movement type. ","") &amp; IF($I638="","Missing make. ","") &amp; IF($L638="","Missing vehicle class. ","") &amp; IF($M638="","Missing agreed value. ","") &amp; IF($N638="","Missing policy type. ","") &amp; IF($Q638="","Missing garaging state. ","") &amp; IF($R638="","Missing garaging ZIP. ","") &amp; IF($S638="","Missing cat zone. ","") &amp; IF($V638="","Missing valuation basis. ","") &amp; IF($W638="","Missing PD deductible. ","") &amp; IF($X638="","Missing liability limit. ","") &amp; IF($AB638="","Missing technical premium. ","") &amp; IF($AF638="","Missing surplus lines tax %. ",""))="","PASS","FAIL: "&amp;TRIM(IF($A638="","Missing certificate ref. ","") &amp; IF($C638="","Missing effective date. ","") &amp; IF($D638="","Missing binding status. ","") &amp; IF($E638="","Missing movement type. ","") &amp; IF($I638="","Missing make. ","") &amp; IF($L638="","Missing vehicle class. ","") &amp; IF($M638="","Missing agreed value. ","") &amp; IF($N638="","Missing policy type. ","") &amp; IF($Q638="","Missing garaging state. ","") &amp; IF($R638="","Missing garaging ZIP. ","") &amp; IF($S638="","Missing cat zone. ","") &amp; IF($V638="","Missing valuation basis. ","") &amp; IF($W638="","Missing PD deductible. ","") &amp; IF($X638="","Missing liability limit. ","") &amp; IF($AB638="","Missing technical premium. ","") &amp; IF($AF638="","Missing surplus lines tax %. ",""))))</f>
      </c>
      <c r="AY638" s="44">
        <f>IF($M638="","",IF(ISNUMBER($M638),IF($M638&gt;=Header!$C$18,"YES — refer","No"),""))</f>
      </c>
      <c r="AZ638" s="44">
        <f>IF($AD638="","",IF(ISNUMBER($AD638),IF($AD638&lt;Header!$C$20,"BELOW MIN PREMIUM","OK"),""))</f>
      </c>
      <c r="BA638" s="48" t="inlineStr">
        <is>
          <t xml:space="preserve">Yes</t>
        </is>
      </c>
      <c r="BB638" s="48" t="inlineStr">
        <is>
          <t xml:space="preserve">Yes</t>
        </is>
      </c>
      <c r="BC638" s="46" t="inlineStr">
        <is>
          <t xml:space="preserve">Synthetic demo data</t>
        </is>
      </c>
      <c r="BE638" s="45">
        <f>IF(OR($A638="",$L638="",$H638=""),"",IF(AND(LEFT($L638,2)="06",$H638&gt;1945),"FAIL - pre-war class, year "&amp;$H638,IF(AND(LEFT($L638,2)="07",OR($H638&lt;1946,$H638&gt;1972)),"FAIL - 1946-72 class, year "&amp;$H638,IF(AND(LEFT($L638,2)="08",OR($H638&lt;1973,$H638&gt;1999)),"FAIL - 1973-99 class, year "&amp;$H638,IF(AND(LEFT($L638,2)="09",OR($H638&lt;2000,$H638&gt;2010)),"FAIL - 2000-10 class, year "&amp;$H638,"OK")))))</f>
      </c>
      <c r="BF638" s="45">
        <f>IF($AD638="","",IF(ROUND($AO638+$AP638+$AQ638-$AD638,2)=0,"OK","FAIL - out by "&amp;TEXT($AO638+$AP638+$AQ638-$AD638,"$0.00")))</f>
      </c>
    </row>
    <row r="639" spans="1:58" ht="18.75" customHeight="1" x14ac:dyDescent="0.25">
      <c r="A639" s="30" t="inlineStr">
        <is>
          <t xml:space="preserve">CANON-202607-010402</t>
        </is>
      </c>
      <c r="B639" s="30" t="inlineStr">
        <is>
          <t xml:space="preserve">Aurelio Nakashima</t>
        </is>
      </c>
      <c r="C639" s="31">
        <v>46225</v>
      </c>
      <c r="D639" s="32" t="inlineStr">
        <is>
          <t xml:space="preserve">Bound - within authority</t>
        </is>
      </c>
      <c r="E639" s="32" t="inlineStr">
        <is>
          <t xml:space="preserve">New business</t>
        </is>
      </c>
      <c r="F639" s="30" t="inlineStr">
        <is>
          <t xml:space="preserve">B1234EXOTIC26</t>
        </is>
      </c>
      <c r="G639" s="33">
        <f>IF($A639="","",IF($C639="","",YEAR($C639)))</f>
      </c>
      <c r="H639" s="34">
        <v>1974</v>
      </c>
      <c r="I639" s="30" t="inlineStr">
        <is>
          <t xml:space="preserve">Porsche</t>
        </is>
      </c>
      <c r="J639" s="30" t="inlineStr">
        <is>
          <t xml:space="preserve">911 Turbo S</t>
        </is>
      </c>
      <c r="K639" s="30" t="inlineStr">
        <is>
          <t xml:space="preserve">2RKJNS7N8FVY0CE3N</t>
        </is>
      </c>
      <c r="L639" s="32" t="inlineStr">
        <is>
          <t xml:space="preserve">02 - Sports / GT</t>
        </is>
      </c>
      <c r="M639" s="35">
        <v>210000</v>
      </c>
      <c r="N639" s="32" t="inlineStr">
        <is>
          <t xml:space="preserve">Personal</t>
        </is>
      </c>
      <c r="O639" s="30" t="inlineStr">
        <is>
          <t xml:space="preserve">Personal - regular use</t>
        </is>
      </c>
      <c r="P639" s="30" t="inlineStr">
        <is>
          <t xml:space="preserve">Under 1,000</t>
        </is>
      </c>
      <c r="Q639" s="30" t="inlineStr">
        <is>
          <t xml:space="preserve">Ohio</t>
        </is>
      </c>
      <c r="R639" s="30" t="inlineStr">
        <is>
          <t xml:space="preserve">43215</t>
        </is>
      </c>
      <c r="S639" s="32" t="inlineStr">
        <is>
          <t xml:space="preserve">Severe convective - hail / tornado (moderate)</t>
        </is>
      </c>
      <c r="T639" s="36">
        <f>IF($A639="","",IF($S639="","",IFERROR(INDEX('[1]natural catastrophe'!$D$6:$D$17,MATCH($S639,'[1]natural catastrophe'!$B$6:$B$17,0)),"?")))</f>
      </c>
      <c r="U639" s="30" t="inlineStr">
        <is>
          <t xml:space="preserve">$5,000</t>
        </is>
      </c>
      <c r="V639" s="32" t="inlineStr">
        <is>
          <t xml:space="preserve">Agreed Value</t>
        </is>
      </c>
      <c r="W639" s="30" t="inlineStr">
        <is>
          <t xml:space="preserve">$1,000</t>
        </is>
      </c>
      <c r="X639" s="32" t="inlineStr">
        <is>
          <t xml:space="preserve">$1,000,000 CSL</t>
        </is>
      </c>
      <c r="Y639" s="30"/>
      <c r="Z639" s="30"/>
      <c r="AA639" s="32" t="inlineStr">
        <is>
          <t xml:space="preserve">Surplus Lines</t>
        </is>
      </c>
      <c r="AB639" s="35">
        <v>3855.94</v>
      </c>
      <c r="AC639" s="37">
        <v>0</v>
      </c>
      <c r="AD639" s="38">
        <f>IF(ISNUMBER($AB639),$AB639*(1+N($AC639)),"")</f>
      </c>
      <c r="AE639" s="35">
        <v>350</v>
      </c>
      <c r="AF639" s="35">
        <v>0</v>
      </c>
      <c r="AG639" s="37"/>
      <c r="AH639" s="39">
        <f>IF(ISNUMBER($AD639),($AD639+$AE639+$AF639)*$AG639,"")</f>
      </c>
      <c r="AI639" s="35"/>
      <c r="AJ639" s="38">
        <f>IF(ISNUMBER($AD639),SUM($AD639:$AH639),"")</f>
      </c>
      <c r="AK639" s="40">
        <f>IF(AND(ISNUMBER($AB639),ISNUMBER($AD639)),IF($AB639&gt;0,$AD639/$AB639,""),"")</f>
      </c>
      <c r="AL639" s="32" t="inlineStr">
        <is>
          <t xml:space="preserve">At technical</t>
        </is>
      </c>
      <c r="AM639" s="41">
        <f>IF(ISNUMBER($AD639),Header!$I$3,"")</f>
      </c>
      <c r="AN639" s="39">
        <f>IF(ISNUMBER($AD639),$AO639+$AP639,"")</f>
      </c>
      <c r="AO639" s="39">
        <f>IF(ISNUMBER($AD639),ROUND($AD639*Header!$K$3,2),"")</f>
      </c>
      <c r="AP639" s="39">
        <f>IF(ISNUMBER($AD639),ROUND($AD639*Header!$M$3,2),"")</f>
      </c>
      <c r="AQ639" s="38">
        <f>IF(ISNUMBER($AD639),ROUND($AD639,2)-$AO639-$AP639,"")</f>
      </c>
      <c r="AR639" s="39">
        <f>IF(ISNUMBER($AD639),IF(Header!$D$34="","?",$AD639*Header!$D$34),"")</f>
      </c>
      <c r="AS639" s="39">
        <f>IF(ISNUMBER($AB639),IF(Header!$D$34="","?",$AB639*Header!$D$34),"")</f>
      </c>
      <c r="AT639" s="42">
        <f>IF(AND(ISNUMBER($AB639),$M639&gt;0),$AB639/$M639*100,"")</f>
      </c>
      <c r="AU639" s="42">
        <f>IF(AND(ISNUMBER($AD639),$M639&gt;0),$AD639/$M639*100,"")</f>
      </c>
      <c r="AV639" s="40">
        <f>IF(AND(ISNUMBER($AB639),ISNUMBER($AD639),ABS($AB639)&gt;0),$AD639/$AB639,"")</f>
      </c>
      <c r="AW639" s="39">
        <f>IF(ISNUMBER($AD639),MAX(0,(1-0.55-Header!$O$3)*Header!$Q$3*$AQ639),"")</f>
      </c>
      <c r="AX639" s="43">
        <f>IF($A639="","",IF(TRIM(IF($A639="","Missing certificate ref. ","") &amp; IF($C639="","Missing effective date. ","") &amp; IF($D639="","Missing binding status. ","") &amp; IF($E639="","Missing movement type. ","") &amp; IF($I639="","Missing make. ","") &amp; IF($L639="","Missing vehicle class. ","") &amp; IF($M639="","Missing agreed value. ","") &amp; IF($N639="","Missing policy type. ","") &amp; IF($Q639="","Missing garaging state. ","") &amp; IF($R639="","Missing garaging ZIP. ","") &amp; IF($S639="","Missing cat zone. ","") &amp; IF($V639="","Missing valuation basis. ","") &amp; IF($W639="","Missing PD deductible. ","") &amp; IF($X639="","Missing liability limit. ","") &amp; IF($AB639="","Missing technical premium. ","") &amp; IF($AF639="","Missing surplus lines tax %. ",""))="","PASS","FAIL: "&amp;TRIM(IF($A639="","Missing certificate ref. ","") &amp; IF($C639="","Missing effective date. ","") &amp; IF($D639="","Missing binding status. ","") &amp; IF($E639="","Missing movement type. ","") &amp; IF($I639="","Missing make. ","") &amp; IF($L639="","Missing vehicle class. ","") &amp; IF($M639="","Missing agreed value. ","") &amp; IF($N639="","Missing policy type. ","") &amp; IF($Q639="","Missing garaging state. ","") &amp; IF($R639="","Missing garaging ZIP. ","") &amp; IF($S639="","Missing cat zone. ","") &amp; IF($V639="","Missing valuation basis. ","") &amp; IF($W639="","Missing PD deductible. ","") &amp; IF($X639="","Missing liability limit. ","") &amp; IF($AB639="","Missing technical premium. ","") &amp; IF($AF639="","Missing surplus lines tax %. ",""))))</f>
      </c>
      <c r="AY639" s="44">
        <f>IF($M639="","",IF(ISNUMBER($M639),IF($M639&gt;=Header!$C$18,"YES — refer","No"),""))</f>
      </c>
      <c r="AZ639" s="44">
        <f>IF($AD639="","",IF(ISNUMBER($AD639),IF($AD639&lt;Header!$C$20,"BELOW MIN PREMIUM","OK"),""))</f>
      </c>
      <c r="BA639" s="32" t="inlineStr">
        <is>
          <t xml:space="preserve">Yes</t>
        </is>
      </c>
      <c r="BB639" s="32" t="inlineStr">
        <is>
          <t xml:space="preserve">Yes</t>
        </is>
      </c>
      <c r="BC639" s="30" t="inlineStr">
        <is>
          <t xml:space="preserve">Synthetic demo data</t>
        </is>
      </c>
      <c r="BE639" s="45">
        <f>IF(OR($A639="",$L639="",$H639=""),"",IF(AND(LEFT($L639,2)="06",$H639&gt;1945),"FAIL - pre-war class, year "&amp;$H639,IF(AND(LEFT($L639,2)="07",OR($H639&lt;1946,$H639&gt;1972)),"FAIL - 1946-72 class, year "&amp;$H639,IF(AND(LEFT($L639,2)="08",OR($H639&lt;1973,$H639&gt;1999)),"FAIL - 1973-99 class, year "&amp;$H639,IF(AND(LEFT($L639,2)="09",OR($H639&lt;2000,$H639&gt;2010)),"FAIL - 2000-10 class, year "&amp;$H639,"OK")))))</f>
      </c>
      <c r="BF639" s="45">
        <f>IF($AD639="","",IF(ROUND($AO639+$AP639+$AQ639-$AD639,2)=0,"OK","FAIL - out by "&amp;TEXT($AO639+$AP639+$AQ639-$AD639,"$0.00")))</f>
      </c>
    </row>
    <row r="640" spans="1:58" ht="18.75" customHeight="1" x14ac:dyDescent="0.25">
      <c r="A640" s="46" t="inlineStr">
        <is>
          <t xml:space="preserve">CANON-202607-010403</t>
        </is>
      </c>
      <c r="B640" s="46" t="inlineStr">
        <is>
          <t xml:space="preserve">Everett Merriweather</t>
        </is>
      </c>
      <c r="C640" s="47">
        <v>46215</v>
      </c>
      <c r="D640" s="48" t="inlineStr">
        <is>
          <t xml:space="preserve">Bound - within authority</t>
        </is>
      </c>
      <c r="E640" s="48" t="inlineStr">
        <is>
          <t xml:space="preserve">New business</t>
        </is>
      </c>
      <c r="F640" s="46" t="inlineStr">
        <is>
          <t xml:space="preserve">B1234EXOTIC26</t>
        </is>
      </c>
      <c r="G640" s="33">
        <f>IF($A640="","",IF($C640="","",YEAR($C640)))</f>
      </c>
      <c r="H640" s="49">
        <v>1975</v>
      </c>
      <c r="I640" s="46" t="inlineStr">
        <is>
          <t xml:space="preserve">Aston Martin</t>
        </is>
      </c>
      <c r="J640" s="46" t="inlineStr">
        <is>
          <t xml:space="preserve">DB12</t>
        </is>
      </c>
      <c r="K640" s="46" t="inlineStr">
        <is>
          <t xml:space="preserve">CMY8FMPS9HT9D5AAM</t>
        </is>
      </c>
      <c r="L640" s="48" t="inlineStr">
        <is>
          <t xml:space="preserve">02 - Sports / GT</t>
        </is>
      </c>
      <c r="M640" s="50">
        <v>615000</v>
      </c>
      <c r="N640" s="48" t="inlineStr">
        <is>
          <t xml:space="preserve">Personal</t>
        </is>
      </c>
      <c r="O640" s="46" t="inlineStr">
        <is>
          <t xml:space="preserve">Personal - regular use</t>
        </is>
      </c>
      <c r="P640" s="46" t="inlineStr">
        <is>
          <t xml:space="preserve">Under 1,000</t>
        </is>
      </c>
      <c r="Q640" s="46" t="inlineStr">
        <is>
          <t xml:space="preserve">Ohio</t>
        </is>
      </c>
      <c r="R640" s="46" t="inlineStr">
        <is>
          <t xml:space="preserve">43215</t>
        </is>
      </c>
      <c r="S640" s="48" t="inlineStr">
        <is>
          <t xml:space="preserve">Severe convective - hail / tornado (moderate)</t>
        </is>
      </c>
      <c r="T640" s="36">
        <f>IF($A640="","",IF($S640="","",IFERROR(INDEX('[1]natural catastrophe'!$D$6:$D$17,MATCH($S640,'[1]natural catastrophe'!$B$6:$B$17,0)),"?")))</f>
      </c>
      <c r="U640" s="46" t="inlineStr">
        <is>
          <t xml:space="preserve">$5,000</t>
        </is>
      </c>
      <c r="V640" s="48" t="inlineStr">
        <is>
          <t xml:space="preserve">Agreed Value</t>
        </is>
      </c>
      <c r="W640" s="46" t="inlineStr">
        <is>
          <t xml:space="preserve">$1,000</t>
        </is>
      </c>
      <c r="X640" s="48" t="inlineStr">
        <is>
          <t xml:space="preserve">$1,000,000 CSL</t>
        </is>
      </c>
      <c r="Y640" s="46"/>
      <c r="Z640" s="46"/>
      <c r="AA640" s="48" t="inlineStr">
        <is>
          <t xml:space="preserve">Surplus Lines</t>
        </is>
      </c>
      <c r="AB640" s="50">
        <v>7978.33</v>
      </c>
      <c r="AC640" s="51">
        <v>0</v>
      </c>
      <c r="AD640" s="38">
        <f>IF(ISNUMBER($AB640),$AB640*(1+N($AC640)),"")</f>
      </c>
      <c r="AE640" s="50">
        <v>350</v>
      </c>
      <c r="AF640" s="50">
        <v>0</v>
      </c>
      <c r="AG640" s="51"/>
      <c r="AH640" s="39">
        <f>IF(ISNUMBER($AD640),($AD640+$AE640+$AF640)*$AG640,"")</f>
      </c>
      <c r="AI640" s="50"/>
      <c r="AJ640" s="38">
        <f>IF(ISNUMBER($AD640),SUM($AD640:$AH640),"")</f>
      </c>
      <c r="AK640" s="40">
        <f>IF(AND(ISNUMBER($AB640),ISNUMBER($AD640)),IF($AB640&gt;0,$AD640/$AB640,""),"")</f>
      </c>
      <c r="AL640" s="48" t="inlineStr">
        <is>
          <t xml:space="preserve">At technical</t>
        </is>
      </c>
      <c r="AM640" s="41">
        <f>IF(ISNUMBER($AD640),Header!$I$3,"")</f>
      </c>
      <c r="AN640" s="39">
        <f>IF(ISNUMBER($AD640),$AO640+$AP640,"")</f>
      </c>
      <c r="AO640" s="39">
        <f>IF(ISNUMBER($AD640),ROUND($AD640*Header!$K$3,2),"")</f>
      </c>
      <c r="AP640" s="39">
        <f>IF(ISNUMBER($AD640),ROUND($AD640*Header!$M$3,2),"")</f>
      </c>
      <c r="AQ640" s="38">
        <f>IF(ISNUMBER($AD640),ROUND($AD640,2)-$AO640-$AP640,"")</f>
      </c>
      <c r="AR640" s="39">
        <f>IF(ISNUMBER($AD640),IF(Header!$D$34="","?",$AD640*Header!$D$34),"")</f>
      </c>
      <c r="AS640" s="39">
        <f>IF(ISNUMBER($AB640),IF(Header!$D$34="","?",$AB640*Header!$D$34),"")</f>
      </c>
      <c r="AT640" s="42">
        <f>IF(AND(ISNUMBER($AB640),$M640&gt;0),$AB640/$M640*100,"")</f>
      </c>
      <c r="AU640" s="42">
        <f>IF(AND(ISNUMBER($AD640),$M640&gt;0),$AD640/$M640*100,"")</f>
      </c>
      <c r="AV640" s="40">
        <f>IF(AND(ISNUMBER($AB640),ISNUMBER($AD640),ABS($AB640)&gt;0),$AD640/$AB640,"")</f>
      </c>
      <c r="AW640" s="39">
        <f>IF(ISNUMBER($AD640),MAX(0,(1-0.55-Header!$O$3)*Header!$Q$3*$AQ640),"")</f>
      </c>
      <c r="AX640" s="43">
        <f>IF($A640="","",IF(TRIM(IF($A640="","Missing certificate ref. ","") &amp; IF($C640="","Missing effective date. ","") &amp; IF($D640="","Missing binding status. ","") &amp; IF($E640="","Missing movement type. ","") &amp; IF($I640="","Missing make. ","") &amp; IF($L640="","Missing vehicle class. ","") &amp; IF($M640="","Missing agreed value. ","") &amp; IF($N640="","Missing policy type. ","") &amp; IF($Q640="","Missing garaging state. ","") &amp; IF($R640="","Missing garaging ZIP. ","") &amp; IF($S640="","Missing cat zone. ","") &amp; IF($V640="","Missing valuation basis. ","") &amp; IF($W640="","Missing PD deductible. ","") &amp; IF($X640="","Missing liability limit. ","") &amp; IF($AB640="","Missing technical premium. ","") &amp; IF($AF640="","Missing surplus lines tax %. ",""))="","PASS","FAIL: "&amp;TRIM(IF($A640="","Missing certificate ref. ","") &amp; IF($C640="","Missing effective date. ","") &amp; IF($D640="","Missing binding status. ","") &amp; IF($E640="","Missing movement type. ","") &amp; IF($I640="","Missing make. ","") &amp; IF($L640="","Missing vehicle class. ","") &amp; IF($M640="","Missing agreed value. ","") &amp; IF($N640="","Missing policy type. ","") &amp; IF($Q640="","Missing garaging state. ","") &amp; IF($R640="","Missing garaging ZIP. ","") &amp; IF($S640="","Missing cat zone. ","") &amp; IF($V640="","Missing valuation basis. ","") &amp; IF($W640="","Missing PD deductible. ","") &amp; IF($X640="","Missing liability limit. ","") &amp; IF($AB640="","Missing technical premium. ","") &amp; IF($AF640="","Missing surplus lines tax %. ",""))))</f>
      </c>
      <c r="AY640" s="44">
        <f>IF($M640="","",IF(ISNUMBER($M640),IF($M640&gt;=Header!$C$18,"YES — refer","No"),""))</f>
      </c>
      <c r="AZ640" s="44">
        <f>IF($AD640="","",IF(ISNUMBER($AD640),IF($AD640&lt;Header!$C$20,"BELOW MIN PREMIUM","OK"),""))</f>
      </c>
      <c r="BA640" s="48" t="inlineStr">
        <is>
          <t xml:space="preserve">Yes</t>
        </is>
      </c>
      <c r="BB640" s="48" t="inlineStr">
        <is>
          <t xml:space="preserve">Yes</t>
        </is>
      </c>
      <c r="BC640" s="46" t="inlineStr">
        <is>
          <t xml:space="preserve">Synthetic demo data</t>
        </is>
      </c>
      <c r="BE640" s="45">
        <f>IF(OR($A640="",$L640="",$H640=""),"",IF(AND(LEFT($L640,2)="06",$H640&gt;1945),"FAIL - pre-war class, year "&amp;$H640,IF(AND(LEFT($L640,2)="07",OR($H640&lt;1946,$H640&gt;1972)),"FAIL - 1946-72 class, year "&amp;$H640,IF(AND(LEFT($L640,2)="08",OR($H640&lt;1973,$H640&gt;1999)),"FAIL - 1973-99 class, year "&amp;$H640,IF(AND(LEFT($L640,2)="09",OR($H640&lt;2000,$H640&gt;2010)),"FAIL - 2000-10 class, year "&amp;$H640,"OK")))))</f>
      </c>
      <c r="BF640" s="45">
        <f>IF($AD640="","",IF(ROUND($AO640+$AP640+$AQ640-$AD640,2)=0,"OK","FAIL - out by "&amp;TEXT($AO640+$AP640+$AQ640-$AD640,"$0.00")))</f>
      </c>
    </row>
    <row r="641" spans="1:58" ht="18.75" customHeight="1" x14ac:dyDescent="0.25">
      <c r="A641" s="30" t="inlineStr">
        <is>
          <t xml:space="preserve">CANON-202607-010404</t>
        </is>
      </c>
      <c r="B641" s="30" t="inlineStr">
        <is>
          <t xml:space="preserve">Wilhelmina Vandermeer</t>
        </is>
      </c>
      <c r="C641" s="31">
        <v>46207</v>
      </c>
      <c r="D641" s="32" t="inlineStr">
        <is>
          <t xml:space="preserve">Bound - within authority</t>
        </is>
      </c>
      <c r="E641" s="32" t="inlineStr">
        <is>
          <t xml:space="preserve">New business</t>
        </is>
      </c>
      <c r="F641" s="30" t="inlineStr">
        <is>
          <t xml:space="preserve">B1234EXOTIC26</t>
        </is>
      </c>
      <c r="G641" s="33">
        <f>IF($A641="","",IF($C641="","",YEAR($C641)))</f>
      </c>
      <c r="H641" s="34">
        <v>1959</v>
      </c>
      <c r="I641" s="30" t="inlineStr">
        <is>
          <t xml:space="preserve">Ferrari</t>
        </is>
      </c>
      <c r="J641" s="30" t="inlineStr">
        <is>
          <t xml:space="preserve">296 GTB</t>
        </is>
      </c>
      <c r="K641" s="30" t="inlineStr">
        <is>
          <t xml:space="preserve">N654YY4JACAWT65GZ</t>
        </is>
      </c>
      <c r="L641" s="32" t="inlineStr">
        <is>
          <t xml:space="preserve">03 - Supercar</t>
        </is>
      </c>
      <c r="M641" s="35">
        <v>525000</v>
      </c>
      <c r="N641" s="32" t="inlineStr">
        <is>
          <t xml:space="preserve">Personal</t>
        </is>
      </c>
      <c r="O641" s="30" t="inlineStr">
        <is>
          <t xml:space="preserve">Personal - regular use</t>
        </is>
      </c>
      <c r="P641" s="30" t="inlineStr">
        <is>
          <t xml:space="preserve">1,000 - 2,500</t>
        </is>
      </c>
      <c r="Q641" s="30" t="inlineStr">
        <is>
          <t xml:space="preserve">Idaho</t>
        </is>
      </c>
      <c r="R641" s="30" t="inlineStr">
        <is>
          <t xml:space="preserve">83702</t>
        </is>
      </c>
      <c r="S641" s="32" t="inlineStr">
        <is>
          <t xml:space="preserve">Wildfire - WUI high hazard</t>
        </is>
      </c>
      <c r="T641" s="36">
        <f>IF($A641="","",IF($S641="","",IFERROR(INDEX('[1]natural catastrophe'!$D$6:$D$17,MATCH($S641,'[1]natural catastrophe'!$B$6:$B$17,0)),"?")))</f>
      </c>
      <c r="U641" s="30" t="inlineStr">
        <is>
          <t xml:space="preserve">$5,000</t>
        </is>
      </c>
      <c r="V641" s="32" t="inlineStr">
        <is>
          <t xml:space="preserve">Agreed Value</t>
        </is>
      </c>
      <c r="W641" s="30" t="inlineStr">
        <is>
          <t xml:space="preserve">$1,000</t>
        </is>
      </c>
      <c r="X641" s="32" t="inlineStr">
        <is>
          <t xml:space="preserve">$1,000,000 CSL</t>
        </is>
      </c>
      <c r="Y641" s="30"/>
      <c r="Z641" s="30"/>
      <c r="AA641" s="32" t="inlineStr">
        <is>
          <t xml:space="preserve">Surplus Lines</t>
        </is>
      </c>
      <c r="AB641" s="35">
        <v>7089.68</v>
      </c>
      <c r="AC641" s="37">
        <v>0</v>
      </c>
      <c r="AD641" s="38">
        <f>IF(ISNUMBER($AB641),$AB641*(1+N($AC641)),"")</f>
      </c>
      <c r="AE641" s="35">
        <v>350</v>
      </c>
      <c r="AF641" s="35">
        <v>0</v>
      </c>
      <c r="AG641" s="37"/>
      <c r="AH641" s="39">
        <f>IF(ISNUMBER($AD641),($AD641+$AE641+$AF641)*$AG641,"")</f>
      </c>
      <c r="AI641" s="35"/>
      <c r="AJ641" s="38">
        <f>IF(ISNUMBER($AD641),SUM($AD641:$AH641),"")</f>
      </c>
      <c r="AK641" s="40">
        <f>IF(AND(ISNUMBER($AB641),ISNUMBER($AD641)),IF($AB641&gt;0,$AD641/$AB641,""),"")</f>
      </c>
      <c r="AL641" s="32" t="inlineStr">
        <is>
          <t xml:space="preserve">At technical</t>
        </is>
      </c>
      <c r="AM641" s="41">
        <f>IF(ISNUMBER($AD641),Header!$I$3,"")</f>
      </c>
      <c r="AN641" s="39">
        <f>IF(ISNUMBER($AD641),$AO641+$AP641,"")</f>
      </c>
      <c r="AO641" s="39">
        <f>IF(ISNUMBER($AD641),ROUND($AD641*Header!$K$3,2),"")</f>
      </c>
      <c r="AP641" s="39">
        <f>IF(ISNUMBER($AD641),ROUND($AD641*Header!$M$3,2),"")</f>
      </c>
      <c r="AQ641" s="38">
        <f>IF(ISNUMBER($AD641),ROUND($AD641,2)-$AO641-$AP641,"")</f>
      </c>
      <c r="AR641" s="39">
        <f>IF(ISNUMBER($AD641),IF(Header!$D$34="","?",$AD641*Header!$D$34),"")</f>
      </c>
      <c r="AS641" s="39">
        <f>IF(ISNUMBER($AB641),IF(Header!$D$34="","?",$AB641*Header!$D$34),"")</f>
      </c>
      <c r="AT641" s="42">
        <f>IF(AND(ISNUMBER($AB641),$M641&gt;0),$AB641/$M641*100,"")</f>
      </c>
      <c r="AU641" s="42">
        <f>IF(AND(ISNUMBER($AD641),$M641&gt;0),$AD641/$M641*100,"")</f>
      </c>
      <c r="AV641" s="40">
        <f>IF(AND(ISNUMBER($AB641),ISNUMBER($AD641),ABS($AB641)&gt;0),$AD641/$AB641,"")</f>
      </c>
      <c r="AW641" s="39">
        <f>IF(ISNUMBER($AD641),MAX(0,(1-0.55-Header!$O$3)*Header!$Q$3*$AQ641),"")</f>
      </c>
      <c r="AX641" s="43">
        <f>IF($A641="","",IF(TRIM(IF($A641="","Missing certificate ref. ","") &amp; IF($C641="","Missing effective date. ","") &amp; IF($D641="","Missing binding status. ","") &amp; IF($E641="","Missing movement type. ","") &amp; IF($I641="","Missing make. ","") &amp; IF($L641="","Missing vehicle class. ","") &amp; IF($M641="","Missing agreed value. ","") &amp; IF($N641="","Missing policy type. ","") &amp; IF($Q641="","Missing garaging state. ","") &amp; IF($R641="","Missing garaging ZIP. ","") &amp; IF($S641="","Missing cat zone. ","") &amp; IF($V641="","Missing valuation basis. ","") &amp; IF($W641="","Missing PD deductible. ","") &amp; IF($X641="","Missing liability limit. ","") &amp; IF($AB641="","Missing technical premium. ","") &amp; IF($AF641="","Missing surplus lines tax %. ",""))="","PASS","FAIL: "&amp;TRIM(IF($A641="","Missing certificate ref. ","") &amp; IF($C641="","Missing effective date. ","") &amp; IF($D641="","Missing binding status. ","") &amp; IF($E641="","Missing movement type. ","") &amp; IF($I641="","Missing make. ","") &amp; IF($L641="","Missing vehicle class. ","") &amp; IF($M641="","Missing agreed value. ","") &amp; IF($N641="","Missing policy type. ","") &amp; IF($Q641="","Missing garaging state. ","") &amp; IF($R641="","Missing garaging ZIP. ","") &amp; IF($S641="","Missing cat zone. ","") &amp; IF($V641="","Missing valuation basis. ","") &amp; IF($W641="","Missing PD deductible. ","") &amp; IF($X641="","Missing liability limit. ","") &amp; IF($AB641="","Missing technical premium. ","") &amp; IF($AF641="","Missing surplus lines tax %. ",""))))</f>
      </c>
      <c r="AY641" s="44">
        <f>IF($M641="","",IF(ISNUMBER($M641),IF($M641&gt;=Header!$C$18,"YES — refer","No"),""))</f>
      </c>
      <c r="AZ641" s="44">
        <f>IF($AD641="","",IF(ISNUMBER($AD641),IF($AD641&lt;Header!$C$20,"BELOW MIN PREMIUM","OK"),""))</f>
      </c>
      <c r="BA641" s="32" t="inlineStr">
        <is>
          <t xml:space="preserve">Yes</t>
        </is>
      </c>
      <c r="BB641" s="32" t="inlineStr">
        <is>
          <t xml:space="preserve">Yes</t>
        </is>
      </c>
      <c r="BC641" s="30" t="inlineStr">
        <is>
          <t xml:space="preserve">Synthetic demo data</t>
        </is>
      </c>
      <c r="BE641" s="45">
        <f>IF(OR($A641="",$L641="",$H641=""),"",IF(AND(LEFT($L641,2)="06",$H641&gt;1945),"FAIL - pre-war class, year "&amp;$H641,IF(AND(LEFT($L641,2)="07",OR($H641&lt;1946,$H641&gt;1972)),"FAIL - 1946-72 class, year "&amp;$H641,IF(AND(LEFT($L641,2)="08",OR($H641&lt;1973,$H641&gt;1999)),"FAIL - 1973-99 class, year "&amp;$H641,IF(AND(LEFT($L641,2)="09",OR($H641&lt;2000,$H641&gt;2010)),"FAIL - 2000-10 class, year "&amp;$H641,"OK")))))</f>
      </c>
      <c r="BF641" s="45">
        <f>IF($AD641="","",IF(ROUND($AO641+$AP641+$AQ641-$AD641,2)=0,"OK","FAIL - out by "&amp;TEXT($AO641+$AP641+$AQ641-$AD641,"$0.00")))</f>
      </c>
    </row>
    <row r="642" spans="1:58" ht="18.75" customHeight="1" x14ac:dyDescent="0.25">
      <c r="A642" s="46" t="inlineStr">
        <is>
          <t xml:space="preserve">CANON-202607-010406</t>
        </is>
      </c>
      <c r="B642" s="46" t="inlineStr">
        <is>
          <t xml:space="preserve">Leopold Pennington</t>
        </is>
      </c>
      <c r="C642" s="47">
        <v>46230</v>
      </c>
      <c r="D642" s="48" t="inlineStr">
        <is>
          <t xml:space="preserve">Bound - within authority</t>
        </is>
      </c>
      <c r="E642" s="48" t="inlineStr">
        <is>
          <t xml:space="preserve">New business</t>
        </is>
      </c>
      <c r="F642" s="46" t="inlineStr">
        <is>
          <t xml:space="preserve">B1234EXOTIC26</t>
        </is>
      </c>
      <c r="G642" s="33">
        <f>IF($A642="","",IF($C642="","",YEAR($C642)))</f>
      </c>
      <c r="H642" s="49">
        <v>1988</v>
      </c>
      <c r="I642" s="46" t="inlineStr">
        <is>
          <t xml:space="preserve">Jaguar</t>
        </is>
      </c>
      <c r="J642" s="46" t="inlineStr">
        <is>
          <t xml:space="preserve">E-Type Series 1</t>
        </is>
      </c>
      <c r="K642" s="46" t="inlineStr">
        <is>
          <t xml:space="preserve">UXS7EEF3WM49Y8923</t>
        </is>
      </c>
      <c r="L642" s="48" t="inlineStr">
        <is>
          <t xml:space="preserve">08 - Modern Classic (1973-1999)</t>
        </is>
      </c>
      <c r="M642" s="50">
        <v>380000</v>
      </c>
      <c r="N642" s="48" t="inlineStr">
        <is>
          <t xml:space="preserve">Personal</t>
        </is>
      </c>
      <c r="O642" s="46" t="inlineStr">
        <is>
          <t xml:space="preserve">Personal - regular use</t>
        </is>
      </c>
      <c r="P642" s="46" t="inlineStr">
        <is>
          <t xml:space="preserve">2,500 - 5,000</t>
        </is>
      </c>
      <c r="Q642" s="46" t="inlineStr">
        <is>
          <t xml:space="preserve">New Mexico</t>
        </is>
      </c>
      <c r="R642" s="46" t="inlineStr">
        <is>
          <t xml:space="preserve">87501</t>
        </is>
      </c>
      <c r="S642" s="48" t="inlineStr">
        <is>
          <t xml:space="preserve">Wildfire - WUI high hazard</t>
        </is>
      </c>
      <c r="T642" s="36">
        <f>IF($A642="","",IF($S642="","",IFERROR(INDEX('[1]natural catastrophe'!$D$6:$D$17,MATCH($S642,'[1]natural catastrophe'!$B$6:$B$17,0)),"?")))</f>
      </c>
      <c r="U642" s="46" t="inlineStr">
        <is>
          <t xml:space="preserve">$5,000</t>
        </is>
      </c>
      <c r="V642" s="48" t="inlineStr">
        <is>
          <t xml:space="preserve">Agreed Value</t>
        </is>
      </c>
      <c r="W642" s="46" t="inlineStr">
        <is>
          <t xml:space="preserve">$1,000</t>
        </is>
      </c>
      <c r="X642" s="48" t="inlineStr">
        <is>
          <t xml:space="preserve">$1,000,000 CSL</t>
        </is>
      </c>
      <c r="Y642" s="46"/>
      <c r="Z642" s="46"/>
      <c r="AA642" s="48" t="inlineStr">
        <is>
          <t xml:space="preserve">Surplus Lines</t>
        </is>
      </c>
      <c r="AB642" s="50">
        <v>3352.3</v>
      </c>
      <c r="AC642" s="51">
        <v>0</v>
      </c>
      <c r="AD642" s="38">
        <f>IF(ISNUMBER($AB642),$AB642*(1+N($AC642)),"")</f>
      </c>
      <c r="AE642" s="50">
        <v>350</v>
      </c>
      <c r="AF642" s="50">
        <v>0</v>
      </c>
      <c r="AG642" s="51"/>
      <c r="AH642" s="39">
        <f>IF(ISNUMBER($AD642),($AD642+$AE642+$AF642)*$AG642,"")</f>
      </c>
      <c r="AI642" s="50"/>
      <c r="AJ642" s="38">
        <f>IF(ISNUMBER($AD642),SUM($AD642:$AH642),"")</f>
      </c>
      <c r="AK642" s="40">
        <f>IF(AND(ISNUMBER($AB642),ISNUMBER($AD642)),IF($AB642&gt;0,$AD642/$AB642,""),"")</f>
      </c>
      <c r="AL642" s="48" t="inlineStr">
        <is>
          <t xml:space="preserve">At technical</t>
        </is>
      </c>
      <c r="AM642" s="41">
        <f>IF(ISNUMBER($AD642),Header!$I$3,"")</f>
      </c>
      <c r="AN642" s="39">
        <f>IF(ISNUMBER($AD642),$AO642+$AP642,"")</f>
      </c>
      <c r="AO642" s="39">
        <f>IF(ISNUMBER($AD642),ROUND($AD642*Header!$K$3,2),"")</f>
      </c>
      <c r="AP642" s="39">
        <f>IF(ISNUMBER($AD642),ROUND($AD642*Header!$M$3,2),"")</f>
      </c>
      <c r="AQ642" s="38">
        <f>IF(ISNUMBER($AD642),ROUND($AD642,2)-$AO642-$AP642,"")</f>
      </c>
      <c r="AR642" s="39">
        <f>IF(ISNUMBER($AD642),IF(Header!$D$34="","?",$AD642*Header!$D$34),"")</f>
      </c>
      <c r="AS642" s="39">
        <f>IF(ISNUMBER($AB642),IF(Header!$D$34="","?",$AB642*Header!$D$34),"")</f>
      </c>
      <c r="AT642" s="42">
        <f>IF(AND(ISNUMBER($AB642),$M642&gt;0),$AB642/$M642*100,"")</f>
      </c>
      <c r="AU642" s="42">
        <f>IF(AND(ISNUMBER($AD642),$M642&gt;0),$AD642/$M642*100,"")</f>
      </c>
      <c r="AV642" s="40">
        <f>IF(AND(ISNUMBER($AB642),ISNUMBER($AD642),ABS($AB642)&gt;0),$AD642/$AB642,"")</f>
      </c>
      <c r="AW642" s="39">
        <f>IF(ISNUMBER($AD642),MAX(0,(1-0.55-Header!$O$3)*Header!$Q$3*$AQ642),"")</f>
      </c>
      <c r="AX642" s="43">
        <f>IF($A642="","",IF(TRIM(IF($A642="","Missing certificate ref. ","") &amp; IF($C642="","Missing effective date. ","") &amp; IF($D642="","Missing binding status. ","") &amp; IF($E642="","Missing movement type. ","") &amp; IF($I642="","Missing make. ","") &amp; IF($L642="","Missing vehicle class. ","") &amp; IF($M642="","Missing agreed value. ","") &amp; IF($N642="","Missing policy type. ","") &amp; IF($Q642="","Missing garaging state. ","") &amp; IF($R642="","Missing garaging ZIP. ","") &amp; IF($S642="","Missing cat zone. ","") &amp; IF($V642="","Missing valuation basis. ","") &amp; IF($W642="","Missing PD deductible. ","") &amp; IF($X642="","Missing liability limit. ","") &amp; IF($AB642="","Missing technical premium. ","") &amp; IF($AF642="","Missing surplus lines tax %. ",""))="","PASS","FAIL: "&amp;TRIM(IF($A642="","Missing certificate ref. ","") &amp; IF($C642="","Missing effective date. ","") &amp; IF($D642="","Missing binding status. ","") &amp; IF($E642="","Missing movement type. ","") &amp; IF($I642="","Missing make. ","") &amp; IF($L642="","Missing vehicle class. ","") &amp; IF($M642="","Missing agreed value. ","") &amp; IF($N642="","Missing policy type. ","") &amp; IF($Q642="","Missing garaging state. ","") &amp; IF($R642="","Missing garaging ZIP. ","") &amp; IF($S642="","Missing cat zone. ","") &amp; IF($V642="","Missing valuation basis. ","") &amp; IF($W642="","Missing PD deductible. ","") &amp; IF($X642="","Missing liability limit. ","") &amp; IF($AB642="","Missing technical premium. ","") &amp; IF($AF642="","Missing surplus lines tax %. ",""))))</f>
      </c>
      <c r="AY642" s="44">
        <f>IF($M642="","",IF(ISNUMBER($M642),IF($M642&gt;=Header!$C$18,"YES — refer","No"),""))</f>
      </c>
      <c r="AZ642" s="44">
        <f>IF($AD642="","",IF(ISNUMBER($AD642),IF($AD642&lt;Header!$C$20,"BELOW MIN PREMIUM","OK"),""))</f>
      </c>
      <c r="BA642" s="48" t="inlineStr">
        <is>
          <t xml:space="preserve">Yes</t>
        </is>
      </c>
      <c r="BB642" s="48" t="inlineStr">
        <is>
          <t xml:space="preserve">Yes</t>
        </is>
      </c>
      <c r="BC642" s="46" t="inlineStr">
        <is>
          <t xml:space="preserve">Synthetic demo data</t>
        </is>
      </c>
      <c r="BE642" s="45">
        <f>IF(OR($A642="",$L642="",$H642=""),"",IF(AND(LEFT($L642,2)="06",$H642&gt;1945),"FAIL - pre-war class, year "&amp;$H642,IF(AND(LEFT($L642,2)="07",OR($H642&lt;1946,$H642&gt;1972)),"FAIL - 1946-72 class, year "&amp;$H642,IF(AND(LEFT($L642,2)="08",OR($H642&lt;1973,$H642&gt;1999)),"FAIL - 1973-99 class, year "&amp;$H642,IF(AND(LEFT($L642,2)="09",OR($H642&lt;2000,$H642&gt;2010)),"FAIL - 2000-10 class, year "&amp;$H642,"OK")))))</f>
      </c>
      <c r="BF642" s="45">
        <f>IF($AD642="","",IF(ROUND($AO642+$AP642+$AQ642-$AD642,2)=0,"OK","FAIL - out by "&amp;TEXT($AO642+$AP642+$AQ642-$AD642,"$0.00")))</f>
      </c>
    </row>
    <row r="643" spans="1:58" ht="18.75" customHeight="1" x14ac:dyDescent="0.25">
      <c r="A643" s="30" t="inlineStr">
        <is>
          <t xml:space="preserve">CANON-202607-010407</t>
        </is>
      </c>
      <c r="B643" s="30" t="inlineStr">
        <is>
          <t xml:space="preserve">Marisol Underwood</t>
        </is>
      </c>
      <c r="C643" s="31">
        <v>46207</v>
      </c>
      <c r="D643" s="32" t="inlineStr">
        <is>
          <t xml:space="preserve">Bound - within authority</t>
        </is>
      </c>
      <c r="E643" s="32" t="inlineStr">
        <is>
          <t xml:space="preserve">New business</t>
        </is>
      </c>
      <c r="F643" s="30" t="inlineStr">
        <is>
          <t xml:space="preserve">B1234EXOTIC26</t>
        </is>
      </c>
      <c r="G643" s="33">
        <f>IF($A643="","",IF($C643="","",YEAR($C643)))</f>
      </c>
      <c r="H643" s="34">
        <v>1965</v>
      </c>
      <c r="I643" s="30" t="inlineStr">
        <is>
          <t xml:space="preserve">Mercedes-Benz</t>
        </is>
      </c>
      <c r="J643" s="30" t="inlineStr">
        <is>
          <t xml:space="preserve">AMG GT</t>
        </is>
      </c>
      <c r="K643" s="30" t="inlineStr">
        <is>
          <t xml:space="preserve">RZ5521XS6V1S8PR8K</t>
        </is>
      </c>
      <c r="L643" s="32" t="inlineStr">
        <is>
          <t xml:space="preserve">02 - Sports / GT</t>
        </is>
      </c>
      <c r="M643" s="35">
        <v>245000</v>
      </c>
      <c r="N643" s="32" t="inlineStr">
        <is>
          <t xml:space="preserve">Personal</t>
        </is>
      </c>
      <c r="O643" s="30" t="inlineStr">
        <is>
          <t xml:space="preserve">Personal - regular use</t>
        </is>
      </c>
      <c r="P643" s="30" t="inlineStr">
        <is>
          <t xml:space="preserve">Under 1,000</t>
        </is>
      </c>
      <c r="Q643" s="30" t="inlineStr">
        <is>
          <t xml:space="preserve">New Jersey</t>
        </is>
      </c>
      <c r="R643" s="30" t="inlineStr">
        <is>
          <t xml:space="preserve">07102</t>
        </is>
      </c>
      <c r="S643" s="32" t="inlineStr">
        <is>
          <t xml:space="preserve">Tier 3 - Coastal wind (25-100 miles)</t>
        </is>
      </c>
      <c r="T643" s="36">
        <f>IF($A643="","",IF($S643="","",IFERROR(INDEX('[1]natural catastrophe'!$D$6:$D$17,MATCH($S643,'[1]natural catastrophe'!$B$6:$B$17,0)),"?")))</f>
      </c>
      <c r="U643" s="30" t="inlineStr">
        <is>
          <t xml:space="preserve">2% of agreed value, minimum $10,000</t>
        </is>
      </c>
      <c r="V643" s="32" t="inlineStr">
        <is>
          <t xml:space="preserve">Agreed Value</t>
        </is>
      </c>
      <c r="W643" s="30" t="inlineStr">
        <is>
          <t xml:space="preserve">$1,000</t>
        </is>
      </c>
      <c r="X643" s="32" t="inlineStr">
        <is>
          <t xml:space="preserve">$1,000,000 CSL</t>
        </is>
      </c>
      <c r="Y643" s="30"/>
      <c r="Z643" s="30"/>
      <c r="AA643" s="32" t="inlineStr">
        <is>
          <t xml:space="preserve">Surplus Lines</t>
        </is>
      </c>
      <c r="AB643" s="35">
        <v>2945.13</v>
      </c>
      <c r="AC643" s="37">
        <v>0</v>
      </c>
      <c r="AD643" s="38">
        <f>IF(ISNUMBER($AB643),$AB643*(1+N($AC643)),"")</f>
      </c>
      <c r="AE643" s="35">
        <v>350</v>
      </c>
      <c r="AF643" s="35">
        <v>0</v>
      </c>
      <c r="AG643" s="37"/>
      <c r="AH643" s="39">
        <f>IF(ISNUMBER($AD643),($AD643+$AE643+$AF643)*$AG643,"")</f>
      </c>
      <c r="AI643" s="35"/>
      <c r="AJ643" s="38">
        <f>IF(ISNUMBER($AD643),SUM($AD643:$AH643),"")</f>
      </c>
      <c r="AK643" s="40">
        <f>IF(AND(ISNUMBER($AB643),ISNUMBER($AD643)),IF($AB643&gt;0,$AD643/$AB643,""),"")</f>
      </c>
      <c r="AL643" s="32" t="inlineStr">
        <is>
          <t xml:space="preserve">At technical</t>
        </is>
      </c>
      <c r="AM643" s="41">
        <f>IF(ISNUMBER($AD643),Header!$I$3,"")</f>
      </c>
      <c r="AN643" s="39">
        <f>IF(ISNUMBER($AD643),$AO643+$AP643,"")</f>
      </c>
      <c r="AO643" s="39">
        <f>IF(ISNUMBER($AD643),ROUND($AD643*Header!$K$3,2),"")</f>
      </c>
      <c r="AP643" s="39">
        <f>IF(ISNUMBER($AD643),ROUND($AD643*Header!$M$3,2),"")</f>
      </c>
      <c r="AQ643" s="38">
        <f>IF(ISNUMBER($AD643),ROUND($AD643,2)-$AO643-$AP643,"")</f>
      </c>
      <c r="AR643" s="39">
        <f>IF(ISNUMBER($AD643),IF(Header!$D$34="","?",$AD643*Header!$D$34),"")</f>
      </c>
      <c r="AS643" s="39">
        <f>IF(ISNUMBER($AB643),IF(Header!$D$34="","?",$AB643*Header!$D$34),"")</f>
      </c>
      <c r="AT643" s="42">
        <f>IF(AND(ISNUMBER($AB643),$M643&gt;0),$AB643/$M643*100,"")</f>
      </c>
      <c r="AU643" s="42">
        <f>IF(AND(ISNUMBER($AD643),$M643&gt;0),$AD643/$M643*100,"")</f>
      </c>
      <c r="AV643" s="40">
        <f>IF(AND(ISNUMBER($AB643),ISNUMBER($AD643),ABS($AB643)&gt;0),$AD643/$AB643,"")</f>
      </c>
      <c r="AW643" s="39">
        <f>IF(ISNUMBER($AD643),MAX(0,(1-0.55-Header!$O$3)*Header!$Q$3*$AQ643),"")</f>
      </c>
      <c r="AX643" s="43">
        <f>IF($A643="","",IF(TRIM(IF($A643="","Missing certificate ref. ","") &amp; IF($C643="","Missing effective date. ","") &amp; IF($D643="","Missing binding status. ","") &amp; IF($E643="","Missing movement type. ","") &amp; IF($I643="","Missing make. ","") &amp; IF($L643="","Missing vehicle class. ","") &amp; IF($M643="","Missing agreed value. ","") &amp; IF($N643="","Missing policy type. ","") &amp; IF($Q643="","Missing garaging state. ","") &amp; IF($R643="","Missing garaging ZIP. ","") &amp; IF($S643="","Missing cat zone. ","") &amp; IF($V643="","Missing valuation basis. ","") &amp; IF($W643="","Missing PD deductible. ","") &amp; IF($X643="","Missing liability limit. ","") &amp; IF($AB643="","Missing technical premium. ","") &amp; IF($AF643="","Missing surplus lines tax %. ",""))="","PASS","FAIL: "&amp;TRIM(IF($A643="","Missing certificate ref. ","") &amp; IF($C643="","Missing effective date. ","") &amp; IF($D643="","Missing binding status. ","") &amp; IF($E643="","Missing movement type. ","") &amp; IF($I643="","Missing make. ","") &amp; IF($L643="","Missing vehicle class. ","") &amp; IF($M643="","Missing agreed value. ","") &amp; IF($N643="","Missing policy type. ","") &amp; IF($Q643="","Missing garaging state. ","") &amp; IF($R643="","Missing garaging ZIP. ","") &amp; IF($S643="","Missing cat zone. ","") &amp; IF($V643="","Missing valuation basis. ","") &amp; IF($W643="","Missing PD deductible. ","") &amp; IF($X643="","Missing liability limit. ","") &amp; IF($AB643="","Missing technical premium. ","") &amp; IF($AF643="","Missing surplus lines tax %. ",""))))</f>
      </c>
      <c r="AY643" s="44">
        <f>IF($M643="","",IF(ISNUMBER($M643),IF($M643&gt;=Header!$C$18,"YES — refer","No"),""))</f>
      </c>
      <c r="AZ643" s="44">
        <f>IF($AD643="","",IF(ISNUMBER($AD643),IF($AD643&lt;Header!$C$20,"BELOW MIN PREMIUM","OK"),""))</f>
      </c>
      <c r="BA643" s="32" t="inlineStr">
        <is>
          <t xml:space="preserve">Yes</t>
        </is>
      </c>
      <c r="BB643" s="32" t="inlineStr">
        <is>
          <t xml:space="preserve">Yes</t>
        </is>
      </c>
      <c r="BC643" s="30" t="inlineStr">
        <is>
          <t xml:space="preserve">Synthetic demo data</t>
        </is>
      </c>
      <c r="BE643" s="45">
        <f>IF(OR($A643="",$L643="",$H643=""),"",IF(AND(LEFT($L643,2)="06",$H643&gt;1945),"FAIL - pre-war class, year "&amp;$H643,IF(AND(LEFT($L643,2)="07",OR($H643&lt;1946,$H643&gt;1972)),"FAIL - 1946-72 class, year "&amp;$H643,IF(AND(LEFT($L643,2)="08",OR($H643&lt;1973,$H643&gt;1999)),"FAIL - 1973-99 class, year "&amp;$H643,IF(AND(LEFT($L643,2)="09",OR($H643&lt;2000,$H643&gt;2010)),"FAIL - 2000-10 class, year "&amp;$H643,"OK")))))</f>
      </c>
      <c r="BF643" s="45">
        <f>IF($AD643="","",IF(ROUND($AO643+$AP643+$AQ643-$AD643,2)=0,"OK","FAIL - out by "&amp;TEXT($AO643+$AP643+$AQ643-$AD643,"$0.00")))</f>
      </c>
    </row>
    <row r="644" spans="1:58" ht="18.75" customHeight="1" x14ac:dyDescent="0.25">
      <c r="A644" s="46" t="inlineStr">
        <is>
          <t xml:space="preserve">CANON-202607-010409</t>
        </is>
      </c>
      <c r="B644" s="46" t="inlineStr">
        <is>
          <t xml:space="preserve">Horace Okonkwo</t>
        </is>
      </c>
      <c r="C644" s="47">
        <v>46208</v>
      </c>
      <c r="D644" s="48" t="inlineStr">
        <is>
          <t xml:space="preserve">Bound - within authority</t>
        </is>
      </c>
      <c r="E644" s="48" t="inlineStr">
        <is>
          <t xml:space="preserve">New business</t>
        </is>
      </c>
      <c r="F644" s="46" t="inlineStr">
        <is>
          <t xml:space="preserve">B1234EXOTIC26</t>
        </is>
      </c>
      <c r="G644" s="33">
        <f>IF($A644="","",IF($C644="","",YEAR($C644)))</f>
      </c>
      <c r="H644" s="49">
        <v>1976</v>
      </c>
      <c r="I644" s="46" t="inlineStr">
        <is>
          <t xml:space="preserve">Mercedes-Benz</t>
        </is>
      </c>
      <c r="J644" s="46" t="inlineStr">
        <is>
          <t xml:space="preserve">AMG GT</t>
        </is>
      </c>
      <c r="K644" s="46" t="inlineStr">
        <is>
          <t xml:space="preserve">J5S39HYFLM3S4GRDU</t>
        </is>
      </c>
      <c r="L644" s="48" t="inlineStr">
        <is>
          <t xml:space="preserve">02 - Sports / GT</t>
        </is>
      </c>
      <c r="M644" s="50">
        <v>335000</v>
      </c>
      <c r="N644" s="48" t="inlineStr">
        <is>
          <t xml:space="preserve">Personal</t>
        </is>
      </c>
      <c r="O644" s="46" t="inlineStr">
        <is>
          <t xml:space="preserve">Personal - regular use</t>
        </is>
      </c>
      <c r="P644" s="46" t="inlineStr">
        <is>
          <t xml:space="preserve">2,500 - 5,000</t>
        </is>
      </c>
      <c r="Q644" s="46" t="inlineStr">
        <is>
          <t xml:space="preserve">Ohio</t>
        </is>
      </c>
      <c r="R644" s="46" t="inlineStr">
        <is>
          <t xml:space="preserve">43215</t>
        </is>
      </c>
      <c r="S644" s="48" t="inlineStr">
        <is>
          <t xml:space="preserve">Severe convective - hail / tornado (moderate)</t>
        </is>
      </c>
      <c r="T644" s="36">
        <f>IF($A644="","",IF($S644="","",IFERROR(INDEX('[1]natural catastrophe'!$D$6:$D$17,MATCH($S644,'[1]natural catastrophe'!$B$6:$B$17,0)),"?")))</f>
      </c>
      <c r="U644" s="46" t="inlineStr">
        <is>
          <t xml:space="preserve">$5,000</t>
        </is>
      </c>
      <c r="V644" s="48" t="inlineStr">
        <is>
          <t xml:space="preserve">Agreed Value</t>
        </is>
      </c>
      <c r="W644" s="46" t="inlineStr">
        <is>
          <t xml:space="preserve">$1,000</t>
        </is>
      </c>
      <c r="X644" s="48" t="inlineStr">
        <is>
          <t xml:space="preserve">$1,000,000 CSL</t>
        </is>
      </c>
      <c r="Y644" s="46"/>
      <c r="Z644" s="46"/>
      <c r="AA644" s="48" t="inlineStr">
        <is>
          <t xml:space="preserve">Surplus Lines</t>
        </is>
      </c>
      <c r="AB644" s="50">
        <v>5014.53</v>
      </c>
      <c r="AC644" s="51">
        <v>0</v>
      </c>
      <c r="AD644" s="38">
        <f>IF(ISNUMBER($AB644),$AB644*(1+N($AC644)),"")</f>
      </c>
      <c r="AE644" s="50">
        <v>350</v>
      </c>
      <c r="AF644" s="50">
        <v>0</v>
      </c>
      <c r="AG644" s="51"/>
      <c r="AH644" s="39">
        <f>IF(ISNUMBER($AD644),($AD644+$AE644+$AF644)*$AG644,"")</f>
      </c>
      <c r="AI644" s="50"/>
      <c r="AJ644" s="38">
        <f>IF(ISNUMBER($AD644),SUM($AD644:$AH644),"")</f>
      </c>
      <c r="AK644" s="40">
        <f>IF(AND(ISNUMBER($AB644),ISNUMBER($AD644)),IF($AB644&gt;0,$AD644/$AB644,""),"")</f>
      </c>
      <c r="AL644" s="48" t="inlineStr">
        <is>
          <t xml:space="preserve">At technical</t>
        </is>
      </c>
      <c r="AM644" s="41">
        <f>IF(ISNUMBER($AD644),Header!$I$3,"")</f>
      </c>
      <c r="AN644" s="39">
        <f>IF(ISNUMBER($AD644),$AO644+$AP644,"")</f>
      </c>
      <c r="AO644" s="39">
        <f>IF(ISNUMBER($AD644),ROUND($AD644*Header!$K$3,2),"")</f>
      </c>
      <c r="AP644" s="39">
        <f>IF(ISNUMBER($AD644),ROUND($AD644*Header!$M$3,2),"")</f>
      </c>
      <c r="AQ644" s="38">
        <f>IF(ISNUMBER($AD644),ROUND($AD644,2)-$AO644-$AP644,"")</f>
      </c>
      <c r="AR644" s="39">
        <f>IF(ISNUMBER($AD644),IF(Header!$D$34="","?",$AD644*Header!$D$34),"")</f>
      </c>
      <c r="AS644" s="39">
        <f>IF(ISNUMBER($AB644),IF(Header!$D$34="","?",$AB644*Header!$D$34),"")</f>
      </c>
      <c r="AT644" s="42">
        <f>IF(AND(ISNUMBER($AB644),$M644&gt;0),$AB644/$M644*100,"")</f>
      </c>
      <c r="AU644" s="42">
        <f>IF(AND(ISNUMBER($AD644),$M644&gt;0),$AD644/$M644*100,"")</f>
      </c>
      <c r="AV644" s="40">
        <f>IF(AND(ISNUMBER($AB644),ISNUMBER($AD644),ABS($AB644)&gt;0),$AD644/$AB644,"")</f>
      </c>
      <c r="AW644" s="39">
        <f>IF(ISNUMBER($AD644),MAX(0,(1-0.55-Header!$O$3)*Header!$Q$3*$AQ644),"")</f>
      </c>
      <c r="AX644" s="43">
        <f>IF($A644="","",IF(TRIM(IF($A644="","Missing certificate ref. ","") &amp; IF($C644="","Missing effective date. ","") &amp; IF($D644="","Missing binding status. ","") &amp; IF($E644="","Missing movement type. ","") &amp; IF($I644="","Missing make. ","") &amp; IF($L644="","Missing vehicle class. ","") &amp; IF($M644="","Missing agreed value. ","") &amp; IF($N644="","Missing policy type. ","") &amp; IF($Q644="","Missing garaging state. ","") &amp; IF($R644="","Missing garaging ZIP. ","") &amp; IF($S644="","Missing cat zone. ","") &amp; IF($V644="","Missing valuation basis. ","") &amp; IF($W644="","Missing PD deductible. ","") &amp; IF($X644="","Missing liability limit. ","") &amp; IF($AB644="","Missing technical premium. ","") &amp; IF($AF644="","Missing surplus lines tax %. ",""))="","PASS","FAIL: "&amp;TRIM(IF($A644="","Missing certificate ref. ","") &amp; IF($C644="","Missing effective date. ","") &amp; IF($D644="","Missing binding status. ","") &amp; IF($E644="","Missing movement type. ","") &amp; IF($I644="","Missing make. ","") &amp; IF($L644="","Missing vehicle class. ","") &amp; IF($M644="","Missing agreed value. ","") &amp; IF($N644="","Missing policy type. ","") &amp; IF($Q644="","Missing garaging state. ","") &amp; IF($R644="","Missing garaging ZIP. ","") &amp; IF($S644="","Missing cat zone. ","") &amp; IF($V644="","Missing valuation basis. ","") &amp; IF($W644="","Missing PD deductible. ","") &amp; IF($X644="","Missing liability limit. ","") &amp; IF($AB644="","Missing technical premium. ","") &amp; IF($AF644="","Missing surplus lines tax %. ",""))))</f>
      </c>
      <c r="AY644" s="44">
        <f>IF($M644="","",IF(ISNUMBER($M644),IF($M644&gt;=Header!$C$18,"YES — refer","No"),""))</f>
      </c>
      <c r="AZ644" s="44">
        <f>IF($AD644="","",IF(ISNUMBER($AD644),IF($AD644&lt;Header!$C$20,"BELOW MIN PREMIUM","OK"),""))</f>
      </c>
      <c r="BA644" s="48" t="inlineStr">
        <is>
          <t xml:space="preserve">Yes</t>
        </is>
      </c>
      <c r="BB644" s="48" t="inlineStr">
        <is>
          <t xml:space="preserve">Yes</t>
        </is>
      </c>
      <c r="BC644" s="46" t="inlineStr">
        <is>
          <t xml:space="preserve">Synthetic demo data</t>
        </is>
      </c>
      <c r="BE644" s="45">
        <f>IF(OR($A644="",$L644="",$H644=""),"",IF(AND(LEFT($L644,2)="06",$H644&gt;1945),"FAIL - pre-war class, year "&amp;$H644,IF(AND(LEFT($L644,2)="07",OR($H644&lt;1946,$H644&gt;1972)),"FAIL - 1946-72 class, year "&amp;$H644,IF(AND(LEFT($L644,2)="08",OR($H644&lt;1973,$H644&gt;1999)),"FAIL - 1973-99 class, year "&amp;$H644,IF(AND(LEFT($L644,2)="09",OR($H644&lt;2000,$H644&gt;2010)),"FAIL - 2000-10 class, year "&amp;$H644,"OK")))))</f>
      </c>
      <c r="BF644" s="45">
        <f>IF($AD644="","",IF(ROUND($AO644+$AP644+$AQ644-$AD644,2)=0,"OK","FAIL - out by "&amp;TEXT($AO644+$AP644+$AQ644-$AD644,"$0.00")))</f>
      </c>
    </row>
    <row r="645" spans="1:58" ht="18.75" customHeight="1" x14ac:dyDescent="0.25">
      <c r="A645" s="30" t="inlineStr">
        <is>
          <t xml:space="preserve">CANON-202607-010410</t>
        </is>
      </c>
      <c r="B645" s="30" t="inlineStr">
        <is>
          <t xml:space="preserve">Thaddeus Chattopadhyay</t>
        </is>
      </c>
      <c r="C645" s="31">
        <v>46228</v>
      </c>
      <c r="D645" s="32" t="inlineStr">
        <is>
          <t xml:space="preserve">Bound - within authority</t>
        </is>
      </c>
      <c r="E645" s="32" t="inlineStr">
        <is>
          <t xml:space="preserve">New business</t>
        </is>
      </c>
      <c r="F645" s="30" t="inlineStr">
        <is>
          <t xml:space="preserve">B1234EXOTIC26</t>
        </is>
      </c>
      <c r="G645" s="33">
        <f>IF($A645="","",IF($C645="","",YEAR($C645)))</f>
      </c>
      <c r="H645" s="34">
        <v>2003</v>
      </c>
      <c r="I645" s="30" t="inlineStr">
        <is>
          <t xml:space="preserve">Bentley</t>
        </is>
      </c>
      <c r="J645" s="30" t="inlineStr">
        <is>
          <t xml:space="preserve">Continental GT</t>
        </is>
      </c>
      <c r="K645" s="30" t="inlineStr">
        <is>
          <t xml:space="preserve">VMYGGF74XW5EUH69E</t>
        </is>
      </c>
      <c r="L645" s="32" t="inlineStr">
        <is>
          <t xml:space="preserve">02 - Sports / GT</t>
        </is>
      </c>
      <c r="M645" s="35">
        <v>540000</v>
      </c>
      <c r="N645" s="32" t="inlineStr">
        <is>
          <t xml:space="preserve">Personal</t>
        </is>
      </c>
      <c r="O645" s="30" t="inlineStr">
        <is>
          <t xml:space="preserve">Personal - regular use</t>
        </is>
      </c>
      <c r="P645" s="30" t="inlineStr">
        <is>
          <t xml:space="preserve">2,500 - 5,000</t>
        </is>
      </c>
      <c r="Q645" s="30" t="inlineStr">
        <is>
          <t xml:space="preserve">North Dakota</t>
        </is>
      </c>
      <c r="R645" s="30" t="inlineStr">
        <is>
          <t xml:space="preserve">58501</t>
        </is>
      </c>
      <c r="S645" s="32" t="inlineStr">
        <is>
          <t xml:space="preserve">Severe convective - hail alley (high)</t>
        </is>
      </c>
      <c r="T645" s="36">
        <f>IF($A645="","",IF($S645="","",IFERROR(INDEX('[1]natural catastrophe'!$D$6:$D$17,MATCH($S645,'[1]natural catastrophe'!$B$6:$B$17,0)),"?")))</f>
      </c>
      <c r="U645" s="30" t="inlineStr">
        <is>
          <t xml:space="preserve">$5,000</t>
        </is>
      </c>
      <c r="V645" s="32" t="inlineStr">
        <is>
          <t xml:space="preserve">Agreed Value</t>
        </is>
      </c>
      <c r="W645" s="30" t="inlineStr">
        <is>
          <t xml:space="preserve">$1,000</t>
        </is>
      </c>
      <c r="X645" s="32" t="inlineStr">
        <is>
          <t xml:space="preserve">$1,000,000 CSL</t>
        </is>
      </c>
      <c r="Y645" s="30"/>
      <c r="Z645" s="30"/>
      <c r="AA645" s="32" t="inlineStr">
        <is>
          <t xml:space="preserve">Surplus Lines</t>
        </is>
      </c>
      <c r="AB645" s="35">
        <v>5140.62</v>
      </c>
      <c r="AC645" s="37">
        <v>0</v>
      </c>
      <c r="AD645" s="38">
        <f>IF(ISNUMBER($AB645),$AB645*(1+N($AC645)),"")</f>
      </c>
      <c r="AE645" s="35">
        <v>350</v>
      </c>
      <c r="AF645" s="35">
        <v>0</v>
      </c>
      <c r="AG645" s="37"/>
      <c r="AH645" s="39">
        <f>IF(ISNUMBER($AD645),($AD645+$AE645+$AF645)*$AG645,"")</f>
      </c>
      <c r="AI645" s="35"/>
      <c r="AJ645" s="38">
        <f>IF(ISNUMBER($AD645),SUM($AD645:$AH645),"")</f>
      </c>
      <c r="AK645" s="40">
        <f>IF(AND(ISNUMBER($AB645),ISNUMBER($AD645)),IF($AB645&gt;0,$AD645/$AB645,""),"")</f>
      </c>
      <c r="AL645" s="32" t="inlineStr">
        <is>
          <t xml:space="preserve">At technical</t>
        </is>
      </c>
      <c r="AM645" s="41">
        <f>IF(ISNUMBER($AD645),Header!$I$3,"")</f>
      </c>
      <c r="AN645" s="39">
        <f>IF(ISNUMBER($AD645),$AO645+$AP645,"")</f>
      </c>
      <c r="AO645" s="39">
        <f>IF(ISNUMBER($AD645),ROUND($AD645*Header!$K$3,2),"")</f>
      </c>
      <c r="AP645" s="39">
        <f>IF(ISNUMBER($AD645),ROUND($AD645*Header!$M$3,2),"")</f>
      </c>
      <c r="AQ645" s="38">
        <f>IF(ISNUMBER($AD645),ROUND($AD645,2)-$AO645-$AP645,"")</f>
      </c>
      <c r="AR645" s="39">
        <f>IF(ISNUMBER($AD645),IF(Header!$D$34="","?",$AD645*Header!$D$34),"")</f>
      </c>
      <c r="AS645" s="39">
        <f>IF(ISNUMBER($AB645),IF(Header!$D$34="","?",$AB645*Header!$D$34),"")</f>
      </c>
      <c r="AT645" s="42">
        <f>IF(AND(ISNUMBER($AB645),$M645&gt;0),$AB645/$M645*100,"")</f>
      </c>
      <c r="AU645" s="42">
        <f>IF(AND(ISNUMBER($AD645),$M645&gt;0),$AD645/$M645*100,"")</f>
      </c>
      <c r="AV645" s="40">
        <f>IF(AND(ISNUMBER($AB645),ISNUMBER($AD645),ABS($AB645)&gt;0),$AD645/$AB645,"")</f>
      </c>
      <c r="AW645" s="39">
        <f>IF(ISNUMBER($AD645),MAX(0,(1-0.55-Header!$O$3)*Header!$Q$3*$AQ645),"")</f>
      </c>
      <c r="AX645" s="43">
        <f>IF($A645="","",IF(TRIM(IF($A645="","Missing certificate ref. ","") &amp; IF($C645="","Missing effective date. ","") &amp; IF($D645="","Missing binding status. ","") &amp; IF($E645="","Missing movement type. ","") &amp; IF($I645="","Missing make. ","") &amp; IF($L645="","Missing vehicle class. ","") &amp; IF($M645="","Missing agreed value. ","") &amp; IF($N645="","Missing policy type. ","") &amp; IF($Q645="","Missing garaging state. ","") &amp; IF($R645="","Missing garaging ZIP. ","") &amp; IF($S645="","Missing cat zone. ","") &amp; IF($V645="","Missing valuation basis. ","") &amp; IF($W645="","Missing PD deductible. ","") &amp; IF($X645="","Missing liability limit. ","") &amp; IF($AB645="","Missing technical premium. ","") &amp; IF($AF645="","Missing surplus lines tax %. ",""))="","PASS","FAIL: "&amp;TRIM(IF($A645="","Missing certificate ref. ","") &amp; IF($C645="","Missing effective date. ","") &amp; IF($D645="","Missing binding status. ","") &amp; IF($E645="","Missing movement type. ","") &amp; IF($I645="","Missing make. ","") &amp; IF($L645="","Missing vehicle class. ","") &amp; IF($M645="","Missing agreed value. ","") &amp; IF($N645="","Missing policy type. ","") &amp; IF($Q645="","Missing garaging state. ","") &amp; IF($R645="","Missing garaging ZIP. ","") &amp; IF($S645="","Missing cat zone. ","") &amp; IF($V645="","Missing valuation basis. ","") &amp; IF($W645="","Missing PD deductible. ","") &amp; IF($X645="","Missing liability limit. ","") &amp; IF($AB645="","Missing technical premium. ","") &amp; IF($AF645="","Missing surplus lines tax %. ",""))))</f>
      </c>
      <c r="AY645" s="44">
        <f>IF($M645="","",IF(ISNUMBER($M645),IF($M645&gt;=Header!$C$18,"YES — refer","No"),""))</f>
      </c>
      <c r="AZ645" s="44">
        <f>IF($AD645="","",IF(ISNUMBER($AD645),IF($AD645&lt;Header!$C$20,"BELOW MIN PREMIUM","OK"),""))</f>
      </c>
      <c r="BA645" s="32" t="inlineStr">
        <is>
          <t xml:space="preserve">Yes</t>
        </is>
      </c>
      <c r="BB645" s="32" t="inlineStr">
        <is>
          <t xml:space="preserve">Yes</t>
        </is>
      </c>
      <c r="BC645" s="30" t="inlineStr">
        <is>
          <t xml:space="preserve">Synthetic demo data</t>
        </is>
      </c>
      <c r="BE645" s="45">
        <f>IF(OR($A645="",$L645="",$H645=""),"",IF(AND(LEFT($L645,2)="06",$H645&gt;1945),"FAIL - pre-war class, year "&amp;$H645,IF(AND(LEFT($L645,2)="07",OR($H645&lt;1946,$H645&gt;1972)),"FAIL - 1946-72 class, year "&amp;$H645,IF(AND(LEFT($L645,2)="08",OR($H645&lt;1973,$H645&gt;1999)),"FAIL - 1973-99 class, year "&amp;$H645,IF(AND(LEFT($L645,2)="09",OR($H645&lt;2000,$H645&gt;2010)),"FAIL - 2000-10 class, year "&amp;$H645,"OK")))))</f>
      </c>
      <c r="BF645" s="45">
        <f>IF($AD645="","",IF(ROUND($AO645+$AP645+$AQ645-$AD645,2)=0,"OK","FAIL - out by "&amp;TEXT($AO645+$AP645+$AQ645-$AD645,"$0.00")))</f>
      </c>
    </row>
    <row r="646" spans="1:58" ht="18.75" customHeight="1" x14ac:dyDescent="0.25">
      <c r="A646" s="46" t="inlineStr">
        <is>
          <t xml:space="preserve">CANON-202607-010411</t>
        </is>
      </c>
      <c r="B646" s="46" t="inlineStr">
        <is>
          <t xml:space="preserve">Anouk Larsson</t>
        </is>
      </c>
      <c r="C646" s="47">
        <v>46221</v>
      </c>
      <c r="D646" s="48" t="inlineStr">
        <is>
          <t xml:space="preserve">Bound - within authority</t>
        </is>
      </c>
      <c r="E646" s="48" t="inlineStr">
        <is>
          <t xml:space="preserve">New business</t>
        </is>
      </c>
      <c r="F646" s="46" t="inlineStr">
        <is>
          <t xml:space="preserve">B1234EXOTIC26</t>
        </is>
      </c>
      <c r="G646" s="33">
        <f>IF($A646="","",IF($C646="","",YEAR($C646)))</f>
      </c>
      <c r="H646" s="49">
        <v>1990</v>
      </c>
      <c r="I646" s="46" t="inlineStr">
        <is>
          <t xml:space="preserve">Icon</t>
        </is>
      </c>
      <c r="J646" s="46" t="inlineStr">
        <is>
          <t xml:space="preserve">Derelict</t>
        </is>
      </c>
      <c r="K646" s="46" t="inlineStr">
        <is>
          <t xml:space="preserve">9G6KF9FMCACCKW7BK</t>
        </is>
      </c>
      <c r="L646" s="48" t="inlineStr">
        <is>
          <t xml:space="preserve">11 - Restomod / Coachbuilt / Bespoke</t>
        </is>
      </c>
      <c r="M646" s="50">
        <v>610000</v>
      </c>
      <c r="N646" s="48" t="inlineStr">
        <is>
          <t xml:space="preserve">Personal</t>
        </is>
      </c>
      <c r="O646" s="46" t="inlineStr">
        <is>
          <t xml:space="preserve">Personal - regular use</t>
        </is>
      </c>
      <c r="P646" s="46" t="inlineStr">
        <is>
          <t xml:space="preserve">2,500 - 5,000</t>
        </is>
      </c>
      <c r="Q646" s="46" t="inlineStr">
        <is>
          <t xml:space="preserve">Washington</t>
        </is>
      </c>
      <c r="R646" s="46" t="inlineStr">
        <is>
          <t xml:space="preserve">98101</t>
        </is>
      </c>
      <c r="S646" s="48" t="inlineStr">
        <is>
          <t xml:space="preserve">Earthquake - high (CA, Cascadia, New Madrid)</t>
        </is>
      </c>
      <c r="T646" s="36">
        <f>IF($A646="","",IF($S646="","",IFERROR(INDEX('[1]natural catastrophe'!$D$6:$D$17,MATCH($S646,'[1]natural catastrophe'!$B$6:$B$17,0)),"?")))</f>
      </c>
      <c r="U646" s="46" t="inlineStr">
        <is>
          <t xml:space="preserve">$5,000</t>
        </is>
      </c>
      <c r="V646" s="48" t="inlineStr">
        <is>
          <t xml:space="preserve">Agreed Value</t>
        </is>
      </c>
      <c r="W646" s="46" t="inlineStr">
        <is>
          <t xml:space="preserve">$1,000</t>
        </is>
      </c>
      <c r="X646" s="48" t="inlineStr">
        <is>
          <t xml:space="preserve">$1,000,000 CSL</t>
        </is>
      </c>
      <c r="Y646" s="46"/>
      <c r="Z646" s="46"/>
      <c r="AA646" s="48" t="inlineStr">
        <is>
          <t xml:space="preserve">Surplus Lines</t>
        </is>
      </c>
      <c r="AB646" s="50">
        <v>6558.5</v>
      </c>
      <c r="AC646" s="51">
        <v>0</v>
      </c>
      <c r="AD646" s="38">
        <f>IF(ISNUMBER($AB646),$AB646*(1+N($AC646)),"")</f>
      </c>
      <c r="AE646" s="50">
        <v>350</v>
      </c>
      <c r="AF646" s="50">
        <v>0</v>
      </c>
      <c r="AG646" s="51"/>
      <c r="AH646" s="39">
        <f>IF(ISNUMBER($AD646),($AD646+$AE646+$AF646)*$AG646,"")</f>
      </c>
      <c r="AI646" s="50"/>
      <c r="AJ646" s="38">
        <f>IF(ISNUMBER($AD646),SUM($AD646:$AH646),"")</f>
      </c>
      <c r="AK646" s="40">
        <f>IF(AND(ISNUMBER($AB646),ISNUMBER($AD646)),IF($AB646&gt;0,$AD646/$AB646,""),"")</f>
      </c>
      <c r="AL646" s="48" t="inlineStr">
        <is>
          <t xml:space="preserve">At technical</t>
        </is>
      </c>
      <c r="AM646" s="41">
        <f>IF(ISNUMBER($AD646),Header!$I$3,"")</f>
      </c>
      <c r="AN646" s="39">
        <f>IF(ISNUMBER($AD646),$AO646+$AP646,"")</f>
      </c>
      <c r="AO646" s="39">
        <f>IF(ISNUMBER($AD646),ROUND($AD646*Header!$K$3,2),"")</f>
      </c>
      <c r="AP646" s="39">
        <f>IF(ISNUMBER($AD646),ROUND($AD646*Header!$M$3,2),"")</f>
      </c>
      <c r="AQ646" s="38">
        <f>IF(ISNUMBER($AD646),ROUND($AD646,2)-$AO646-$AP646,"")</f>
      </c>
      <c r="AR646" s="39">
        <f>IF(ISNUMBER($AD646),IF(Header!$D$34="","?",$AD646*Header!$D$34),"")</f>
      </c>
      <c r="AS646" s="39">
        <f>IF(ISNUMBER($AB646),IF(Header!$D$34="","?",$AB646*Header!$D$34),"")</f>
      </c>
      <c r="AT646" s="42">
        <f>IF(AND(ISNUMBER($AB646),$M646&gt;0),$AB646/$M646*100,"")</f>
      </c>
      <c r="AU646" s="42">
        <f>IF(AND(ISNUMBER($AD646),$M646&gt;0),$AD646/$M646*100,"")</f>
      </c>
      <c r="AV646" s="40">
        <f>IF(AND(ISNUMBER($AB646),ISNUMBER($AD646),ABS($AB646)&gt;0),$AD646/$AB646,"")</f>
      </c>
      <c r="AW646" s="39">
        <f>IF(ISNUMBER($AD646),MAX(0,(1-0.55-Header!$O$3)*Header!$Q$3*$AQ646),"")</f>
      </c>
      <c r="AX646" s="43">
        <f>IF($A646="","",IF(TRIM(IF($A646="","Missing certificate ref. ","") &amp; IF($C646="","Missing effective date. ","") &amp; IF($D646="","Missing binding status. ","") &amp; IF($E646="","Missing movement type. ","") &amp; IF($I646="","Missing make. ","") &amp; IF($L646="","Missing vehicle class. ","") &amp; IF($M646="","Missing agreed value. ","") &amp; IF($N646="","Missing policy type. ","") &amp; IF($Q646="","Missing garaging state. ","") &amp; IF($R646="","Missing garaging ZIP. ","") &amp; IF($S646="","Missing cat zone. ","") &amp; IF($V646="","Missing valuation basis. ","") &amp; IF($W646="","Missing PD deductible. ","") &amp; IF($X646="","Missing liability limit. ","") &amp; IF($AB646="","Missing technical premium. ","") &amp; IF($AF646="","Missing surplus lines tax %. ",""))="","PASS","FAIL: "&amp;TRIM(IF($A646="","Missing certificate ref. ","") &amp; IF($C646="","Missing effective date. ","") &amp; IF($D646="","Missing binding status. ","") &amp; IF($E646="","Missing movement type. ","") &amp; IF($I646="","Missing make. ","") &amp; IF($L646="","Missing vehicle class. ","") &amp; IF($M646="","Missing agreed value. ","") &amp; IF($N646="","Missing policy type. ","") &amp; IF($Q646="","Missing garaging state. ","") &amp; IF($R646="","Missing garaging ZIP. ","") &amp; IF($S646="","Missing cat zone. ","") &amp; IF($V646="","Missing valuation basis. ","") &amp; IF($W646="","Missing PD deductible. ","") &amp; IF($X646="","Missing liability limit. ","") &amp; IF($AB646="","Missing technical premium. ","") &amp; IF($AF646="","Missing surplus lines tax %. ",""))))</f>
      </c>
      <c r="AY646" s="44">
        <f>IF($M646="","",IF(ISNUMBER($M646),IF($M646&gt;=Header!$C$18,"YES — refer","No"),""))</f>
      </c>
      <c r="AZ646" s="44">
        <f>IF($AD646="","",IF(ISNUMBER($AD646),IF($AD646&lt;Header!$C$20,"BELOW MIN PREMIUM","OK"),""))</f>
      </c>
      <c r="BA646" s="48" t="inlineStr">
        <is>
          <t xml:space="preserve">Yes</t>
        </is>
      </c>
      <c r="BB646" s="48" t="inlineStr">
        <is>
          <t xml:space="preserve">Yes</t>
        </is>
      </c>
      <c r="BC646" s="46" t="inlineStr">
        <is>
          <t xml:space="preserve">Synthetic demo data</t>
        </is>
      </c>
      <c r="BE646" s="45">
        <f>IF(OR($A646="",$L646="",$H646=""),"",IF(AND(LEFT($L646,2)="06",$H646&gt;1945),"FAIL - pre-war class, year "&amp;$H646,IF(AND(LEFT($L646,2)="07",OR($H646&lt;1946,$H646&gt;1972)),"FAIL - 1946-72 class, year "&amp;$H646,IF(AND(LEFT($L646,2)="08",OR($H646&lt;1973,$H646&gt;1999)),"FAIL - 1973-99 class, year "&amp;$H646,IF(AND(LEFT($L646,2)="09",OR($H646&lt;2000,$H646&gt;2010)),"FAIL - 2000-10 class, year "&amp;$H646,"OK")))))</f>
      </c>
      <c r="BF646" s="45">
        <f>IF($AD646="","",IF(ROUND($AO646+$AP646+$AQ646-$AD646,2)=0,"OK","FAIL - out by "&amp;TEXT($AO646+$AP646+$AQ646-$AD646,"$0.00")))</f>
      </c>
    </row>
    <row r="647" spans="1:58" ht="18.75" customHeight="1" x14ac:dyDescent="0.25">
      <c r="A647" s="30" t="inlineStr">
        <is>
          <t xml:space="preserve">CANON-202607-010412</t>
        </is>
      </c>
      <c r="B647" s="30" t="inlineStr">
        <is>
          <t xml:space="preserve">Callum Chattopadhyay</t>
        </is>
      </c>
      <c r="C647" s="31">
        <v>46215</v>
      </c>
      <c r="D647" s="32" t="inlineStr">
        <is>
          <t xml:space="preserve">Bound - within authority</t>
        </is>
      </c>
      <c r="E647" s="32" t="inlineStr">
        <is>
          <t xml:space="preserve">New business</t>
        </is>
      </c>
      <c r="F647" s="30" t="inlineStr">
        <is>
          <t xml:space="preserve">B1234EXOTIC26</t>
        </is>
      </c>
      <c r="G647" s="33">
        <f>IF($A647="","",IF($C647="","",YEAR($C647)))</f>
      </c>
      <c r="H647" s="34">
        <v>2021</v>
      </c>
      <c r="I647" s="30" t="inlineStr">
        <is>
          <t xml:space="preserve">Ferrari</t>
        </is>
      </c>
      <c r="J647" s="30" t="inlineStr">
        <is>
          <t xml:space="preserve">SF90 Stradale</t>
        </is>
      </c>
      <c r="K647" s="30" t="inlineStr">
        <is>
          <t xml:space="preserve">WTDEBN0LTNSEKJGFN</t>
        </is>
      </c>
      <c r="L647" s="32" t="inlineStr">
        <is>
          <t xml:space="preserve">03 - Supercar</t>
        </is>
      </c>
      <c r="M647" s="35">
        <v>790000</v>
      </c>
      <c r="N647" s="32" t="inlineStr">
        <is>
          <t xml:space="preserve">Personal</t>
        </is>
      </c>
      <c r="O647" s="30" t="inlineStr">
        <is>
          <t xml:space="preserve">Personal - regular use</t>
        </is>
      </c>
      <c r="P647" s="30" t="inlineStr">
        <is>
          <t xml:space="preserve">1,000 - 2,500</t>
        </is>
      </c>
      <c r="Q647" s="30" t="inlineStr">
        <is>
          <t xml:space="preserve">Tennessee</t>
        </is>
      </c>
      <c r="R647" s="30" t="inlineStr">
        <is>
          <t xml:space="preserve">37203</t>
        </is>
      </c>
      <c r="S647" s="32" t="inlineStr">
        <is>
          <t xml:space="preserve">Severe convective - hail / tornado (moderate)</t>
        </is>
      </c>
      <c r="T647" s="36">
        <f>IF($A647="","",IF($S647="","",IFERROR(INDEX('[1]natural catastrophe'!$D$6:$D$17,MATCH($S647,'[1]natural catastrophe'!$B$6:$B$17,0)),"?")))</f>
      </c>
      <c r="U647" s="30" t="inlineStr">
        <is>
          <t xml:space="preserve">$5,000</t>
        </is>
      </c>
      <c r="V647" s="32" t="inlineStr">
        <is>
          <t xml:space="preserve">Agreed Value</t>
        </is>
      </c>
      <c r="W647" s="30" t="inlineStr">
        <is>
          <t xml:space="preserve">$1,000</t>
        </is>
      </c>
      <c r="X647" s="32" t="inlineStr">
        <is>
          <t xml:space="preserve">$1,000,000 CSL</t>
        </is>
      </c>
      <c r="Y647" s="30"/>
      <c r="Z647" s="30"/>
      <c r="AA647" s="32" t="inlineStr">
        <is>
          <t xml:space="preserve">Surplus Lines</t>
        </is>
      </c>
      <c r="AB647" s="35">
        <v>10560.53</v>
      </c>
      <c r="AC647" s="37">
        <v>0</v>
      </c>
      <c r="AD647" s="38">
        <f>IF(ISNUMBER($AB647),$AB647*(1+N($AC647)),"")</f>
      </c>
      <c r="AE647" s="35">
        <v>350</v>
      </c>
      <c r="AF647" s="35">
        <v>0</v>
      </c>
      <c r="AG647" s="37"/>
      <c r="AH647" s="39">
        <f>IF(ISNUMBER($AD647),($AD647+$AE647+$AF647)*$AG647,"")</f>
      </c>
      <c r="AI647" s="35"/>
      <c r="AJ647" s="38">
        <f>IF(ISNUMBER($AD647),SUM($AD647:$AH647),"")</f>
      </c>
      <c r="AK647" s="40">
        <f>IF(AND(ISNUMBER($AB647),ISNUMBER($AD647)),IF($AB647&gt;0,$AD647/$AB647,""),"")</f>
      </c>
      <c r="AL647" s="32" t="inlineStr">
        <is>
          <t xml:space="preserve">At technical</t>
        </is>
      </c>
      <c r="AM647" s="41">
        <f>IF(ISNUMBER($AD647),Header!$I$3,"")</f>
      </c>
      <c r="AN647" s="39">
        <f>IF(ISNUMBER($AD647),$AO647+$AP647,"")</f>
      </c>
      <c r="AO647" s="39">
        <f>IF(ISNUMBER($AD647),ROUND($AD647*Header!$K$3,2),"")</f>
      </c>
      <c r="AP647" s="39">
        <f>IF(ISNUMBER($AD647),ROUND($AD647*Header!$M$3,2),"")</f>
      </c>
      <c r="AQ647" s="38">
        <f>IF(ISNUMBER($AD647),ROUND($AD647,2)-$AO647-$AP647,"")</f>
      </c>
      <c r="AR647" s="39">
        <f>IF(ISNUMBER($AD647),IF(Header!$D$34="","?",$AD647*Header!$D$34),"")</f>
      </c>
      <c r="AS647" s="39">
        <f>IF(ISNUMBER($AB647),IF(Header!$D$34="","?",$AB647*Header!$D$34),"")</f>
      </c>
      <c r="AT647" s="42">
        <f>IF(AND(ISNUMBER($AB647),$M647&gt;0),$AB647/$M647*100,"")</f>
      </c>
      <c r="AU647" s="42">
        <f>IF(AND(ISNUMBER($AD647),$M647&gt;0),$AD647/$M647*100,"")</f>
      </c>
      <c r="AV647" s="40">
        <f>IF(AND(ISNUMBER($AB647),ISNUMBER($AD647),ABS($AB647)&gt;0),$AD647/$AB647,"")</f>
      </c>
      <c r="AW647" s="39">
        <f>IF(ISNUMBER($AD647),MAX(0,(1-0.55-Header!$O$3)*Header!$Q$3*$AQ647),"")</f>
      </c>
      <c r="AX647" s="43">
        <f>IF($A647="","",IF(TRIM(IF($A647="","Missing certificate ref. ","") &amp; IF($C647="","Missing effective date. ","") &amp; IF($D647="","Missing binding status. ","") &amp; IF($E647="","Missing movement type. ","") &amp; IF($I647="","Missing make. ","") &amp; IF($L647="","Missing vehicle class. ","") &amp; IF($M647="","Missing agreed value. ","") &amp; IF($N647="","Missing policy type. ","") &amp; IF($Q647="","Missing garaging state. ","") &amp; IF($R647="","Missing garaging ZIP. ","") &amp; IF($S647="","Missing cat zone. ","") &amp; IF($V647="","Missing valuation basis. ","") &amp; IF($W647="","Missing PD deductible. ","") &amp; IF($X647="","Missing liability limit. ","") &amp; IF($AB647="","Missing technical premium. ","") &amp; IF($AF647="","Missing surplus lines tax %. ",""))="","PASS","FAIL: "&amp;TRIM(IF($A647="","Missing certificate ref. ","") &amp; IF($C647="","Missing effective date. ","") &amp; IF($D647="","Missing binding status. ","") &amp; IF($E647="","Missing movement type. ","") &amp; IF($I647="","Missing make. ","") &amp; IF($L647="","Missing vehicle class. ","") &amp; IF($M647="","Missing agreed value. ","") &amp; IF($N647="","Missing policy type. ","") &amp; IF($Q647="","Missing garaging state. ","") &amp; IF($R647="","Missing garaging ZIP. ","") &amp; IF($S647="","Missing cat zone. ","") &amp; IF($V647="","Missing valuation basis. ","") &amp; IF($W647="","Missing PD deductible. ","") &amp; IF($X647="","Missing liability limit. ","") &amp; IF($AB647="","Missing technical premium. ","") &amp; IF($AF647="","Missing surplus lines tax %. ",""))))</f>
      </c>
      <c r="AY647" s="44">
        <f>IF($M647="","",IF(ISNUMBER($M647),IF($M647&gt;=Header!$C$18,"YES — refer","No"),""))</f>
      </c>
      <c r="AZ647" s="44">
        <f>IF($AD647="","",IF(ISNUMBER($AD647),IF($AD647&lt;Header!$C$20,"BELOW MIN PREMIUM","OK"),""))</f>
      </c>
      <c r="BA647" s="32" t="inlineStr">
        <is>
          <t xml:space="preserve">Yes</t>
        </is>
      </c>
      <c r="BB647" s="32" t="inlineStr">
        <is>
          <t xml:space="preserve">Yes</t>
        </is>
      </c>
      <c r="BC647" s="30" t="inlineStr">
        <is>
          <t xml:space="preserve">Synthetic demo data</t>
        </is>
      </c>
      <c r="BE647" s="45">
        <f>IF(OR($A647="",$L647="",$H647=""),"",IF(AND(LEFT($L647,2)="06",$H647&gt;1945),"FAIL - pre-war class, year "&amp;$H647,IF(AND(LEFT($L647,2)="07",OR($H647&lt;1946,$H647&gt;1972)),"FAIL - 1946-72 class, year "&amp;$H647,IF(AND(LEFT($L647,2)="08",OR($H647&lt;1973,$H647&gt;1999)),"FAIL - 1973-99 class, year "&amp;$H647,IF(AND(LEFT($L647,2)="09",OR($H647&lt;2000,$H647&gt;2010)),"FAIL - 2000-10 class, year "&amp;$H647,"OK")))))</f>
      </c>
      <c r="BF647" s="45">
        <f>IF($AD647="","",IF(ROUND($AO647+$AP647+$AQ647-$AD647,2)=0,"OK","FAIL - out by "&amp;TEXT($AO647+$AP647+$AQ647-$AD647,"$0.00")))</f>
      </c>
    </row>
    <row r="648" spans="1:58" ht="18.75" customHeight="1" x14ac:dyDescent="0.25">
      <c r="A648" s="46" t="inlineStr">
        <is>
          <t xml:space="preserve">CANON-202607-010413</t>
        </is>
      </c>
      <c r="B648" s="46" t="inlineStr">
        <is>
          <t xml:space="preserve">Fenwick Whitlock</t>
        </is>
      </c>
      <c r="C648" s="47">
        <v>46209</v>
      </c>
      <c r="D648" s="48" t="inlineStr">
        <is>
          <t xml:space="preserve">Bound - within authority</t>
        </is>
      </c>
      <c r="E648" s="48" t="inlineStr">
        <is>
          <t xml:space="preserve">New business</t>
        </is>
      </c>
      <c r="F648" s="46" t="inlineStr">
        <is>
          <t xml:space="preserve">B1234EXOTIC26</t>
        </is>
      </c>
      <c r="G648" s="33">
        <f>IF($A648="","",IF($C648="","",YEAR($C648)))</f>
      </c>
      <c r="H648" s="49">
        <v>1957</v>
      </c>
      <c r="I648" s="46" t="inlineStr">
        <is>
          <t xml:space="preserve">Ferrari</t>
        </is>
      </c>
      <c r="J648" s="46" t="inlineStr">
        <is>
          <t xml:space="preserve">SF90 Stradale</t>
        </is>
      </c>
      <c r="K648" s="46" t="inlineStr">
        <is>
          <t xml:space="preserve">L9001ZX8VZKAY66VR</t>
        </is>
      </c>
      <c r="L648" s="48" t="inlineStr">
        <is>
          <t xml:space="preserve">03 - Supercar</t>
        </is>
      </c>
      <c r="M648" s="50">
        <v>755000</v>
      </c>
      <c r="N648" s="48" t="inlineStr">
        <is>
          <t xml:space="preserve">Personal</t>
        </is>
      </c>
      <c r="O648" s="46" t="inlineStr">
        <is>
          <t xml:space="preserve">Personal - regular use</t>
        </is>
      </c>
      <c r="P648" s="46" t="inlineStr">
        <is>
          <t xml:space="preserve">Under 1,000</t>
        </is>
      </c>
      <c r="Q648" s="46" t="inlineStr">
        <is>
          <t xml:space="preserve">Arkansas</t>
        </is>
      </c>
      <c r="R648" s="46" t="inlineStr">
        <is>
          <t xml:space="preserve">72201</t>
        </is>
      </c>
      <c r="S648" s="48" t="inlineStr">
        <is>
          <t xml:space="preserve">Severe convective - hail / tornado (moderate)</t>
        </is>
      </c>
      <c r="T648" s="36">
        <f>IF($A648="","",IF($S648="","",IFERROR(INDEX('[1]natural catastrophe'!$D$6:$D$17,MATCH($S648,'[1]natural catastrophe'!$B$6:$B$17,0)),"?")))</f>
      </c>
      <c r="U648" s="46" t="inlineStr">
        <is>
          <t xml:space="preserve">$5,000</t>
        </is>
      </c>
      <c r="V648" s="48" t="inlineStr">
        <is>
          <t xml:space="preserve">Agreed Value</t>
        </is>
      </c>
      <c r="W648" s="46" t="inlineStr">
        <is>
          <t xml:space="preserve">$1,000</t>
        </is>
      </c>
      <c r="X648" s="48" t="inlineStr">
        <is>
          <t xml:space="preserve">$1,000,000 CSL</t>
        </is>
      </c>
      <c r="Y648" s="46"/>
      <c r="Z648" s="46"/>
      <c r="AA648" s="48" t="inlineStr">
        <is>
          <t xml:space="preserve">Surplus Lines</t>
        </is>
      </c>
      <c r="AB648" s="50">
        <v>14212.11</v>
      </c>
      <c r="AC648" s="51">
        <v>0</v>
      </c>
      <c r="AD648" s="38">
        <f>IF(ISNUMBER($AB648),$AB648*(1+N($AC648)),"")</f>
      </c>
      <c r="AE648" s="50">
        <v>350</v>
      </c>
      <c r="AF648" s="50">
        <v>0</v>
      </c>
      <c r="AG648" s="51"/>
      <c r="AH648" s="39">
        <f>IF(ISNUMBER($AD648),($AD648+$AE648+$AF648)*$AG648,"")</f>
      </c>
      <c r="AI648" s="50"/>
      <c r="AJ648" s="38">
        <f>IF(ISNUMBER($AD648),SUM($AD648:$AH648),"")</f>
      </c>
      <c r="AK648" s="40">
        <f>IF(AND(ISNUMBER($AB648),ISNUMBER($AD648)),IF($AB648&gt;0,$AD648/$AB648,""),"")</f>
      </c>
      <c r="AL648" s="48" t="inlineStr">
        <is>
          <t xml:space="preserve">At technical</t>
        </is>
      </c>
      <c r="AM648" s="41">
        <f>IF(ISNUMBER($AD648),Header!$I$3,"")</f>
      </c>
      <c r="AN648" s="39">
        <f>IF(ISNUMBER($AD648),$AO648+$AP648,"")</f>
      </c>
      <c r="AO648" s="39">
        <f>IF(ISNUMBER($AD648),ROUND($AD648*Header!$K$3,2),"")</f>
      </c>
      <c r="AP648" s="39">
        <f>IF(ISNUMBER($AD648),ROUND($AD648*Header!$M$3,2),"")</f>
      </c>
      <c r="AQ648" s="38">
        <f>IF(ISNUMBER($AD648),ROUND($AD648,2)-$AO648-$AP648,"")</f>
      </c>
      <c r="AR648" s="39">
        <f>IF(ISNUMBER($AD648),IF(Header!$D$34="","?",$AD648*Header!$D$34),"")</f>
      </c>
      <c r="AS648" s="39">
        <f>IF(ISNUMBER($AB648),IF(Header!$D$34="","?",$AB648*Header!$D$34),"")</f>
      </c>
      <c r="AT648" s="42">
        <f>IF(AND(ISNUMBER($AB648),$M648&gt;0),$AB648/$M648*100,"")</f>
      </c>
      <c r="AU648" s="42">
        <f>IF(AND(ISNUMBER($AD648),$M648&gt;0),$AD648/$M648*100,"")</f>
      </c>
      <c r="AV648" s="40">
        <f>IF(AND(ISNUMBER($AB648),ISNUMBER($AD648),ABS($AB648)&gt;0),$AD648/$AB648,"")</f>
      </c>
      <c r="AW648" s="39">
        <f>IF(ISNUMBER($AD648),MAX(0,(1-0.55-Header!$O$3)*Header!$Q$3*$AQ648),"")</f>
      </c>
      <c r="AX648" s="43">
        <f>IF($A648="","",IF(TRIM(IF($A648="","Missing certificate ref. ","") &amp; IF($C648="","Missing effective date. ","") &amp; IF($D648="","Missing binding status. ","") &amp; IF($E648="","Missing movement type. ","") &amp; IF($I648="","Missing make. ","") &amp; IF($L648="","Missing vehicle class. ","") &amp; IF($M648="","Missing agreed value. ","") &amp; IF($N648="","Missing policy type. ","") &amp; IF($Q648="","Missing garaging state. ","") &amp; IF($R648="","Missing garaging ZIP. ","") &amp; IF($S648="","Missing cat zone. ","") &amp; IF($V648="","Missing valuation basis. ","") &amp; IF($W648="","Missing PD deductible. ","") &amp; IF($X648="","Missing liability limit. ","") &amp; IF($AB648="","Missing technical premium. ","") &amp; IF($AF648="","Missing surplus lines tax %. ",""))="","PASS","FAIL: "&amp;TRIM(IF($A648="","Missing certificate ref. ","") &amp; IF($C648="","Missing effective date. ","") &amp; IF($D648="","Missing binding status. ","") &amp; IF($E648="","Missing movement type. ","") &amp; IF($I648="","Missing make. ","") &amp; IF($L648="","Missing vehicle class. ","") &amp; IF($M648="","Missing agreed value. ","") &amp; IF($N648="","Missing policy type. ","") &amp; IF($Q648="","Missing garaging state. ","") &amp; IF($R648="","Missing garaging ZIP. ","") &amp; IF($S648="","Missing cat zone. ","") &amp; IF($V648="","Missing valuation basis. ","") &amp; IF($W648="","Missing PD deductible. ","") &amp; IF($X648="","Missing liability limit. ","") &amp; IF($AB648="","Missing technical premium. ","") &amp; IF($AF648="","Missing surplus lines tax %. ",""))))</f>
      </c>
      <c r="AY648" s="44">
        <f>IF($M648="","",IF(ISNUMBER($M648),IF($M648&gt;=Header!$C$18,"YES — refer","No"),""))</f>
      </c>
      <c r="AZ648" s="44">
        <f>IF($AD648="","",IF(ISNUMBER($AD648),IF($AD648&lt;Header!$C$20,"BELOW MIN PREMIUM","OK"),""))</f>
      </c>
      <c r="BA648" s="48" t="inlineStr">
        <is>
          <t xml:space="preserve">Yes</t>
        </is>
      </c>
      <c r="BB648" s="48" t="inlineStr">
        <is>
          <t xml:space="preserve">Yes</t>
        </is>
      </c>
      <c r="BC648" s="46" t="inlineStr">
        <is>
          <t xml:space="preserve">Synthetic demo data</t>
        </is>
      </c>
      <c r="BE648" s="45">
        <f>IF(OR($A648="",$L648="",$H648=""),"",IF(AND(LEFT($L648,2)="06",$H648&gt;1945),"FAIL - pre-war class, year "&amp;$H648,IF(AND(LEFT($L648,2)="07",OR($H648&lt;1946,$H648&gt;1972)),"FAIL - 1946-72 class, year "&amp;$H648,IF(AND(LEFT($L648,2)="08",OR($H648&lt;1973,$H648&gt;1999)),"FAIL - 1973-99 class, year "&amp;$H648,IF(AND(LEFT($L648,2)="09",OR($H648&lt;2000,$H648&gt;2010)),"FAIL - 2000-10 class, year "&amp;$H648,"OK")))))</f>
      </c>
      <c r="BF648" s="45">
        <f>IF($AD648="","",IF(ROUND($AO648+$AP648+$AQ648-$AD648,2)=0,"OK","FAIL - out by "&amp;TEXT($AO648+$AP648+$AQ648-$AD648,"$0.00")))</f>
      </c>
    </row>
    <row r="649" spans="1:58" ht="18.75" customHeight="1" x14ac:dyDescent="0.25">
      <c r="A649" s="30" t="inlineStr">
        <is>
          <t xml:space="preserve">CANON-202607-010414</t>
        </is>
      </c>
      <c r="B649" s="30" t="inlineStr">
        <is>
          <t xml:space="preserve">Sunniva Castellanos</t>
        </is>
      </c>
      <c r="C649" s="31">
        <v>46222</v>
      </c>
      <c r="D649" s="32" t="inlineStr">
        <is>
          <t xml:space="preserve">Bound - within authority</t>
        </is>
      </c>
      <c r="E649" s="32" t="inlineStr">
        <is>
          <t xml:space="preserve">New business</t>
        </is>
      </c>
      <c r="F649" s="30" t="inlineStr">
        <is>
          <t xml:space="preserve">B1234EXOTIC26</t>
        </is>
      </c>
      <c r="G649" s="33">
        <f>IF($A649="","",IF($C649="","",YEAR($C649)))</f>
      </c>
      <c r="H649" s="34">
        <v>1996</v>
      </c>
      <c r="I649" s="30" t="inlineStr">
        <is>
          <t xml:space="preserve">Mercedes-Benz</t>
        </is>
      </c>
      <c r="J649" s="30" t="inlineStr">
        <is>
          <t xml:space="preserve">AMG GT</t>
        </is>
      </c>
      <c r="K649" s="30" t="inlineStr">
        <is>
          <t xml:space="preserve">P1XCLB4AXA6HY205K</t>
        </is>
      </c>
      <c r="L649" s="32" t="inlineStr">
        <is>
          <t xml:space="preserve">02 - Sports / GT</t>
        </is>
      </c>
      <c r="M649" s="35">
        <v>425000</v>
      </c>
      <c r="N649" s="32" t="inlineStr">
        <is>
          <t xml:space="preserve">Personal</t>
        </is>
      </c>
      <c r="O649" s="30" t="inlineStr">
        <is>
          <t xml:space="preserve">Personal - regular use</t>
        </is>
      </c>
      <c r="P649" s="30" t="inlineStr">
        <is>
          <t xml:space="preserve">1,000 - 2,500</t>
        </is>
      </c>
      <c r="Q649" s="30" t="inlineStr">
        <is>
          <t xml:space="preserve">New York</t>
        </is>
      </c>
      <c r="R649" s="30" t="inlineStr">
        <is>
          <t xml:space="preserve">10022</t>
        </is>
      </c>
      <c r="S649" s="32" t="inlineStr">
        <is>
          <t xml:space="preserve">Tier 3 - Coastal wind (25-100 miles)</t>
        </is>
      </c>
      <c r="T649" s="36">
        <f>IF($A649="","",IF($S649="","",IFERROR(INDEX('[1]natural catastrophe'!$D$6:$D$17,MATCH($S649,'[1]natural catastrophe'!$B$6:$B$17,0)),"?")))</f>
      </c>
      <c r="U649" s="30" t="inlineStr">
        <is>
          <t xml:space="preserve">2% of agreed value, minimum $10,000</t>
        </is>
      </c>
      <c r="V649" s="32" t="inlineStr">
        <is>
          <t xml:space="preserve">Agreed Value</t>
        </is>
      </c>
      <c r="W649" s="30" t="inlineStr">
        <is>
          <t xml:space="preserve">$1,000</t>
        </is>
      </c>
      <c r="X649" s="32" t="inlineStr">
        <is>
          <t xml:space="preserve">$1,000,000 CSL</t>
        </is>
      </c>
      <c r="Y649" s="30"/>
      <c r="Z649" s="30"/>
      <c r="AA649" s="32" t="inlineStr">
        <is>
          <t xml:space="preserve">Surplus Lines</t>
        </is>
      </c>
      <c r="AB649" s="35">
        <v>5858.26</v>
      </c>
      <c r="AC649" s="37">
        <v>0</v>
      </c>
      <c r="AD649" s="38">
        <f>IF(ISNUMBER($AB649),$AB649*(1+N($AC649)),"")</f>
      </c>
      <c r="AE649" s="35">
        <v>350</v>
      </c>
      <c r="AF649" s="35">
        <v>0</v>
      </c>
      <c r="AG649" s="37"/>
      <c r="AH649" s="39">
        <f>IF(ISNUMBER($AD649),($AD649+$AE649+$AF649)*$AG649,"")</f>
      </c>
      <c r="AI649" s="35"/>
      <c r="AJ649" s="38">
        <f>IF(ISNUMBER($AD649),SUM($AD649:$AH649),"")</f>
      </c>
      <c r="AK649" s="40">
        <f>IF(AND(ISNUMBER($AB649),ISNUMBER($AD649)),IF($AB649&gt;0,$AD649/$AB649,""),"")</f>
      </c>
      <c r="AL649" s="32" t="inlineStr">
        <is>
          <t xml:space="preserve">At technical</t>
        </is>
      </c>
      <c r="AM649" s="41">
        <f>IF(ISNUMBER($AD649),Header!$I$3,"")</f>
      </c>
      <c r="AN649" s="39">
        <f>IF(ISNUMBER($AD649),$AO649+$AP649,"")</f>
      </c>
      <c r="AO649" s="39">
        <f>IF(ISNUMBER($AD649),ROUND($AD649*Header!$K$3,2),"")</f>
      </c>
      <c r="AP649" s="39">
        <f>IF(ISNUMBER($AD649),ROUND($AD649*Header!$M$3,2),"")</f>
      </c>
      <c r="AQ649" s="38">
        <f>IF(ISNUMBER($AD649),ROUND($AD649,2)-$AO649-$AP649,"")</f>
      </c>
      <c r="AR649" s="39">
        <f>IF(ISNUMBER($AD649),IF(Header!$D$34="","?",$AD649*Header!$D$34),"")</f>
      </c>
      <c r="AS649" s="39">
        <f>IF(ISNUMBER($AB649),IF(Header!$D$34="","?",$AB649*Header!$D$34),"")</f>
      </c>
      <c r="AT649" s="42">
        <f>IF(AND(ISNUMBER($AB649),$M649&gt;0),$AB649/$M649*100,"")</f>
      </c>
      <c r="AU649" s="42">
        <f>IF(AND(ISNUMBER($AD649),$M649&gt;0),$AD649/$M649*100,"")</f>
      </c>
      <c r="AV649" s="40">
        <f>IF(AND(ISNUMBER($AB649),ISNUMBER($AD649),ABS($AB649)&gt;0),$AD649/$AB649,"")</f>
      </c>
      <c r="AW649" s="39">
        <f>IF(ISNUMBER($AD649),MAX(0,(1-0.55-Header!$O$3)*Header!$Q$3*$AQ649),"")</f>
      </c>
      <c r="AX649" s="43">
        <f>IF($A649="","",IF(TRIM(IF($A649="","Missing certificate ref. ","") &amp; IF($C649="","Missing effective date. ","") &amp; IF($D649="","Missing binding status. ","") &amp; IF($E649="","Missing movement type. ","") &amp; IF($I649="","Missing make. ","") &amp; IF($L649="","Missing vehicle class. ","") &amp; IF($M649="","Missing agreed value. ","") &amp; IF($N649="","Missing policy type. ","") &amp; IF($Q649="","Missing garaging state. ","") &amp; IF($R649="","Missing garaging ZIP. ","") &amp; IF($S649="","Missing cat zone. ","") &amp; IF($V649="","Missing valuation basis. ","") &amp; IF($W649="","Missing PD deductible. ","") &amp; IF($X649="","Missing liability limit. ","") &amp; IF($AB649="","Missing technical premium. ","") &amp; IF($AF649="","Missing surplus lines tax %. ",""))="","PASS","FAIL: "&amp;TRIM(IF($A649="","Missing certificate ref. ","") &amp; IF($C649="","Missing effective date. ","") &amp; IF($D649="","Missing binding status. ","") &amp; IF($E649="","Missing movement type. ","") &amp; IF($I649="","Missing make. ","") &amp; IF($L649="","Missing vehicle class. ","") &amp; IF($M649="","Missing agreed value. ","") &amp; IF($N649="","Missing policy type. ","") &amp; IF($Q649="","Missing garaging state. ","") &amp; IF($R649="","Missing garaging ZIP. ","") &amp; IF($S649="","Missing cat zone. ","") &amp; IF($V649="","Missing valuation basis. ","") &amp; IF($W649="","Missing PD deductible. ","") &amp; IF($X649="","Missing liability limit. ","") &amp; IF($AB649="","Missing technical premium. ","") &amp; IF($AF649="","Missing surplus lines tax %. ",""))))</f>
      </c>
      <c r="AY649" s="44">
        <f>IF($M649="","",IF(ISNUMBER($M649),IF($M649&gt;=Header!$C$18,"YES — refer","No"),""))</f>
      </c>
      <c r="AZ649" s="44">
        <f>IF($AD649="","",IF(ISNUMBER($AD649),IF($AD649&lt;Header!$C$20,"BELOW MIN PREMIUM","OK"),""))</f>
      </c>
      <c r="BA649" s="32" t="inlineStr">
        <is>
          <t xml:space="preserve">Yes</t>
        </is>
      </c>
      <c r="BB649" s="32" t="inlineStr">
        <is>
          <t xml:space="preserve">Yes</t>
        </is>
      </c>
      <c r="BC649" s="30" t="inlineStr">
        <is>
          <t xml:space="preserve">Synthetic demo data</t>
        </is>
      </c>
      <c r="BE649" s="45">
        <f>IF(OR($A649="",$L649="",$H649=""),"",IF(AND(LEFT($L649,2)="06",$H649&gt;1945),"FAIL - pre-war class, year "&amp;$H649,IF(AND(LEFT($L649,2)="07",OR($H649&lt;1946,$H649&gt;1972)),"FAIL - 1946-72 class, year "&amp;$H649,IF(AND(LEFT($L649,2)="08",OR($H649&lt;1973,$H649&gt;1999)),"FAIL - 1973-99 class, year "&amp;$H649,IF(AND(LEFT($L649,2)="09",OR($H649&lt;2000,$H649&gt;2010)),"FAIL - 2000-10 class, year "&amp;$H649,"OK")))))</f>
      </c>
      <c r="BF649" s="45">
        <f>IF($AD649="","",IF(ROUND($AO649+$AP649+$AQ649-$AD649,2)=0,"OK","FAIL - out by "&amp;TEXT($AO649+$AP649+$AQ649-$AD649,"$0.00")))</f>
      </c>
    </row>
    <row r="650" spans="1:58" ht="18.75" customHeight="1" x14ac:dyDescent="0.25">
      <c r="A650" s="46" t="inlineStr">
        <is>
          <t xml:space="preserve">CANON-202607-010415</t>
        </is>
      </c>
      <c r="B650" s="46" t="inlineStr">
        <is>
          <t xml:space="preserve">Beatrix Bellandi</t>
        </is>
      </c>
      <c r="C650" s="47">
        <v>46224</v>
      </c>
      <c r="D650" s="48" t="inlineStr">
        <is>
          <t xml:space="preserve">Bound - within authority</t>
        </is>
      </c>
      <c r="E650" s="48" t="inlineStr">
        <is>
          <t xml:space="preserve">New business</t>
        </is>
      </c>
      <c r="F650" s="46" t="inlineStr">
        <is>
          <t xml:space="preserve">B1234EXOTIC26</t>
        </is>
      </c>
      <c r="G650" s="33">
        <f>IF($A650="","",IF($C650="","",YEAR($C650)))</f>
      </c>
      <c r="H650" s="49">
        <v>2008</v>
      </c>
      <c r="I650" s="46" t="inlineStr">
        <is>
          <t xml:space="preserve">BMW</t>
        </is>
      </c>
      <c r="J650" s="46" t="inlineStr">
        <is>
          <t xml:space="preserve">M8 Competition</t>
        </is>
      </c>
      <c r="K650" s="46" t="inlineStr">
        <is>
          <t xml:space="preserve">CDWGXDGP4XBVT5URX</t>
        </is>
      </c>
      <c r="L650" s="48" t="inlineStr">
        <is>
          <t xml:space="preserve">02 - Sports / GT</t>
        </is>
      </c>
      <c r="M650" s="50">
        <v>235000</v>
      </c>
      <c r="N650" s="48" t="inlineStr">
        <is>
          <t xml:space="preserve">Personal</t>
        </is>
      </c>
      <c r="O650" s="46" t="inlineStr">
        <is>
          <t xml:space="preserve">Personal - regular use</t>
        </is>
      </c>
      <c r="P650" s="46" t="inlineStr">
        <is>
          <t xml:space="preserve">1,000 - 2,500</t>
        </is>
      </c>
      <c r="Q650" s="46" t="inlineStr">
        <is>
          <t xml:space="preserve">Pennsylvania</t>
        </is>
      </c>
      <c r="R650" s="46" t="inlineStr">
        <is>
          <t xml:space="preserve">19103</t>
        </is>
      </c>
      <c r="S650" s="48" t="inlineStr">
        <is>
          <t xml:space="preserve">Low hazard - inland benign</t>
        </is>
      </c>
      <c r="T650" s="36">
        <f>IF($A650="","",IF($S650="","",IFERROR(INDEX('[1]natural catastrophe'!$D$6:$D$17,MATCH($S650,'[1]natural catastrophe'!$B$6:$B$17,0)),"?")))</f>
      </c>
      <c r="U650" s="46" t="inlineStr">
        <is>
          <t xml:space="preserve">$5,000</t>
        </is>
      </c>
      <c r="V650" s="48" t="inlineStr">
        <is>
          <t xml:space="preserve">Agreed Value</t>
        </is>
      </c>
      <c r="W650" s="46" t="inlineStr">
        <is>
          <t xml:space="preserve">$1,000</t>
        </is>
      </c>
      <c r="X650" s="48" t="inlineStr">
        <is>
          <t xml:space="preserve">$1,000,000 CSL</t>
        </is>
      </c>
      <c r="Y650" s="46"/>
      <c r="Z650" s="46"/>
      <c r="AA650" s="48" t="inlineStr">
        <is>
          <t xml:space="preserve">Surplus Lines</t>
        </is>
      </c>
      <c r="AB650" s="50">
        <v>3104.31</v>
      </c>
      <c r="AC650" s="51">
        <v>0</v>
      </c>
      <c r="AD650" s="38">
        <f>IF(ISNUMBER($AB650),$AB650*(1+N($AC650)),"")</f>
      </c>
      <c r="AE650" s="50">
        <v>350</v>
      </c>
      <c r="AF650" s="50">
        <v>0</v>
      </c>
      <c r="AG650" s="51"/>
      <c r="AH650" s="39">
        <f>IF(ISNUMBER($AD650),($AD650+$AE650+$AF650)*$AG650,"")</f>
      </c>
      <c r="AI650" s="50"/>
      <c r="AJ650" s="38">
        <f>IF(ISNUMBER($AD650),SUM($AD650:$AH650),"")</f>
      </c>
      <c r="AK650" s="40">
        <f>IF(AND(ISNUMBER($AB650),ISNUMBER($AD650)),IF($AB650&gt;0,$AD650/$AB650,""),"")</f>
      </c>
      <c r="AL650" s="48" t="inlineStr">
        <is>
          <t xml:space="preserve">At technical</t>
        </is>
      </c>
      <c r="AM650" s="41">
        <f>IF(ISNUMBER($AD650),Header!$I$3,"")</f>
      </c>
      <c r="AN650" s="39">
        <f>IF(ISNUMBER($AD650),$AO650+$AP650,"")</f>
      </c>
      <c r="AO650" s="39">
        <f>IF(ISNUMBER($AD650),ROUND($AD650*Header!$K$3,2),"")</f>
      </c>
      <c r="AP650" s="39">
        <f>IF(ISNUMBER($AD650),ROUND($AD650*Header!$M$3,2),"")</f>
      </c>
      <c r="AQ650" s="38">
        <f>IF(ISNUMBER($AD650),ROUND($AD650,2)-$AO650-$AP650,"")</f>
      </c>
      <c r="AR650" s="39">
        <f>IF(ISNUMBER($AD650),IF(Header!$D$34="","?",$AD650*Header!$D$34),"")</f>
      </c>
      <c r="AS650" s="39">
        <f>IF(ISNUMBER($AB650),IF(Header!$D$34="","?",$AB650*Header!$D$34),"")</f>
      </c>
      <c r="AT650" s="42">
        <f>IF(AND(ISNUMBER($AB650),$M650&gt;0),$AB650/$M650*100,"")</f>
      </c>
      <c r="AU650" s="42">
        <f>IF(AND(ISNUMBER($AD650),$M650&gt;0),$AD650/$M650*100,"")</f>
      </c>
      <c r="AV650" s="40">
        <f>IF(AND(ISNUMBER($AB650),ISNUMBER($AD650),ABS($AB650)&gt;0),$AD650/$AB650,"")</f>
      </c>
      <c r="AW650" s="39">
        <f>IF(ISNUMBER($AD650),MAX(0,(1-0.55-Header!$O$3)*Header!$Q$3*$AQ650),"")</f>
      </c>
      <c r="AX650" s="43">
        <f>IF($A650="","",IF(TRIM(IF($A650="","Missing certificate ref. ","") &amp; IF($C650="","Missing effective date. ","") &amp; IF($D650="","Missing binding status. ","") &amp; IF($E650="","Missing movement type. ","") &amp; IF($I650="","Missing make. ","") &amp; IF($L650="","Missing vehicle class. ","") &amp; IF($M650="","Missing agreed value. ","") &amp; IF($N650="","Missing policy type. ","") &amp; IF($Q650="","Missing garaging state. ","") &amp; IF($R650="","Missing garaging ZIP. ","") &amp; IF($S650="","Missing cat zone. ","") &amp; IF($V650="","Missing valuation basis. ","") &amp; IF($W650="","Missing PD deductible. ","") &amp; IF($X650="","Missing liability limit. ","") &amp; IF($AB650="","Missing technical premium. ","") &amp; IF($AF650="","Missing surplus lines tax %. ",""))="","PASS","FAIL: "&amp;TRIM(IF($A650="","Missing certificate ref. ","") &amp; IF($C650="","Missing effective date. ","") &amp; IF($D650="","Missing binding status. ","") &amp; IF($E650="","Missing movement type. ","") &amp; IF($I650="","Missing make. ","") &amp; IF($L650="","Missing vehicle class. ","") &amp; IF($M650="","Missing agreed value. ","") &amp; IF($N650="","Missing policy type. ","") &amp; IF($Q650="","Missing garaging state. ","") &amp; IF($R650="","Missing garaging ZIP. ","") &amp; IF($S650="","Missing cat zone. ","") &amp; IF($V650="","Missing valuation basis. ","") &amp; IF($W650="","Missing PD deductible. ","") &amp; IF($X650="","Missing liability limit. ","") &amp; IF($AB650="","Missing technical premium. ","") &amp; IF($AF650="","Missing surplus lines tax %. ",""))))</f>
      </c>
      <c r="AY650" s="44">
        <f>IF($M650="","",IF(ISNUMBER($M650),IF($M650&gt;=Header!$C$18,"YES — refer","No"),""))</f>
      </c>
      <c r="AZ650" s="44">
        <f>IF($AD650="","",IF(ISNUMBER($AD650),IF($AD650&lt;Header!$C$20,"BELOW MIN PREMIUM","OK"),""))</f>
      </c>
      <c r="BA650" s="48" t="inlineStr">
        <is>
          <t xml:space="preserve">Yes</t>
        </is>
      </c>
      <c r="BB650" s="48" t="inlineStr">
        <is>
          <t xml:space="preserve">Yes</t>
        </is>
      </c>
      <c r="BC650" s="46" t="inlineStr">
        <is>
          <t xml:space="preserve">Synthetic demo data</t>
        </is>
      </c>
      <c r="BE650" s="45">
        <f>IF(OR($A650="",$L650="",$H650=""),"",IF(AND(LEFT($L650,2)="06",$H650&gt;1945),"FAIL - pre-war class, year "&amp;$H650,IF(AND(LEFT($L650,2)="07",OR($H650&lt;1946,$H650&gt;1972)),"FAIL - 1946-72 class, year "&amp;$H650,IF(AND(LEFT($L650,2)="08",OR($H650&lt;1973,$H650&gt;1999)),"FAIL - 1973-99 class, year "&amp;$H650,IF(AND(LEFT($L650,2)="09",OR($H650&lt;2000,$H650&gt;2010)),"FAIL - 2000-10 class, year "&amp;$H650,"OK")))))</f>
      </c>
      <c r="BF650" s="45">
        <f>IF($AD650="","",IF(ROUND($AO650+$AP650+$AQ650-$AD650,2)=0,"OK","FAIL - out by "&amp;TEXT($AO650+$AP650+$AQ650-$AD650,"$0.00")))</f>
      </c>
    </row>
    <row r="651" spans="1:58" ht="18.75" customHeight="1" x14ac:dyDescent="0.25">
      <c r="A651" s="30" t="inlineStr">
        <is>
          <t xml:space="preserve">CANON-202607-010418</t>
        </is>
      </c>
      <c r="B651" s="30" t="inlineStr">
        <is>
          <t xml:space="preserve">Everett Thistlewood</t>
        </is>
      </c>
      <c r="C651" s="31">
        <v>46214</v>
      </c>
      <c r="D651" s="32" t="inlineStr">
        <is>
          <t xml:space="preserve">Bound - within authority</t>
        </is>
      </c>
      <c r="E651" s="32" t="inlineStr">
        <is>
          <t xml:space="preserve">New business</t>
        </is>
      </c>
      <c r="F651" s="30" t="inlineStr">
        <is>
          <t xml:space="preserve">B1234EXOTIC26</t>
        </is>
      </c>
      <c r="G651" s="33">
        <f>IF($A651="","",IF($C651="","",YEAR($C651)))</f>
      </c>
      <c r="H651" s="34">
        <v>1955</v>
      </c>
      <c r="I651" s="30" t="inlineStr">
        <is>
          <t xml:space="preserve">Singer</t>
        </is>
      </c>
      <c r="J651" s="30" t="inlineStr">
        <is>
          <t xml:space="preserve">911 Reimagined</t>
        </is>
      </c>
      <c r="K651" s="30" t="inlineStr">
        <is>
          <t xml:space="preserve">G9AU5GVP4CM2XLVHT</t>
        </is>
      </c>
      <c r="L651" s="32" t="inlineStr">
        <is>
          <t xml:space="preserve">11 - Restomod / Coachbuilt / Bespoke</t>
        </is>
      </c>
      <c r="M651" s="35">
        <v>1950000</v>
      </c>
      <c r="N651" s="32" t="inlineStr">
        <is>
          <t xml:space="preserve">Personal</t>
        </is>
      </c>
      <c r="O651" s="30" t="inlineStr">
        <is>
          <t xml:space="preserve">Personal - regular use</t>
        </is>
      </c>
      <c r="P651" s="30" t="inlineStr">
        <is>
          <t xml:space="preserve">1,000 - 2,500</t>
        </is>
      </c>
      <c r="Q651" s="30" t="inlineStr">
        <is>
          <t xml:space="preserve">Pennsylvania</t>
        </is>
      </c>
      <c r="R651" s="30" t="inlineStr">
        <is>
          <t xml:space="preserve">19103</t>
        </is>
      </c>
      <c r="S651" s="32" t="inlineStr">
        <is>
          <t xml:space="preserve">Low hazard - inland benign</t>
        </is>
      </c>
      <c r="T651" s="36">
        <f>IF($A651="","",IF($S651="","",IFERROR(INDEX('[1]natural catastrophe'!$D$6:$D$17,MATCH($S651,'[1]natural catastrophe'!$B$6:$B$17,0)),"?")))</f>
      </c>
      <c r="U651" s="30" t="inlineStr">
        <is>
          <t xml:space="preserve">$5,000</t>
        </is>
      </c>
      <c r="V651" s="32" t="inlineStr">
        <is>
          <t xml:space="preserve">Agreed Value</t>
        </is>
      </c>
      <c r="W651" s="30" t="inlineStr">
        <is>
          <t xml:space="preserve">$1,000</t>
        </is>
      </c>
      <c r="X651" s="32" t="inlineStr">
        <is>
          <t xml:space="preserve">$1,000,000 CSL</t>
        </is>
      </c>
      <c r="Y651" s="30"/>
      <c r="Z651" s="30"/>
      <c r="AA651" s="32" t="inlineStr">
        <is>
          <t xml:space="preserve">Surplus Lines</t>
        </is>
      </c>
      <c r="AB651" s="35">
        <v>19039.36</v>
      </c>
      <c r="AC651" s="37">
        <v>0</v>
      </c>
      <c r="AD651" s="38">
        <f>IF(ISNUMBER($AB651),$AB651*(1+N($AC651)),"")</f>
      </c>
      <c r="AE651" s="35">
        <v>350</v>
      </c>
      <c r="AF651" s="35">
        <v>250</v>
      </c>
      <c r="AG651" s="37"/>
      <c r="AH651" s="39">
        <f>IF(ISNUMBER($AD651),($AD651+$AE651+$AF651)*$AG651,"")</f>
      </c>
      <c r="AI651" s="35"/>
      <c r="AJ651" s="38">
        <f>IF(ISNUMBER($AD651),SUM($AD651:$AH651),"")</f>
      </c>
      <c r="AK651" s="40">
        <f>IF(AND(ISNUMBER($AB651),ISNUMBER($AD651)),IF($AB651&gt;0,$AD651/$AB651,""),"")</f>
      </c>
      <c r="AL651" s="32" t="inlineStr">
        <is>
          <t xml:space="preserve">At technical</t>
        </is>
      </c>
      <c r="AM651" s="41">
        <f>IF(ISNUMBER($AD651),Header!$I$3,"")</f>
      </c>
      <c r="AN651" s="39">
        <f>IF(ISNUMBER($AD651),$AO651+$AP651,"")</f>
      </c>
      <c r="AO651" s="39">
        <f>IF(ISNUMBER($AD651),ROUND($AD651*Header!$K$3,2),"")</f>
      </c>
      <c r="AP651" s="39">
        <f>IF(ISNUMBER($AD651),ROUND($AD651*Header!$M$3,2),"")</f>
      </c>
      <c r="AQ651" s="38">
        <f>IF(ISNUMBER($AD651),ROUND($AD651,2)-$AO651-$AP651,"")</f>
      </c>
      <c r="AR651" s="39">
        <f>IF(ISNUMBER($AD651),IF(Header!$D$34="","?",$AD651*Header!$D$34),"")</f>
      </c>
      <c r="AS651" s="39">
        <f>IF(ISNUMBER($AB651),IF(Header!$D$34="","?",$AB651*Header!$D$34),"")</f>
      </c>
      <c r="AT651" s="42">
        <f>IF(AND(ISNUMBER($AB651),$M651&gt;0),$AB651/$M651*100,"")</f>
      </c>
      <c r="AU651" s="42">
        <f>IF(AND(ISNUMBER($AD651),$M651&gt;0),$AD651/$M651*100,"")</f>
      </c>
      <c r="AV651" s="40">
        <f>IF(AND(ISNUMBER($AB651),ISNUMBER($AD651),ABS($AB651)&gt;0),$AD651/$AB651,"")</f>
      </c>
      <c r="AW651" s="39">
        <f>IF(ISNUMBER($AD651),MAX(0,(1-0.55-Header!$O$3)*Header!$Q$3*$AQ651),"")</f>
      </c>
      <c r="AX651" s="43">
        <f>IF($A651="","",IF(TRIM(IF($A651="","Missing certificate ref. ","") &amp; IF($C651="","Missing effective date. ","") &amp; IF($D651="","Missing binding status. ","") &amp; IF($E651="","Missing movement type. ","") &amp; IF($I651="","Missing make. ","") &amp; IF($L651="","Missing vehicle class. ","") &amp; IF($M651="","Missing agreed value. ","") &amp; IF($N651="","Missing policy type. ","") &amp; IF($Q651="","Missing garaging state. ","") &amp; IF($R651="","Missing garaging ZIP. ","") &amp; IF($S651="","Missing cat zone. ","") &amp; IF($V651="","Missing valuation basis. ","") &amp; IF($W651="","Missing PD deductible. ","") &amp; IF($X651="","Missing liability limit. ","") &amp; IF($AB651="","Missing technical premium. ","") &amp; IF($AF651="","Missing surplus lines tax %. ",""))="","PASS","FAIL: "&amp;TRIM(IF($A651="","Missing certificate ref. ","") &amp; IF($C651="","Missing effective date. ","") &amp; IF($D651="","Missing binding status. ","") &amp; IF($E651="","Missing movement type. ","") &amp; IF($I651="","Missing make. ","") &amp; IF($L651="","Missing vehicle class. ","") &amp; IF($M651="","Missing agreed value. ","") &amp; IF($N651="","Missing policy type. ","") &amp; IF($Q651="","Missing garaging state. ","") &amp; IF($R651="","Missing garaging ZIP. ","") &amp; IF($S651="","Missing cat zone. ","") &amp; IF($V651="","Missing valuation basis. ","") &amp; IF($W651="","Missing PD deductible. ","") &amp; IF($X651="","Missing liability limit. ","") &amp; IF($AB651="","Missing technical premium. ","") &amp; IF($AF651="","Missing surplus lines tax %. ",""))))</f>
      </c>
      <c r="AY651" s="44">
        <f>IF($M651="","",IF(ISNUMBER($M651),IF($M651&gt;=Header!$C$18,"YES — refer","No"),""))</f>
      </c>
      <c r="AZ651" s="44">
        <f>IF($AD651="","",IF(ISNUMBER($AD651),IF($AD651&lt;Header!$C$20,"BELOW MIN PREMIUM","OK"),""))</f>
      </c>
      <c r="BA651" s="32" t="inlineStr">
        <is>
          <t xml:space="preserve">Yes</t>
        </is>
      </c>
      <c r="BB651" s="32" t="inlineStr">
        <is>
          <t xml:space="preserve">Yes</t>
        </is>
      </c>
      <c r="BC651" s="30" t="inlineStr">
        <is>
          <t xml:space="preserve">Synthetic demo data</t>
        </is>
      </c>
      <c r="BE651" s="45">
        <f>IF(OR($A651="",$L651="",$H651=""),"",IF(AND(LEFT($L651,2)="06",$H651&gt;1945),"FAIL - pre-war class, year "&amp;$H651,IF(AND(LEFT($L651,2)="07",OR($H651&lt;1946,$H651&gt;1972)),"FAIL - 1946-72 class, year "&amp;$H651,IF(AND(LEFT($L651,2)="08",OR($H651&lt;1973,$H651&gt;1999)),"FAIL - 1973-99 class, year "&amp;$H651,IF(AND(LEFT($L651,2)="09",OR($H651&lt;2000,$H651&gt;2010)),"FAIL - 2000-10 class, year "&amp;$H651,"OK")))))</f>
      </c>
      <c r="BF651" s="45">
        <f>IF($AD651="","",IF(ROUND($AO651+$AP651+$AQ651-$AD651,2)=0,"OK","FAIL - out by "&amp;TEXT($AO651+$AP651+$AQ651-$AD651,"$0.00")))</f>
      </c>
    </row>
    <row r="652" spans="1:58" ht="18.75" customHeight="1" x14ac:dyDescent="0.25">
      <c r="A652" s="46" t="inlineStr">
        <is>
          <t xml:space="preserve">CANON-202607-010419</t>
        </is>
      </c>
      <c r="B652" s="46" t="inlineStr">
        <is>
          <t xml:space="preserve">Anouk Underwood</t>
        </is>
      </c>
      <c r="C652" s="47">
        <v>46234</v>
      </c>
      <c r="D652" s="48" t="inlineStr">
        <is>
          <t xml:space="preserve">Bound - within authority</t>
        </is>
      </c>
      <c r="E652" s="48" t="inlineStr">
        <is>
          <t xml:space="preserve">New business</t>
        </is>
      </c>
      <c r="F652" s="46" t="inlineStr">
        <is>
          <t xml:space="preserve">B1234EXOTIC26</t>
        </is>
      </c>
      <c r="G652" s="33">
        <f>IF($A652="","",IF($C652="","",YEAR($C652)))</f>
      </c>
      <c r="H652" s="49">
        <v>2020</v>
      </c>
      <c r="I652" s="46" t="inlineStr">
        <is>
          <t xml:space="preserve">McLaren</t>
        </is>
      </c>
      <c r="J652" s="46" t="inlineStr">
        <is>
          <t xml:space="preserve">750S</t>
        </is>
      </c>
      <c r="K652" s="46" t="inlineStr">
        <is>
          <t xml:space="preserve">VA3XREVM4JV3SR5PV</t>
        </is>
      </c>
      <c r="L652" s="48" t="inlineStr">
        <is>
          <t xml:space="preserve">03 - Supercar</t>
        </is>
      </c>
      <c r="M652" s="50">
        <v>765000</v>
      </c>
      <c r="N652" s="48" t="inlineStr">
        <is>
          <t xml:space="preserve">Personal</t>
        </is>
      </c>
      <c r="O652" s="46" t="inlineStr">
        <is>
          <t xml:space="preserve">Personal - regular use</t>
        </is>
      </c>
      <c r="P652" s="46" t="inlineStr">
        <is>
          <t xml:space="preserve">2,500 - 5,000</t>
        </is>
      </c>
      <c r="Q652" s="46" t="inlineStr">
        <is>
          <t xml:space="preserve">Washington</t>
        </is>
      </c>
      <c r="R652" s="46" t="inlineStr">
        <is>
          <t xml:space="preserve">98101</t>
        </is>
      </c>
      <c r="S652" s="48" t="inlineStr">
        <is>
          <t xml:space="preserve">Earthquake - high (CA, Cascadia, New Madrid)</t>
        </is>
      </c>
      <c r="T652" s="36">
        <f>IF($A652="","",IF($S652="","",IFERROR(INDEX('[1]natural catastrophe'!$D$6:$D$17,MATCH($S652,'[1]natural catastrophe'!$B$6:$B$17,0)),"?")))</f>
      </c>
      <c r="U652" s="46" t="inlineStr">
        <is>
          <t xml:space="preserve">$5,000</t>
        </is>
      </c>
      <c r="V652" s="48" t="inlineStr">
        <is>
          <t xml:space="preserve">Agreed Value</t>
        </is>
      </c>
      <c r="W652" s="46" t="inlineStr">
        <is>
          <t xml:space="preserve">$1,000</t>
        </is>
      </c>
      <c r="X652" s="48" t="inlineStr">
        <is>
          <t xml:space="preserve">$1,000,000 CSL</t>
        </is>
      </c>
      <c r="Y652" s="46"/>
      <c r="Z652" s="46"/>
      <c r="AA652" s="48" t="inlineStr">
        <is>
          <t xml:space="preserve">Surplus Lines</t>
        </is>
      </c>
      <c r="AB652" s="50">
        <v>10017.63</v>
      </c>
      <c r="AC652" s="51">
        <v>0</v>
      </c>
      <c r="AD652" s="38">
        <f>IF(ISNUMBER($AB652),$AB652*(1+N($AC652)),"")</f>
      </c>
      <c r="AE652" s="50">
        <v>350</v>
      </c>
      <c r="AF652" s="50">
        <v>0</v>
      </c>
      <c r="AG652" s="51"/>
      <c r="AH652" s="39">
        <f>IF(ISNUMBER($AD652),($AD652+$AE652+$AF652)*$AG652,"")</f>
      </c>
      <c r="AI652" s="50"/>
      <c r="AJ652" s="38">
        <f>IF(ISNUMBER($AD652),SUM($AD652:$AH652),"")</f>
      </c>
      <c r="AK652" s="40">
        <f>IF(AND(ISNUMBER($AB652),ISNUMBER($AD652)),IF($AB652&gt;0,$AD652/$AB652,""),"")</f>
      </c>
      <c r="AL652" s="48" t="inlineStr">
        <is>
          <t xml:space="preserve">At technical</t>
        </is>
      </c>
      <c r="AM652" s="41">
        <f>IF(ISNUMBER($AD652),Header!$I$3,"")</f>
      </c>
      <c r="AN652" s="39">
        <f>IF(ISNUMBER($AD652),$AO652+$AP652,"")</f>
      </c>
      <c r="AO652" s="39">
        <f>IF(ISNUMBER($AD652),ROUND($AD652*Header!$K$3,2),"")</f>
      </c>
      <c r="AP652" s="39">
        <f>IF(ISNUMBER($AD652),ROUND($AD652*Header!$M$3,2),"")</f>
      </c>
      <c r="AQ652" s="38">
        <f>IF(ISNUMBER($AD652),ROUND($AD652,2)-$AO652-$AP652,"")</f>
      </c>
      <c r="AR652" s="39">
        <f>IF(ISNUMBER($AD652),IF(Header!$D$34="","?",$AD652*Header!$D$34),"")</f>
      </c>
      <c r="AS652" s="39">
        <f>IF(ISNUMBER($AB652),IF(Header!$D$34="","?",$AB652*Header!$D$34),"")</f>
      </c>
      <c r="AT652" s="42">
        <f>IF(AND(ISNUMBER($AB652),$M652&gt;0),$AB652/$M652*100,"")</f>
      </c>
      <c r="AU652" s="42">
        <f>IF(AND(ISNUMBER($AD652),$M652&gt;0),$AD652/$M652*100,"")</f>
      </c>
      <c r="AV652" s="40">
        <f>IF(AND(ISNUMBER($AB652),ISNUMBER($AD652),ABS($AB652)&gt;0),$AD652/$AB652,"")</f>
      </c>
      <c r="AW652" s="39">
        <f>IF(ISNUMBER($AD652),MAX(0,(1-0.55-Header!$O$3)*Header!$Q$3*$AQ652),"")</f>
      </c>
      <c r="AX652" s="43">
        <f>IF($A652="","",IF(TRIM(IF($A652="","Missing certificate ref. ","") &amp; IF($C652="","Missing effective date. ","") &amp; IF($D652="","Missing binding status. ","") &amp; IF($E652="","Missing movement type. ","") &amp; IF($I652="","Missing make. ","") &amp; IF($L652="","Missing vehicle class. ","") &amp; IF($M652="","Missing agreed value. ","") &amp; IF($N652="","Missing policy type. ","") &amp; IF($Q652="","Missing garaging state. ","") &amp; IF($R652="","Missing garaging ZIP. ","") &amp; IF($S652="","Missing cat zone. ","") &amp; IF($V652="","Missing valuation basis. ","") &amp; IF($W652="","Missing PD deductible. ","") &amp; IF($X652="","Missing liability limit. ","") &amp; IF($AB652="","Missing technical premium. ","") &amp; IF($AF652="","Missing surplus lines tax %. ",""))="","PASS","FAIL: "&amp;TRIM(IF($A652="","Missing certificate ref. ","") &amp; IF($C652="","Missing effective date. ","") &amp; IF($D652="","Missing binding status. ","") &amp; IF($E652="","Missing movement type. ","") &amp; IF($I652="","Missing make. ","") &amp; IF($L652="","Missing vehicle class. ","") &amp; IF($M652="","Missing agreed value. ","") &amp; IF($N652="","Missing policy type. ","") &amp; IF($Q652="","Missing garaging state. ","") &amp; IF($R652="","Missing garaging ZIP. ","") &amp; IF($S652="","Missing cat zone. ","") &amp; IF($V652="","Missing valuation basis. ","") &amp; IF($W652="","Missing PD deductible. ","") &amp; IF($X652="","Missing liability limit. ","") &amp; IF($AB652="","Missing technical premium. ","") &amp; IF($AF652="","Missing surplus lines tax %. ",""))))</f>
      </c>
      <c r="AY652" s="44">
        <f>IF($M652="","",IF(ISNUMBER($M652),IF($M652&gt;=Header!$C$18,"YES — refer","No"),""))</f>
      </c>
      <c r="AZ652" s="44">
        <f>IF($AD652="","",IF(ISNUMBER($AD652),IF($AD652&lt;Header!$C$20,"BELOW MIN PREMIUM","OK"),""))</f>
      </c>
      <c r="BA652" s="48" t="inlineStr">
        <is>
          <t xml:space="preserve">Yes</t>
        </is>
      </c>
      <c r="BB652" s="48" t="inlineStr">
        <is>
          <t xml:space="preserve">Yes</t>
        </is>
      </c>
      <c r="BC652" s="46" t="inlineStr">
        <is>
          <t xml:space="preserve">Synthetic demo data</t>
        </is>
      </c>
      <c r="BE652" s="45">
        <f>IF(OR($A652="",$L652="",$H652=""),"",IF(AND(LEFT($L652,2)="06",$H652&gt;1945),"FAIL - pre-war class, year "&amp;$H652,IF(AND(LEFT($L652,2)="07",OR($H652&lt;1946,$H652&gt;1972)),"FAIL - 1946-72 class, year "&amp;$H652,IF(AND(LEFT($L652,2)="08",OR($H652&lt;1973,$H652&gt;1999)),"FAIL - 1973-99 class, year "&amp;$H652,IF(AND(LEFT($L652,2)="09",OR($H652&lt;2000,$H652&gt;2010)),"FAIL - 2000-10 class, year "&amp;$H652,"OK")))))</f>
      </c>
      <c r="BF652" s="45">
        <f>IF($AD652="","",IF(ROUND($AO652+$AP652+$AQ652-$AD652,2)=0,"OK","FAIL - out by "&amp;TEXT($AO652+$AP652+$AQ652-$AD652,"$0.00")))</f>
      </c>
    </row>
    <row r="653" spans="1:58" ht="18.75" customHeight="1" x14ac:dyDescent="0.25">
      <c r="A653" s="30" t="inlineStr">
        <is>
          <t xml:space="preserve">CANON-202607-010420</t>
        </is>
      </c>
      <c r="B653" s="30" t="inlineStr">
        <is>
          <t xml:space="preserve">Priya Bellandi</t>
        </is>
      </c>
      <c r="C653" s="31">
        <v>46227</v>
      </c>
      <c r="D653" s="32" t="inlineStr">
        <is>
          <t xml:space="preserve">Bound - within authority</t>
        </is>
      </c>
      <c r="E653" s="32" t="inlineStr">
        <is>
          <t xml:space="preserve">New business</t>
        </is>
      </c>
      <c r="F653" s="30" t="inlineStr">
        <is>
          <t xml:space="preserve">B1234EXOTIC26</t>
        </is>
      </c>
      <c r="G653" s="33">
        <f>IF($A653="","",IF($C653="","",YEAR($C653)))</f>
      </c>
      <c r="H653" s="34">
        <v>1973</v>
      </c>
      <c r="I653" s="30" t="inlineStr">
        <is>
          <t xml:space="preserve">Aston Martin</t>
        </is>
      </c>
      <c r="J653" s="30" t="inlineStr">
        <is>
          <t xml:space="preserve">DB12</t>
        </is>
      </c>
      <c r="K653" s="30" t="inlineStr">
        <is>
          <t xml:space="preserve">JNNMF8EWBR21GL1ES</t>
        </is>
      </c>
      <c r="L653" s="32" t="inlineStr">
        <is>
          <t xml:space="preserve">02 - Sports / GT</t>
        </is>
      </c>
      <c r="M653" s="35">
        <v>450000</v>
      </c>
      <c r="N653" s="32" t="inlineStr">
        <is>
          <t xml:space="preserve">Personal</t>
        </is>
      </c>
      <c r="O653" s="30" t="inlineStr">
        <is>
          <t xml:space="preserve">Personal - regular use</t>
        </is>
      </c>
      <c r="P653" s="30" t="inlineStr">
        <is>
          <t xml:space="preserve">Under 1,000</t>
        </is>
      </c>
      <c r="Q653" s="30" t="inlineStr">
        <is>
          <t xml:space="preserve">Illinois</t>
        </is>
      </c>
      <c r="R653" s="30" t="inlineStr">
        <is>
          <t xml:space="preserve">60601</t>
        </is>
      </c>
      <c r="S653" s="32" t="inlineStr">
        <is>
          <t xml:space="preserve">Severe convective - hail / tornado (moderate)</t>
        </is>
      </c>
      <c r="T653" s="36">
        <f>IF($A653="","",IF($S653="","",IFERROR(INDEX('[1]natural catastrophe'!$D$6:$D$17,MATCH($S653,'[1]natural catastrophe'!$B$6:$B$17,0)),"?")))</f>
      </c>
      <c r="U653" s="30" t="inlineStr">
        <is>
          <t xml:space="preserve">$5,000</t>
        </is>
      </c>
      <c r="V653" s="32" t="inlineStr">
        <is>
          <t xml:space="preserve">Agreed Value</t>
        </is>
      </c>
      <c r="W653" s="30" t="inlineStr">
        <is>
          <t xml:space="preserve">$1,000</t>
        </is>
      </c>
      <c r="X653" s="32" t="inlineStr">
        <is>
          <t xml:space="preserve">$1,000,000 CSL</t>
        </is>
      </c>
      <c r="Y653" s="30"/>
      <c r="Z653" s="30"/>
      <c r="AA653" s="32" t="inlineStr">
        <is>
          <t xml:space="preserve">Surplus Lines</t>
        </is>
      </c>
      <c r="AB653" s="35">
        <v>6590.55</v>
      </c>
      <c r="AC653" s="37">
        <v>0</v>
      </c>
      <c r="AD653" s="38">
        <f>IF(ISNUMBER($AB653),$AB653*(1+N($AC653)),"")</f>
      </c>
      <c r="AE653" s="35">
        <v>350</v>
      </c>
      <c r="AF653" s="35">
        <v>0</v>
      </c>
      <c r="AG653" s="37"/>
      <c r="AH653" s="39">
        <f>IF(ISNUMBER($AD653),($AD653+$AE653+$AF653)*$AG653,"")</f>
      </c>
      <c r="AI653" s="35"/>
      <c r="AJ653" s="38">
        <f>IF(ISNUMBER($AD653),SUM($AD653:$AH653),"")</f>
      </c>
      <c r="AK653" s="40">
        <f>IF(AND(ISNUMBER($AB653),ISNUMBER($AD653)),IF($AB653&gt;0,$AD653/$AB653,""),"")</f>
      </c>
      <c r="AL653" s="32" t="inlineStr">
        <is>
          <t xml:space="preserve">At technical</t>
        </is>
      </c>
      <c r="AM653" s="41">
        <f>IF(ISNUMBER($AD653),Header!$I$3,"")</f>
      </c>
      <c r="AN653" s="39">
        <f>IF(ISNUMBER($AD653),$AO653+$AP653,"")</f>
      </c>
      <c r="AO653" s="39">
        <f>IF(ISNUMBER($AD653),ROUND($AD653*Header!$K$3,2),"")</f>
      </c>
      <c r="AP653" s="39">
        <f>IF(ISNUMBER($AD653),ROUND($AD653*Header!$M$3,2),"")</f>
      </c>
      <c r="AQ653" s="38">
        <f>IF(ISNUMBER($AD653),ROUND($AD653,2)-$AO653-$AP653,"")</f>
      </c>
      <c r="AR653" s="39">
        <f>IF(ISNUMBER($AD653),IF(Header!$D$34="","?",$AD653*Header!$D$34),"")</f>
      </c>
      <c r="AS653" s="39">
        <f>IF(ISNUMBER($AB653),IF(Header!$D$34="","?",$AB653*Header!$D$34),"")</f>
      </c>
      <c r="AT653" s="42">
        <f>IF(AND(ISNUMBER($AB653),$M653&gt;0),$AB653/$M653*100,"")</f>
      </c>
      <c r="AU653" s="42">
        <f>IF(AND(ISNUMBER($AD653),$M653&gt;0),$AD653/$M653*100,"")</f>
      </c>
      <c r="AV653" s="40">
        <f>IF(AND(ISNUMBER($AB653),ISNUMBER($AD653),ABS($AB653)&gt;0),$AD653/$AB653,"")</f>
      </c>
      <c r="AW653" s="39">
        <f>IF(ISNUMBER($AD653),MAX(0,(1-0.55-Header!$O$3)*Header!$Q$3*$AQ653),"")</f>
      </c>
      <c r="AX653" s="43">
        <f>IF($A653="","",IF(TRIM(IF($A653="","Missing certificate ref. ","") &amp; IF($C653="","Missing effective date. ","") &amp; IF($D653="","Missing binding status. ","") &amp; IF($E653="","Missing movement type. ","") &amp; IF($I653="","Missing make. ","") &amp; IF($L653="","Missing vehicle class. ","") &amp; IF($M653="","Missing agreed value. ","") &amp; IF($N653="","Missing policy type. ","") &amp; IF($Q653="","Missing garaging state. ","") &amp; IF($R653="","Missing garaging ZIP. ","") &amp; IF($S653="","Missing cat zone. ","") &amp; IF($V653="","Missing valuation basis. ","") &amp; IF($W653="","Missing PD deductible. ","") &amp; IF($X653="","Missing liability limit. ","") &amp; IF($AB653="","Missing technical premium. ","") &amp; IF($AF653="","Missing surplus lines tax %. ",""))="","PASS","FAIL: "&amp;TRIM(IF($A653="","Missing certificate ref. ","") &amp; IF($C653="","Missing effective date. ","") &amp; IF($D653="","Missing binding status. ","") &amp; IF($E653="","Missing movement type. ","") &amp; IF($I653="","Missing make. ","") &amp; IF($L653="","Missing vehicle class. ","") &amp; IF($M653="","Missing agreed value. ","") &amp; IF($N653="","Missing policy type. ","") &amp; IF($Q653="","Missing garaging state. ","") &amp; IF($R653="","Missing garaging ZIP. ","") &amp; IF($S653="","Missing cat zone. ","") &amp; IF($V653="","Missing valuation basis. ","") &amp; IF($W653="","Missing PD deductible. ","") &amp; IF($X653="","Missing liability limit. ","") &amp; IF($AB653="","Missing technical premium. ","") &amp; IF($AF653="","Missing surplus lines tax %. ",""))))</f>
      </c>
      <c r="AY653" s="44">
        <f>IF($M653="","",IF(ISNUMBER($M653),IF($M653&gt;=Header!$C$18,"YES — refer","No"),""))</f>
      </c>
      <c r="AZ653" s="44">
        <f>IF($AD653="","",IF(ISNUMBER($AD653),IF($AD653&lt;Header!$C$20,"BELOW MIN PREMIUM","OK"),""))</f>
      </c>
      <c r="BA653" s="32" t="inlineStr">
        <is>
          <t xml:space="preserve">Yes</t>
        </is>
      </c>
      <c r="BB653" s="32" t="inlineStr">
        <is>
          <t xml:space="preserve">Yes</t>
        </is>
      </c>
      <c r="BC653" s="30" t="inlineStr">
        <is>
          <t xml:space="preserve">Synthetic demo data</t>
        </is>
      </c>
      <c r="BE653" s="45">
        <f>IF(OR($A653="",$L653="",$H653=""),"",IF(AND(LEFT($L653,2)="06",$H653&gt;1945),"FAIL - pre-war class, year "&amp;$H653,IF(AND(LEFT($L653,2)="07",OR($H653&lt;1946,$H653&gt;1972)),"FAIL - 1946-72 class, year "&amp;$H653,IF(AND(LEFT($L653,2)="08",OR($H653&lt;1973,$H653&gt;1999)),"FAIL - 1973-99 class, year "&amp;$H653,IF(AND(LEFT($L653,2)="09",OR($H653&lt;2000,$H653&gt;2010)),"FAIL - 2000-10 class, year "&amp;$H653,"OK")))))</f>
      </c>
      <c r="BF653" s="45">
        <f>IF($AD653="","",IF(ROUND($AO653+$AP653+$AQ653-$AD653,2)=0,"OK","FAIL - out by "&amp;TEXT($AO653+$AP653+$AQ653-$AD653,"$0.00")))</f>
      </c>
    </row>
    <row r="654" spans="1:58" ht="18.75" customHeight="1" x14ac:dyDescent="0.25">
      <c r="A654" s="46" t="inlineStr">
        <is>
          <t xml:space="preserve">CANON-202607-010421</t>
        </is>
      </c>
      <c r="B654" s="46" t="inlineStr">
        <is>
          <t xml:space="preserve">Wilhelmina Ashcombe</t>
        </is>
      </c>
      <c r="C654" s="47">
        <v>46222</v>
      </c>
      <c r="D654" s="48" t="inlineStr">
        <is>
          <t xml:space="preserve">Bound - within authority</t>
        </is>
      </c>
      <c r="E654" s="48" t="inlineStr">
        <is>
          <t xml:space="preserve">New business</t>
        </is>
      </c>
      <c r="F654" s="46" t="inlineStr">
        <is>
          <t xml:space="preserve">B1234EXOTIC26</t>
        </is>
      </c>
      <c r="G654" s="33">
        <f>IF($A654="","",IF($C654="","",YEAR($C654)))</f>
      </c>
      <c r="H654" s="49">
        <v>2013</v>
      </c>
      <c r="I654" s="46" t="inlineStr">
        <is>
          <t xml:space="preserve">Porsche</t>
        </is>
      </c>
      <c r="J654" s="46" t="inlineStr">
        <is>
          <t xml:space="preserve">911 Turbo S</t>
        </is>
      </c>
      <c r="K654" s="46" t="inlineStr">
        <is>
          <t xml:space="preserve">2X453PDL0MWJVVD57</t>
        </is>
      </c>
      <c r="L654" s="48" t="inlineStr">
        <is>
          <t xml:space="preserve">02 - Sports / GT</t>
        </is>
      </c>
      <c r="M654" s="50">
        <v>400000</v>
      </c>
      <c r="N654" s="48" t="inlineStr">
        <is>
          <t xml:space="preserve">Personal</t>
        </is>
      </c>
      <c r="O654" s="46" t="inlineStr">
        <is>
          <t xml:space="preserve">Personal - regular use</t>
        </is>
      </c>
      <c r="P654" s="46" t="inlineStr">
        <is>
          <t xml:space="preserve">1,000 - 2,500</t>
        </is>
      </c>
      <c r="Q654" s="46" t="inlineStr">
        <is>
          <t xml:space="preserve">Alaska</t>
        </is>
      </c>
      <c r="R654" s="46" t="inlineStr">
        <is>
          <t xml:space="preserve">99501</t>
        </is>
      </c>
      <c r="S654" s="48" t="inlineStr">
        <is>
          <t xml:space="preserve">Earthquake - high (CA, Cascadia, New Madrid)</t>
        </is>
      </c>
      <c r="T654" s="36">
        <f>IF($A654="","",IF($S654="","",IFERROR(INDEX('[1]natural catastrophe'!$D$6:$D$17,MATCH($S654,'[1]natural catastrophe'!$B$6:$B$17,0)),"?")))</f>
      </c>
      <c r="U654" s="46" t="inlineStr">
        <is>
          <t xml:space="preserve">$5,000</t>
        </is>
      </c>
      <c r="V654" s="48" t="inlineStr">
        <is>
          <t xml:space="preserve">Agreed Value</t>
        </is>
      </c>
      <c r="W654" s="46" t="inlineStr">
        <is>
          <t xml:space="preserve">$1,000</t>
        </is>
      </c>
      <c r="X654" s="48" t="inlineStr">
        <is>
          <t xml:space="preserve">$1,000,000 CSL</t>
        </is>
      </c>
      <c r="Y654" s="46"/>
      <c r="Z654" s="46"/>
      <c r="AA654" s="48" t="inlineStr">
        <is>
          <t xml:space="preserve">Surplus Lines</t>
        </is>
      </c>
      <c r="AB654" s="50">
        <v>4910.6</v>
      </c>
      <c r="AC654" s="51">
        <v>0</v>
      </c>
      <c r="AD654" s="38">
        <f>IF(ISNUMBER($AB654),$AB654*(1+N($AC654)),"")</f>
      </c>
      <c r="AE654" s="50">
        <v>350</v>
      </c>
      <c r="AF654" s="50">
        <v>0</v>
      </c>
      <c r="AG654" s="51"/>
      <c r="AH654" s="39">
        <f>IF(ISNUMBER($AD654),($AD654+$AE654+$AF654)*$AG654,"")</f>
      </c>
      <c r="AI654" s="50"/>
      <c r="AJ654" s="38">
        <f>IF(ISNUMBER($AD654),SUM($AD654:$AH654),"")</f>
      </c>
      <c r="AK654" s="40">
        <f>IF(AND(ISNUMBER($AB654),ISNUMBER($AD654)),IF($AB654&gt;0,$AD654/$AB654,""),"")</f>
      </c>
      <c r="AL654" s="48" t="inlineStr">
        <is>
          <t xml:space="preserve">At technical</t>
        </is>
      </c>
      <c r="AM654" s="41">
        <f>IF(ISNUMBER($AD654),Header!$I$3,"")</f>
      </c>
      <c r="AN654" s="39">
        <f>IF(ISNUMBER($AD654),$AO654+$AP654,"")</f>
      </c>
      <c r="AO654" s="39">
        <f>IF(ISNUMBER($AD654),ROUND($AD654*Header!$K$3,2),"")</f>
      </c>
      <c r="AP654" s="39">
        <f>IF(ISNUMBER($AD654),ROUND($AD654*Header!$M$3,2),"")</f>
      </c>
      <c r="AQ654" s="38">
        <f>IF(ISNUMBER($AD654),ROUND($AD654,2)-$AO654-$AP654,"")</f>
      </c>
      <c r="AR654" s="39">
        <f>IF(ISNUMBER($AD654),IF(Header!$D$34="","?",$AD654*Header!$D$34),"")</f>
      </c>
      <c r="AS654" s="39">
        <f>IF(ISNUMBER($AB654),IF(Header!$D$34="","?",$AB654*Header!$D$34),"")</f>
      </c>
      <c r="AT654" s="42">
        <f>IF(AND(ISNUMBER($AB654),$M654&gt;0),$AB654/$M654*100,"")</f>
      </c>
      <c r="AU654" s="42">
        <f>IF(AND(ISNUMBER($AD654),$M654&gt;0),$AD654/$M654*100,"")</f>
      </c>
      <c r="AV654" s="40">
        <f>IF(AND(ISNUMBER($AB654),ISNUMBER($AD654),ABS($AB654)&gt;0),$AD654/$AB654,"")</f>
      </c>
      <c r="AW654" s="39">
        <f>IF(ISNUMBER($AD654),MAX(0,(1-0.55-Header!$O$3)*Header!$Q$3*$AQ654),"")</f>
      </c>
      <c r="AX654" s="43">
        <f>IF($A654="","",IF(TRIM(IF($A654="","Missing certificate ref. ","") &amp; IF($C654="","Missing effective date. ","") &amp; IF($D654="","Missing binding status. ","") &amp; IF($E654="","Missing movement type. ","") &amp; IF($I654="","Missing make. ","") &amp; IF($L654="","Missing vehicle class. ","") &amp; IF($M654="","Missing agreed value. ","") &amp; IF($N654="","Missing policy type. ","") &amp; IF($Q654="","Missing garaging state. ","") &amp; IF($R654="","Missing garaging ZIP. ","") &amp; IF($S654="","Missing cat zone. ","") &amp; IF($V654="","Missing valuation basis. ","") &amp; IF($W654="","Missing PD deductible. ","") &amp; IF($X654="","Missing liability limit. ","") &amp; IF($AB654="","Missing technical premium. ","") &amp; IF($AF654="","Missing surplus lines tax %. ",""))="","PASS","FAIL: "&amp;TRIM(IF($A654="","Missing certificate ref. ","") &amp; IF($C654="","Missing effective date. ","") &amp; IF($D654="","Missing binding status. ","") &amp; IF($E654="","Missing movement type. ","") &amp; IF($I654="","Missing make. ","") &amp; IF($L654="","Missing vehicle class. ","") &amp; IF($M654="","Missing agreed value. ","") &amp; IF($N654="","Missing policy type. ","") &amp; IF($Q654="","Missing garaging state. ","") &amp; IF($R654="","Missing garaging ZIP. ","") &amp; IF($S654="","Missing cat zone. ","") &amp; IF($V654="","Missing valuation basis. ","") &amp; IF($W654="","Missing PD deductible. ","") &amp; IF($X654="","Missing liability limit. ","") &amp; IF($AB654="","Missing technical premium. ","") &amp; IF($AF654="","Missing surplus lines tax %. ",""))))</f>
      </c>
      <c r="AY654" s="44">
        <f>IF($M654="","",IF(ISNUMBER($M654),IF($M654&gt;=Header!$C$18,"YES — refer","No"),""))</f>
      </c>
      <c r="AZ654" s="44">
        <f>IF($AD654="","",IF(ISNUMBER($AD654),IF($AD654&lt;Header!$C$20,"BELOW MIN PREMIUM","OK"),""))</f>
      </c>
      <c r="BA654" s="48" t="inlineStr">
        <is>
          <t xml:space="preserve">Yes</t>
        </is>
      </c>
      <c r="BB654" s="48" t="inlineStr">
        <is>
          <t xml:space="preserve">Yes</t>
        </is>
      </c>
      <c r="BC654" s="46" t="inlineStr">
        <is>
          <t xml:space="preserve">Synthetic demo data</t>
        </is>
      </c>
      <c r="BE654" s="45">
        <f>IF(OR($A654="",$L654="",$H654=""),"",IF(AND(LEFT($L654,2)="06",$H654&gt;1945),"FAIL - pre-war class, year "&amp;$H654,IF(AND(LEFT($L654,2)="07",OR($H654&lt;1946,$H654&gt;1972)),"FAIL - 1946-72 class, year "&amp;$H654,IF(AND(LEFT($L654,2)="08",OR($H654&lt;1973,$H654&gt;1999)),"FAIL - 1973-99 class, year "&amp;$H654,IF(AND(LEFT($L654,2)="09",OR($H654&lt;2000,$H654&gt;2010)),"FAIL - 2000-10 class, year "&amp;$H654,"OK")))))</f>
      </c>
      <c r="BF654" s="45">
        <f>IF($AD654="","",IF(ROUND($AO654+$AP654+$AQ654-$AD654,2)=0,"OK","FAIL - out by "&amp;TEXT($AO654+$AP654+$AQ654-$AD654,"$0.00")))</f>
      </c>
    </row>
    <row r="655" spans="1:58" ht="18.75" customHeight="1" x14ac:dyDescent="0.25">
      <c r="A655" s="30" t="inlineStr">
        <is>
          <t xml:space="preserve">CANON-202607-010423</t>
        </is>
      </c>
      <c r="B655" s="30" t="inlineStr">
        <is>
          <t xml:space="preserve">Everett Okonkwo</t>
        </is>
      </c>
      <c r="C655" s="31">
        <v>46220</v>
      </c>
      <c r="D655" s="32" t="inlineStr">
        <is>
          <t xml:space="preserve">Bound - within authority</t>
        </is>
      </c>
      <c r="E655" s="32" t="inlineStr">
        <is>
          <t xml:space="preserve">New business</t>
        </is>
      </c>
      <c r="F655" s="30" t="inlineStr">
        <is>
          <t xml:space="preserve">B1234EXOTIC26</t>
        </is>
      </c>
      <c r="G655" s="33">
        <f>IF($A655="","",IF($C655="","",YEAR($C655)))</f>
      </c>
      <c r="H655" s="34">
        <v>1975</v>
      </c>
      <c r="I655" s="30" t="inlineStr">
        <is>
          <t xml:space="preserve">BMW</t>
        </is>
      </c>
      <c r="J655" s="30" t="inlineStr">
        <is>
          <t xml:space="preserve">M8 Competition</t>
        </is>
      </c>
      <c r="K655" s="30" t="inlineStr">
        <is>
          <t xml:space="preserve">LNJ5Z1VRRVT52CBP2</t>
        </is>
      </c>
      <c r="L655" s="32" t="inlineStr">
        <is>
          <t xml:space="preserve">02 - Sports / GT</t>
        </is>
      </c>
      <c r="M655" s="35">
        <v>305000</v>
      </c>
      <c r="N655" s="32" t="inlineStr">
        <is>
          <t xml:space="preserve">Personal</t>
        </is>
      </c>
      <c r="O655" s="30" t="inlineStr">
        <is>
          <t xml:space="preserve">Personal - regular use</t>
        </is>
      </c>
      <c r="P655" s="30" t="inlineStr">
        <is>
          <t xml:space="preserve">Under 1,000</t>
        </is>
      </c>
      <c r="Q655" s="30" t="inlineStr">
        <is>
          <t xml:space="preserve">Vermont</t>
        </is>
      </c>
      <c r="R655" s="30" t="inlineStr">
        <is>
          <t xml:space="preserve">05601</t>
        </is>
      </c>
      <c r="S655" s="32" t="inlineStr">
        <is>
          <t xml:space="preserve">Low hazard - inland benign</t>
        </is>
      </c>
      <c r="T655" s="36">
        <f>IF($A655="","",IF($S655="","",IFERROR(INDEX('[1]natural catastrophe'!$D$6:$D$17,MATCH($S655,'[1]natural catastrophe'!$B$6:$B$17,0)),"?")))</f>
      </c>
      <c r="U655" s="30" t="inlineStr">
        <is>
          <t xml:space="preserve">$5,000</t>
        </is>
      </c>
      <c r="V655" s="32" t="inlineStr">
        <is>
          <t xml:space="preserve">Agreed Value</t>
        </is>
      </c>
      <c r="W655" s="30" t="inlineStr">
        <is>
          <t xml:space="preserve">$1,000</t>
        </is>
      </c>
      <c r="X655" s="32" t="inlineStr">
        <is>
          <t xml:space="preserve">$1,000,000 CSL</t>
        </is>
      </c>
      <c r="Y655" s="30"/>
      <c r="Z655" s="30"/>
      <c r="AA655" s="32" t="inlineStr">
        <is>
          <t xml:space="preserve">Surplus Lines</t>
        </is>
      </c>
      <c r="AB655" s="35">
        <v>4007.1</v>
      </c>
      <c r="AC655" s="37">
        <v>0</v>
      </c>
      <c r="AD655" s="38">
        <f>IF(ISNUMBER($AB655),$AB655*(1+N($AC655)),"")</f>
      </c>
      <c r="AE655" s="35">
        <v>350</v>
      </c>
      <c r="AF655" s="35">
        <v>0</v>
      </c>
      <c r="AG655" s="37"/>
      <c r="AH655" s="39">
        <f>IF(ISNUMBER($AD655),($AD655+$AE655+$AF655)*$AG655,"")</f>
      </c>
      <c r="AI655" s="35"/>
      <c r="AJ655" s="38">
        <f>IF(ISNUMBER($AD655),SUM($AD655:$AH655),"")</f>
      </c>
      <c r="AK655" s="40">
        <f>IF(AND(ISNUMBER($AB655),ISNUMBER($AD655)),IF($AB655&gt;0,$AD655/$AB655,""),"")</f>
      </c>
      <c r="AL655" s="32" t="inlineStr">
        <is>
          <t xml:space="preserve">At technical</t>
        </is>
      </c>
      <c r="AM655" s="41">
        <f>IF(ISNUMBER($AD655),Header!$I$3,"")</f>
      </c>
      <c r="AN655" s="39">
        <f>IF(ISNUMBER($AD655),$AO655+$AP655,"")</f>
      </c>
      <c r="AO655" s="39">
        <f>IF(ISNUMBER($AD655),ROUND($AD655*Header!$K$3,2),"")</f>
      </c>
      <c r="AP655" s="39">
        <f>IF(ISNUMBER($AD655),ROUND($AD655*Header!$M$3,2),"")</f>
      </c>
      <c r="AQ655" s="38">
        <f>IF(ISNUMBER($AD655),ROUND($AD655,2)-$AO655-$AP655,"")</f>
      </c>
      <c r="AR655" s="39">
        <f>IF(ISNUMBER($AD655),IF(Header!$D$34="","?",$AD655*Header!$D$34),"")</f>
      </c>
      <c r="AS655" s="39">
        <f>IF(ISNUMBER($AB655),IF(Header!$D$34="","?",$AB655*Header!$D$34),"")</f>
      </c>
      <c r="AT655" s="42">
        <f>IF(AND(ISNUMBER($AB655),$M655&gt;0),$AB655/$M655*100,"")</f>
      </c>
      <c r="AU655" s="42">
        <f>IF(AND(ISNUMBER($AD655),$M655&gt;0),$AD655/$M655*100,"")</f>
      </c>
      <c r="AV655" s="40">
        <f>IF(AND(ISNUMBER($AB655),ISNUMBER($AD655),ABS($AB655)&gt;0),$AD655/$AB655,"")</f>
      </c>
      <c r="AW655" s="39">
        <f>IF(ISNUMBER($AD655),MAX(0,(1-0.55-Header!$O$3)*Header!$Q$3*$AQ655),"")</f>
      </c>
      <c r="AX655" s="43">
        <f>IF($A655="","",IF(TRIM(IF($A655="","Missing certificate ref. ","") &amp; IF($C655="","Missing effective date. ","") &amp; IF($D655="","Missing binding status. ","") &amp; IF($E655="","Missing movement type. ","") &amp; IF($I655="","Missing make. ","") &amp; IF($L655="","Missing vehicle class. ","") &amp; IF($M655="","Missing agreed value. ","") &amp; IF($N655="","Missing policy type. ","") &amp; IF($Q655="","Missing garaging state. ","") &amp; IF($R655="","Missing garaging ZIP. ","") &amp; IF($S655="","Missing cat zone. ","") &amp; IF($V655="","Missing valuation basis. ","") &amp; IF($W655="","Missing PD deductible. ","") &amp; IF($X655="","Missing liability limit. ","") &amp; IF($AB655="","Missing technical premium. ","") &amp; IF($AF655="","Missing surplus lines tax %. ",""))="","PASS","FAIL: "&amp;TRIM(IF($A655="","Missing certificate ref. ","") &amp; IF($C655="","Missing effective date. ","") &amp; IF($D655="","Missing binding status. ","") &amp; IF($E655="","Missing movement type. ","") &amp; IF($I655="","Missing make. ","") &amp; IF($L655="","Missing vehicle class. ","") &amp; IF($M655="","Missing agreed value. ","") &amp; IF($N655="","Missing policy type. ","") &amp; IF($Q655="","Missing garaging state. ","") &amp; IF($R655="","Missing garaging ZIP. ","") &amp; IF($S655="","Missing cat zone. ","") &amp; IF($V655="","Missing valuation basis. ","") &amp; IF($W655="","Missing PD deductible. ","") &amp; IF($X655="","Missing liability limit. ","") &amp; IF($AB655="","Missing technical premium. ","") &amp; IF($AF655="","Missing surplus lines tax %. ",""))))</f>
      </c>
      <c r="AY655" s="44">
        <f>IF($M655="","",IF(ISNUMBER($M655),IF($M655&gt;=Header!$C$18,"YES — refer","No"),""))</f>
      </c>
      <c r="AZ655" s="44">
        <f>IF($AD655="","",IF(ISNUMBER($AD655),IF($AD655&lt;Header!$C$20,"BELOW MIN PREMIUM","OK"),""))</f>
      </c>
      <c r="BA655" s="32" t="inlineStr">
        <is>
          <t xml:space="preserve">Yes</t>
        </is>
      </c>
      <c r="BB655" s="32" t="inlineStr">
        <is>
          <t xml:space="preserve">Yes</t>
        </is>
      </c>
      <c r="BC655" s="30" t="inlineStr">
        <is>
          <t xml:space="preserve">Synthetic demo data</t>
        </is>
      </c>
      <c r="BE655" s="45">
        <f>IF(OR($A655="",$L655="",$H655=""),"",IF(AND(LEFT($L655,2)="06",$H655&gt;1945),"FAIL - pre-war class, year "&amp;$H655,IF(AND(LEFT($L655,2)="07",OR($H655&lt;1946,$H655&gt;1972)),"FAIL - 1946-72 class, year "&amp;$H655,IF(AND(LEFT($L655,2)="08",OR($H655&lt;1973,$H655&gt;1999)),"FAIL - 1973-99 class, year "&amp;$H655,IF(AND(LEFT($L655,2)="09",OR($H655&lt;2000,$H655&gt;2010)),"FAIL - 2000-10 class, year "&amp;$H655,"OK")))))</f>
      </c>
      <c r="BF655" s="45">
        <f>IF($AD655="","",IF(ROUND($AO655+$AP655+$AQ655-$AD655,2)=0,"OK","FAIL - out by "&amp;TEXT($AO655+$AP655+$AQ655-$AD655,"$0.00")))</f>
      </c>
    </row>
    <row r="656" spans="1:58" ht="18.75" customHeight="1" x14ac:dyDescent="0.25">
      <c r="A656" s="46" t="inlineStr">
        <is>
          <t xml:space="preserve">CANON-202607-010424</t>
        </is>
      </c>
      <c r="B656" s="46" t="inlineStr">
        <is>
          <t xml:space="preserve">Emiliano Thistlewood</t>
        </is>
      </c>
      <c r="C656" s="47">
        <v>46223</v>
      </c>
      <c r="D656" s="48" t="inlineStr">
        <is>
          <t xml:space="preserve">Bound - within authority</t>
        </is>
      </c>
      <c r="E656" s="48" t="inlineStr">
        <is>
          <t xml:space="preserve">New business</t>
        </is>
      </c>
      <c r="F656" s="46" t="inlineStr">
        <is>
          <t xml:space="preserve">B1234EXOTIC26</t>
        </is>
      </c>
      <c r="G656" s="33">
        <f>IF($A656="","",IF($C656="","",YEAR($C656)))</f>
      </c>
      <c r="H656" s="49">
        <v>2003</v>
      </c>
      <c r="I656" s="46" t="inlineStr">
        <is>
          <t xml:space="preserve">BMW</t>
        </is>
      </c>
      <c r="J656" s="46" t="inlineStr">
        <is>
          <t xml:space="preserve">M8 Competition</t>
        </is>
      </c>
      <c r="K656" s="46" t="inlineStr">
        <is>
          <t xml:space="preserve">8DSRTS19ELBBXUZGK</t>
        </is>
      </c>
      <c r="L656" s="48" t="inlineStr">
        <is>
          <t xml:space="preserve">02 - Sports / GT</t>
        </is>
      </c>
      <c r="M656" s="50">
        <v>265000</v>
      </c>
      <c r="N656" s="48" t="inlineStr">
        <is>
          <t xml:space="preserve">Personal</t>
        </is>
      </c>
      <c r="O656" s="46" t="inlineStr">
        <is>
          <t xml:space="preserve">Personal - regular use</t>
        </is>
      </c>
      <c r="P656" s="46" t="inlineStr">
        <is>
          <t xml:space="preserve">Under 1,000</t>
        </is>
      </c>
      <c r="Q656" s="46" t="inlineStr">
        <is>
          <t xml:space="preserve">Michigan</t>
        </is>
      </c>
      <c r="R656" s="46" t="inlineStr">
        <is>
          <t xml:space="preserve">48226</t>
        </is>
      </c>
      <c r="S656" s="48" t="inlineStr">
        <is>
          <t xml:space="preserve">Severe convective - hail / tornado (moderate)</t>
        </is>
      </c>
      <c r="T656" s="36">
        <f>IF($A656="","",IF($S656="","",IFERROR(INDEX('[1]natural catastrophe'!$D$6:$D$17,MATCH($S656,'[1]natural catastrophe'!$B$6:$B$17,0)),"?")))</f>
      </c>
      <c r="U656" s="46" t="inlineStr">
        <is>
          <t xml:space="preserve">$5,000</t>
        </is>
      </c>
      <c r="V656" s="48" t="inlineStr">
        <is>
          <t xml:space="preserve">Agreed Value</t>
        </is>
      </c>
      <c r="W656" s="46" t="inlineStr">
        <is>
          <t xml:space="preserve">$1,000</t>
        </is>
      </c>
      <c r="X656" s="48" t="inlineStr">
        <is>
          <t xml:space="preserve">$1,000,000 CSL</t>
        </is>
      </c>
      <c r="Y656" s="46"/>
      <c r="Z656" s="46"/>
      <c r="AA656" s="48" t="inlineStr">
        <is>
          <t xml:space="preserve">Surplus Lines</t>
        </is>
      </c>
      <c r="AB656" s="50">
        <v>4423.31</v>
      </c>
      <c r="AC656" s="51">
        <v>0</v>
      </c>
      <c r="AD656" s="38">
        <f>IF(ISNUMBER($AB656),$AB656*(1+N($AC656)),"")</f>
      </c>
      <c r="AE656" s="50">
        <v>350</v>
      </c>
      <c r="AF656" s="50">
        <v>0</v>
      </c>
      <c r="AG656" s="51"/>
      <c r="AH656" s="39">
        <f>IF(ISNUMBER($AD656),($AD656+$AE656+$AF656)*$AG656,"")</f>
      </c>
      <c r="AI656" s="50"/>
      <c r="AJ656" s="38">
        <f>IF(ISNUMBER($AD656),SUM($AD656:$AH656),"")</f>
      </c>
      <c r="AK656" s="40">
        <f>IF(AND(ISNUMBER($AB656),ISNUMBER($AD656)),IF($AB656&gt;0,$AD656/$AB656,""),"")</f>
      </c>
      <c r="AL656" s="48" t="inlineStr">
        <is>
          <t xml:space="preserve">At technical</t>
        </is>
      </c>
      <c r="AM656" s="41">
        <f>IF(ISNUMBER($AD656),Header!$I$3,"")</f>
      </c>
      <c r="AN656" s="39">
        <f>IF(ISNUMBER($AD656),$AO656+$AP656,"")</f>
      </c>
      <c r="AO656" s="39">
        <f>IF(ISNUMBER($AD656),ROUND($AD656*Header!$K$3,2),"")</f>
      </c>
      <c r="AP656" s="39">
        <f>IF(ISNUMBER($AD656),ROUND($AD656*Header!$M$3,2),"")</f>
      </c>
      <c r="AQ656" s="38">
        <f>IF(ISNUMBER($AD656),ROUND($AD656,2)-$AO656-$AP656,"")</f>
      </c>
      <c r="AR656" s="39">
        <f>IF(ISNUMBER($AD656),IF(Header!$D$34="","?",$AD656*Header!$D$34),"")</f>
      </c>
      <c r="AS656" s="39">
        <f>IF(ISNUMBER($AB656),IF(Header!$D$34="","?",$AB656*Header!$D$34),"")</f>
      </c>
      <c r="AT656" s="42">
        <f>IF(AND(ISNUMBER($AB656),$M656&gt;0),$AB656/$M656*100,"")</f>
      </c>
      <c r="AU656" s="42">
        <f>IF(AND(ISNUMBER($AD656),$M656&gt;0),$AD656/$M656*100,"")</f>
      </c>
      <c r="AV656" s="40">
        <f>IF(AND(ISNUMBER($AB656),ISNUMBER($AD656),ABS($AB656)&gt;0),$AD656/$AB656,"")</f>
      </c>
      <c r="AW656" s="39">
        <f>IF(ISNUMBER($AD656),MAX(0,(1-0.55-Header!$O$3)*Header!$Q$3*$AQ656),"")</f>
      </c>
      <c r="AX656" s="43">
        <f>IF($A656="","",IF(TRIM(IF($A656="","Missing certificate ref. ","") &amp; IF($C656="","Missing effective date. ","") &amp; IF($D656="","Missing binding status. ","") &amp; IF($E656="","Missing movement type. ","") &amp; IF($I656="","Missing make. ","") &amp; IF($L656="","Missing vehicle class. ","") &amp; IF($M656="","Missing agreed value. ","") &amp; IF($N656="","Missing policy type. ","") &amp; IF($Q656="","Missing garaging state. ","") &amp; IF($R656="","Missing garaging ZIP. ","") &amp; IF($S656="","Missing cat zone. ","") &amp; IF($V656="","Missing valuation basis. ","") &amp; IF($W656="","Missing PD deductible. ","") &amp; IF($X656="","Missing liability limit. ","") &amp; IF($AB656="","Missing technical premium. ","") &amp; IF($AF656="","Missing surplus lines tax %. ",""))="","PASS","FAIL: "&amp;TRIM(IF($A656="","Missing certificate ref. ","") &amp; IF($C656="","Missing effective date. ","") &amp; IF($D656="","Missing binding status. ","") &amp; IF($E656="","Missing movement type. ","") &amp; IF($I656="","Missing make. ","") &amp; IF($L656="","Missing vehicle class. ","") &amp; IF($M656="","Missing agreed value. ","") &amp; IF($N656="","Missing policy type. ","") &amp; IF($Q656="","Missing garaging state. ","") &amp; IF($R656="","Missing garaging ZIP. ","") &amp; IF($S656="","Missing cat zone. ","") &amp; IF($V656="","Missing valuation basis. ","") &amp; IF($W656="","Missing PD deductible. ","") &amp; IF($X656="","Missing liability limit. ","") &amp; IF($AB656="","Missing technical premium. ","") &amp; IF($AF656="","Missing surplus lines tax %. ",""))))</f>
      </c>
      <c r="AY656" s="44">
        <f>IF($M656="","",IF(ISNUMBER($M656),IF($M656&gt;=Header!$C$18,"YES — refer","No"),""))</f>
      </c>
      <c r="AZ656" s="44">
        <f>IF($AD656="","",IF(ISNUMBER($AD656),IF($AD656&lt;Header!$C$20,"BELOW MIN PREMIUM","OK"),""))</f>
      </c>
      <c r="BA656" s="48" t="inlineStr">
        <is>
          <t xml:space="preserve">Yes</t>
        </is>
      </c>
      <c r="BB656" s="48" t="inlineStr">
        <is>
          <t xml:space="preserve">Yes</t>
        </is>
      </c>
      <c r="BC656" s="46" t="inlineStr">
        <is>
          <t xml:space="preserve">Synthetic demo data</t>
        </is>
      </c>
      <c r="BE656" s="45">
        <f>IF(OR($A656="",$L656="",$H656=""),"",IF(AND(LEFT($L656,2)="06",$H656&gt;1945),"FAIL - pre-war class, year "&amp;$H656,IF(AND(LEFT($L656,2)="07",OR($H656&lt;1946,$H656&gt;1972)),"FAIL - 1946-72 class, year "&amp;$H656,IF(AND(LEFT($L656,2)="08",OR($H656&lt;1973,$H656&gt;1999)),"FAIL - 1973-99 class, year "&amp;$H656,IF(AND(LEFT($L656,2)="09",OR($H656&lt;2000,$H656&gt;2010)),"FAIL - 2000-10 class, year "&amp;$H656,"OK")))))</f>
      </c>
      <c r="BF656" s="45">
        <f>IF($AD656="","",IF(ROUND($AO656+$AP656+$AQ656-$AD656,2)=0,"OK","FAIL - out by "&amp;TEXT($AO656+$AP656+$AQ656-$AD656,"$0.00")))</f>
      </c>
    </row>
    <row r="657" spans="1:58" ht="18.75" customHeight="1" x14ac:dyDescent="0.25">
      <c r="A657" s="30" t="inlineStr">
        <is>
          <t xml:space="preserve">CANON-202607-010425</t>
        </is>
      </c>
      <c r="B657" s="30" t="inlineStr">
        <is>
          <t xml:space="preserve">Delphine Farkas</t>
        </is>
      </c>
      <c r="C657" s="31">
        <v>46217</v>
      </c>
      <c r="D657" s="32" t="inlineStr">
        <is>
          <t xml:space="preserve">Bound - within authority</t>
        </is>
      </c>
      <c r="E657" s="32" t="inlineStr">
        <is>
          <t xml:space="preserve">New business</t>
        </is>
      </c>
      <c r="F657" s="30" t="inlineStr">
        <is>
          <t xml:space="preserve">B1234EXOTIC26</t>
        </is>
      </c>
      <c r="G657" s="33">
        <f>IF($A657="","",IF($C657="","",YEAR($C657)))</f>
      </c>
      <c r="H657" s="34">
        <v>2002</v>
      </c>
      <c r="I657" s="30" t="inlineStr">
        <is>
          <t xml:space="preserve">Mercedes-Benz</t>
        </is>
      </c>
      <c r="J657" s="30" t="inlineStr">
        <is>
          <t xml:space="preserve">AMG GT</t>
        </is>
      </c>
      <c r="K657" s="30" t="inlineStr">
        <is>
          <t xml:space="preserve">CMVTCNDG0JWDYNA26</t>
        </is>
      </c>
      <c r="L657" s="32" t="inlineStr">
        <is>
          <t xml:space="preserve">02 - Sports / GT</t>
        </is>
      </c>
      <c r="M657" s="35">
        <v>275000</v>
      </c>
      <c r="N657" s="32" t="inlineStr">
        <is>
          <t xml:space="preserve">Personal</t>
        </is>
      </c>
      <c r="O657" s="30" t="inlineStr">
        <is>
          <t xml:space="preserve">Personal - regular use</t>
        </is>
      </c>
      <c r="P657" s="30" t="inlineStr">
        <is>
          <t xml:space="preserve">2,500 - 5,000</t>
        </is>
      </c>
      <c r="Q657" s="30" t="inlineStr">
        <is>
          <t xml:space="preserve">West Virginia</t>
        </is>
      </c>
      <c r="R657" s="30" t="inlineStr">
        <is>
          <t xml:space="preserve">25301</t>
        </is>
      </c>
      <c r="S657" s="32" t="inlineStr">
        <is>
          <t xml:space="preserve">Low hazard - inland benign</t>
        </is>
      </c>
      <c r="T657" s="36">
        <f>IF($A657="","",IF($S657="","",IFERROR(INDEX('[1]natural catastrophe'!$D$6:$D$17,MATCH($S657,'[1]natural catastrophe'!$B$6:$B$17,0)),"?")))</f>
      </c>
      <c r="U657" s="30" t="inlineStr">
        <is>
          <t xml:space="preserve">$5,000</t>
        </is>
      </c>
      <c r="V657" s="32" t="inlineStr">
        <is>
          <t xml:space="preserve">Agreed Value</t>
        </is>
      </c>
      <c r="W657" s="30" t="inlineStr">
        <is>
          <t xml:space="preserve">$1,000</t>
        </is>
      </c>
      <c r="X657" s="32" t="inlineStr">
        <is>
          <t xml:space="preserve">$1,000,000 CSL</t>
        </is>
      </c>
      <c r="Y657" s="30"/>
      <c r="Z657" s="30"/>
      <c r="AA657" s="32" t="inlineStr">
        <is>
          <t xml:space="preserve">Surplus Lines</t>
        </is>
      </c>
      <c r="AB657" s="35">
        <v>3938.72</v>
      </c>
      <c r="AC657" s="37">
        <v>0</v>
      </c>
      <c r="AD657" s="38">
        <f>IF(ISNUMBER($AB657),$AB657*(1+N($AC657)),"")</f>
      </c>
      <c r="AE657" s="35">
        <v>350</v>
      </c>
      <c r="AF657" s="35">
        <v>0</v>
      </c>
      <c r="AG657" s="37"/>
      <c r="AH657" s="39">
        <f>IF(ISNUMBER($AD657),($AD657+$AE657+$AF657)*$AG657,"")</f>
      </c>
      <c r="AI657" s="35"/>
      <c r="AJ657" s="38">
        <f>IF(ISNUMBER($AD657),SUM($AD657:$AH657),"")</f>
      </c>
      <c r="AK657" s="40">
        <f>IF(AND(ISNUMBER($AB657),ISNUMBER($AD657)),IF($AB657&gt;0,$AD657/$AB657,""),"")</f>
      </c>
      <c r="AL657" s="32" t="inlineStr">
        <is>
          <t xml:space="preserve">At technical</t>
        </is>
      </c>
      <c r="AM657" s="41">
        <f>IF(ISNUMBER($AD657),Header!$I$3,"")</f>
      </c>
      <c r="AN657" s="39">
        <f>IF(ISNUMBER($AD657),$AO657+$AP657,"")</f>
      </c>
      <c r="AO657" s="39">
        <f>IF(ISNUMBER($AD657),ROUND($AD657*Header!$K$3,2),"")</f>
      </c>
      <c r="AP657" s="39">
        <f>IF(ISNUMBER($AD657),ROUND($AD657*Header!$M$3,2),"")</f>
      </c>
      <c r="AQ657" s="38">
        <f>IF(ISNUMBER($AD657),ROUND($AD657,2)-$AO657-$AP657,"")</f>
      </c>
      <c r="AR657" s="39">
        <f>IF(ISNUMBER($AD657),IF(Header!$D$34="","?",$AD657*Header!$D$34),"")</f>
      </c>
      <c r="AS657" s="39">
        <f>IF(ISNUMBER($AB657),IF(Header!$D$34="","?",$AB657*Header!$D$34),"")</f>
      </c>
      <c r="AT657" s="42">
        <f>IF(AND(ISNUMBER($AB657),$M657&gt;0),$AB657/$M657*100,"")</f>
      </c>
      <c r="AU657" s="42">
        <f>IF(AND(ISNUMBER($AD657),$M657&gt;0),$AD657/$M657*100,"")</f>
      </c>
      <c r="AV657" s="40">
        <f>IF(AND(ISNUMBER($AB657),ISNUMBER($AD657),ABS($AB657)&gt;0),$AD657/$AB657,"")</f>
      </c>
      <c r="AW657" s="39">
        <f>IF(ISNUMBER($AD657),MAX(0,(1-0.55-Header!$O$3)*Header!$Q$3*$AQ657),"")</f>
      </c>
      <c r="AX657" s="43">
        <f>IF($A657="","",IF(TRIM(IF($A657="","Missing certificate ref. ","") &amp; IF($C657="","Missing effective date. ","") &amp; IF($D657="","Missing binding status. ","") &amp; IF($E657="","Missing movement type. ","") &amp; IF($I657="","Missing make. ","") &amp; IF($L657="","Missing vehicle class. ","") &amp; IF($M657="","Missing agreed value. ","") &amp; IF($N657="","Missing policy type. ","") &amp; IF($Q657="","Missing garaging state. ","") &amp; IF($R657="","Missing garaging ZIP. ","") &amp; IF($S657="","Missing cat zone. ","") &amp; IF($V657="","Missing valuation basis. ","") &amp; IF($W657="","Missing PD deductible. ","") &amp; IF($X657="","Missing liability limit. ","") &amp; IF($AB657="","Missing technical premium. ","") &amp; IF($AF657="","Missing surplus lines tax %. ",""))="","PASS","FAIL: "&amp;TRIM(IF($A657="","Missing certificate ref. ","") &amp; IF($C657="","Missing effective date. ","") &amp; IF($D657="","Missing binding status. ","") &amp; IF($E657="","Missing movement type. ","") &amp; IF($I657="","Missing make. ","") &amp; IF($L657="","Missing vehicle class. ","") &amp; IF($M657="","Missing agreed value. ","") &amp; IF($N657="","Missing policy type. ","") &amp; IF($Q657="","Missing garaging state. ","") &amp; IF($R657="","Missing garaging ZIP. ","") &amp; IF($S657="","Missing cat zone. ","") &amp; IF($V657="","Missing valuation basis. ","") &amp; IF($W657="","Missing PD deductible. ","") &amp; IF($X657="","Missing liability limit. ","") &amp; IF($AB657="","Missing technical premium. ","") &amp; IF($AF657="","Missing surplus lines tax %. ",""))))</f>
      </c>
      <c r="AY657" s="44">
        <f>IF($M657="","",IF(ISNUMBER($M657),IF($M657&gt;=Header!$C$18,"YES — refer","No"),""))</f>
      </c>
      <c r="AZ657" s="44">
        <f>IF($AD657="","",IF(ISNUMBER($AD657),IF($AD657&lt;Header!$C$20,"BELOW MIN PREMIUM","OK"),""))</f>
      </c>
      <c r="BA657" s="32" t="inlineStr">
        <is>
          <t xml:space="preserve">Yes</t>
        </is>
      </c>
      <c r="BB657" s="32" t="inlineStr">
        <is>
          <t xml:space="preserve">Yes</t>
        </is>
      </c>
      <c r="BC657" s="30" t="inlineStr">
        <is>
          <t xml:space="preserve">Synthetic demo data</t>
        </is>
      </c>
      <c r="BE657" s="45">
        <f>IF(OR($A657="",$L657="",$H657=""),"",IF(AND(LEFT($L657,2)="06",$H657&gt;1945),"FAIL - pre-war class, year "&amp;$H657,IF(AND(LEFT($L657,2)="07",OR($H657&lt;1946,$H657&gt;1972)),"FAIL - 1946-72 class, year "&amp;$H657,IF(AND(LEFT($L657,2)="08",OR($H657&lt;1973,$H657&gt;1999)),"FAIL - 1973-99 class, year "&amp;$H657,IF(AND(LEFT($L657,2)="09",OR($H657&lt;2000,$H657&gt;2010)),"FAIL - 2000-10 class, year "&amp;$H657,"OK")))))</f>
      </c>
      <c r="BF657" s="45">
        <f>IF($AD657="","",IF(ROUND($AO657+$AP657+$AQ657-$AD657,2)=0,"OK","FAIL - out by "&amp;TEXT($AO657+$AP657+$AQ657-$AD657,"$0.00")))</f>
      </c>
    </row>
    <row r="658" spans="1:58" ht="18.75" customHeight="1" x14ac:dyDescent="0.25">
      <c r="A658" s="46" t="inlineStr">
        <is>
          <t xml:space="preserve">CANON-202607-010426</t>
        </is>
      </c>
      <c r="B658" s="46" t="inlineStr">
        <is>
          <t xml:space="preserve">Desmond Pennington</t>
        </is>
      </c>
      <c r="C658" s="47">
        <v>46229</v>
      </c>
      <c r="D658" s="48" t="inlineStr">
        <is>
          <t xml:space="preserve">Bound - within authority</t>
        </is>
      </c>
      <c r="E658" s="48" t="inlineStr">
        <is>
          <t xml:space="preserve">New business</t>
        </is>
      </c>
      <c r="F658" s="46" t="inlineStr">
        <is>
          <t xml:space="preserve">B1234EXOTIC26</t>
        </is>
      </c>
      <c r="G658" s="33">
        <f>IF($A658="","",IF($C658="","",YEAR($C658)))</f>
      </c>
      <c r="H658" s="49">
        <v>2021</v>
      </c>
      <c r="I658" s="46" t="inlineStr">
        <is>
          <t xml:space="preserve">BMW</t>
        </is>
      </c>
      <c r="J658" s="46" t="inlineStr">
        <is>
          <t xml:space="preserve">M8 Competition</t>
        </is>
      </c>
      <c r="K658" s="46" t="inlineStr">
        <is>
          <t xml:space="preserve">GRFM3DC8MSMBWZL0F</t>
        </is>
      </c>
      <c r="L658" s="48" t="inlineStr">
        <is>
          <t xml:space="preserve">02 - Sports / GT</t>
        </is>
      </c>
      <c r="M658" s="50">
        <v>220000</v>
      </c>
      <c r="N658" s="48" t="inlineStr">
        <is>
          <t xml:space="preserve">Personal</t>
        </is>
      </c>
      <c r="O658" s="46" t="inlineStr">
        <is>
          <t xml:space="preserve">Personal - regular use</t>
        </is>
      </c>
      <c r="P658" s="46" t="inlineStr">
        <is>
          <t xml:space="preserve">1,000 - 2,500</t>
        </is>
      </c>
      <c r="Q658" s="46" t="inlineStr">
        <is>
          <t xml:space="preserve">Montana</t>
        </is>
      </c>
      <c r="R658" s="46" t="inlineStr">
        <is>
          <t xml:space="preserve">59601</t>
        </is>
      </c>
      <c r="S658" s="48" t="inlineStr">
        <is>
          <t xml:space="preserve">Wildfire - WUI high hazard</t>
        </is>
      </c>
      <c r="T658" s="36">
        <f>IF($A658="","",IF($S658="","",IFERROR(INDEX('[1]natural catastrophe'!$D$6:$D$17,MATCH($S658,'[1]natural catastrophe'!$B$6:$B$17,0)),"?")))</f>
      </c>
      <c r="U658" s="46" t="inlineStr">
        <is>
          <t xml:space="preserve">$5,000</t>
        </is>
      </c>
      <c r="V658" s="48" t="inlineStr">
        <is>
          <t xml:space="preserve">Agreed Value</t>
        </is>
      </c>
      <c r="W658" s="46" t="inlineStr">
        <is>
          <t xml:space="preserve">$1,000</t>
        </is>
      </c>
      <c r="X658" s="48" t="inlineStr">
        <is>
          <t xml:space="preserve">$1,000,000 CSL</t>
        </is>
      </c>
      <c r="Y658" s="46"/>
      <c r="Z658" s="46"/>
      <c r="AA658" s="48" t="inlineStr">
        <is>
          <t xml:space="preserve">Surplus Lines</t>
        </is>
      </c>
      <c r="AB658" s="50">
        <v>2702.73</v>
      </c>
      <c r="AC658" s="51">
        <v>0</v>
      </c>
      <c r="AD658" s="38">
        <f>IF(ISNUMBER($AB658),$AB658*(1+N($AC658)),"")</f>
      </c>
      <c r="AE658" s="50">
        <v>350</v>
      </c>
      <c r="AF658" s="50">
        <v>0</v>
      </c>
      <c r="AG658" s="51"/>
      <c r="AH658" s="39">
        <f>IF(ISNUMBER($AD658),($AD658+$AE658+$AF658)*$AG658,"")</f>
      </c>
      <c r="AI658" s="50"/>
      <c r="AJ658" s="38">
        <f>IF(ISNUMBER($AD658),SUM($AD658:$AH658),"")</f>
      </c>
      <c r="AK658" s="40">
        <f>IF(AND(ISNUMBER($AB658),ISNUMBER($AD658)),IF($AB658&gt;0,$AD658/$AB658,""),"")</f>
      </c>
      <c r="AL658" s="48" t="inlineStr">
        <is>
          <t xml:space="preserve">At technical</t>
        </is>
      </c>
      <c r="AM658" s="41">
        <f>IF(ISNUMBER($AD658),Header!$I$3,"")</f>
      </c>
      <c r="AN658" s="39">
        <f>IF(ISNUMBER($AD658),$AO658+$AP658,"")</f>
      </c>
      <c r="AO658" s="39">
        <f>IF(ISNUMBER($AD658),ROUND($AD658*Header!$K$3,2),"")</f>
      </c>
      <c r="AP658" s="39">
        <f>IF(ISNUMBER($AD658),ROUND($AD658*Header!$M$3,2),"")</f>
      </c>
      <c r="AQ658" s="38">
        <f>IF(ISNUMBER($AD658),ROUND($AD658,2)-$AO658-$AP658,"")</f>
      </c>
      <c r="AR658" s="39">
        <f>IF(ISNUMBER($AD658),IF(Header!$D$34="","?",$AD658*Header!$D$34),"")</f>
      </c>
      <c r="AS658" s="39">
        <f>IF(ISNUMBER($AB658),IF(Header!$D$34="","?",$AB658*Header!$D$34),"")</f>
      </c>
      <c r="AT658" s="42">
        <f>IF(AND(ISNUMBER($AB658),$M658&gt;0),$AB658/$M658*100,"")</f>
      </c>
      <c r="AU658" s="42">
        <f>IF(AND(ISNUMBER($AD658),$M658&gt;0),$AD658/$M658*100,"")</f>
      </c>
      <c r="AV658" s="40">
        <f>IF(AND(ISNUMBER($AB658),ISNUMBER($AD658),ABS($AB658)&gt;0),$AD658/$AB658,"")</f>
      </c>
      <c r="AW658" s="39">
        <f>IF(ISNUMBER($AD658),MAX(0,(1-0.55-Header!$O$3)*Header!$Q$3*$AQ658),"")</f>
      </c>
      <c r="AX658" s="43">
        <f>IF($A658="","",IF(TRIM(IF($A658="","Missing certificate ref. ","") &amp; IF($C658="","Missing effective date. ","") &amp; IF($D658="","Missing binding status. ","") &amp; IF($E658="","Missing movement type. ","") &amp; IF($I658="","Missing make. ","") &amp; IF($L658="","Missing vehicle class. ","") &amp; IF($M658="","Missing agreed value. ","") &amp; IF($N658="","Missing policy type. ","") &amp; IF($Q658="","Missing garaging state. ","") &amp; IF($R658="","Missing garaging ZIP. ","") &amp; IF($S658="","Missing cat zone. ","") &amp; IF($V658="","Missing valuation basis. ","") &amp; IF($W658="","Missing PD deductible. ","") &amp; IF($X658="","Missing liability limit. ","") &amp; IF($AB658="","Missing technical premium. ","") &amp; IF($AF658="","Missing surplus lines tax %. ",""))="","PASS","FAIL: "&amp;TRIM(IF($A658="","Missing certificate ref. ","") &amp; IF($C658="","Missing effective date. ","") &amp; IF($D658="","Missing binding status. ","") &amp; IF($E658="","Missing movement type. ","") &amp; IF($I658="","Missing make. ","") &amp; IF($L658="","Missing vehicle class. ","") &amp; IF($M658="","Missing agreed value. ","") &amp; IF($N658="","Missing policy type. ","") &amp; IF($Q658="","Missing garaging state. ","") &amp; IF($R658="","Missing garaging ZIP. ","") &amp; IF($S658="","Missing cat zone. ","") &amp; IF($V658="","Missing valuation basis. ","") &amp; IF($W658="","Missing PD deductible. ","") &amp; IF($X658="","Missing liability limit. ","") &amp; IF($AB658="","Missing technical premium. ","") &amp; IF($AF658="","Missing surplus lines tax %. ",""))))</f>
      </c>
      <c r="AY658" s="44">
        <f>IF($M658="","",IF(ISNUMBER($M658),IF($M658&gt;=Header!$C$18,"YES — refer","No"),""))</f>
      </c>
      <c r="AZ658" s="44">
        <f>IF($AD658="","",IF(ISNUMBER($AD658),IF($AD658&lt;Header!$C$20,"BELOW MIN PREMIUM","OK"),""))</f>
      </c>
      <c r="BA658" s="48" t="inlineStr">
        <is>
          <t xml:space="preserve">Yes</t>
        </is>
      </c>
      <c r="BB658" s="48" t="inlineStr">
        <is>
          <t xml:space="preserve">Yes</t>
        </is>
      </c>
      <c r="BC658" s="46" t="inlineStr">
        <is>
          <t xml:space="preserve">Synthetic demo data</t>
        </is>
      </c>
      <c r="BE658" s="45">
        <f>IF(OR($A658="",$L658="",$H658=""),"",IF(AND(LEFT($L658,2)="06",$H658&gt;1945),"FAIL - pre-war class, year "&amp;$H658,IF(AND(LEFT($L658,2)="07",OR($H658&lt;1946,$H658&gt;1972)),"FAIL - 1946-72 class, year "&amp;$H658,IF(AND(LEFT($L658,2)="08",OR($H658&lt;1973,$H658&gt;1999)),"FAIL - 1973-99 class, year "&amp;$H658,IF(AND(LEFT($L658,2)="09",OR($H658&lt;2000,$H658&gt;2010)),"FAIL - 2000-10 class, year "&amp;$H658,"OK")))))</f>
      </c>
      <c r="BF658" s="45">
        <f>IF($AD658="","",IF(ROUND($AO658+$AP658+$AQ658-$AD658,2)=0,"OK","FAIL - out by "&amp;TEXT($AO658+$AP658+$AQ658-$AD658,"$0.00")))</f>
      </c>
    </row>
    <row r="659" spans="1:58" ht="18.75" customHeight="1" x14ac:dyDescent="0.25">
      <c r="A659" s="30" t="inlineStr">
        <is>
          <t xml:space="preserve">CANON-202607-010427</t>
        </is>
      </c>
      <c r="B659" s="30" t="inlineStr">
        <is>
          <t xml:space="preserve">Leopold Rourke</t>
        </is>
      </c>
      <c r="C659" s="31">
        <v>46229</v>
      </c>
      <c r="D659" s="32" t="inlineStr">
        <is>
          <t xml:space="preserve">Bound - within authority</t>
        </is>
      </c>
      <c r="E659" s="32" t="inlineStr">
        <is>
          <t xml:space="preserve">New business</t>
        </is>
      </c>
      <c r="F659" s="30" t="inlineStr">
        <is>
          <t xml:space="preserve">B1234EXOTIC26</t>
        </is>
      </c>
      <c r="G659" s="33">
        <f>IF($A659="","",IF($C659="","",YEAR($C659)))</f>
      </c>
      <c r="H659" s="34">
        <v>1970</v>
      </c>
      <c r="I659" s="30" t="inlineStr">
        <is>
          <t xml:space="preserve">Aston Martin</t>
        </is>
      </c>
      <c r="J659" s="30" t="inlineStr">
        <is>
          <t xml:space="preserve">DB12</t>
        </is>
      </c>
      <c r="K659" s="30" t="inlineStr">
        <is>
          <t xml:space="preserve">HMTU9W6DN19H0N3M8</t>
        </is>
      </c>
      <c r="L659" s="32" t="inlineStr">
        <is>
          <t xml:space="preserve">02 - Sports / GT</t>
        </is>
      </c>
      <c r="M659" s="35">
        <v>1110000</v>
      </c>
      <c r="N659" s="32" t="inlineStr">
        <is>
          <t xml:space="preserve">Personal</t>
        </is>
      </c>
      <c r="O659" s="30" t="inlineStr">
        <is>
          <t xml:space="preserve">Personal - regular use</t>
        </is>
      </c>
      <c r="P659" s="30" t="inlineStr">
        <is>
          <t xml:space="preserve">2,500 - 5,000</t>
        </is>
      </c>
      <c r="Q659" s="30" t="inlineStr">
        <is>
          <t xml:space="preserve">Idaho</t>
        </is>
      </c>
      <c r="R659" s="30" t="inlineStr">
        <is>
          <t xml:space="preserve">83702</t>
        </is>
      </c>
      <c r="S659" s="32" t="inlineStr">
        <is>
          <t xml:space="preserve">Wildfire - WUI high hazard</t>
        </is>
      </c>
      <c r="T659" s="36">
        <f>IF($A659="","",IF($S659="","",IFERROR(INDEX('[1]natural catastrophe'!$D$6:$D$17,MATCH($S659,'[1]natural catastrophe'!$B$6:$B$17,0)),"?")))</f>
      </c>
      <c r="U659" s="30" t="inlineStr">
        <is>
          <t xml:space="preserve">$5,000</t>
        </is>
      </c>
      <c r="V659" s="32" t="inlineStr">
        <is>
          <t xml:space="preserve">Agreed Value</t>
        </is>
      </c>
      <c r="W659" s="30" t="inlineStr">
        <is>
          <t xml:space="preserve">$1,000</t>
        </is>
      </c>
      <c r="X659" s="32" t="inlineStr">
        <is>
          <t xml:space="preserve">$1,000,000 CSL</t>
        </is>
      </c>
      <c r="Y659" s="30"/>
      <c r="Z659" s="30"/>
      <c r="AA659" s="32" t="inlineStr">
        <is>
          <t xml:space="preserve">Surplus Lines</t>
        </is>
      </c>
      <c r="AB659" s="35">
        <v>8678.2</v>
      </c>
      <c r="AC659" s="37">
        <v>0</v>
      </c>
      <c r="AD659" s="38">
        <f>IF(ISNUMBER($AB659),$AB659*(1+N($AC659)),"")</f>
      </c>
      <c r="AE659" s="35">
        <v>350</v>
      </c>
      <c r="AF659" s="35">
        <v>250</v>
      </c>
      <c r="AG659" s="37"/>
      <c r="AH659" s="39">
        <f>IF(ISNUMBER($AD659),($AD659+$AE659+$AF659)*$AG659,"")</f>
      </c>
      <c r="AI659" s="35"/>
      <c r="AJ659" s="38">
        <f>IF(ISNUMBER($AD659),SUM($AD659:$AH659),"")</f>
      </c>
      <c r="AK659" s="40">
        <f>IF(AND(ISNUMBER($AB659),ISNUMBER($AD659)),IF($AB659&gt;0,$AD659/$AB659,""),"")</f>
      </c>
      <c r="AL659" s="32" t="inlineStr">
        <is>
          <t xml:space="preserve">At technical</t>
        </is>
      </c>
      <c r="AM659" s="41">
        <f>IF(ISNUMBER($AD659),Header!$I$3,"")</f>
      </c>
      <c r="AN659" s="39">
        <f>IF(ISNUMBER($AD659),$AO659+$AP659,"")</f>
      </c>
      <c r="AO659" s="39">
        <f>IF(ISNUMBER($AD659),ROUND($AD659*Header!$K$3,2),"")</f>
      </c>
      <c r="AP659" s="39">
        <f>IF(ISNUMBER($AD659),ROUND($AD659*Header!$M$3,2),"")</f>
      </c>
      <c r="AQ659" s="38">
        <f>IF(ISNUMBER($AD659),ROUND($AD659,2)-$AO659-$AP659,"")</f>
      </c>
      <c r="AR659" s="39">
        <f>IF(ISNUMBER($AD659),IF(Header!$D$34="","?",$AD659*Header!$D$34),"")</f>
      </c>
      <c r="AS659" s="39">
        <f>IF(ISNUMBER($AB659),IF(Header!$D$34="","?",$AB659*Header!$D$34),"")</f>
      </c>
      <c r="AT659" s="42">
        <f>IF(AND(ISNUMBER($AB659),$M659&gt;0),$AB659/$M659*100,"")</f>
      </c>
      <c r="AU659" s="42">
        <f>IF(AND(ISNUMBER($AD659),$M659&gt;0),$AD659/$M659*100,"")</f>
      </c>
      <c r="AV659" s="40">
        <f>IF(AND(ISNUMBER($AB659),ISNUMBER($AD659),ABS($AB659)&gt;0),$AD659/$AB659,"")</f>
      </c>
      <c r="AW659" s="39">
        <f>IF(ISNUMBER($AD659),MAX(0,(1-0.55-Header!$O$3)*Header!$Q$3*$AQ659),"")</f>
      </c>
      <c r="AX659" s="43">
        <f>IF($A659="","",IF(TRIM(IF($A659="","Missing certificate ref. ","") &amp; IF($C659="","Missing effective date. ","") &amp; IF($D659="","Missing binding status. ","") &amp; IF($E659="","Missing movement type. ","") &amp; IF($I659="","Missing make. ","") &amp; IF($L659="","Missing vehicle class. ","") &amp; IF($M659="","Missing agreed value. ","") &amp; IF($N659="","Missing policy type. ","") &amp; IF($Q659="","Missing garaging state. ","") &amp; IF($R659="","Missing garaging ZIP. ","") &amp; IF($S659="","Missing cat zone. ","") &amp; IF($V659="","Missing valuation basis. ","") &amp; IF($W659="","Missing PD deductible. ","") &amp; IF($X659="","Missing liability limit. ","") &amp; IF($AB659="","Missing technical premium. ","") &amp; IF($AF659="","Missing surplus lines tax %. ",""))="","PASS","FAIL: "&amp;TRIM(IF($A659="","Missing certificate ref. ","") &amp; IF($C659="","Missing effective date. ","") &amp; IF($D659="","Missing binding status. ","") &amp; IF($E659="","Missing movement type. ","") &amp; IF($I659="","Missing make. ","") &amp; IF($L659="","Missing vehicle class. ","") &amp; IF($M659="","Missing agreed value. ","") &amp; IF($N659="","Missing policy type. ","") &amp; IF($Q659="","Missing garaging state. ","") &amp; IF($R659="","Missing garaging ZIP. ","") &amp; IF($S659="","Missing cat zone. ","") &amp; IF($V659="","Missing valuation basis. ","") &amp; IF($W659="","Missing PD deductible. ","") &amp; IF($X659="","Missing liability limit. ","") &amp; IF($AB659="","Missing technical premium. ","") &amp; IF($AF659="","Missing surplus lines tax %. ",""))))</f>
      </c>
      <c r="AY659" s="44">
        <f>IF($M659="","",IF(ISNUMBER($M659),IF($M659&gt;=Header!$C$18,"YES — refer","No"),""))</f>
      </c>
      <c r="AZ659" s="44">
        <f>IF($AD659="","",IF(ISNUMBER($AD659),IF($AD659&lt;Header!$C$20,"BELOW MIN PREMIUM","OK"),""))</f>
      </c>
      <c r="BA659" s="32" t="inlineStr">
        <is>
          <t xml:space="preserve">Yes</t>
        </is>
      </c>
      <c r="BB659" s="32" t="inlineStr">
        <is>
          <t xml:space="preserve">Yes</t>
        </is>
      </c>
      <c r="BC659" s="30" t="inlineStr">
        <is>
          <t xml:space="preserve">Synthetic demo data</t>
        </is>
      </c>
      <c r="BE659" s="45">
        <f>IF(OR($A659="",$L659="",$H659=""),"",IF(AND(LEFT($L659,2)="06",$H659&gt;1945),"FAIL - pre-war class, year "&amp;$H659,IF(AND(LEFT($L659,2)="07",OR($H659&lt;1946,$H659&gt;1972)),"FAIL - 1946-72 class, year "&amp;$H659,IF(AND(LEFT($L659,2)="08",OR($H659&lt;1973,$H659&gt;1999)),"FAIL - 1973-99 class, year "&amp;$H659,IF(AND(LEFT($L659,2)="09",OR($H659&lt;2000,$H659&gt;2010)),"FAIL - 2000-10 class, year "&amp;$H659,"OK")))))</f>
      </c>
      <c r="BF659" s="45">
        <f>IF($AD659="","",IF(ROUND($AO659+$AP659+$AQ659-$AD659,2)=0,"OK","FAIL - out by "&amp;TEXT($AO659+$AP659+$AQ659-$AD659,"$0.00")))</f>
      </c>
    </row>
    <row r="660" spans="1:58" ht="18.75" customHeight="1" x14ac:dyDescent="0.25">
      <c r="A660" s="46" t="inlineStr">
        <is>
          <t xml:space="preserve">CANON-202607-010428</t>
        </is>
      </c>
      <c r="B660" s="46" t="inlineStr">
        <is>
          <t xml:space="preserve">Ingrid Vasquez</t>
        </is>
      </c>
      <c r="C660" s="47">
        <v>46213</v>
      </c>
      <c r="D660" s="48" t="inlineStr">
        <is>
          <t xml:space="preserve">Bound - within authority</t>
        </is>
      </c>
      <c r="E660" s="48" t="inlineStr">
        <is>
          <t xml:space="preserve">New business</t>
        </is>
      </c>
      <c r="F660" s="46" t="inlineStr">
        <is>
          <t xml:space="preserve">B1234EXOTIC26</t>
        </is>
      </c>
      <c r="G660" s="33">
        <f>IF($A660="","",IF($C660="","",YEAR($C660)))</f>
      </c>
      <c r="H660" s="49">
        <v>2015</v>
      </c>
      <c r="I660" s="46" t="inlineStr">
        <is>
          <t xml:space="preserve">McLaren</t>
        </is>
      </c>
      <c r="J660" s="46" t="inlineStr">
        <is>
          <t xml:space="preserve">750S</t>
        </is>
      </c>
      <c r="K660" s="46" t="inlineStr">
        <is>
          <t xml:space="preserve">D4RF2UDPB4M8WGD8M</t>
        </is>
      </c>
      <c r="L660" s="48" t="inlineStr">
        <is>
          <t xml:space="preserve">03 - Supercar</t>
        </is>
      </c>
      <c r="M660" s="50">
        <v>740000</v>
      </c>
      <c r="N660" s="48" t="inlineStr">
        <is>
          <t xml:space="preserve">Personal</t>
        </is>
      </c>
      <c r="O660" s="46" t="inlineStr">
        <is>
          <t xml:space="preserve">Personal - regular use</t>
        </is>
      </c>
      <c r="P660" s="46" t="inlineStr">
        <is>
          <t xml:space="preserve">2,500 - 5,000</t>
        </is>
      </c>
      <c r="Q660" s="46" t="inlineStr">
        <is>
          <t xml:space="preserve">New Hampshire</t>
        </is>
      </c>
      <c r="R660" s="46" t="inlineStr">
        <is>
          <t xml:space="preserve">03301</t>
        </is>
      </c>
      <c r="S660" s="48" t="inlineStr">
        <is>
          <t xml:space="preserve">Tier 3 - Coastal wind (25-100 miles)</t>
        </is>
      </c>
      <c r="T660" s="36">
        <f>IF($A660="","",IF($S660="","",IFERROR(INDEX('[1]natural catastrophe'!$D$6:$D$17,MATCH($S660,'[1]natural catastrophe'!$B$6:$B$17,0)),"?")))</f>
      </c>
      <c r="U660" s="46" t="inlineStr">
        <is>
          <t xml:space="preserve">2% of agreed value, minimum $10,000</t>
        </is>
      </c>
      <c r="V660" s="48" t="inlineStr">
        <is>
          <t xml:space="preserve">Agreed Value</t>
        </is>
      </c>
      <c r="W660" s="46" t="inlineStr">
        <is>
          <t xml:space="preserve">$1,000</t>
        </is>
      </c>
      <c r="X660" s="48" t="inlineStr">
        <is>
          <t xml:space="preserve">$1,000,000 CSL</t>
        </is>
      </c>
      <c r="Y660" s="46"/>
      <c r="Z660" s="46"/>
      <c r="AA660" s="48" t="inlineStr">
        <is>
          <t xml:space="preserve">Surplus Lines</t>
        </is>
      </c>
      <c r="AB660" s="50">
        <v>10497.78</v>
      </c>
      <c r="AC660" s="51">
        <v>0</v>
      </c>
      <c r="AD660" s="38">
        <f>IF(ISNUMBER($AB660),$AB660*(1+N($AC660)),"")</f>
      </c>
      <c r="AE660" s="50">
        <v>350</v>
      </c>
      <c r="AF660" s="50">
        <v>0</v>
      </c>
      <c r="AG660" s="51"/>
      <c r="AH660" s="39">
        <f>IF(ISNUMBER($AD660),($AD660+$AE660+$AF660)*$AG660,"")</f>
      </c>
      <c r="AI660" s="50"/>
      <c r="AJ660" s="38">
        <f>IF(ISNUMBER($AD660),SUM($AD660:$AH660),"")</f>
      </c>
      <c r="AK660" s="40">
        <f>IF(AND(ISNUMBER($AB660),ISNUMBER($AD660)),IF($AB660&gt;0,$AD660/$AB660,""),"")</f>
      </c>
      <c r="AL660" s="48" t="inlineStr">
        <is>
          <t xml:space="preserve">At technical</t>
        </is>
      </c>
      <c r="AM660" s="41">
        <f>IF(ISNUMBER($AD660),Header!$I$3,"")</f>
      </c>
      <c r="AN660" s="39">
        <f>IF(ISNUMBER($AD660),$AO660+$AP660,"")</f>
      </c>
      <c r="AO660" s="39">
        <f>IF(ISNUMBER($AD660),ROUND($AD660*Header!$K$3,2),"")</f>
      </c>
      <c r="AP660" s="39">
        <f>IF(ISNUMBER($AD660),ROUND($AD660*Header!$M$3,2),"")</f>
      </c>
      <c r="AQ660" s="38">
        <f>IF(ISNUMBER($AD660),ROUND($AD660,2)-$AO660-$AP660,"")</f>
      </c>
      <c r="AR660" s="39">
        <f>IF(ISNUMBER($AD660),IF(Header!$D$34="","?",$AD660*Header!$D$34),"")</f>
      </c>
      <c r="AS660" s="39">
        <f>IF(ISNUMBER($AB660),IF(Header!$D$34="","?",$AB660*Header!$D$34),"")</f>
      </c>
      <c r="AT660" s="42">
        <f>IF(AND(ISNUMBER($AB660),$M660&gt;0),$AB660/$M660*100,"")</f>
      </c>
      <c r="AU660" s="42">
        <f>IF(AND(ISNUMBER($AD660),$M660&gt;0),$AD660/$M660*100,"")</f>
      </c>
      <c r="AV660" s="40">
        <f>IF(AND(ISNUMBER($AB660),ISNUMBER($AD660),ABS($AB660)&gt;0),$AD660/$AB660,"")</f>
      </c>
      <c r="AW660" s="39">
        <f>IF(ISNUMBER($AD660),MAX(0,(1-0.55-Header!$O$3)*Header!$Q$3*$AQ660),"")</f>
      </c>
      <c r="AX660" s="43">
        <f>IF($A660="","",IF(TRIM(IF($A660="","Missing certificate ref. ","") &amp; IF($C660="","Missing effective date. ","") &amp; IF($D660="","Missing binding status. ","") &amp; IF($E660="","Missing movement type. ","") &amp; IF($I660="","Missing make. ","") &amp; IF($L660="","Missing vehicle class. ","") &amp; IF($M660="","Missing agreed value. ","") &amp; IF($N660="","Missing policy type. ","") &amp; IF($Q660="","Missing garaging state. ","") &amp; IF($R660="","Missing garaging ZIP. ","") &amp; IF($S660="","Missing cat zone. ","") &amp; IF($V660="","Missing valuation basis. ","") &amp; IF($W660="","Missing PD deductible. ","") &amp; IF($X660="","Missing liability limit. ","") &amp; IF($AB660="","Missing technical premium. ","") &amp; IF($AF660="","Missing surplus lines tax %. ",""))="","PASS","FAIL: "&amp;TRIM(IF($A660="","Missing certificate ref. ","") &amp; IF($C660="","Missing effective date. ","") &amp; IF($D660="","Missing binding status. ","") &amp; IF($E660="","Missing movement type. ","") &amp; IF($I660="","Missing make. ","") &amp; IF($L660="","Missing vehicle class. ","") &amp; IF($M660="","Missing agreed value. ","") &amp; IF($N660="","Missing policy type. ","") &amp; IF($Q660="","Missing garaging state. ","") &amp; IF($R660="","Missing garaging ZIP. ","") &amp; IF($S660="","Missing cat zone. ","") &amp; IF($V660="","Missing valuation basis. ","") &amp; IF($W660="","Missing PD deductible. ","") &amp; IF($X660="","Missing liability limit. ","") &amp; IF($AB660="","Missing technical premium. ","") &amp; IF($AF660="","Missing surplus lines tax %. ",""))))</f>
      </c>
      <c r="AY660" s="44">
        <f>IF($M660="","",IF(ISNUMBER($M660),IF($M660&gt;=Header!$C$18,"YES — refer","No"),""))</f>
      </c>
      <c r="AZ660" s="44">
        <f>IF($AD660="","",IF(ISNUMBER($AD660),IF($AD660&lt;Header!$C$20,"BELOW MIN PREMIUM","OK"),""))</f>
      </c>
      <c r="BA660" s="48" t="inlineStr">
        <is>
          <t xml:space="preserve">Yes</t>
        </is>
      </c>
      <c r="BB660" s="48" t="inlineStr">
        <is>
          <t xml:space="preserve">Yes</t>
        </is>
      </c>
      <c r="BC660" s="46" t="inlineStr">
        <is>
          <t xml:space="preserve">Synthetic demo data</t>
        </is>
      </c>
      <c r="BE660" s="45">
        <f>IF(OR($A660="",$L660="",$H660=""),"",IF(AND(LEFT($L660,2)="06",$H660&gt;1945),"FAIL - pre-war class, year "&amp;$H660,IF(AND(LEFT($L660,2)="07",OR($H660&lt;1946,$H660&gt;1972)),"FAIL - 1946-72 class, year "&amp;$H660,IF(AND(LEFT($L660,2)="08",OR($H660&lt;1973,$H660&gt;1999)),"FAIL - 1973-99 class, year "&amp;$H660,IF(AND(LEFT($L660,2)="09",OR($H660&lt;2000,$H660&gt;2010)),"FAIL - 2000-10 class, year "&amp;$H660,"OK")))))</f>
      </c>
      <c r="BF660" s="45">
        <f>IF($AD660="","",IF(ROUND($AO660+$AP660+$AQ660-$AD660,2)=0,"OK","FAIL - out by "&amp;TEXT($AO660+$AP660+$AQ660-$AD660,"$0.00")))</f>
      </c>
    </row>
    <row r="661" spans="1:58" ht="18.75" customHeight="1" x14ac:dyDescent="0.25">
      <c r="A661" s="30" t="inlineStr">
        <is>
          <t xml:space="preserve">CANON-202607-010430</t>
        </is>
      </c>
      <c r="B661" s="30" t="inlineStr">
        <is>
          <t xml:space="preserve">Saoirse Vandermeer</t>
        </is>
      </c>
      <c r="C661" s="31">
        <v>46205</v>
      </c>
      <c r="D661" s="32" t="inlineStr">
        <is>
          <t xml:space="preserve">Bound - within authority</t>
        </is>
      </c>
      <c r="E661" s="32" t="inlineStr">
        <is>
          <t xml:space="preserve">New business</t>
        </is>
      </c>
      <c r="F661" s="30" t="inlineStr">
        <is>
          <t xml:space="preserve">B1234EXOTIC26</t>
        </is>
      </c>
      <c r="G661" s="33">
        <f>IF($A661="","",IF($C661="","",YEAR($C661)))</f>
      </c>
      <c r="H661" s="34">
        <v>1964</v>
      </c>
      <c r="I661" s="30" t="inlineStr">
        <is>
          <t xml:space="preserve">Mercedes-Benz</t>
        </is>
      </c>
      <c r="J661" s="30" t="inlineStr">
        <is>
          <t xml:space="preserve">AMG GT</t>
        </is>
      </c>
      <c r="K661" s="30" t="inlineStr">
        <is>
          <t xml:space="preserve">GV5SRMBPPUH6GS282</t>
        </is>
      </c>
      <c r="L661" s="32" t="inlineStr">
        <is>
          <t xml:space="preserve">02 - Sports / GT</t>
        </is>
      </c>
      <c r="M661" s="35">
        <v>455000</v>
      </c>
      <c r="N661" s="32" t="inlineStr">
        <is>
          <t xml:space="preserve">Personal</t>
        </is>
      </c>
      <c r="O661" s="30" t="inlineStr">
        <is>
          <t xml:space="preserve">Personal - regular use</t>
        </is>
      </c>
      <c r="P661" s="30" t="inlineStr">
        <is>
          <t xml:space="preserve">2,500 - 5,000</t>
        </is>
      </c>
      <c r="Q661" s="30" t="inlineStr">
        <is>
          <t xml:space="preserve">New Mexico</t>
        </is>
      </c>
      <c r="R661" s="30" t="inlineStr">
        <is>
          <t xml:space="preserve">87501</t>
        </is>
      </c>
      <c r="S661" s="32" t="inlineStr">
        <is>
          <t xml:space="preserve">Wildfire - WUI high hazard</t>
        </is>
      </c>
      <c r="T661" s="36">
        <f>IF($A661="","",IF($S661="","",IFERROR(INDEX('[1]natural catastrophe'!$D$6:$D$17,MATCH($S661,'[1]natural catastrophe'!$B$6:$B$17,0)),"?")))</f>
      </c>
      <c r="U661" s="30" t="inlineStr">
        <is>
          <t xml:space="preserve">$5,000</t>
        </is>
      </c>
      <c r="V661" s="32" t="inlineStr">
        <is>
          <t xml:space="preserve">Agreed Value</t>
        </is>
      </c>
      <c r="W661" s="30" t="inlineStr">
        <is>
          <t xml:space="preserve">$1,000</t>
        </is>
      </c>
      <c r="X661" s="32" t="inlineStr">
        <is>
          <t xml:space="preserve">$1,000,000 CSL</t>
        </is>
      </c>
      <c r="Y661" s="30"/>
      <c r="Z661" s="30"/>
      <c r="AA661" s="32" t="inlineStr">
        <is>
          <t xml:space="preserve">Surplus Lines</t>
        </is>
      </c>
      <c r="AB661" s="35">
        <v>6271.79</v>
      </c>
      <c r="AC661" s="37">
        <v>0</v>
      </c>
      <c r="AD661" s="38">
        <f>IF(ISNUMBER($AB661),$AB661*(1+N($AC661)),"")</f>
      </c>
      <c r="AE661" s="35">
        <v>350</v>
      </c>
      <c r="AF661" s="35">
        <v>0</v>
      </c>
      <c r="AG661" s="37"/>
      <c r="AH661" s="39">
        <f>IF(ISNUMBER($AD661),($AD661+$AE661+$AF661)*$AG661,"")</f>
      </c>
      <c r="AI661" s="35"/>
      <c r="AJ661" s="38">
        <f>IF(ISNUMBER($AD661),SUM($AD661:$AH661),"")</f>
      </c>
      <c r="AK661" s="40">
        <f>IF(AND(ISNUMBER($AB661),ISNUMBER($AD661)),IF($AB661&gt;0,$AD661/$AB661,""),"")</f>
      </c>
      <c r="AL661" s="32" t="inlineStr">
        <is>
          <t xml:space="preserve">At technical</t>
        </is>
      </c>
      <c r="AM661" s="41">
        <f>IF(ISNUMBER($AD661),Header!$I$3,"")</f>
      </c>
      <c r="AN661" s="39">
        <f>IF(ISNUMBER($AD661),$AO661+$AP661,"")</f>
      </c>
      <c r="AO661" s="39">
        <f>IF(ISNUMBER($AD661),ROUND($AD661*Header!$K$3,2),"")</f>
      </c>
      <c r="AP661" s="39">
        <f>IF(ISNUMBER($AD661),ROUND($AD661*Header!$M$3,2),"")</f>
      </c>
      <c r="AQ661" s="38">
        <f>IF(ISNUMBER($AD661),ROUND($AD661,2)-$AO661-$AP661,"")</f>
      </c>
      <c r="AR661" s="39">
        <f>IF(ISNUMBER($AD661),IF(Header!$D$34="","?",$AD661*Header!$D$34),"")</f>
      </c>
      <c r="AS661" s="39">
        <f>IF(ISNUMBER($AB661),IF(Header!$D$34="","?",$AB661*Header!$D$34),"")</f>
      </c>
      <c r="AT661" s="42">
        <f>IF(AND(ISNUMBER($AB661),$M661&gt;0),$AB661/$M661*100,"")</f>
      </c>
      <c r="AU661" s="42">
        <f>IF(AND(ISNUMBER($AD661),$M661&gt;0),$AD661/$M661*100,"")</f>
      </c>
      <c r="AV661" s="40">
        <f>IF(AND(ISNUMBER($AB661),ISNUMBER($AD661),ABS($AB661)&gt;0),$AD661/$AB661,"")</f>
      </c>
      <c r="AW661" s="39">
        <f>IF(ISNUMBER($AD661),MAX(0,(1-0.55-Header!$O$3)*Header!$Q$3*$AQ661),"")</f>
      </c>
      <c r="AX661" s="43">
        <f>IF($A661="","",IF(TRIM(IF($A661="","Missing certificate ref. ","") &amp; IF($C661="","Missing effective date. ","") &amp; IF($D661="","Missing binding status. ","") &amp; IF($E661="","Missing movement type. ","") &amp; IF($I661="","Missing make. ","") &amp; IF($L661="","Missing vehicle class. ","") &amp; IF($M661="","Missing agreed value. ","") &amp; IF($N661="","Missing policy type. ","") &amp; IF($Q661="","Missing garaging state. ","") &amp; IF($R661="","Missing garaging ZIP. ","") &amp; IF($S661="","Missing cat zone. ","") &amp; IF($V661="","Missing valuation basis. ","") &amp; IF($W661="","Missing PD deductible. ","") &amp; IF($X661="","Missing liability limit. ","") &amp; IF($AB661="","Missing technical premium. ","") &amp; IF($AF661="","Missing surplus lines tax %. ",""))="","PASS","FAIL: "&amp;TRIM(IF($A661="","Missing certificate ref. ","") &amp; IF($C661="","Missing effective date. ","") &amp; IF($D661="","Missing binding status. ","") &amp; IF($E661="","Missing movement type. ","") &amp; IF($I661="","Missing make. ","") &amp; IF($L661="","Missing vehicle class. ","") &amp; IF($M661="","Missing agreed value. ","") &amp; IF($N661="","Missing policy type. ","") &amp; IF($Q661="","Missing garaging state. ","") &amp; IF($R661="","Missing garaging ZIP. ","") &amp; IF($S661="","Missing cat zone. ","") &amp; IF($V661="","Missing valuation basis. ","") &amp; IF($W661="","Missing PD deductible. ","") &amp; IF($X661="","Missing liability limit. ","") &amp; IF($AB661="","Missing technical premium. ","") &amp; IF($AF661="","Missing surplus lines tax %. ",""))))</f>
      </c>
      <c r="AY661" s="44">
        <f>IF($M661="","",IF(ISNUMBER($M661),IF($M661&gt;=Header!$C$18,"YES — refer","No"),""))</f>
      </c>
      <c r="AZ661" s="44">
        <f>IF($AD661="","",IF(ISNUMBER($AD661),IF($AD661&lt;Header!$C$20,"BELOW MIN PREMIUM","OK"),""))</f>
      </c>
      <c r="BA661" s="32" t="inlineStr">
        <is>
          <t xml:space="preserve">Yes</t>
        </is>
      </c>
      <c r="BB661" s="32" t="inlineStr">
        <is>
          <t xml:space="preserve">Yes</t>
        </is>
      </c>
      <c r="BC661" s="30" t="inlineStr">
        <is>
          <t xml:space="preserve">Synthetic demo data</t>
        </is>
      </c>
      <c r="BE661" s="45">
        <f>IF(OR($A661="",$L661="",$H661=""),"",IF(AND(LEFT($L661,2)="06",$H661&gt;1945),"FAIL - pre-war class, year "&amp;$H661,IF(AND(LEFT($L661,2)="07",OR($H661&lt;1946,$H661&gt;1972)),"FAIL - 1946-72 class, year "&amp;$H661,IF(AND(LEFT($L661,2)="08",OR($H661&lt;1973,$H661&gt;1999)),"FAIL - 1973-99 class, year "&amp;$H661,IF(AND(LEFT($L661,2)="09",OR($H661&lt;2000,$H661&gt;2010)),"FAIL - 2000-10 class, year "&amp;$H661,"OK")))))</f>
      </c>
      <c r="BF661" s="45">
        <f>IF($AD661="","",IF(ROUND($AO661+$AP661+$AQ661-$AD661,2)=0,"OK","FAIL - out by "&amp;TEXT($AO661+$AP661+$AQ661-$AD661,"$0.00")))</f>
      </c>
    </row>
    <row r="662" spans="1:58" ht="18.75" customHeight="1" x14ac:dyDescent="0.25">
      <c r="A662" s="46" t="inlineStr">
        <is>
          <t xml:space="preserve">CANON-202607-010431</t>
        </is>
      </c>
      <c r="B662" s="46" t="inlineStr">
        <is>
          <t xml:space="preserve">Sunniva Nakashima</t>
        </is>
      </c>
      <c r="C662" s="47">
        <v>46208</v>
      </c>
      <c r="D662" s="48" t="inlineStr">
        <is>
          <t xml:space="preserve">Bound - within authority</t>
        </is>
      </c>
      <c r="E662" s="48" t="inlineStr">
        <is>
          <t xml:space="preserve">New business</t>
        </is>
      </c>
      <c r="F662" s="46" t="inlineStr">
        <is>
          <t xml:space="preserve">B1234EXOTIC26</t>
        </is>
      </c>
      <c r="G662" s="33">
        <f>IF($A662="","",IF($C662="","",YEAR($C662)))</f>
      </c>
      <c r="H662" s="49">
        <v>2001</v>
      </c>
      <c r="I662" s="46" t="inlineStr">
        <is>
          <t xml:space="preserve">BMW</t>
        </is>
      </c>
      <c r="J662" s="46" t="inlineStr">
        <is>
          <t xml:space="preserve">M8 Competition</t>
        </is>
      </c>
      <c r="K662" s="46" t="inlineStr">
        <is>
          <t xml:space="preserve">MYXS9WYZZKW4H8V3T</t>
        </is>
      </c>
      <c r="L662" s="48" t="inlineStr">
        <is>
          <t xml:space="preserve">02 - Sports / GT</t>
        </is>
      </c>
      <c r="M662" s="50">
        <v>740000</v>
      </c>
      <c r="N662" s="48" t="inlineStr">
        <is>
          <t xml:space="preserve">Personal</t>
        </is>
      </c>
      <c r="O662" s="46" t="inlineStr">
        <is>
          <t xml:space="preserve">Personal - regular use</t>
        </is>
      </c>
      <c r="P662" s="46" t="inlineStr">
        <is>
          <t xml:space="preserve">1,000 - 2,500</t>
        </is>
      </c>
      <c r="Q662" s="46" t="inlineStr">
        <is>
          <t xml:space="preserve">Indiana</t>
        </is>
      </c>
      <c r="R662" s="46" t="inlineStr">
        <is>
          <t xml:space="preserve">46204</t>
        </is>
      </c>
      <c r="S662" s="48" t="inlineStr">
        <is>
          <t xml:space="preserve">Severe convective - hail / tornado (moderate)</t>
        </is>
      </c>
      <c r="T662" s="36">
        <f>IF($A662="","",IF($S662="","",IFERROR(INDEX('[1]natural catastrophe'!$D$6:$D$17,MATCH($S662,'[1]natural catastrophe'!$B$6:$B$17,0)),"?")))</f>
      </c>
      <c r="U662" s="46" t="inlineStr">
        <is>
          <t xml:space="preserve">$5,000</t>
        </is>
      </c>
      <c r="V662" s="48" t="inlineStr">
        <is>
          <t xml:space="preserve">Agreed Value</t>
        </is>
      </c>
      <c r="W662" s="46" t="inlineStr">
        <is>
          <t xml:space="preserve">$1,000</t>
        </is>
      </c>
      <c r="X662" s="48" t="inlineStr">
        <is>
          <t xml:space="preserve">$1,000,000 CSL</t>
        </is>
      </c>
      <c r="Y662" s="46"/>
      <c r="Z662" s="46"/>
      <c r="AA662" s="48" t="inlineStr">
        <is>
          <t xml:space="preserve">Surplus Lines</t>
        </is>
      </c>
      <c r="AB662" s="50">
        <v>8494.91</v>
      </c>
      <c r="AC662" s="51">
        <v>0</v>
      </c>
      <c r="AD662" s="38">
        <f>IF(ISNUMBER($AB662),$AB662*(1+N($AC662)),"")</f>
      </c>
      <c r="AE662" s="50">
        <v>350</v>
      </c>
      <c r="AF662" s="50">
        <v>0</v>
      </c>
      <c r="AG662" s="51"/>
      <c r="AH662" s="39">
        <f>IF(ISNUMBER($AD662),($AD662+$AE662+$AF662)*$AG662,"")</f>
      </c>
      <c r="AI662" s="50"/>
      <c r="AJ662" s="38">
        <f>IF(ISNUMBER($AD662),SUM($AD662:$AH662),"")</f>
      </c>
      <c r="AK662" s="40">
        <f>IF(AND(ISNUMBER($AB662),ISNUMBER($AD662)),IF($AB662&gt;0,$AD662/$AB662,""),"")</f>
      </c>
      <c r="AL662" s="48" t="inlineStr">
        <is>
          <t xml:space="preserve">At technical</t>
        </is>
      </c>
      <c r="AM662" s="41">
        <f>IF(ISNUMBER($AD662),Header!$I$3,"")</f>
      </c>
      <c r="AN662" s="39">
        <f>IF(ISNUMBER($AD662),$AO662+$AP662,"")</f>
      </c>
      <c r="AO662" s="39">
        <f>IF(ISNUMBER($AD662),ROUND($AD662*Header!$K$3,2),"")</f>
      </c>
      <c r="AP662" s="39">
        <f>IF(ISNUMBER($AD662),ROUND($AD662*Header!$M$3,2),"")</f>
      </c>
      <c r="AQ662" s="38">
        <f>IF(ISNUMBER($AD662),ROUND($AD662,2)-$AO662-$AP662,"")</f>
      </c>
      <c r="AR662" s="39">
        <f>IF(ISNUMBER($AD662),IF(Header!$D$34="","?",$AD662*Header!$D$34),"")</f>
      </c>
      <c r="AS662" s="39">
        <f>IF(ISNUMBER($AB662),IF(Header!$D$34="","?",$AB662*Header!$D$34),"")</f>
      </c>
      <c r="AT662" s="42">
        <f>IF(AND(ISNUMBER($AB662),$M662&gt;0),$AB662/$M662*100,"")</f>
      </c>
      <c r="AU662" s="42">
        <f>IF(AND(ISNUMBER($AD662),$M662&gt;0),$AD662/$M662*100,"")</f>
      </c>
      <c r="AV662" s="40">
        <f>IF(AND(ISNUMBER($AB662),ISNUMBER($AD662),ABS($AB662)&gt;0),$AD662/$AB662,"")</f>
      </c>
      <c r="AW662" s="39">
        <f>IF(ISNUMBER($AD662),MAX(0,(1-0.55-Header!$O$3)*Header!$Q$3*$AQ662),"")</f>
      </c>
      <c r="AX662" s="43">
        <f>IF($A662="","",IF(TRIM(IF($A662="","Missing certificate ref. ","") &amp; IF($C662="","Missing effective date. ","") &amp; IF($D662="","Missing binding status. ","") &amp; IF($E662="","Missing movement type. ","") &amp; IF($I662="","Missing make. ","") &amp; IF($L662="","Missing vehicle class. ","") &amp; IF($M662="","Missing agreed value. ","") &amp; IF($N662="","Missing policy type. ","") &amp; IF($Q662="","Missing garaging state. ","") &amp; IF($R662="","Missing garaging ZIP. ","") &amp; IF($S662="","Missing cat zone. ","") &amp; IF($V662="","Missing valuation basis. ","") &amp; IF($W662="","Missing PD deductible. ","") &amp; IF($X662="","Missing liability limit. ","") &amp; IF($AB662="","Missing technical premium. ","") &amp; IF($AF662="","Missing surplus lines tax %. ",""))="","PASS","FAIL: "&amp;TRIM(IF($A662="","Missing certificate ref. ","") &amp; IF($C662="","Missing effective date. ","") &amp; IF($D662="","Missing binding status. ","") &amp; IF($E662="","Missing movement type. ","") &amp; IF($I662="","Missing make. ","") &amp; IF($L662="","Missing vehicle class. ","") &amp; IF($M662="","Missing agreed value. ","") &amp; IF($N662="","Missing policy type. ","") &amp; IF($Q662="","Missing garaging state. ","") &amp; IF($R662="","Missing garaging ZIP. ","") &amp; IF($S662="","Missing cat zone. ","") &amp; IF($V662="","Missing valuation basis. ","") &amp; IF($W662="","Missing PD deductible. ","") &amp; IF($X662="","Missing liability limit. ","") &amp; IF($AB662="","Missing technical premium. ","") &amp; IF($AF662="","Missing surplus lines tax %. ",""))))</f>
      </c>
      <c r="AY662" s="44">
        <f>IF($M662="","",IF(ISNUMBER($M662),IF($M662&gt;=Header!$C$18,"YES — refer","No"),""))</f>
      </c>
      <c r="AZ662" s="44">
        <f>IF($AD662="","",IF(ISNUMBER($AD662),IF($AD662&lt;Header!$C$20,"BELOW MIN PREMIUM","OK"),""))</f>
      </c>
      <c r="BA662" s="48" t="inlineStr">
        <is>
          <t xml:space="preserve">Yes</t>
        </is>
      </c>
      <c r="BB662" s="48" t="inlineStr">
        <is>
          <t xml:space="preserve">Yes</t>
        </is>
      </c>
      <c r="BC662" s="46" t="inlineStr">
        <is>
          <t xml:space="preserve">Synthetic demo data</t>
        </is>
      </c>
      <c r="BE662" s="45">
        <f>IF(OR($A662="",$L662="",$H662=""),"",IF(AND(LEFT($L662,2)="06",$H662&gt;1945),"FAIL - pre-war class, year "&amp;$H662,IF(AND(LEFT($L662,2)="07",OR($H662&lt;1946,$H662&gt;1972)),"FAIL - 1946-72 class, year "&amp;$H662,IF(AND(LEFT($L662,2)="08",OR($H662&lt;1973,$H662&gt;1999)),"FAIL - 1973-99 class, year "&amp;$H662,IF(AND(LEFT($L662,2)="09",OR($H662&lt;2000,$H662&gt;2010)),"FAIL - 2000-10 class, year "&amp;$H662,"OK")))))</f>
      </c>
      <c r="BF662" s="45">
        <f>IF($AD662="","",IF(ROUND($AO662+$AP662+$AQ662-$AD662,2)=0,"OK","FAIL - out by "&amp;TEXT($AO662+$AP662+$AQ662-$AD662,"$0.00")))</f>
      </c>
    </row>
    <row r="663" spans="1:58" ht="18.75" customHeight="1" x14ac:dyDescent="0.25">
      <c r="A663" s="30" t="inlineStr">
        <is>
          <t xml:space="preserve">CANON-202607-010432</t>
        </is>
      </c>
      <c r="B663" s="30" t="inlineStr">
        <is>
          <t xml:space="preserve">Lorenzo Vandermeer</t>
        </is>
      </c>
      <c r="C663" s="31">
        <v>46232</v>
      </c>
      <c r="D663" s="32" t="inlineStr">
        <is>
          <t xml:space="preserve">Bound - within authority</t>
        </is>
      </c>
      <c r="E663" s="32" t="inlineStr">
        <is>
          <t xml:space="preserve">New business</t>
        </is>
      </c>
      <c r="F663" s="30" t="inlineStr">
        <is>
          <t xml:space="preserve">B1234EXOTIC26</t>
        </is>
      </c>
      <c r="G663" s="33">
        <f>IF($A663="","",IF($C663="","",YEAR($C663)))</f>
      </c>
      <c r="H663" s="34">
        <v>2011</v>
      </c>
      <c r="I663" s="30" t="inlineStr">
        <is>
          <t xml:space="preserve">Jaguar</t>
        </is>
      </c>
      <c r="J663" s="30" t="inlineStr">
        <is>
          <t xml:space="preserve">E-Type Series 1</t>
        </is>
      </c>
      <c r="K663" s="30" t="inlineStr">
        <is>
          <t xml:space="preserve">FWBHS7RUPKA8GA5F6</t>
        </is>
      </c>
      <c r="L663" s="32" t="inlineStr">
        <is>
          <t xml:space="preserve">02 - Sports / GT</t>
        </is>
      </c>
      <c r="M663" s="35">
        <v>745000</v>
      </c>
      <c r="N663" s="32" t="inlineStr">
        <is>
          <t xml:space="preserve">Personal</t>
        </is>
      </c>
      <c r="O663" s="30" t="inlineStr">
        <is>
          <t xml:space="preserve">Personal - regular use</t>
        </is>
      </c>
      <c r="P663" s="30" t="inlineStr">
        <is>
          <t xml:space="preserve">Under 1,000</t>
        </is>
      </c>
      <c r="Q663" s="30" t="inlineStr">
        <is>
          <t xml:space="preserve">Arkansas</t>
        </is>
      </c>
      <c r="R663" s="30" t="inlineStr">
        <is>
          <t xml:space="preserve">72201</t>
        </is>
      </c>
      <c r="S663" s="32" t="inlineStr">
        <is>
          <t xml:space="preserve">Severe convective - hail / tornado (moderate)</t>
        </is>
      </c>
      <c r="T663" s="36">
        <f>IF($A663="","",IF($S663="","",IFERROR(INDEX('[1]natural catastrophe'!$D$6:$D$17,MATCH($S663,'[1]natural catastrophe'!$B$6:$B$17,0)),"?")))</f>
      </c>
      <c r="U663" s="30" t="inlineStr">
        <is>
          <t xml:space="preserve">$5,000</t>
        </is>
      </c>
      <c r="V663" s="32" t="inlineStr">
        <is>
          <t xml:space="preserve">Agreed Value</t>
        </is>
      </c>
      <c r="W663" s="30" t="inlineStr">
        <is>
          <t xml:space="preserve">$1,000</t>
        </is>
      </c>
      <c r="X663" s="32" t="inlineStr">
        <is>
          <t xml:space="preserve">$1,000,000 CSL</t>
        </is>
      </c>
      <c r="Y663" s="30"/>
      <c r="Z663" s="30"/>
      <c r="AA663" s="32" t="inlineStr">
        <is>
          <t xml:space="preserve">Surplus Lines</t>
        </is>
      </c>
      <c r="AB663" s="35">
        <v>6347.65</v>
      </c>
      <c r="AC663" s="37">
        <v>0</v>
      </c>
      <c r="AD663" s="38">
        <f>IF(ISNUMBER($AB663),$AB663*(1+N($AC663)),"")</f>
      </c>
      <c r="AE663" s="35">
        <v>350</v>
      </c>
      <c r="AF663" s="35">
        <v>0</v>
      </c>
      <c r="AG663" s="37"/>
      <c r="AH663" s="39">
        <f>IF(ISNUMBER($AD663),($AD663+$AE663+$AF663)*$AG663,"")</f>
      </c>
      <c r="AI663" s="35"/>
      <c r="AJ663" s="38">
        <f>IF(ISNUMBER($AD663),SUM($AD663:$AH663),"")</f>
      </c>
      <c r="AK663" s="40">
        <f>IF(AND(ISNUMBER($AB663),ISNUMBER($AD663)),IF($AB663&gt;0,$AD663/$AB663,""),"")</f>
      </c>
      <c r="AL663" s="32" t="inlineStr">
        <is>
          <t xml:space="preserve">At technical</t>
        </is>
      </c>
      <c r="AM663" s="41">
        <f>IF(ISNUMBER($AD663),Header!$I$3,"")</f>
      </c>
      <c r="AN663" s="39">
        <f>IF(ISNUMBER($AD663),$AO663+$AP663,"")</f>
      </c>
      <c r="AO663" s="39">
        <f>IF(ISNUMBER($AD663),ROUND($AD663*Header!$K$3,2),"")</f>
      </c>
      <c r="AP663" s="39">
        <f>IF(ISNUMBER($AD663),ROUND($AD663*Header!$M$3,2),"")</f>
      </c>
      <c r="AQ663" s="38">
        <f>IF(ISNUMBER($AD663),ROUND($AD663,2)-$AO663-$AP663,"")</f>
      </c>
      <c r="AR663" s="39">
        <f>IF(ISNUMBER($AD663),IF(Header!$D$34="","?",$AD663*Header!$D$34),"")</f>
      </c>
      <c r="AS663" s="39">
        <f>IF(ISNUMBER($AB663),IF(Header!$D$34="","?",$AB663*Header!$D$34),"")</f>
      </c>
      <c r="AT663" s="42">
        <f>IF(AND(ISNUMBER($AB663),$M663&gt;0),$AB663/$M663*100,"")</f>
      </c>
      <c r="AU663" s="42">
        <f>IF(AND(ISNUMBER($AD663),$M663&gt;0),$AD663/$M663*100,"")</f>
      </c>
      <c r="AV663" s="40">
        <f>IF(AND(ISNUMBER($AB663),ISNUMBER($AD663),ABS($AB663)&gt;0),$AD663/$AB663,"")</f>
      </c>
      <c r="AW663" s="39">
        <f>IF(ISNUMBER($AD663),MAX(0,(1-0.55-Header!$O$3)*Header!$Q$3*$AQ663),"")</f>
      </c>
      <c r="AX663" s="43">
        <f>IF($A663="","",IF(TRIM(IF($A663="","Missing certificate ref. ","") &amp; IF($C663="","Missing effective date. ","") &amp; IF($D663="","Missing binding status. ","") &amp; IF($E663="","Missing movement type. ","") &amp; IF($I663="","Missing make. ","") &amp; IF($L663="","Missing vehicle class. ","") &amp; IF($M663="","Missing agreed value. ","") &amp; IF($N663="","Missing policy type. ","") &amp; IF($Q663="","Missing garaging state. ","") &amp; IF($R663="","Missing garaging ZIP. ","") &amp; IF($S663="","Missing cat zone. ","") &amp; IF($V663="","Missing valuation basis. ","") &amp; IF($W663="","Missing PD deductible. ","") &amp; IF($X663="","Missing liability limit. ","") &amp; IF($AB663="","Missing technical premium. ","") &amp; IF($AF663="","Missing surplus lines tax %. ",""))="","PASS","FAIL: "&amp;TRIM(IF($A663="","Missing certificate ref. ","") &amp; IF($C663="","Missing effective date. ","") &amp; IF($D663="","Missing binding status. ","") &amp; IF($E663="","Missing movement type. ","") &amp; IF($I663="","Missing make. ","") &amp; IF($L663="","Missing vehicle class. ","") &amp; IF($M663="","Missing agreed value. ","") &amp; IF($N663="","Missing policy type. ","") &amp; IF($Q663="","Missing garaging state. ","") &amp; IF($R663="","Missing garaging ZIP. ","") &amp; IF($S663="","Missing cat zone. ","") &amp; IF($V663="","Missing valuation basis. ","") &amp; IF($W663="","Missing PD deductible. ","") &amp; IF($X663="","Missing liability limit. ","") &amp; IF($AB663="","Missing technical premium. ","") &amp; IF($AF663="","Missing surplus lines tax %. ",""))))</f>
      </c>
      <c r="AY663" s="44">
        <f>IF($M663="","",IF(ISNUMBER($M663),IF($M663&gt;=Header!$C$18,"YES — refer","No"),""))</f>
      </c>
      <c r="AZ663" s="44">
        <f>IF($AD663="","",IF(ISNUMBER($AD663),IF($AD663&lt;Header!$C$20,"BELOW MIN PREMIUM","OK"),""))</f>
      </c>
      <c r="BA663" s="32" t="inlineStr">
        <is>
          <t xml:space="preserve">Yes</t>
        </is>
      </c>
      <c r="BB663" s="32" t="inlineStr">
        <is>
          <t xml:space="preserve">Yes</t>
        </is>
      </c>
      <c r="BC663" s="30" t="inlineStr">
        <is>
          <t xml:space="preserve">Synthetic demo data</t>
        </is>
      </c>
      <c r="BE663" s="45">
        <f>IF(OR($A663="",$L663="",$H663=""),"",IF(AND(LEFT($L663,2)="06",$H663&gt;1945),"FAIL - pre-war class, year "&amp;$H663,IF(AND(LEFT($L663,2)="07",OR($H663&lt;1946,$H663&gt;1972)),"FAIL - 1946-72 class, year "&amp;$H663,IF(AND(LEFT($L663,2)="08",OR($H663&lt;1973,$H663&gt;1999)),"FAIL - 1973-99 class, year "&amp;$H663,IF(AND(LEFT($L663,2)="09",OR($H663&lt;2000,$H663&gt;2010)),"FAIL - 2000-10 class, year "&amp;$H663,"OK")))))</f>
      </c>
      <c r="BF663" s="45">
        <f>IF($AD663="","",IF(ROUND($AO663+$AP663+$AQ663-$AD663,2)=0,"OK","FAIL - out by "&amp;TEXT($AO663+$AP663+$AQ663-$AD663,"$0.00")))</f>
      </c>
    </row>
    <row r="664" spans="1:58" ht="18.75" customHeight="1" x14ac:dyDescent="0.25">
      <c r="A664" s="46" t="inlineStr">
        <is>
          <t xml:space="preserve">CANON-202607-010434</t>
        </is>
      </c>
      <c r="B664" s="46" t="inlineStr">
        <is>
          <t xml:space="preserve">Wilhelmina Kingsford</t>
        </is>
      </c>
      <c r="C664" s="47">
        <v>46229</v>
      </c>
      <c r="D664" s="48" t="inlineStr">
        <is>
          <t xml:space="preserve">Bound - within authority</t>
        </is>
      </c>
      <c r="E664" s="48" t="inlineStr">
        <is>
          <t xml:space="preserve">New business</t>
        </is>
      </c>
      <c r="F664" s="46" t="inlineStr">
        <is>
          <t xml:space="preserve">B1234EXOTIC26</t>
        </is>
      </c>
      <c r="G664" s="33">
        <f>IF($A664="","",IF($C664="","",YEAR($C664)))</f>
      </c>
      <c r="H664" s="49">
        <v>2009</v>
      </c>
      <c r="I664" s="46" t="inlineStr">
        <is>
          <t xml:space="preserve">Mercedes-Benz</t>
        </is>
      </c>
      <c r="J664" s="46" t="inlineStr">
        <is>
          <t xml:space="preserve">AMG GT</t>
        </is>
      </c>
      <c r="K664" s="46" t="inlineStr">
        <is>
          <t xml:space="preserve">838SSV366Y85VH8HM</t>
        </is>
      </c>
      <c r="L664" s="48" t="inlineStr">
        <is>
          <t xml:space="preserve">02 - Sports / GT</t>
        </is>
      </c>
      <c r="M664" s="50">
        <v>370000</v>
      </c>
      <c r="N664" s="48" t="inlineStr">
        <is>
          <t xml:space="preserve">Personal</t>
        </is>
      </c>
      <c r="O664" s="46" t="inlineStr">
        <is>
          <t xml:space="preserve">Personal - regular use</t>
        </is>
      </c>
      <c r="P664" s="46" t="inlineStr">
        <is>
          <t xml:space="preserve">1,000 - 2,500</t>
        </is>
      </c>
      <c r="Q664" s="46" t="inlineStr">
        <is>
          <t xml:space="preserve">Idaho</t>
        </is>
      </c>
      <c r="R664" s="46" t="inlineStr">
        <is>
          <t xml:space="preserve">83702</t>
        </is>
      </c>
      <c r="S664" s="48" t="inlineStr">
        <is>
          <t xml:space="preserve">Wildfire - WUI high hazard</t>
        </is>
      </c>
      <c r="T664" s="36">
        <f>IF($A664="","",IF($S664="","",IFERROR(INDEX('[1]natural catastrophe'!$D$6:$D$17,MATCH($S664,'[1]natural catastrophe'!$B$6:$B$17,0)),"?")))</f>
      </c>
      <c r="U664" s="46" t="inlineStr">
        <is>
          <t xml:space="preserve">$5,000</t>
        </is>
      </c>
      <c r="V664" s="48" t="inlineStr">
        <is>
          <t xml:space="preserve">Agreed Value</t>
        </is>
      </c>
      <c r="W664" s="46" t="inlineStr">
        <is>
          <t xml:space="preserve">$1,000</t>
        </is>
      </c>
      <c r="X664" s="48" t="inlineStr">
        <is>
          <t xml:space="preserve">$1,000,000 CSL</t>
        </is>
      </c>
      <c r="Y664" s="46"/>
      <c r="Z664" s="46"/>
      <c r="AA664" s="48" t="inlineStr">
        <is>
          <t xml:space="preserve">Surplus Lines</t>
        </is>
      </c>
      <c r="AB664" s="50">
        <v>3944.64</v>
      </c>
      <c r="AC664" s="51">
        <v>0</v>
      </c>
      <c r="AD664" s="38">
        <f>IF(ISNUMBER($AB664),$AB664*(1+N($AC664)),"")</f>
      </c>
      <c r="AE664" s="50">
        <v>350</v>
      </c>
      <c r="AF664" s="50">
        <v>0</v>
      </c>
      <c r="AG664" s="51"/>
      <c r="AH664" s="39">
        <f>IF(ISNUMBER($AD664),($AD664+$AE664+$AF664)*$AG664,"")</f>
      </c>
      <c r="AI664" s="50"/>
      <c r="AJ664" s="38">
        <f>IF(ISNUMBER($AD664),SUM($AD664:$AH664),"")</f>
      </c>
      <c r="AK664" s="40">
        <f>IF(AND(ISNUMBER($AB664),ISNUMBER($AD664)),IF($AB664&gt;0,$AD664/$AB664,""),"")</f>
      </c>
      <c r="AL664" s="48" t="inlineStr">
        <is>
          <t xml:space="preserve">At technical</t>
        </is>
      </c>
      <c r="AM664" s="41">
        <f>IF(ISNUMBER($AD664),Header!$I$3,"")</f>
      </c>
      <c r="AN664" s="39">
        <f>IF(ISNUMBER($AD664),$AO664+$AP664,"")</f>
      </c>
      <c r="AO664" s="39">
        <f>IF(ISNUMBER($AD664),ROUND($AD664*Header!$K$3,2),"")</f>
      </c>
      <c r="AP664" s="39">
        <f>IF(ISNUMBER($AD664),ROUND($AD664*Header!$M$3,2),"")</f>
      </c>
      <c r="AQ664" s="38">
        <f>IF(ISNUMBER($AD664),ROUND($AD664,2)-$AO664-$AP664,"")</f>
      </c>
      <c r="AR664" s="39">
        <f>IF(ISNUMBER($AD664),IF(Header!$D$34="","?",$AD664*Header!$D$34),"")</f>
      </c>
      <c r="AS664" s="39">
        <f>IF(ISNUMBER($AB664),IF(Header!$D$34="","?",$AB664*Header!$D$34),"")</f>
      </c>
      <c r="AT664" s="42">
        <f>IF(AND(ISNUMBER($AB664),$M664&gt;0),$AB664/$M664*100,"")</f>
      </c>
      <c r="AU664" s="42">
        <f>IF(AND(ISNUMBER($AD664),$M664&gt;0),$AD664/$M664*100,"")</f>
      </c>
      <c r="AV664" s="40">
        <f>IF(AND(ISNUMBER($AB664),ISNUMBER($AD664),ABS($AB664)&gt;0),$AD664/$AB664,"")</f>
      </c>
      <c r="AW664" s="39">
        <f>IF(ISNUMBER($AD664),MAX(0,(1-0.55-Header!$O$3)*Header!$Q$3*$AQ664),"")</f>
      </c>
      <c r="AX664" s="43">
        <f>IF($A664="","",IF(TRIM(IF($A664="","Missing certificate ref. ","") &amp; IF($C664="","Missing effective date. ","") &amp; IF($D664="","Missing binding status. ","") &amp; IF($E664="","Missing movement type. ","") &amp; IF($I664="","Missing make. ","") &amp; IF($L664="","Missing vehicle class. ","") &amp; IF($M664="","Missing agreed value. ","") &amp; IF($N664="","Missing policy type. ","") &amp; IF($Q664="","Missing garaging state. ","") &amp; IF($R664="","Missing garaging ZIP. ","") &amp; IF($S664="","Missing cat zone. ","") &amp; IF($V664="","Missing valuation basis. ","") &amp; IF($W664="","Missing PD deductible. ","") &amp; IF($X664="","Missing liability limit. ","") &amp; IF($AB664="","Missing technical premium. ","") &amp; IF($AF664="","Missing surplus lines tax %. ",""))="","PASS","FAIL: "&amp;TRIM(IF($A664="","Missing certificate ref. ","") &amp; IF($C664="","Missing effective date. ","") &amp; IF($D664="","Missing binding status. ","") &amp; IF($E664="","Missing movement type. ","") &amp; IF($I664="","Missing make. ","") &amp; IF($L664="","Missing vehicle class. ","") &amp; IF($M664="","Missing agreed value. ","") &amp; IF($N664="","Missing policy type. ","") &amp; IF($Q664="","Missing garaging state. ","") &amp; IF($R664="","Missing garaging ZIP. ","") &amp; IF($S664="","Missing cat zone. ","") &amp; IF($V664="","Missing valuation basis. ","") &amp; IF($W664="","Missing PD deductible. ","") &amp; IF($X664="","Missing liability limit. ","") &amp; IF($AB664="","Missing technical premium. ","") &amp; IF($AF664="","Missing surplus lines tax %. ",""))))</f>
      </c>
      <c r="AY664" s="44">
        <f>IF($M664="","",IF(ISNUMBER($M664),IF($M664&gt;=Header!$C$18,"YES — refer","No"),""))</f>
      </c>
      <c r="AZ664" s="44">
        <f>IF($AD664="","",IF(ISNUMBER($AD664),IF($AD664&lt;Header!$C$20,"BELOW MIN PREMIUM","OK"),""))</f>
      </c>
      <c r="BA664" s="48" t="inlineStr">
        <is>
          <t xml:space="preserve">Yes</t>
        </is>
      </c>
      <c r="BB664" s="48" t="inlineStr">
        <is>
          <t xml:space="preserve">Yes</t>
        </is>
      </c>
      <c r="BC664" s="46" t="inlineStr">
        <is>
          <t xml:space="preserve">Synthetic demo data</t>
        </is>
      </c>
      <c r="BE664" s="45">
        <f>IF(OR($A664="",$L664="",$H664=""),"",IF(AND(LEFT($L664,2)="06",$H664&gt;1945),"FAIL - pre-war class, year "&amp;$H664,IF(AND(LEFT($L664,2)="07",OR($H664&lt;1946,$H664&gt;1972)),"FAIL - 1946-72 class, year "&amp;$H664,IF(AND(LEFT($L664,2)="08",OR($H664&lt;1973,$H664&gt;1999)),"FAIL - 1973-99 class, year "&amp;$H664,IF(AND(LEFT($L664,2)="09",OR($H664&lt;2000,$H664&gt;2010)),"FAIL - 2000-10 class, year "&amp;$H664,"OK")))))</f>
      </c>
      <c r="BF664" s="45">
        <f>IF($AD664="","",IF(ROUND($AO664+$AP664+$AQ664-$AD664,2)=0,"OK","FAIL - out by "&amp;TEXT($AO664+$AP664+$AQ664-$AD664,"$0.00")))</f>
      </c>
    </row>
    <row r="665" spans="1:58" ht="18.75" customHeight="1" x14ac:dyDescent="0.25">
      <c r="A665" s="30" t="inlineStr">
        <is>
          <t xml:space="preserve">CANON-202607-010436</t>
        </is>
      </c>
      <c r="B665" s="30" t="inlineStr">
        <is>
          <t xml:space="preserve">Noor Blackwood</t>
        </is>
      </c>
      <c r="C665" s="31">
        <v>46215</v>
      </c>
      <c r="D665" s="32" t="inlineStr">
        <is>
          <t xml:space="preserve">Bound - within authority</t>
        </is>
      </c>
      <c r="E665" s="32" t="inlineStr">
        <is>
          <t xml:space="preserve">New business</t>
        </is>
      </c>
      <c r="F665" s="30" t="inlineStr">
        <is>
          <t xml:space="preserve">B1234EXOTIC26</t>
        </is>
      </c>
      <c r="G665" s="33">
        <f>IF($A665="","",IF($C665="","",YEAR($C665)))</f>
      </c>
      <c r="H665" s="34">
        <v>1991</v>
      </c>
      <c r="I665" s="30" t="inlineStr">
        <is>
          <t xml:space="preserve">Maserati</t>
        </is>
      </c>
      <c r="J665" s="30" t="inlineStr">
        <is>
          <t xml:space="preserve">GranTurismo</t>
        </is>
      </c>
      <c r="K665" s="30" t="inlineStr">
        <is>
          <t xml:space="preserve">ACAYRJW6F1SNMARJH</t>
        </is>
      </c>
      <c r="L665" s="32" t="inlineStr">
        <is>
          <t xml:space="preserve">02 - Sports / GT</t>
        </is>
      </c>
      <c r="M665" s="35">
        <v>640000</v>
      </c>
      <c r="N665" s="32" t="inlineStr">
        <is>
          <t xml:space="preserve">Personal</t>
        </is>
      </c>
      <c r="O665" s="30" t="inlineStr">
        <is>
          <t xml:space="preserve">Personal - regular use</t>
        </is>
      </c>
      <c r="P665" s="30" t="inlineStr">
        <is>
          <t xml:space="preserve">1,000 - 2,500</t>
        </is>
      </c>
      <c r="Q665" s="30" t="inlineStr">
        <is>
          <t xml:space="preserve">Colorado</t>
        </is>
      </c>
      <c r="R665" s="30" t="inlineStr">
        <is>
          <t xml:space="preserve">80202</t>
        </is>
      </c>
      <c r="S665" s="32" t="inlineStr">
        <is>
          <t xml:space="preserve">Severe convective - hail alley (high)</t>
        </is>
      </c>
      <c r="T665" s="36">
        <f>IF($A665="","",IF($S665="","",IFERROR(INDEX('[1]natural catastrophe'!$D$6:$D$17,MATCH($S665,'[1]natural catastrophe'!$B$6:$B$17,0)),"?")))</f>
      </c>
      <c r="U665" s="30" t="inlineStr">
        <is>
          <t xml:space="preserve">$5,000</t>
        </is>
      </c>
      <c r="V665" s="32" t="inlineStr">
        <is>
          <t xml:space="preserve">Agreed Value</t>
        </is>
      </c>
      <c r="W665" s="30" t="inlineStr">
        <is>
          <t xml:space="preserve">$1,000</t>
        </is>
      </c>
      <c r="X665" s="32" t="inlineStr">
        <is>
          <t xml:space="preserve">$1,000,000 CSL</t>
        </is>
      </c>
      <c r="Y665" s="30"/>
      <c r="Z665" s="30"/>
      <c r="AA665" s="32" t="inlineStr">
        <is>
          <t xml:space="preserve">Surplus Lines</t>
        </is>
      </c>
      <c r="AB665" s="35">
        <v>6570.44</v>
      </c>
      <c r="AC665" s="37">
        <v>0</v>
      </c>
      <c r="AD665" s="38">
        <f>IF(ISNUMBER($AB665),$AB665*(1+N($AC665)),"")</f>
      </c>
      <c r="AE665" s="35">
        <v>350</v>
      </c>
      <c r="AF665" s="35">
        <v>0</v>
      </c>
      <c r="AG665" s="37"/>
      <c r="AH665" s="39">
        <f>IF(ISNUMBER($AD665),($AD665+$AE665+$AF665)*$AG665,"")</f>
      </c>
      <c r="AI665" s="35"/>
      <c r="AJ665" s="38">
        <f>IF(ISNUMBER($AD665),SUM($AD665:$AH665),"")</f>
      </c>
      <c r="AK665" s="40">
        <f>IF(AND(ISNUMBER($AB665),ISNUMBER($AD665)),IF($AB665&gt;0,$AD665/$AB665,""),"")</f>
      </c>
      <c r="AL665" s="32" t="inlineStr">
        <is>
          <t xml:space="preserve">At technical</t>
        </is>
      </c>
      <c r="AM665" s="41">
        <f>IF(ISNUMBER($AD665),Header!$I$3,"")</f>
      </c>
      <c r="AN665" s="39">
        <f>IF(ISNUMBER($AD665),$AO665+$AP665,"")</f>
      </c>
      <c r="AO665" s="39">
        <f>IF(ISNUMBER($AD665),ROUND($AD665*Header!$K$3,2),"")</f>
      </c>
      <c r="AP665" s="39">
        <f>IF(ISNUMBER($AD665),ROUND($AD665*Header!$M$3,2),"")</f>
      </c>
      <c r="AQ665" s="38">
        <f>IF(ISNUMBER($AD665),ROUND($AD665,2)-$AO665-$AP665,"")</f>
      </c>
      <c r="AR665" s="39">
        <f>IF(ISNUMBER($AD665),IF(Header!$D$34="","?",$AD665*Header!$D$34),"")</f>
      </c>
      <c r="AS665" s="39">
        <f>IF(ISNUMBER($AB665),IF(Header!$D$34="","?",$AB665*Header!$D$34),"")</f>
      </c>
      <c r="AT665" s="42">
        <f>IF(AND(ISNUMBER($AB665),$M665&gt;0),$AB665/$M665*100,"")</f>
      </c>
      <c r="AU665" s="42">
        <f>IF(AND(ISNUMBER($AD665),$M665&gt;0),$AD665/$M665*100,"")</f>
      </c>
      <c r="AV665" s="40">
        <f>IF(AND(ISNUMBER($AB665),ISNUMBER($AD665),ABS($AB665)&gt;0),$AD665/$AB665,"")</f>
      </c>
      <c r="AW665" s="39">
        <f>IF(ISNUMBER($AD665),MAX(0,(1-0.55-Header!$O$3)*Header!$Q$3*$AQ665),"")</f>
      </c>
      <c r="AX665" s="43">
        <f>IF($A665="","",IF(TRIM(IF($A665="","Missing certificate ref. ","") &amp; IF($C665="","Missing effective date. ","") &amp; IF($D665="","Missing binding status. ","") &amp; IF($E665="","Missing movement type. ","") &amp; IF($I665="","Missing make. ","") &amp; IF($L665="","Missing vehicle class. ","") &amp; IF($M665="","Missing agreed value. ","") &amp; IF($N665="","Missing policy type. ","") &amp; IF($Q665="","Missing garaging state. ","") &amp; IF($R665="","Missing garaging ZIP. ","") &amp; IF($S665="","Missing cat zone. ","") &amp; IF($V665="","Missing valuation basis. ","") &amp; IF($W665="","Missing PD deductible. ","") &amp; IF($X665="","Missing liability limit. ","") &amp; IF($AB665="","Missing technical premium. ","") &amp; IF($AF665="","Missing surplus lines tax %. ",""))="","PASS","FAIL: "&amp;TRIM(IF($A665="","Missing certificate ref. ","") &amp; IF($C665="","Missing effective date. ","") &amp; IF($D665="","Missing binding status. ","") &amp; IF($E665="","Missing movement type. ","") &amp; IF($I665="","Missing make. ","") &amp; IF($L665="","Missing vehicle class. ","") &amp; IF($M665="","Missing agreed value. ","") &amp; IF($N665="","Missing policy type. ","") &amp; IF($Q665="","Missing garaging state. ","") &amp; IF($R665="","Missing garaging ZIP. ","") &amp; IF($S665="","Missing cat zone. ","") &amp; IF($V665="","Missing valuation basis. ","") &amp; IF($W665="","Missing PD deductible. ","") &amp; IF($X665="","Missing liability limit. ","") &amp; IF($AB665="","Missing technical premium. ","") &amp; IF($AF665="","Missing surplus lines tax %. ",""))))</f>
      </c>
      <c r="AY665" s="44">
        <f>IF($M665="","",IF(ISNUMBER($M665),IF($M665&gt;=Header!$C$18,"YES — refer","No"),""))</f>
      </c>
      <c r="AZ665" s="44">
        <f>IF($AD665="","",IF(ISNUMBER($AD665),IF($AD665&lt;Header!$C$20,"BELOW MIN PREMIUM","OK"),""))</f>
      </c>
      <c r="BA665" s="32" t="inlineStr">
        <is>
          <t xml:space="preserve">Yes</t>
        </is>
      </c>
      <c r="BB665" s="32" t="inlineStr">
        <is>
          <t xml:space="preserve">Yes</t>
        </is>
      </c>
      <c r="BC665" s="30" t="inlineStr">
        <is>
          <t xml:space="preserve">Synthetic demo data</t>
        </is>
      </c>
      <c r="BE665" s="45">
        <f>IF(OR($A665="",$L665="",$H665=""),"",IF(AND(LEFT($L665,2)="06",$H665&gt;1945),"FAIL - pre-war class, year "&amp;$H665,IF(AND(LEFT($L665,2)="07",OR($H665&lt;1946,$H665&gt;1972)),"FAIL - 1946-72 class, year "&amp;$H665,IF(AND(LEFT($L665,2)="08",OR($H665&lt;1973,$H665&gt;1999)),"FAIL - 1973-99 class, year "&amp;$H665,IF(AND(LEFT($L665,2)="09",OR($H665&lt;2000,$H665&gt;2010)),"FAIL - 2000-10 class, year "&amp;$H665,"OK")))))</f>
      </c>
      <c r="BF665" s="45">
        <f>IF($AD665="","",IF(ROUND($AO665+$AP665+$AQ665-$AD665,2)=0,"OK","FAIL - out by "&amp;TEXT($AO665+$AP665+$AQ665-$AD665,"$0.00")))</f>
      </c>
    </row>
    <row r="666" spans="1:58" ht="18.75" customHeight="1" x14ac:dyDescent="0.25">
      <c r="A666" s="46" t="inlineStr">
        <is>
          <t xml:space="preserve">CANON-202607-010437</t>
        </is>
      </c>
      <c r="B666" s="46" t="inlineStr">
        <is>
          <t xml:space="preserve">Emiliano Fairweather</t>
        </is>
      </c>
      <c r="C666" s="47">
        <v>46213</v>
      </c>
      <c r="D666" s="48" t="inlineStr">
        <is>
          <t xml:space="preserve">Bound - within authority</t>
        </is>
      </c>
      <c r="E666" s="48" t="inlineStr">
        <is>
          <t xml:space="preserve">New business</t>
        </is>
      </c>
      <c r="F666" s="46" t="inlineStr">
        <is>
          <t xml:space="preserve">B1234EXOTIC26</t>
        </is>
      </c>
      <c r="G666" s="33">
        <f>IF($A666="","",IF($C666="","",YEAR($C666)))</f>
      </c>
      <c r="H666" s="49">
        <v>1960</v>
      </c>
      <c r="I666" s="46" t="inlineStr">
        <is>
          <t xml:space="preserve">Porsche</t>
        </is>
      </c>
      <c r="J666" s="46" t="inlineStr">
        <is>
          <t xml:space="preserve">911 Turbo S</t>
        </is>
      </c>
      <c r="K666" s="46" t="inlineStr">
        <is>
          <t xml:space="preserve">XTTS6N7STXL8N9PUX</t>
        </is>
      </c>
      <c r="L666" s="48" t="inlineStr">
        <is>
          <t xml:space="preserve">02 - Sports / GT</t>
        </is>
      </c>
      <c r="M666" s="50">
        <v>840000</v>
      </c>
      <c r="N666" s="48" t="inlineStr">
        <is>
          <t xml:space="preserve">Personal</t>
        </is>
      </c>
      <c r="O666" s="46" t="inlineStr">
        <is>
          <t xml:space="preserve">Personal - regular use</t>
        </is>
      </c>
      <c r="P666" s="46" t="inlineStr">
        <is>
          <t xml:space="preserve">2,500 - 5,000</t>
        </is>
      </c>
      <c r="Q666" s="46" t="inlineStr">
        <is>
          <t xml:space="preserve">Georgia</t>
        </is>
      </c>
      <c r="R666" s="46" t="inlineStr">
        <is>
          <t xml:space="preserve">30303</t>
        </is>
      </c>
      <c r="S666" s="48" t="inlineStr">
        <is>
          <t xml:space="preserve">Tier 2 - Coastal wind (1-25 miles)</t>
        </is>
      </c>
      <c r="T666" s="36">
        <f>IF($A666="","",IF($S666="","",IFERROR(INDEX('[1]natural catastrophe'!$D$6:$D$17,MATCH($S666,'[1]natural catastrophe'!$B$6:$B$17,0)),"?")))</f>
      </c>
      <c r="U666" s="46" t="inlineStr">
        <is>
          <t xml:space="preserve">2% of agreed value, minimum $10,000</t>
        </is>
      </c>
      <c r="V666" s="48" t="inlineStr">
        <is>
          <t xml:space="preserve">Agreed Value</t>
        </is>
      </c>
      <c r="W666" s="46" t="inlineStr">
        <is>
          <t xml:space="preserve">$1,000</t>
        </is>
      </c>
      <c r="X666" s="48" t="inlineStr">
        <is>
          <t xml:space="preserve">$1,000,000 CSL</t>
        </is>
      </c>
      <c r="Y666" s="46"/>
      <c r="Z666" s="46"/>
      <c r="AA666" s="48" t="inlineStr">
        <is>
          <t xml:space="preserve">Surplus Lines</t>
        </is>
      </c>
      <c r="AB666" s="50">
        <v>8780.5</v>
      </c>
      <c r="AC666" s="51">
        <v>0</v>
      </c>
      <c r="AD666" s="38">
        <f>IF(ISNUMBER($AB666),$AB666*(1+N($AC666)),"")</f>
      </c>
      <c r="AE666" s="50">
        <v>350</v>
      </c>
      <c r="AF666" s="50">
        <v>0</v>
      </c>
      <c r="AG666" s="51"/>
      <c r="AH666" s="39">
        <f>IF(ISNUMBER($AD666),($AD666+$AE666+$AF666)*$AG666,"")</f>
      </c>
      <c r="AI666" s="50"/>
      <c r="AJ666" s="38">
        <f>IF(ISNUMBER($AD666),SUM($AD666:$AH666),"")</f>
      </c>
      <c r="AK666" s="40">
        <f>IF(AND(ISNUMBER($AB666),ISNUMBER($AD666)),IF($AB666&gt;0,$AD666/$AB666,""),"")</f>
      </c>
      <c r="AL666" s="48" t="inlineStr">
        <is>
          <t xml:space="preserve">At technical</t>
        </is>
      </c>
      <c r="AM666" s="41">
        <f>IF(ISNUMBER($AD666),Header!$I$3,"")</f>
      </c>
      <c r="AN666" s="39">
        <f>IF(ISNUMBER($AD666),$AO666+$AP666,"")</f>
      </c>
      <c r="AO666" s="39">
        <f>IF(ISNUMBER($AD666),ROUND($AD666*Header!$K$3,2),"")</f>
      </c>
      <c r="AP666" s="39">
        <f>IF(ISNUMBER($AD666),ROUND($AD666*Header!$M$3,2),"")</f>
      </c>
      <c r="AQ666" s="38">
        <f>IF(ISNUMBER($AD666),ROUND($AD666,2)-$AO666-$AP666,"")</f>
      </c>
      <c r="AR666" s="39">
        <f>IF(ISNUMBER($AD666),IF(Header!$D$34="","?",$AD666*Header!$D$34),"")</f>
      </c>
      <c r="AS666" s="39">
        <f>IF(ISNUMBER($AB666),IF(Header!$D$34="","?",$AB666*Header!$D$34),"")</f>
      </c>
      <c r="AT666" s="42">
        <f>IF(AND(ISNUMBER($AB666),$M666&gt;0),$AB666/$M666*100,"")</f>
      </c>
      <c r="AU666" s="42">
        <f>IF(AND(ISNUMBER($AD666),$M666&gt;0),$AD666/$M666*100,"")</f>
      </c>
      <c r="AV666" s="40">
        <f>IF(AND(ISNUMBER($AB666),ISNUMBER($AD666),ABS($AB666)&gt;0),$AD666/$AB666,"")</f>
      </c>
      <c r="AW666" s="39">
        <f>IF(ISNUMBER($AD666),MAX(0,(1-0.55-Header!$O$3)*Header!$Q$3*$AQ666),"")</f>
      </c>
      <c r="AX666" s="43">
        <f>IF($A666="","",IF(TRIM(IF($A666="","Missing certificate ref. ","") &amp; IF($C666="","Missing effective date. ","") &amp; IF($D666="","Missing binding status. ","") &amp; IF($E666="","Missing movement type. ","") &amp; IF($I666="","Missing make. ","") &amp; IF($L666="","Missing vehicle class. ","") &amp; IF($M666="","Missing agreed value. ","") &amp; IF($N666="","Missing policy type. ","") &amp; IF($Q666="","Missing garaging state. ","") &amp; IF($R666="","Missing garaging ZIP. ","") &amp; IF($S666="","Missing cat zone. ","") &amp; IF($V666="","Missing valuation basis. ","") &amp; IF($W666="","Missing PD deductible. ","") &amp; IF($X666="","Missing liability limit. ","") &amp; IF($AB666="","Missing technical premium. ","") &amp; IF($AF666="","Missing surplus lines tax %. ",""))="","PASS","FAIL: "&amp;TRIM(IF($A666="","Missing certificate ref. ","") &amp; IF($C666="","Missing effective date. ","") &amp; IF($D666="","Missing binding status. ","") &amp; IF($E666="","Missing movement type. ","") &amp; IF($I666="","Missing make. ","") &amp; IF($L666="","Missing vehicle class. ","") &amp; IF($M666="","Missing agreed value. ","") &amp; IF($N666="","Missing policy type. ","") &amp; IF($Q666="","Missing garaging state. ","") &amp; IF($R666="","Missing garaging ZIP. ","") &amp; IF($S666="","Missing cat zone. ","") &amp; IF($V666="","Missing valuation basis. ","") &amp; IF($W666="","Missing PD deductible. ","") &amp; IF($X666="","Missing liability limit. ","") &amp; IF($AB666="","Missing technical premium. ","") &amp; IF($AF666="","Missing surplus lines tax %. ",""))))</f>
      </c>
      <c r="AY666" s="44">
        <f>IF($M666="","",IF(ISNUMBER($M666),IF($M666&gt;=Header!$C$18,"YES — refer","No"),""))</f>
      </c>
      <c r="AZ666" s="44">
        <f>IF($AD666="","",IF(ISNUMBER($AD666),IF($AD666&lt;Header!$C$20,"BELOW MIN PREMIUM","OK"),""))</f>
      </c>
      <c r="BA666" s="48" t="inlineStr">
        <is>
          <t xml:space="preserve">Yes</t>
        </is>
      </c>
      <c r="BB666" s="48" t="inlineStr">
        <is>
          <t xml:space="preserve">Yes</t>
        </is>
      </c>
      <c r="BC666" s="46" t="inlineStr">
        <is>
          <t xml:space="preserve">Synthetic demo data</t>
        </is>
      </c>
      <c r="BE666" s="45">
        <f>IF(OR($A666="",$L666="",$H666=""),"",IF(AND(LEFT($L666,2)="06",$H666&gt;1945),"FAIL - pre-war class, year "&amp;$H666,IF(AND(LEFT($L666,2)="07",OR($H666&lt;1946,$H666&gt;1972)),"FAIL - 1946-72 class, year "&amp;$H666,IF(AND(LEFT($L666,2)="08",OR($H666&lt;1973,$H666&gt;1999)),"FAIL - 1973-99 class, year "&amp;$H666,IF(AND(LEFT($L666,2)="09",OR($H666&lt;2000,$H666&gt;2010)),"FAIL - 2000-10 class, year "&amp;$H666,"OK")))))</f>
      </c>
      <c r="BF666" s="45">
        <f>IF($AD666="","",IF(ROUND($AO666+$AP666+$AQ666-$AD666,2)=0,"OK","FAIL - out by "&amp;TEXT($AO666+$AP666+$AQ666-$AD666,"$0.00")))</f>
      </c>
    </row>
    <row r="667" spans="1:58" ht="18.75" customHeight="1" x14ac:dyDescent="0.25">
      <c r="A667" s="30" t="inlineStr">
        <is>
          <t xml:space="preserve">CANON-202607-010438</t>
        </is>
      </c>
      <c r="B667" s="30" t="inlineStr">
        <is>
          <t xml:space="preserve">Marisol Okonkwo</t>
        </is>
      </c>
      <c r="C667" s="31">
        <v>46228</v>
      </c>
      <c r="D667" s="32" t="inlineStr">
        <is>
          <t xml:space="preserve">Bound - within authority</t>
        </is>
      </c>
      <c r="E667" s="32" t="inlineStr">
        <is>
          <t xml:space="preserve">New business</t>
        </is>
      </c>
      <c r="F667" s="30" t="inlineStr">
        <is>
          <t xml:space="preserve">B1234EXOTIC26</t>
        </is>
      </c>
      <c r="G667" s="33">
        <f>IF($A667="","",IF($C667="","",YEAR($C667)))</f>
      </c>
      <c r="H667" s="34">
        <v>1977</v>
      </c>
      <c r="I667" s="30" t="inlineStr">
        <is>
          <t xml:space="preserve">BMW</t>
        </is>
      </c>
      <c r="J667" s="30" t="inlineStr">
        <is>
          <t xml:space="preserve">M8 Competition</t>
        </is>
      </c>
      <c r="K667" s="30" t="inlineStr">
        <is>
          <t xml:space="preserve">EJVXYPL01C4HZ4KBK</t>
        </is>
      </c>
      <c r="L667" s="32" t="inlineStr">
        <is>
          <t xml:space="preserve">02 - Sports / GT</t>
        </is>
      </c>
      <c r="M667" s="35">
        <v>960000</v>
      </c>
      <c r="N667" s="32" t="inlineStr">
        <is>
          <t xml:space="preserve">Personal</t>
        </is>
      </c>
      <c r="O667" s="30" t="inlineStr">
        <is>
          <t xml:space="preserve">Personal - regular use</t>
        </is>
      </c>
      <c r="P667" s="30" t="inlineStr">
        <is>
          <t xml:space="preserve">2,500 - 5,000</t>
        </is>
      </c>
      <c r="Q667" s="30" t="inlineStr">
        <is>
          <t xml:space="preserve">California</t>
        </is>
      </c>
      <c r="R667" s="30" t="inlineStr">
        <is>
          <t xml:space="preserve">90012</t>
        </is>
      </c>
      <c r="S667" s="32" t="inlineStr">
        <is>
          <t xml:space="preserve">Earthquake - high (CA, Cascadia, New Madrid)</t>
        </is>
      </c>
      <c r="T667" s="36">
        <f>IF($A667="","",IF($S667="","",IFERROR(INDEX('[1]natural catastrophe'!$D$6:$D$17,MATCH($S667,'[1]natural catastrophe'!$B$6:$B$17,0)),"?")))</f>
      </c>
      <c r="U667" s="30" t="inlineStr">
        <is>
          <t xml:space="preserve">$5,000</t>
        </is>
      </c>
      <c r="V667" s="32" t="inlineStr">
        <is>
          <t xml:space="preserve">Agreed Value</t>
        </is>
      </c>
      <c r="W667" s="30" t="inlineStr">
        <is>
          <t xml:space="preserve">$1,000</t>
        </is>
      </c>
      <c r="X667" s="32" t="inlineStr">
        <is>
          <t xml:space="preserve">$1,000,000 CSL</t>
        </is>
      </c>
      <c r="Y667" s="30"/>
      <c r="Z667" s="30"/>
      <c r="AA667" s="32" t="inlineStr">
        <is>
          <t xml:space="preserve">Surplus Lines</t>
        </is>
      </c>
      <c r="AB667" s="35">
        <v>12095.59</v>
      </c>
      <c r="AC667" s="37">
        <v>0</v>
      </c>
      <c r="AD667" s="38">
        <f>IF(ISNUMBER($AB667),$AB667*(1+N($AC667)),"")</f>
      </c>
      <c r="AE667" s="35">
        <v>350</v>
      </c>
      <c r="AF667" s="35">
        <v>0</v>
      </c>
      <c r="AG667" s="37"/>
      <c r="AH667" s="39">
        <f>IF(ISNUMBER($AD667),($AD667+$AE667+$AF667)*$AG667,"")</f>
      </c>
      <c r="AI667" s="35"/>
      <c r="AJ667" s="38">
        <f>IF(ISNUMBER($AD667),SUM($AD667:$AH667),"")</f>
      </c>
      <c r="AK667" s="40">
        <f>IF(AND(ISNUMBER($AB667),ISNUMBER($AD667)),IF($AB667&gt;0,$AD667/$AB667,""),"")</f>
      </c>
      <c r="AL667" s="32" t="inlineStr">
        <is>
          <t xml:space="preserve">At technical</t>
        </is>
      </c>
      <c r="AM667" s="41">
        <f>IF(ISNUMBER($AD667),Header!$I$3,"")</f>
      </c>
      <c r="AN667" s="39">
        <f>IF(ISNUMBER($AD667),$AO667+$AP667,"")</f>
      </c>
      <c r="AO667" s="39">
        <f>IF(ISNUMBER($AD667),ROUND($AD667*Header!$K$3,2),"")</f>
      </c>
      <c r="AP667" s="39">
        <f>IF(ISNUMBER($AD667),ROUND($AD667*Header!$M$3,2),"")</f>
      </c>
      <c r="AQ667" s="38">
        <f>IF(ISNUMBER($AD667),ROUND($AD667,2)-$AO667-$AP667,"")</f>
      </c>
      <c r="AR667" s="39">
        <f>IF(ISNUMBER($AD667),IF(Header!$D$34="","?",$AD667*Header!$D$34),"")</f>
      </c>
      <c r="AS667" s="39">
        <f>IF(ISNUMBER($AB667),IF(Header!$D$34="","?",$AB667*Header!$D$34),"")</f>
      </c>
      <c r="AT667" s="42">
        <f>IF(AND(ISNUMBER($AB667),$M667&gt;0),$AB667/$M667*100,"")</f>
      </c>
      <c r="AU667" s="42">
        <f>IF(AND(ISNUMBER($AD667),$M667&gt;0),$AD667/$M667*100,"")</f>
      </c>
      <c r="AV667" s="40">
        <f>IF(AND(ISNUMBER($AB667),ISNUMBER($AD667),ABS($AB667)&gt;0),$AD667/$AB667,"")</f>
      </c>
      <c r="AW667" s="39">
        <f>IF(ISNUMBER($AD667),MAX(0,(1-0.55-Header!$O$3)*Header!$Q$3*$AQ667),"")</f>
      </c>
      <c r="AX667" s="43">
        <f>IF($A667="","",IF(TRIM(IF($A667="","Missing certificate ref. ","") &amp; IF($C667="","Missing effective date. ","") &amp; IF($D667="","Missing binding status. ","") &amp; IF($E667="","Missing movement type. ","") &amp; IF($I667="","Missing make. ","") &amp; IF($L667="","Missing vehicle class. ","") &amp; IF($M667="","Missing agreed value. ","") &amp; IF($N667="","Missing policy type. ","") &amp; IF($Q667="","Missing garaging state. ","") &amp; IF($R667="","Missing garaging ZIP. ","") &amp; IF($S667="","Missing cat zone. ","") &amp; IF($V667="","Missing valuation basis. ","") &amp; IF($W667="","Missing PD deductible. ","") &amp; IF($X667="","Missing liability limit. ","") &amp; IF($AB667="","Missing technical premium. ","") &amp; IF($AF667="","Missing surplus lines tax %. ",""))="","PASS","FAIL: "&amp;TRIM(IF($A667="","Missing certificate ref. ","") &amp; IF($C667="","Missing effective date. ","") &amp; IF($D667="","Missing binding status. ","") &amp; IF($E667="","Missing movement type. ","") &amp; IF($I667="","Missing make. ","") &amp; IF($L667="","Missing vehicle class. ","") &amp; IF($M667="","Missing agreed value. ","") &amp; IF($N667="","Missing policy type. ","") &amp; IF($Q667="","Missing garaging state. ","") &amp; IF($R667="","Missing garaging ZIP. ","") &amp; IF($S667="","Missing cat zone. ","") &amp; IF($V667="","Missing valuation basis. ","") &amp; IF($W667="","Missing PD deductible. ","") &amp; IF($X667="","Missing liability limit. ","") &amp; IF($AB667="","Missing technical premium. ","") &amp; IF($AF667="","Missing surplus lines tax %. ",""))))</f>
      </c>
      <c r="AY667" s="44">
        <f>IF($M667="","",IF(ISNUMBER($M667),IF($M667&gt;=Header!$C$18,"YES — refer","No"),""))</f>
      </c>
      <c r="AZ667" s="44">
        <f>IF($AD667="","",IF(ISNUMBER($AD667),IF($AD667&lt;Header!$C$20,"BELOW MIN PREMIUM","OK"),""))</f>
      </c>
      <c r="BA667" s="32" t="inlineStr">
        <is>
          <t xml:space="preserve">Yes</t>
        </is>
      </c>
      <c r="BB667" s="32" t="inlineStr">
        <is>
          <t xml:space="preserve">Yes</t>
        </is>
      </c>
      <c r="BC667" s="30" t="inlineStr">
        <is>
          <t xml:space="preserve">Synthetic demo data</t>
        </is>
      </c>
      <c r="BE667" s="45">
        <f>IF(OR($A667="",$L667="",$H667=""),"",IF(AND(LEFT($L667,2)="06",$H667&gt;1945),"FAIL - pre-war class, year "&amp;$H667,IF(AND(LEFT($L667,2)="07",OR($H667&lt;1946,$H667&gt;1972)),"FAIL - 1946-72 class, year "&amp;$H667,IF(AND(LEFT($L667,2)="08",OR($H667&lt;1973,$H667&gt;1999)),"FAIL - 1973-99 class, year "&amp;$H667,IF(AND(LEFT($L667,2)="09",OR($H667&lt;2000,$H667&gt;2010)),"FAIL - 2000-10 class, year "&amp;$H667,"OK")))))</f>
      </c>
      <c r="BF667" s="45">
        <f>IF($AD667="","",IF(ROUND($AO667+$AP667+$AQ667-$AD667,2)=0,"OK","FAIL - out by "&amp;TEXT($AO667+$AP667+$AQ667-$AD667,"$0.00")))</f>
      </c>
    </row>
    <row r="668" spans="1:58" ht="18.75" customHeight="1" x14ac:dyDescent="0.25">
      <c r="A668" s="46" t="inlineStr">
        <is>
          <t xml:space="preserve">CANON-202607-010439</t>
        </is>
      </c>
      <c r="B668" s="46" t="inlineStr">
        <is>
          <t xml:space="preserve">Callum Vasquez</t>
        </is>
      </c>
      <c r="C668" s="47">
        <v>46217</v>
      </c>
      <c r="D668" s="48" t="inlineStr">
        <is>
          <t xml:space="preserve">Bound - within authority</t>
        </is>
      </c>
      <c r="E668" s="48" t="inlineStr">
        <is>
          <t xml:space="preserve">New business</t>
        </is>
      </c>
      <c r="F668" s="46" t="inlineStr">
        <is>
          <t xml:space="preserve">B1234EXOTIC26</t>
        </is>
      </c>
      <c r="G668" s="33">
        <f>IF($A668="","",IF($C668="","",YEAR($C668)))</f>
      </c>
      <c r="H668" s="49">
        <v>1964</v>
      </c>
      <c r="I668" s="46" t="inlineStr">
        <is>
          <t xml:space="preserve">Bentley</t>
        </is>
      </c>
      <c r="J668" s="46" t="inlineStr">
        <is>
          <t xml:space="preserve">Continental GT</t>
        </is>
      </c>
      <c r="K668" s="46" t="inlineStr">
        <is>
          <t xml:space="preserve">MFFFMW514L86RM6X6</t>
        </is>
      </c>
      <c r="L668" s="48" t="inlineStr">
        <is>
          <t xml:space="preserve">02 - Sports / GT</t>
        </is>
      </c>
      <c r="M668" s="50">
        <v>855000</v>
      </c>
      <c r="N668" s="48" t="inlineStr">
        <is>
          <t xml:space="preserve">Personal</t>
        </is>
      </c>
      <c r="O668" s="46" t="inlineStr">
        <is>
          <t xml:space="preserve">Personal - regular use</t>
        </is>
      </c>
      <c r="P668" s="46" t="inlineStr">
        <is>
          <t xml:space="preserve">2,500 - 5,000</t>
        </is>
      </c>
      <c r="Q668" s="46" t="inlineStr">
        <is>
          <t xml:space="preserve">Idaho</t>
        </is>
      </c>
      <c r="R668" s="46" t="inlineStr">
        <is>
          <t xml:space="preserve">83702</t>
        </is>
      </c>
      <c r="S668" s="48" t="inlineStr">
        <is>
          <t xml:space="preserve">Wildfire - WUI high hazard</t>
        </is>
      </c>
      <c r="T668" s="36">
        <f>IF($A668="","",IF($S668="","",IFERROR(INDEX('[1]natural catastrophe'!$D$6:$D$17,MATCH($S668,'[1]natural catastrophe'!$B$6:$B$17,0)),"?")))</f>
      </c>
      <c r="U668" s="46" t="inlineStr">
        <is>
          <t xml:space="preserve">$5,000</t>
        </is>
      </c>
      <c r="V668" s="48" t="inlineStr">
        <is>
          <t xml:space="preserve">Agreed Value</t>
        </is>
      </c>
      <c r="W668" s="46" t="inlineStr">
        <is>
          <t xml:space="preserve">$1,000</t>
        </is>
      </c>
      <c r="X668" s="48" t="inlineStr">
        <is>
          <t xml:space="preserve">$1,000,000 CSL</t>
        </is>
      </c>
      <c r="Y668" s="46"/>
      <c r="Z668" s="46"/>
      <c r="AA668" s="48" t="inlineStr">
        <is>
          <t xml:space="preserve">Surplus Lines</t>
        </is>
      </c>
      <c r="AB668" s="50">
        <v>7899.93</v>
      </c>
      <c r="AC668" s="51">
        <v>0</v>
      </c>
      <c r="AD668" s="38">
        <f>IF(ISNUMBER($AB668),$AB668*(1+N($AC668)),"")</f>
      </c>
      <c r="AE668" s="50">
        <v>350</v>
      </c>
      <c r="AF668" s="50">
        <v>0</v>
      </c>
      <c r="AG668" s="51"/>
      <c r="AH668" s="39">
        <f>IF(ISNUMBER($AD668),($AD668+$AE668+$AF668)*$AG668,"")</f>
      </c>
      <c r="AI668" s="50"/>
      <c r="AJ668" s="38">
        <f>IF(ISNUMBER($AD668),SUM($AD668:$AH668),"")</f>
      </c>
      <c r="AK668" s="40">
        <f>IF(AND(ISNUMBER($AB668),ISNUMBER($AD668)),IF($AB668&gt;0,$AD668/$AB668,""),"")</f>
      </c>
      <c r="AL668" s="48" t="inlineStr">
        <is>
          <t xml:space="preserve">At technical</t>
        </is>
      </c>
      <c r="AM668" s="41">
        <f>IF(ISNUMBER($AD668),Header!$I$3,"")</f>
      </c>
      <c r="AN668" s="39">
        <f>IF(ISNUMBER($AD668),$AO668+$AP668,"")</f>
      </c>
      <c r="AO668" s="39">
        <f>IF(ISNUMBER($AD668),ROUND($AD668*Header!$K$3,2),"")</f>
      </c>
      <c r="AP668" s="39">
        <f>IF(ISNUMBER($AD668),ROUND($AD668*Header!$M$3,2),"")</f>
      </c>
      <c r="AQ668" s="38">
        <f>IF(ISNUMBER($AD668),ROUND($AD668,2)-$AO668-$AP668,"")</f>
      </c>
      <c r="AR668" s="39">
        <f>IF(ISNUMBER($AD668),IF(Header!$D$34="","?",$AD668*Header!$D$34),"")</f>
      </c>
      <c r="AS668" s="39">
        <f>IF(ISNUMBER($AB668),IF(Header!$D$34="","?",$AB668*Header!$D$34),"")</f>
      </c>
      <c r="AT668" s="42">
        <f>IF(AND(ISNUMBER($AB668),$M668&gt;0),$AB668/$M668*100,"")</f>
      </c>
      <c r="AU668" s="42">
        <f>IF(AND(ISNUMBER($AD668),$M668&gt;0),$AD668/$M668*100,"")</f>
      </c>
      <c r="AV668" s="40">
        <f>IF(AND(ISNUMBER($AB668),ISNUMBER($AD668),ABS($AB668)&gt;0),$AD668/$AB668,"")</f>
      </c>
      <c r="AW668" s="39">
        <f>IF(ISNUMBER($AD668),MAX(0,(1-0.55-Header!$O$3)*Header!$Q$3*$AQ668),"")</f>
      </c>
      <c r="AX668" s="43">
        <f>IF($A668="","",IF(TRIM(IF($A668="","Missing certificate ref. ","") &amp; IF($C668="","Missing effective date. ","") &amp; IF($D668="","Missing binding status. ","") &amp; IF($E668="","Missing movement type. ","") &amp; IF($I668="","Missing make. ","") &amp; IF($L668="","Missing vehicle class. ","") &amp; IF($M668="","Missing agreed value. ","") &amp; IF($N668="","Missing policy type. ","") &amp; IF($Q668="","Missing garaging state. ","") &amp; IF($R668="","Missing garaging ZIP. ","") &amp; IF($S668="","Missing cat zone. ","") &amp; IF($V668="","Missing valuation basis. ","") &amp; IF($W668="","Missing PD deductible. ","") &amp; IF($X668="","Missing liability limit. ","") &amp; IF($AB668="","Missing technical premium. ","") &amp; IF($AF668="","Missing surplus lines tax %. ",""))="","PASS","FAIL: "&amp;TRIM(IF($A668="","Missing certificate ref. ","") &amp; IF($C668="","Missing effective date. ","") &amp; IF($D668="","Missing binding status. ","") &amp; IF($E668="","Missing movement type. ","") &amp; IF($I668="","Missing make. ","") &amp; IF($L668="","Missing vehicle class. ","") &amp; IF($M668="","Missing agreed value. ","") &amp; IF($N668="","Missing policy type. ","") &amp; IF($Q668="","Missing garaging state. ","") &amp; IF($R668="","Missing garaging ZIP. ","") &amp; IF($S668="","Missing cat zone. ","") &amp; IF($V668="","Missing valuation basis. ","") &amp; IF($W668="","Missing PD deductible. ","") &amp; IF($X668="","Missing liability limit. ","") &amp; IF($AB668="","Missing technical premium. ","") &amp; IF($AF668="","Missing surplus lines tax %. ",""))))</f>
      </c>
      <c r="AY668" s="44">
        <f>IF($M668="","",IF(ISNUMBER($M668),IF($M668&gt;=Header!$C$18,"YES — refer","No"),""))</f>
      </c>
      <c r="AZ668" s="44">
        <f>IF($AD668="","",IF(ISNUMBER($AD668),IF($AD668&lt;Header!$C$20,"BELOW MIN PREMIUM","OK"),""))</f>
      </c>
      <c r="BA668" s="48" t="inlineStr">
        <is>
          <t xml:space="preserve">Yes</t>
        </is>
      </c>
      <c r="BB668" s="48" t="inlineStr">
        <is>
          <t xml:space="preserve">Yes</t>
        </is>
      </c>
      <c r="BC668" s="46" t="inlineStr">
        <is>
          <t xml:space="preserve">Synthetic demo data</t>
        </is>
      </c>
      <c r="BE668" s="45">
        <f>IF(OR($A668="",$L668="",$H668=""),"",IF(AND(LEFT($L668,2)="06",$H668&gt;1945),"FAIL - pre-war class, year "&amp;$H668,IF(AND(LEFT($L668,2)="07",OR($H668&lt;1946,$H668&gt;1972)),"FAIL - 1946-72 class, year "&amp;$H668,IF(AND(LEFT($L668,2)="08",OR($H668&lt;1973,$H668&gt;1999)),"FAIL - 1973-99 class, year "&amp;$H668,IF(AND(LEFT($L668,2)="09",OR($H668&lt;2000,$H668&gt;2010)),"FAIL - 2000-10 class, year "&amp;$H668,"OK")))))</f>
      </c>
      <c r="BF668" s="45">
        <f>IF($AD668="","",IF(ROUND($AO668+$AP668+$AQ668-$AD668,2)=0,"OK","FAIL - out by "&amp;TEXT($AO668+$AP668+$AQ668-$AD668,"$0.00")))</f>
      </c>
    </row>
    <row r="669" spans="1:58" ht="18.75" customHeight="1" x14ac:dyDescent="0.25">
      <c r="A669" s="30" t="inlineStr">
        <is>
          <t xml:space="preserve">CANON-202607-010440</t>
        </is>
      </c>
      <c r="B669" s="30" t="inlineStr">
        <is>
          <t xml:space="preserve">Sunniva Larsson</t>
        </is>
      </c>
      <c r="C669" s="31">
        <v>46229</v>
      </c>
      <c r="D669" s="32" t="inlineStr">
        <is>
          <t xml:space="preserve">Bound - within authority</t>
        </is>
      </c>
      <c r="E669" s="32" t="inlineStr">
        <is>
          <t xml:space="preserve">New business</t>
        </is>
      </c>
      <c r="F669" s="30" t="inlineStr">
        <is>
          <t xml:space="preserve">B1234EXOTIC26</t>
        </is>
      </c>
      <c r="G669" s="33">
        <f>IF($A669="","",IF($C669="","",YEAR($C669)))</f>
      </c>
      <c r="H669" s="34">
        <v>1974</v>
      </c>
      <c r="I669" s="30" t="inlineStr">
        <is>
          <t xml:space="preserve">Lamborghini</t>
        </is>
      </c>
      <c r="J669" s="30" t="inlineStr">
        <is>
          <t xml:space="preserve">Huracan EVO</t>
        </is>
      </c>
      <c r="K669" s="30" t="inlineStr">
        <is>
          <t xml:space="preserve">LGPDLSHVP9G405V3Y</t>
        </is>
      </c>
      <c r="L669" s="32" t="inlineStr">
        <is>
          <t xml:space="preserve">03 - Supercar</t>
        </is>
      </c>
      <c r="M669" s="35">
        <v>335000</v>
      </c>
      <c r="N669" s="32" t="inlineStr">
        <is>
          <t xml:space="preserve">Personal</t>
        </is>
      </c>
      <c r="O669" s="30" t="inlineStr">
        <is>
          <t xml:space="preserve">Personal - regular use</t>
        </is>
      </c>
      <c r="P669" s="30" t="inlineStr">
        <is>
          <t xml:space="preserve">Under 1,000</t>
        </is>
      </c>
      <c r="Q669" s="30" t="inlineStr">
        <is>
          <t xml:space="preserve">New York</t>
        </is>
      </c>
      <c r="R669" s="30" t="inlineStr">
        <is>
          <t xml:space="preserve">10022</t>
        </is>
      </c>
      <c r="S669" s="32" t="inlineStr">
        <is>
          <t xml:space="preserve">Tier 3 - Coastal wind (25-100 miles)</t>
        </is>
      </c>
      <c r="T669" s="36">
        <f>IF($A669="","",IF($S669="","",IFERROR(INDEX('[1]natural catastrophe'!$D$6:$D$17,MATCH($S669,'[1]natural catastrophe'!$B$6:$B$17,0)),"?")))</f>
      </c>
      <c r="U669" s="30" t="inlineStr">
        <is>
          <t xml:space="preserve">2% of agreed value, minimum $10,000</t>
        </is>
      </c>
      <c r="V669" s="32" t="inlineStr">
        <is>
          <t xml:space="preserve">Agreed Value</t>
        </is>
      </c>
      <c r="W669" s="30" t="inlineStr">
        <is>
          <t xml:space="preserve">$1,000</t>
        </is>
      </c>
      <c r="X669" s="32" t="inlineStr">
        <is>
          <t xml:space="preserve">$1,000,000 CSL</t>
        </is>
      </c>
      <c r="Y669" s="30"/>
      <c r="Z669" s="30"/>
      <c r="AA669" s="32" t="inlineStr">
        <is>
          <t xml:space="preserve">Surplus Lines</t>
        </is>
      </c>
      <c r="AB669" s="35">
        <v>7080.46</v>
      </c>
      <c r="AC669" s="37">
        <v>0</v>
      </c>
      <c r="AD669" s="38">
        <f>IF(ISNUMBER($AB669),$AB669*(1+N($AC669)),"")</f>
      </c>
      <c r="AE669" s="35">
        <v>350</v>
      </c>
      <c r="AF669" s="35">
        <v>0</v>
      </c>
      <c r="AG669" s="37"/>
      <c r="AH669" s="39">
        <f>IF(ISNUMBER($AD669),($AD669+$AE669+$AF669)*$AG669,"")</f>
      </c>
      <c r="AI669" s="35"/>
      <c r="AJ669" s="38">
        <f>IF(ISNUMBER($AD669),SUM($AD669:$AH669),"")</f>
      </c>
      <c r="AK669" s="40">
        <f>IF(AND(ISNUMBER($AB669),ISNUMBER($AD669)),IF($AB669&gt;0,$AD669/$AB669,""),"")</f>
      </c>
      <c r="AL669" s="32" t="inlineStr">
        <is>
          <t xml:space="preserve">At technical</t>
        </is>
      </c>
      <c r="AM669" s="41">
        <f>IF(ISNUMBER($AD669),Header!$I$3,"")</f>
      </c>
      <c r="AN669" s="39">
        <f>IF(ISNUMBER($AD669),$AO669+$AP669,"")</f>
      </c>
      <c r="AO669" s="39">
        <f>IF(ISNUMBER($AD669),ROUND($AD669*Header!$K$3,2),"")</f>
      </c>
      <c r="AP669" s="39">
        <f>IF(ISNUMBER($AD669),ROUND($AD669*Header!$M$3,2),"")</f>
      </c>
      <c r="AQ669" s="38">
        <f>IF(ISNUMBER($AD669),ROUND($AD669,2)-$AO669-$AP669,"")</f>
      </c>
      <c r="AR669" s="39">
        <f>IF(ISNUMBER($AD669),IF(Header!$D$34="","?",$AD669*Header!$D$34),"")</f>
      </c>
      <c r="AS669" s="39">
        <f>IF(ISNUMBER($AB669),IF(Header!$D$34="","?",$AB669*Header!$D$34),"")</f>
      </c>
      <c r="AT669" s="42">
        <f>IF(AND(ISNUMBER($AB669),$M669&gt;0),$AB669/$M669*100,"")</f>
      </c>
      <c r="AU669" s="42">
        <f>IF(AND(ISNUMBER($AD669),$M669&gt;0),$AD669/$M669*100,"")</f>
      </c>
      <c r="AV669" s="40">
        <f>IF(AND(ISNUMBER($AB669),ISNUMBER($AD669),ABS($AB669)&gt;0),$AD669/$AB669,"")</f>
      </c>
      <c r="AW669" s="39">
        <f>IF(ISNUMBER($AD669),MAX(0,(1-0.55-Header!$O$3)*Header!$Q$3*$AQ669),"")</f>
      </c>
      <c r="AX669" s="43">
        <f>IF($A669="","",IF(TRIM(IF($A669="","Missing certificate ref. ","") &amp; IF($C669="","Missing effective date. ","") &amp; IF($D669="","Missing binding status. ","") &amp; IF($E669="","Missing movement type. ","") &amp; IF($I669="","Missing make. ","") &amp; IF($L669="","Missing vehicle class. ","") &amp; IF($M669="","Missing agreed value. ","") &amp; IF($N669="","Missing policy type. ","") &amp; IF($Q669="","Missing garaging state. ","") &amp; IF($R669="","Missing garaging ZIP. ","") &amp; IF($S669="","Missing cat zone. ","") &amp; IF($V669="","Missing valuation basis. ","") &amp; IF($W669="","Missing PD deductible. ","") &amp; IF($X669="","Missing liability limit. ","") &amp; IF($AB669="","Missing technical premium. ","") &amp; IF($AF669="","Missing surplus lines tax %. ",""))="","PASS","FAIL: "&amp;TRIM(IF($A669="","Missing certificate ref. ","") &amp; IF($C669="","Missing effective date. ","") &amp; IF($D669="","Missing binding status. ","") &amp; IF($E669="","Missing movement type. ","") &amp; IF($I669="","Missing make. ","") &amp; IF($L669="","Missing vehicle class. ","") &amp; IF($M669="","Missing agreed value. ","") &amp; IF($N669="","Missing policy type. ","") &amp; IF($Q669="","Missing garaging state. ","") &amp; IF($R669="","Missing garaging ZIP. ","") &amp; IF($S669="","Missing cat zone. ","") &amp; IF($V669="","Missing valuation basis. ","") &amp; IF($W669="","Missing PD deductible. ","") &amp; IF($X669="","Missing liability limit. ","") &amp; IF($AB669="","Missing technical premium. ","") &amp; IF($AF669="","Missing surplus lines tax %. ",""))))</f>
      </c>
      <c r="AY669" s="44">
        <f>IF($M669="","",IF(ISNUMBER($M669),IF($M669&gt;=Header!$C$18,"YES — refer","No"),""))</f>
      </c>
      <c r="AZ669" s="44">
        <f>IF($AD669="","",IF(ISNUMBER($AD669),IF($AD669&lt;Header!$C$20,"BELOW MIN PREMIUM","OK"),""))</f>
      </c>
      <c r="BA669" s="32" t="inlineStr">
        <is>
          <t xml:space="preserve">Yes</t>
        </is>
      </c>
      <c r="BB669" s="32" t="inlineStr">
        <is>
          <t xml:space="preserve">Yes</t>
        </is>
      </c>
      <c r="BC669" s="30" t="inlineStr">
        <is>
          <t xml:space="preserve">Synthetic demo data</t>
        </is>
      </c>
      <c r="BE669" s="45">
        <f>IF(OR($A669="",$L669="",$H669=""),"",IF(AND(LEFT($L669,2)="06",$H669&gt;1945),"FAIL - pre-war class, year "&amp;$H669,IF(AND(LEFT($L669,2)="07",OR($H669&lt;1946,$H669&gt;1972)),"FAIL - 1946-72 class, year "&amp;$H669,IF(AND(LEFT($L669,2)="08",OR($H669&lt;1973,$H669&gt;1999)),"FAIL - 1973-99 class, year "&amp;$H669,IF(AND(LEFT($L669,2)="09",OR($H669&lt;2000,$H669&gt;2010)),"FAIL - 2000-10 class, year "&amp;$H669,"OK")))))</f>
      </c>
      <c r="BF669" s="45">
        <f>IF($AD669="","",IF(ROUND($AO669+$AP669+$AQ669-$AD669,2)=0,"OK","FAIL - out by "&amp;TEXT($AO669+$AP669+$AQ669-$AD669,"$0.00")))</f>
      </c>
    </row>
    <row r="670" spans="1:58" ht="18.75" customHeight="1" x14ac:dyDescent="0.25">
      <c r="A670" s="46" t="inlineStr">
        <is>
          <t xml:space="preserve">CANON-202607-010441</t>
        </is>
      </c>
      <c r="B670" s="46" t="inlineStr">
        <is>
          <t xml:space="preserve">Anouk Castellanos</t>
        </is>
      </c>
      <c r="C670" s="47">
        <v>46230</v>
      </c>
      <c r="D670" s="48" t="inlineStr">
        <is>
          <t xml:space="preserve">Bound - within authority</t>
        </is>
      </c>
      <c r="E670" s="48" t="inlineStr">
        <is>
          <t xml:space="preserve">New business</t>
        </is>
      </c>
      <c r="F670" s="46" t="inlineStr">
        <is>
          <t xml:space="preserve">B1234EXOTIC26</t>
        </is>
      </c>
      <c r="G670" s="33">
        <f>IF($A670="","",IF($C670="","",YEAR($C670)))</f>
      </c>
      <c r="H670" s="49">
        <v>1991</v>
      </c>
      <c r="I670" s="46" t="inlineStr">
        <is>
          <t xml:space="preserve">Ringbrothers</t>
        </is>
      </c>
      <c r="J670" s="46" t="inlineStr">
        <is>
          <t xml:space="preserve">Mustang</t>
        </is>
      </c>
      <c r="K670" s="46" t="inlineStr">
        <is>
          <t xml:space="preserve">M78GWWUGH2S1W6Y3A</t>
        </is>
      </c>
      <c r="L670" s="48" t="inlineStr">
        <is>
          <t xml:space="preserve">11 - Restomod / Coachbuilt / Bespoke</t>
        </is>
      </c>
      <c r="M670" s="50">
        <v>1300000</v>
      </c>
      <c r="N670" s="48" t="inlineStr">
        <is>
          <t xml:space="preserve">Personal</t>
        </is>
      </c>
      <c r="O670" s="46" t="inlineStr">
        <is>
          <t xml:space="preserve">Personal - regular use</t>
        </is>
      </c>
      <c r="P670" s="46" t="inlineStr">
        <is>
          <t xml:space="preserve">2,500 - 5,000</t>
        </is>
      </c>
      <c r="Q670" s="46" t="inlineStr">
        <is>
          <t xml:space="preserve">Florida</t>
        </is>
      </c>
      <c r="R670" s="46" t="inlineStr">
        <is>
          <t xml:space="preserve">33139</t>
        </is>
      </c>
      <c r="S670" s="48" t="inlineStr">
        <is>
          <t xml:space="preserve">Tier 2 - Coastal wind (1-25 miles)</t>
        </is>
      </c>
      <c r="T670" s="36">
        <f>IF($A670="","",IF($S670="","",IFERROR(INDEX('[1]natural catastrophe'!$D$6:$D$17,MATCH($S670,'[1]natural catastrophe'!$B$6:$B$17,0)),"?")))</f>
      </c>
      <c r="U670" s="46" t="inlineStr">
        <is>
          <t xml:space="preserve">2% of agreed value, minimum $10,000</t>
        </is>
      </c>
      <c r="V670" s="48" t="inlineStr">
        <is>
          <t xml:space="preserve">Agreed Value</t>
        </is>
      </c>
      <c r="W670" s="46" t="inlineStr">
        <is>
          <t xml:space="preserve">$1,000</t>
        </is>
      </c>
      <c r="X670" s="48" t="inlineStr">
        <is>
          <t xml:space="preserve">$1,000,000 CSL</t>
        </is>
      </c>
      <c r="Y670" s="46"/>
      <c r="Z670" s="46"/>
      <c r="AA670" s="48" t="inlineStr">
        <is>
          <t xml:space="preserve">Surplus Lines</t>
        </is>
      </c>
      <c r="AB670" s="50">
        <v>18023.93</v>
      </c>
      <c r="AC670" s="51">
        <v>0</v>
      </c>
      <c r="AD670" s="38">
        <f>IF(ISNUMBER($AB670),$AB670*(1+N($AC670)),"")</f>
      </c>
      <c r="AE670" s="50">
        <v>350</v>
      </c>
      <c r="AF670" s="50">
        <v>250</v>
      </c>
      <c r="AG670" s="51"/>
      <c r="AH670" s="39">
        <f>IF(ISNUMBER($AD670),($AD670+$AE670+$AF670)*$AG670,"")</f>
      </c>
      <c r="AI670" s="50"/>
      <c r="AJ670" s="38">
        <f>IF(ISNUMBER($AD670),SUM($AD670:$AH670),"")</f>
      </c>
      <c r="AK670" s="40">
        <f>IF(AND(ISNUMBER($AB670),ISNUMBER($AD670)),IF($AB670&gt;0,$AD670/$AB670,""),"")</f>
      </c>
      <c r="AL670" s="48" t="inlineStr">
        <is>
          <t xml:space="preserve">At technical</t>
        </is>
      </c>
      <c r="AM670" s="41">
        <f>IF(ISNUMBER($AD670),Header!$I$3,"")</f>
      </c>
      <c r="AN670" s="39">
        <f>IF(ISNUMBER($AD670),$AO670+$AP670,"")</f>
      </c>
      <c r="AO670" s="39">
        <f>IF(ISNUMBER($AD670),ROUND($AD670*Header!$K$3,2),"")</f>
      </c>
      <c r="AP670" s="39">
        <f>IF(ISNUMBER($AD670),ROUND($AD670*Header!$M$3,2),"")</f>
      </c>
      <c r="AQ670" s="38">
        <f>IF(ISNUMBER($AD670),ROUND($AD670,2)-$AO670-$AP670,"")</f>
      </c>
      <c r="AR670" s="39">
        <f>IF(ISNUMBER($AD670),IF(Header!$D$34="","?",$AD670*Header!$D$34),"")</f>
      </c>
      <c r="AS670" s="39">
        <f>IF(ISNUMBER($AB670),IF(Header!$D$34="","?",$AB670*Header!$D$34),"")</f>
      </c>
      <c r="AT670" s="42">
        <f>IF(AND(ISNUMBER($AB670),$M670&gt;0),$AB670/$M670*100,"")</f>
      </c>
      <c r="AU670" s="42">
        <f>IF(AND(ISNUMBER($AD670),$M670&gt;0),$AD670/$M670*100,"")</f>
      </c>
      <c r="AV670" s="40">
        <f>IF(AND(ISNUMBER($AB670),ISNUMBER($AD670),ABS($AB670)&gt;0),$AD670/$AB670,"")</f>
      </c>
      <c r="AW670" s="39">
        <f>IF(ISNUMBER($AD670),MAX(0,(1-0.55-Header!$O$3)*Header!$Q$3*$AQ670),"")</f>
      </c>
      <c r="AX670" s="43">
        <f>IF($A670="","",IF(TRIM(IF($A670="","Missing certificate ref. ","") &amp; IF($C670="","Missing effective date. ","") &amp; IF($D670="","Missing binding status. ","") &amp; IF($E670="","Missing movement type. ","") &amp; IF($I670="","Missing make. ","") &amp; IF($L670="","Missing vehicle class. ","") &amp; IF($M670="","Missing agreed value. ","") &amp; IF($N670="","Missing policy type. ","") &amp; IF($Q670="","Missing garaging state. ","") &amp; IF($R670="","Missing garaging ZIP. ","") &amp; IF($S670="","Missing cat zone. ","") &amp; IF($V670="","Missing valuation basis. ","") &amp; IF($W670="","Missing PD deductible. ","") &amp; IF($X670="","Missing liability limit. ","") &amp; IF($AB670="","Missing technical premium. ","") &amp; IF($AF670="","Missing surplus lines tax %. ",""))="","PASS","FAIL: "&amp;TRIM(IF($A670="","Missing certificate ref. ","") &amp; IF($C670="","Missing effective date. ","") &amp; IF($D670="","Missing binding status. ","") &amp; IF($E670="","Missing movement type. ","") &amp; IF($I670="","Missing make. ","") &amp; IF($L670="","Missing vehicle class. ","") &amp; IF($M670="","Missing agreed value. ","") &amp; IF($N670="","Missing policy type. ","") &amp; IF($Q670="","Missing garaging state. ","") &amp; IF($R670="","Missing garaging ZIP. ","") &amp; IF($S670="","Missing cat zone. ","") &amp; IF($V670="","Missing valuation basis. ","") &amp; IF($W670="","Missing PD deductible. ","") &amp; IF($X670="","Missing liability limit. ","") &amp; IF($AB670="","Missing technical premium. ","") &amp; IF($AF670="","Missing surplus lines tax %. ",""))))</f>
      </c>
      <c r="AY670" s="44">
        <f>IF($M670="","",IF(ISNUMBER($M670),IF($M670&gt;=Header!$C$18,"YES — refer","No"),""))</f>
      </c>
      <c r="AZ670" s="44">
        <f>IF($AD670="","",IF(ISNUMBER($AD670),IF($AD670&lt;Header!$C$20,"BELOW MIN PREMIUM","OK"),""))</f>
      </c>
      <c r="BA670" s="48" t="inlineStr">
        <is>
          <t xml:space="preserve">Yes</t>
        </is>
      </c>
      <c r="BB670" s="48" t="inlineStr">
        <is>
          <t xml:space="preserve">Yes</t>
        </is>
      </c>
      <c r="BC670" s="46" t="inlineStr">
        <is>
          <t xml:space="preserve">Synthetic demo data</t>
        </is>
      </c>
      <c r="BE670" s="45">
        <f>IF(OR($A670="",$L670="",$H670=""),"",IF(AND(LEFT($L670,2)="06",$H670&gt;1945),"FAIL - pre-war class, year "&amp;$H670,IF(AND(LEFT($L670,2)="07",OR($H670&lt;1946,$H670&gt;1972)),"FAIL - 1946-72 class, year "&amp;$H670,IF(AND(LEFT($L670,2)="08",OR($H670&lt;1973,$H670&gt;1999)),"FAIL - 1973-99 class, year "&amp;$H670,IF(AND(LEFT($L670,2)="09",OR($H670&lt;2000,$H670&gt;2010)),"FAIL - 2000-10 class, year "&amp;$H670,"OK")))))</f>
      </c>
      <c r="BF670" s="45">
        <f>IF($AD670="","",IF(ROUND($AO670+$AP670+$AQ670-$AD670,2)=0,"OK","FAIL - out by "&amp;TEXT($AO670+$AP670+$AQ670-$AD670,"$0.00")))</f>
      </c>
    </row>
    <row r="671" spans="1:58" ht="18.75" customHeight="1" x14ac:dyDescent="0.25">
      <c r="A671" s="30" t="inlineStr">
        <is>
          <t xml:space="preserve">CANON-202607-010443</t>
        </is>
      </c>
      <c r="B671" s="30" t="inlineStr">
        <is>
          <t xml:space="preserve">Noor Okonkwo</t>
        </is>
      </c>
      <c r="C671" s="31">
        <v>46207</v>
      </c>
      <c r="D671" s="32" t="inlineStr">
        <is>
          <t xml:space="preserve">Bound - within authority</t>
        </is>
      </c>
      <c r="E671" s="32" t="inlineStr">
        <is>
          <t xml:space="preserve">New business</t>
        </is>
      </c>
      <c r="F671" s="30" t="inlineStr">
        <is>
          <t xml:space="preserve">B1234EXOTIC26</t>
        </is>
      </c>
      <c r="G671" s="33">
        <f>IF($A671="","",IF($C671="","",YEAR($C671)))</f>
      </c>
      <c r="H671" s="34">
        <v>1973</v>
      </c>
      <c r="I671" s="30" t="inlineStr">
        <is>
          <t xml:space="preserve">Mercedes-Benz</t>
        </is>
      </c>
      <c r="J671" s="30" t="inlineStr">
        <is>
          <t xml:space="preserve">280SL Pagoda</t>
        </is>
      </c>
      <c r="K671" s="30" t="inlineStr">
        <is>
          <t xml:space="preserve">YUSVA5RN1J71FRWME</t>
        </is>
      </c>
      <c r="L671" s="32" t="inlineStr">
        <is>
          <t xml:space="preserve">08 - Modern Classic (1973-1999)</t>
        </is>
      </c>
      <c r="M671" s="35">
        <v>685000</v>
      </c>
      <c r="N671" s="32" t="inlineStr">
        <is>
          <t xml:space="preserve">Personal</t>
        </is>
      </c>
      <c r="O671" s="30" t="inlineStr">
        <is>
          <t xml:space="preserve">Personal - regular use</t>
        </is>
      </c>
      <c r="P671" s="30" t="inlineStr">
        <is>
          <t xml:space="preserve">Under 1,000</t>
        </is>
      </c>
      <c r="Q671" s="30" t="inlineStr">
        <is>
          <t xml:space="preserve">Texas</t>
        </is>
      </c>
      <c r="R671" s="30" t="inlineStr">
        <is>
          <t xml:space="preserve">75201</t>
        </is>
      </c>
      <c r="S671" s="32" t="inlineStr">
        <is>
          <t xml:space="preserve">Tier 2 - Coastal wind (1-25 miles)</t>
        </is>
      </c>
      <c r="T671" s="36">
        <f>IF($A671="","",IF($S671="","",IFERROR(INDEX('[1]natural catastrophe'!$D$6:$D$17,MATCH($S671,'[1]natural catastrophe'!$B$6:$B$17,0)),"?")))</f>
      </c>
      <c r="U671" s="30" t="inlineStr">
        <is>
          <t xml:space="preserve">2% of agreed value, minimum $10,000</t>
        </is>
      </c>
      <c r="V671" s="32" t="inlineStr">
        <is>
          <t xml:space="preserve">Agreed Value</t>
        </is>
      </c>
      <c r="W671" s="30" t="inlineStr">
        <is>
          <t xml:space="preserve">$1,000</t>
        </is>
      </c>
      <c r="X671" s="32" t="inlineStr">
        <is>
          <t xml:space="preserve">$1,000,000 CSL</t>
        </is>
      </c>
      <c r="Y671" s="30"/>
      <c r="Z671" s="30"/>
      <c r="AA671" s="32" t="inlineStr">
        <is>
          <t xml:space="preserve">Surplus Lines</t>
        </is>
      </c>
      <c r="AB671" s="35">
        <v>4863.69</v>
      </c>
      <c r="AC671" s="37">
        <v>0</v>
      </c>
      <c r="AD671" s="38">
        <f>IF(ISNUMBER($AB671),$AB671*(1+N($AC671)),"")</f>
      </c>
      <c r="AE671" s="35">
        <v>350</v>
      </c>
      <c r="AF671" s="35">
        <v>0</v>
      </c>
      <c r="AG671" s="37"/>
      <c r="AH671" s="39">
        <f>IF(ISNUMBER($AD671),($AD671+$AE671+$AF671)*$AG671,"")</f>
      </c>
      <c r="AI671" s="35"/>
      <c r="AJ671" s="38">
        <f>IF(ISNUMBER($AD671),SUM($AD671:$AH671),"")</f>
      </c>
      <c r="AK671" s="40">
        <f>IF(AND(ISNUMBER($AB671),ISNUMBER($AD671)),IF($AB671&gt;0,$AD671/$AB671,""),"")</f>
      </c>
      <c r="AL671" s="32" t="inlineStr">
        <is>
          <t xml:space="preserve">At technical</t>
        </is>
      </c>
      <c r="AM671" s="41">
        <f>IF(ISNUMBER($AD671),Header!$I$3,"")</f>
      </c>
      <c r="AN671" s="39">
        <f>IF(ISNUMBER($AD671),$AO671+$AP671,"")</f>
      </c>
      <c r="AO671" s="39">
        <f>IF(ISNUMBER($AD671),ROUND($AD671*Header!$K$3,2),"")</f>
      </c>
      <c r="AP671" s="39">
        <f>IF(ISNUMBER($AD671),ROUND($AD671*Header!$M$3,2),"")</f>
      </c>
      <c r="AQ671" s="38">
        <f>IF(ISNUMBER($AD671),ROUND($AD671,2)-$AO671-$AP671,"")</f>
      </c>
      <c r="AR671" s="39">
        <f>IF(ISNUMBER($AD671),IF(Header!$D$34="","?",$AD671*Header!$D$34),"")</f>
      </c>
      <c r="AS671" s="39">
        <f>IF(ISNUMBER($AB671),IF(Header!$D$34="","?",$AB671*Header!$D$34),"")</f>
      </c>
      <c r="AT671" s="42">
        <f>IF(AND(ISNUMBER($AB671),$M671&gt;0),$AB671/$M671*100,"")</f>
      </c>
      <c r="AU671" s="42">
        <f>IF(AND(ISNUMBER($AD671),$M671&gt;0),$AD671/$M671*100,"")</f>
      </c>
      <c r="AV671" s="40">
        <f>IF(AND(ISNUMBER($AB671),ISNUMBER($AD671),ABS($AB671)&gt;0),$AD671/$AB671,"")</f>
      </c>
      <c r="AW671" s="39">
        <f>IF(ISNUMBER($AD671),MAX(0,(1-0.55-Header!$O$3)*Header!$Q$3*$AQ671),"")</f>
      </c>
      <c r="AX671" s="43">
        <f>IF($A671="","",IF(TRIM(IF($A671="","Missing certificate ref. ","") &amp; IF($C671="","Missing effective date. ","") &amp; IF($D671="","Missing binding status. ","") &amp; IF($E671="","Missing movement type. ","") &amp; IF($I671="","Missing make. ","") &amp; IF($L671="","Missing vehicle class. ","") &amp; IF($M671="","Missing agreed value. ","") &amp; IF($N671="","Missing policy type. ","") &amp; IF($Q671="","Missing garaging state. ","") &amp; IF($R671="","Missing garaging ZIP. ","") &amp; IF($S671="","Missing cat zone. ","") &amp; IF($V671="","Missing valuation basis. ","") &amp; IF($W671="","Missing PD deductible. ","") &amp; IF($X671="","Missing liability limit. ","") &amp; IF($AB671="","Missing technical premium. ","") &amp; IF($AF671="","Missing surplus lines tax %. ",""))="","PASS","FAIL: "&amp;TRIM(IF($A671="","Missing certificate ref. ","") &amp; IF($C671="","Missing effective date. ","") &amp; IF($D671="","Missing binding status. ","") &amp; IF($E671="","Missing movement type. ","") &amp; IF($I671="","Missing make. ","") &amp; IF($L671="","Missing vehicle class. ","") &amp; IF($M671="","Missing agreed value. ","") &amp; IF($N671="","Missing policy type. ","") &amp; IF($Q671="","Missing garaging state. ","") &amp; IF($R671="","Missing garaging ZIP. ","") &amp; IF($S671="","Missing cat zone. ","") &amp; IF($V671="","Missing valuation basis. ","") &amp; IF($W671="","Missing PD deductible. ","") &amp; IF($X671="","Missing liability limit. ","") &amp; IF($AB671="","Missing technical premium. ","") &amp; IF($AF671="","Missing surplus lines tax %. ",""))))</f>
      </c>
      <c r="AY671" s="44">
        <f>IF($M671="","",IF(ISNUMBER($M671),IF($M671&gt;=Header!$C$18,"YES — refer","No"),""))</f>
      </c>
      <c r="AZ671" s="44">
        <f>IF($AD671="","",IF(ISNUMBER($AD671),IF($AD671&lt;Header!$C$20,"BELOW MIN PREMIUM","OK"),""))</f>
      </c>
      <c r="BA671" s="32" t="inlineStr">
        <is>
          <t xml:space="preserve">Yes</t>
        </is>
      </c>
      <c r="BB671" s="32" t="inlineStr">
        <is>
          <t xml:space="preserve">Yes</t>
        </is>
      </c>
      <c r="BC671" s="30" t="inlineStr">
        <is>
          <t xml:space="preserve">Synthetic demo data</t>
        </is>
      </c>
      <c r="BE671" s="45">
        <f>IF(OR($A671="",$L671="",$H671=""),"",IF(AND(LEFT($L671,2)="06",$H671&gt;1945),"FAIL - pre-war class, year "&amp;$H671,IF(AND(LEFT($L671,2)="07",OR($H671&lt;1946,$H671&gt;1972)),"FAIL - 1946-72 class, year "&amp;$H671,IF(AND(LEFT($L671,2)="08",OR($H671&lt;1973,$H671&gt;1999)),"FAIL - 1973-99 class, year "&amp;$H671,IF(AND(LEFT($L671,2)="09",OR($H671&lt;2000,$H671&gt;2010)),"FAIL - 2000-10 class, year "&amp;$H671,"OK")))))</f>
      </c>
      <c r="BF671" s="45">
        <f>IF($AD671="","",IF(ROUND($AO671+$AP671+$AQ671-$AD671,2)=0,"OK","FAIL - out by "&amp;TEXT($AO671+$AP671+$AQ671-$AD671,"$0.00")))</f>
      </c>
    </row>
    <row r="672" spans="1:58" ht="18.75" customHeight="1" x14ac:dyDescent="0.25">
      <c r="A672" s="46" t="inlineStr">
        <is>
          <t xml:space="preserve">CANON-202607-010444</t>
        </is>
      </c>
      <c r="B672" s="46" t="inlineStr">
        <is>
          <t xml:space="preserve">Saoirse Harrington</t>
        </is>
      </c>
      <c r="C672" s="47">
        <v>46214</v>
      </c>
      <c r="D672" s="48" t="inlineStr">
        <is>
          <t xml:space="preserve">Bound - within authority</t>
        </is>
      </c>
      <c r="E672" s="48" t="inlineStr">
        <is>
          <t xml:space="preserve">New business</t>
        </is>
      </c>
      <c r="F672" s="46" t="inlineStr">
        <is>
          <t xml:space="preserve">B1234EXOTIC26</t>
        </is>
      </c>
      <c r="G672" s="33">
        <f>IF($A672="","",IF($C672="","",YEAR($C672)))</f>
      </c>
      <c r="H672" s="49">
        <v>1960</v>
      </c>
      <c r="I672" s="46" t="inlineStr">
        <is>
          <t xml:space="preserve">McLaren</t>
        </is>
      </c>
      <c r="J672" s="46" t="inlineStr">
        <is>
          <t xml:space="preserve">750S</t>
        </is>
      </c>
      <c r="K672" s="46" t="inlineStr">
        <is>
          <t xml:space="preserve">6BH6KLWWM64DGYX46</t>
        </is>
      </c>
      <c r="L672" s="48" t="inlineStr">
        <is>
          <t xml:space="preserve">03 - Supercar</t>
        </is>
      </c>
      <c r="M672" s="50">
        <v>870000</v>
      </c>
      <c r="N672" s="48" t="inlineStr">
        <is>
          <t xml:space="preserve">Personal</t>
        </is>
      </c>
      <c r="O672" s="46" t="inlineStr">
        <is>
          <t xml:space="preserve">Personal - regular use</t>
        </is>
      </c>
      <c r="P672" s="46" t="inlineStr">
        <is>
          <t xml:space="preserve">2,500 - 5,000</t>
        </is>
      </c>
      <c r="Q672" s="46" t="inlineStr">
        <is>
          <t xml:space="preserve">New Hampshire</t>
        </is>
      </c>
      <c r="R672" s="46" t="inlineStr">
        <is>
          <t xml:space="preserve">03301</t>
        </is>
      </c>
      <c r="S672" s="48" t="inlineStr">
        <is>
          <t xml:space="preserve">Tier 3 - Coastal wind (25-100 miles)</t>
        </is>
      </c>
      <c r="T672" s="36">
        <f>IF($A672="","",IF($S672="","",IFERROR(INDEX('[1]natural catastrophe'!$D$6:$D$17,MATCH($S672,'[1]natural catastrophe'!$B$6:$B$17,0)),"?")))</f>
      </c>
      <c r="U672" s="46" t="inlineStr">
        <is>
          <t xml:space="preserve">2% of agreed value, minimum $10,000</t>
        </is>
      </c>
      <c r="V672" s="48" t="inlineStr">
        <is>
          <t xml:space="preserve">Agreed Value</t>
        </is>
      </c>
      <c r="W672" s="46" t="inlineStr">
        <is>
          <t xml:space="preserve">$1,000</t>
        </is>
      </c>
      <c r="X672" s="48" t="inlineStr">
        <is>
          <t xml:space="preserve">$1,000,000 CSL</t>
        </is>
      </c>
      <c r="Y672" s="46"/>
      <c r="Z672" s="46"/>
      <c r="AA672" s="48" t="inlineStr">
        <is>
          <t xml:space="preserve">Surplus Lines</t>
        </is>
      </c>
      <c r="AB672" s="50">
        <v>12341.98</v>
      </c>
      <c r="AC672" s="51">
        <v>0</v>
      </c>
      <c r="AD672" s="38">
        <f>IF(ISNUMBER($AB672),$AB672*(1+N($AC672)),"")</f>
      </c>
      <c r="AE672" s="50">
        <v>350</v>
      </c>
      <c r="AF672" s="50">
        <v>0</v>
      </c>
      <c r="AG672" s="51"/>
      <c r="AH672" s="39">
        <f>IF(ISNUMBER($AD672),($AD672+$AE672+$AF672)*$AG672,"")</f>
      </c>
      <c r="AI672" s="50"/>
      <c r="AJ672" s="38">
        <f>IF(ISNUMBER($AD672),SUM($AD672:$AH672),"")</f>
      </c>
      <c r="AK672" s="40">
        <f>IF(AND(ISNUMBER($AB672),ISNUMBER($AD672)),IF($AB672&gt;0,$AD672/$AB672,""),"")</f>
      </c>
      <c r="AL672" s="48" t="inlineStr">
        <is>
          <t xml:space="preserve">At technical</t>
        </is>
      </c>
      <c r="AM672" s="41">
        <f>IF(ISNUMBER($AD672),Header!$I$3,"")</f>
      </c>
      <c r="AN672" s="39">
        <f>IF(ISNUMBER($AD672),$AO672+$AP672,"")</f>
      </c>
      <c r="AO672" s="39">
        <f>IF(ISNUMBER($AD672),ROUND($AD672*Header!$K$3,2),"")</f>
      </c>
      <c r="AP672" s="39">
        <f>IF(ISNUMBER($AD672),ROUND($AD672*Header!$M$3,2),"")</f>
      </c>
      <c r="AQ672" s="38">
        <f>IF(ISNUMBER($AD672),ROUND($AD672,2)-$AO672-$AP672,"")</f>
      </c>
      <c r="AR672" s="39">
        <f>IF(ISNUMBER($AD672),IF(Header!$D$34="","?",$AD672*Header!$D$34),"")</f>
      </c>
      <c r="AS672" s="39">
        <f>IF(ISNUMBER($AB672),IF(Header!$D$34="","?",$AB672*Header!$D$34),"")</f>
      </c>
      <c r="AT672" s="42">
        <f>IF(AND(ISNUMBER($AB672),$M672&gt;0),$AB672/$M672*100,"")</f>
      </c>
      <c r="AU672" s="42">
        <f>IF(AND(ISNUMBER($AD672),$M672&gt;0),$AD672/$M672*100,"")</f>
      </c>
      <c r="AV672" s="40">
        <f>IF(AND(ISNUMBER($AB672),ISNUMBER($AD672),ABS($AB672)&gt;0),$AD672/$AB672,"")</f>
      </c>
      <c r="AW672" s="39">
        <f>IF(ISNUMBER($AD672),MAX(0,(1-0.55-Header!$O$3)*Header!$Q$3*$AQ672),"")</f>
      </c>
      <c r="AX672" s="43">
        <f>IF($A672="","",IF(TRIM(IF($A672="","Missing certificate ref. ","") &amp; IF($C672="","Missing effective date. ","") &amp; IF($D672="","Missing binding status. ","") &amp; IF($E672="","Missing movement type. ","") &amp; IF($I672="","Missing make. ","") &amp; IF($L672="","Missing vehicle class. ","") &amp; IF($M672="","Missing agreed value. ","") &amp; IF($N672="","Missing policy type. ","") &amp; IF($Q672="","Missing garaging state. ","") &amp; IF($R672="","Missing garaging ZIP. ","") &amp; IF($S672="","Missing cat zone. ","") &amp; IF($V672="","Missing valuation basis. ","") &amp; IF($W672="","Missing PD deductible. ","") &amp; IF($X672="","Missing liability limit. ","") &amp; IF($AB672="","Missing technical premium. ","") &amp; IF($AF672="","Missing surplus lines tax %. ",""))="","PASS","FAIL: "&amp;TRIM(IF($A672="","Missing certificate ref. ","") &amp; IF($C672="","Missing effective date. ","") &amp; IF($D672="","Missing binding status. ","") &amp; IF($E672="","Missing movement type. ","") &amp; IF($I672="","Missing make. ","") &amp; IF($L672="","Missing vehicle class. ","") &amp; IF($M672="","Missing agreed value. ","") &amp; IF($N672="","Missing policy type. ","") &amp; IF($Q672="","Missing garaging state. ","") &amp; IF($R672="","Missing garaging ZIP. ","") &amp; IF($S672="","Missing cat zone. ","") &amp; IF($V672="","Missing valuation basis. ","") &amp; IF($W672="","Missing PD deductible. ","") &amp; IF($X672="","Missing liability limit. ","") &amp; IF($AB672="","Missing technical premium. ","") &amp; IF($AF672="","Missing surplus lines tax %. ",""))))</f>
      </c>
      <c r="AY672" s="44">
        <f>IF($M672="","",IF(ISNUMBER($M672),IF($M672&gt;=Header!$C$18,"YES — refer","No"),""))</f>
      </c>
      <c r="AZ672" s="44">
        <f>IF($AD672="","",IF(ISNUMBER($AD672),IF($AD672&lt;Header!$C$20,"BELOW MIN PREMIUM","OK"),""))</f>
      </c>
      <c r="BA672" s="48" t="inlineStr">
        <is>
          <t xml:space="preserve">Yes</t>
        </is>
      </c>
      <c r="BB672" s="48" t="inlineStr">
        <is>
          <t xml:space="preserve">Yes</t>
        </is>
      </c>
      <c r="BC672" s="46" t="inlineStr">
        <is>
          <t xml:space="preserve">Synthetic demo data</t>
        </is>
      </c>
      <c r="BE672" s="45">
        <f>IF(OR($A672="",$L672="",$H672=""),"",IF(AND(LEFT($L672,2)="06",$H672&gt;1945),"FAIL - pre-war class, year "&amp;$H672,IF(AND(LEFT($L672,2)="07",OR($H672&lt;1946,$H672&gt;1972)),"FAIL - 1946-72 class, year "&amp;$H672,IF(AND(LEFT($L672,2)="08",OR($H672&lt;1973,$H672&gt;1999)),"FAIL - 1973-99 class, year "&amp;$H672,IF(AND(LEFT($L672,2)="09",OR($H672&lt;2000,$H672&gt;2010)),"FAIL - 2000-10 class, year "&amp;$H672,"OK")))))</f>
      </c>
      <c r="BF672" s="45">
        <f>IF($AD672="","",IF(ROUND($AO672+$AP672+$AQ672-$AD672,2)=0,"OK","FAIL - out by "&amp;TEXT($AO672+$AP672+$AQ672-$AD672,"$0.00")))</f>
      </c>
    </row>
    <row r="673" spans="1:58" ht="18.75" customHeight="1" x14ac:dyDescent="0.25">
      <c r="A673" s="30" t="inlineStr">
        <is>
          <t xml:space="preserve">CANON-202607-010445</t>
        </is>
      </c>
      <c r="B673" s="30" t="inlineStr">
        <is>
          <t xml:space="preserve">Ramona Blackwood</t>
        </is>
      </c>
      <c r="C673" s="31">
        <v>46210</v>
      </c>
      <c r="D673" s="32" t="inlineStr">
        <is>
          <t xml:space="preserve">Bound - within authority</t>
        </is>
      </c>
      <c r="E673" s="32" t="inlineStr">
        <is>
          <t xml:space="preserve">New business</t>
        </is>
      </c>
      <c r="F673" s="30" t="inlineStr">
        <is>
          <t xml:space="preserve">B1234EXOTIC26</t>
        </is>
      </c>
      <c r="G673" s="33">
        <f>IF($A673="","",IF($C673="","",YEAR($C673)))</f>
      </c>
      <c r="H673" s="34">
        <v>1967</v>
      </c>
      <c r="I673" s="30" t="inlineStr">
        <is>
          <t xml:space="preserve">Porsche</t>
        </is>
      </c>
      <c r="J673" s="30" t="inlineStr">
        <is>
          <t xml:space="preserve">911 Turbo S</t>
        </is>
      </c>
      <c r="K673" s="30" t="inlineStr">
        <is>
          <t xml:space="preserve">UEN7AGE5DNNMP60XY</t>
        </is>
      </c>
      <c r="L673" s="32" t="inlineStr">
        <is>
          <t xml:space="preserve">02 - Sports / GT</t>
        </is>
      </c>
      <c r="M673" s="35">
        <v>235000</v>
      </c>
      <c r="N673" s="32" t="inlineStr">
        <is>
          <t xml:space="preserve">Personal</t>
        </is>
      </c>
      <c r="O673" s="30" t="inlineStr">
        <is>
          <t xml:space="preserve">Personal - regular use</t>
        </is>
      </c>
      <c r="P673" s="30" t="inlineStr">
        <is>
          <t xml:space="preserve">Under 1,000</t>
        </is>
      </c>
      <c r="Q673" s="30" t="inlineStr">
        <is>
          <t xml:space="preserve">Colorado</t>
        </is>
      </c>
      <c r="R673" s="30" t="inlineStr">
        <is>
          <t xml:space="preserve">80202</t>
        </is>
      </c>
      <c r="S673" s="32" t="inlineStr">
        <is>
          <t xml:space="preserve">Severe convective - hail alley (high)</t>
        </is>
      </c>
      <c r="T673" s="36">
        <f>IF($A673="","",IF($S673="","",IFERROR(INDEX('[1]natural catastrophe'!$D$6:$D$17,MATCH($S673,'[1]natural catastrophe'!$B$6:$B$17,0)),"?")))</f>
      </c>
      <c r="U673" s="30" t="inlineStr">
        <is>
          <t xml:space="preserve">$5,000</t>
        </is>
      </c>
      <c r="V673" s="32" t="inlineStr">
        <is>
          <t xml:space="preserve">Agreed Value</t>
        </is>
      </c>
      <c r="W673" s="30" t="inlineStr">
        <is>
          <t xml:space="preserve">$1,000</t>
        </is>
      </c>
      <c r="X673" s="32" t="inlineStr">
        <is>
          <t xml:space="preserve">$1,000,000 CSL</t>
        </is>
      </c>
      <c r="Y673" s="30"/>
      <c r="Z673" s="30"/>
      <c r="AA673" s="32" t="inlineStr">
        <is>
          <t xml:space="preserve">Surplus Lines</t>
        </is>
      </c>
      <c r="AB673" s="35">
        <v>3414.74</v>
      </c>
      <c r="AC673" s="37">
        <v>0</v>
      </c>
      <c r="AD673" s="38">
        <f>IF(ISNUMBER($AB673),$AB673*(1+N($AC673)),"")</f>
      </c>
      <c r="AE673" s="35">
        <v>350</v>
      </c>
      <c r="AF673" s="35">
        <v>0</v>
      </c>
      <c r="AG673" s="37"/>
      <c r="AH673" s="39">
        <f>IF(ISNUMBER($AD673),($AD673+$AE673+$AF673)*$AG673,"")</f>
      </c>
      <c r="AI673" s="35"/>
      <c r="AJ673" s="38">
        <f>IF(ISNUMBER($AD673),SUM($AD673:$AH673),"")</f>
      </c>
      <c r="AK673" s="40">
        <f>IF(AND(ISNUMBER($AB673),ISNUMBER($AD673)),IF($AB673&gt;0,$AD673/$AB673,""),"")</f>
      </c>
      <c r="AL673" s="32" t="inlineStr">
        <is>
          <t xml:space="preserve">At technical</t>
        </is>
      </c>
      <c r="AM673" s="41">
        <f>IF(ISNUMBER($AD673),Header!$I$3,"")</f>
      </c>
      <c r="AN673" s="39">
        <f>IF(ISNUMBER($AD673),$AO673+$AP673,"")</f>
      </c>
      <c r="AO673" s="39">
        <f>IF(ISNUMBER($AD673),ROUND($AD673*Header!$K$3,2),"")</f>
      </c>
      <c r="AP673" s="39">
        <f>IF(ISNUMBER($AD673),ROUND($AD673*Header!$M$3,2),"")</f>
      </c>
      <c r="AQ673" s="38">
        <f>IF(ISNUMBER($AD673),ROUND($AD673,2)-$AO673-$AP673,"")</f>
      </c>
      <c r="AR673" s="39">
        <f>IF(ISNUMBER($AD673),IF(Header!$D$34="","?",$AD673*Header!$D$34),"")</f>
      </c>
      <c r="AS673" s="39">
        <f>IF(ISNUMBER($AB673),IF(Header!$D$34="","?",$AB673*Header!$D$34),"")</f>
      </c>
      <c r="AT673" s="42">
        <f>IF(AND(ISNUMBER($AB673),$M673&gt;0),$AB673/$M673*100,"")</f>
      </c>
      <c r="AU673" s="42">
        <f>IF(AND(ISNUMBER($AD673),$M673&gt;0),$AD673/$M673*100,"")</f>
      </c>
      <c r="AV673" s="40">
        <f>IF(AND(ISNUMBER($AB673),ISNUMBER($AD673),ABS($AB673)&gt;0),$AD673/$AB673,"")</f>
      </c>
      <c r="AW673" s="39">
        <f>IF(ISNUMBER($AD673),MAX(0,(1-0.55-Header!$O$3)*Header!$Q$3*$AQ673),"")</f>
      </c>
      <c r="AX673" s="43">
        <f>IF($A673="","",IF(TRIM(IF($A673="","Missing certificate ref. ","") &amp; IF($C673="","Missing effective date. ","") &amp; IF($D673="","Missing binding status. ","") &amp; IF($E673="","Missing movement type. ","") &amp; IF($I673="","Missing make. ","") &amp; IF($L673="","Missing vehicle class. ","") &amp; IF($M673="","Missing agreed value. ","") &amp; IF($N673="","Missing policy type. ","") &amp; IF($Q673="","Missing garaging state. ","") &amp; IF($R673="","Missing garaging ZIP. ","") &amp; IF($S673="","Missing cat zone. ","") &amp; IF($V673="","Missing valuation basis. ","") &amp; IF($W673="","Missing PD deductible. ","") &amp; IF($X673="","Missing liability limit. ","") &amp; IF($AB673="","Missing technical premium. ","") &amp; IF($AF673="","Missing surplus lines tax %. ",""))="","PASS","FAIL: "&amp;TRIM(IF($A673="","Missing certificate ref. ","") &amp; IF($C673="","Missing effective date. ","") &amp; IF($D673="","Missing binding status. ","") &amp; IF($E673="","Missing movement type. ","") &amp; IF($I673="","Missing make. ","") &amp; IF($L673="","Missing vehicle class. ","") &amp; IF($M673="","Missing agreed value. ","") &amp; IF($N673="","Missing policy type. ","") &amp; IF($Q673="","Missing garaging state. ","") &amp; IF($R673="","Missing garaging ZIP. ","") &amp; IF($S673="","Missing cat zone. ","") &amp; IF($V673="","Missing valuation basis. ","") &amp; IF($W673="","Missing PD deductible. ","") &amp; IF($X673="","Missing liability limit. ","") &amp; IF($AB673="","Missing technical premium. ","") &amp; IF($AF673="","Missing surplus lines tax %. ",""))))</f>
      </c>
      <c r="AY673" s="44">
        <f>IF($M673="","",IF(ISNUMBER($M673),IF($M673&gt;=Header!$C$18,"YES — refer","No"),""))</f>
      </c>
      <c r="AZ673" s="44">
        <f>IF($AD673="","",IF(ISNUMBER($AD673),IF($AD673&lt;Header!$C$20,"BELOW MIN PREMIUM","OK"),""))</f>
      </c>
      <c r="BA673" s="32" t="inlineStr">
        <is>
          <t xml:space="preserve">Yes</t>
        </is>
      </c>
      <c r="BB673" s="32" t="inlineStr">
        <is>
          <t xml:space="preserve">Yes</t>
        </is>
      </c>
      <c r="BC673" s="30" t="inlineStr">
        <is>
          <t xml:space="preserve">Synthetic demo data</t>
        </is>
      </c>
      <c r="BE673" s="45">
        <f>IF(OR($A673="",$L673="",$H673=""),"",IF(AND(LEFT($L673,2)="06",$H673&gt;1945),"FAIL - pre-war class, year "&amp;$H673,IF(AND(LEFT($L673,2)="07",OR($H673&lt;1946,$H673&gt;1972)),"FAIL - 1946-72 class, year "&amp;$H673,IF(AND(LEFT($L673,2)="08",OR($H673&lt;1973,$H673&gt;1999)),"FAIL - 1973-99 class, year "&amp;$H673,IF(AND(LEFT($L673,2)="09",OR($H673&lt;2000,$H673&gt;2010)),"FAIL - 2000-10 class, year "&amp;$H673,"OK")))))</f>
      </c>
      <c r="BF673" s="45">
        <f>IF($AD673="","",IF(ROUND($AO673+$AP673+$AQ673-$AD673,2)=0,"OK","FAIL - out by "&amp;TEXT($AO673+$AP673+$AQ673-$AD673,"$0.00")))</f>
      </c>
    </row>
    <row r="674" spans="1:58" ht="18.75" customHeight="1" x14ac:dyDescent="0.25">
      <c r="A674" s="46" t="inlineStr">
        <is>
          <t xml:space="preserve">CANON-202607-010446</t>
        </is>
      </c>
      <c r="B674" s="46" t="inlineStr">
        <is>
          <t xml:space="preserve">Ottilie Blackwood</t>
        </is>
      </c>
      <c r="C674" s="47">
        <v>46216</v>
      </c>
      <c r="D674" s="48" t="inlineStr">
        <is>
          <t xml:space="preserve">Bound - within authority</t>
        </is>
      </c>
      <c r="E674" s="48" t="inlineStr">
        <is>
          <t xml:space="preserve">New business</t>
        </is>
      </c>
      <c r="F674" s="46" t="inlineStr">
        <is>
          <t xml:space="preserve">B1234EXOTIC26</t>
        </is>
      </c>
      <c r="G674" s="33">
        <f>IF($A674="","",IF($C674="","",YEAR($C674)))</f>
      </c>
      <c r="H674" s="49">
        <v>1996</v>
      </c>
      <c r="I674" s="46" t="inlineStr">
        <is>
          <t xml:space="preserve">Aston Martin</t>
        </is>
      </c>
      <c r="J674" s="46" t="inlineStr">
        <is>
          <t xml:space="preserve">DB12</t>
        </is>
      </c>
      <c r="K674" s="46" t="inlineStr">
        <is>
          <t xml:space="preserve">YMUXR34HV5MA5YD58</t>
        </is>
      </c>
      <c r="L674" s="48" t="inlineStr">
        <is>
          <t xml:space="preserve">02 - Sports / GT</t>
        </is>
      </c>
      <c r="M674" s="50">
        <v>735000</v>
      </c>
      <c r="N674" s="48" t="inlineStr">
        <is>
          <t xml:space="preserve">Personal</t>
        </is>
      </c>
      <c r="O674" s="46" t="inlineStr">
        <is>
          <t xml:space="preserve">Personal - regular use</t>
        </is>
      </c>
      <c r="P674" s="46" t="inlineStr">
        <is>
          <t xml:space="preserve">2,500 - 5,000</t>
        </is>
      </c>
      <c r="Q674" s="46" t="inlineStr">
        <is>
          <t xml:space="preserve">Texas</t>
        </is>
      </c>
      <c r="R674" s="46" t="inlineStr">
        <is>
          <t xml:space="preserve">75201</t>
        </is>
      </c>
      <c r="S674" s="48" t="inlineStr">
        <is>
          <t xml:space="preserve">Tier 2 - Coastal wind (1-25 miles)</t>
        </is>
      </c>
      <c r="T674" s="36">
        <f>IF($A674="","",IF($S674="","",IFERROR(INDEX('[1]natural catastrophe'!$D$6:$D$17,MATCH($S674,'[1]natural catastrophe'!$B$6:$B$17,0)),"?")))</f>
      </c>
      <c r="U674" s="46" t="inlineStr">
        <is>
          <t xml:space="preserve">2% of agreed value, minimum $10,000</t>
        </is>
      </c>
      <c r="V674" s="48" t="inlineStr">
        <is>
          <t xml:space="preserve">Agreed Value</t>
        </is>
      </c>
      <c r="W674" s="46" t="inlineStr">
        <is>
          <t xml:space="preserve">$1,000</t>
        </is>
      </c>
      <c r="X674" s="48" t="inlineStr">
        <is>
          <t xml:space="preserve">$1,000,000 CSL</t>
        </is>
      </c>
      <c r="Y674" s="46"/>
      <c r="Z674" s="46"/>
      <c r="AA674" s="48" t="inlineStr">
        <is>
          <t xml:space="preserve">Surplus Lines</t>
        </is>
      </c>
      <c r="AB674" s="50">
        <v>7888.73</v>
      </c>
      <c r="AC674" s="51">
        <v>0</v>
      </c>
      <c r="AD674" s="38">
        <f>IF(ISNUMBER($AB674),$AB674*(1+N($AC674)),"")</f>
      </c>
      <c r="AE674" s="50">
        <v>350</v>
      </c>
      <c r="AF674" s="50">
        <v>0</v>
      </c>
      <c r="AG674" s="51"/>
      <c r="AH674" s="39">
        <f>IF(ISNUMBER($AD674),($AD674+$AE674+$AF674)*$AG674,"")</f>
      </c>
      <c r="AI674" s="50"/>
      <c r="AJ674" s="38">
        <f>IF(ISNUMBER($AD674),SUM($AD674:$AH674),"")</f>
      </c>
      <c r="AK674" s="40">
        <f>IF(AND(ISNUMBER($AB674),ISNUMBER($AD674)),IF($AB674&gt;0,$AD674/$AB674,""),"")</f>
      </c>
      <c r="AL674" s="48" t="inlineStr">
        <is>
          <t xml:space="preserve">At technical</t>
        </is>
      </c>
      <c r="AM674" s="41">
        <f>IF(ISNUMBER($AD674),Header!$I$3,"")</f>
      </c>
      <c r="AN674" s="39">
        <f>IF(ISNUMBER($AD674),$AO674+$AP674,"")</f>
      </c>
      <c r="AO674" s="39">
        <f>IF(ISNUMBER($AD674),ROUND($AD674*Header!$K$3,2),"")</f>
      </c>
      <c r="AP674" s="39">
        <f>IF(ISNUMBER($AD674),ROUND($AD674*Header!$M$3,2),"")</f>
      </c>
      <c r="AQ674" s="38">
        <f>IF(ISNUMBER($AD674),ROUND($AD674,2)-$AO674-$AP674,"")</f>
      </c>
      <c r="AR674" s="39">
        <f>IF(ISNUMBER($AD674),IF(Header!$D$34="","?",$AD674*Header!$D$34),"")</f>
      </c>
      <c r="AS674" s="39">
        <f>IF(ISNUMBER($AB674),IF(Header!$D$34="","?",$AB674*Header!$D$34),"")</f>
      </c>
      <c r="AT674" s="42">
        <f>IF(AND(ISNUMBER($AB674),$M674&gt;0),$AB674/$M674*100,"")</f>
      </c>
      <c r="AU674" s="42">
        <f>IF(AND(ISNUMBER($AD674),$M674&gt;0),$AD674/$M674*100,"")</f>
      </c>
      <c r="AV674" s="40">
        <f>IF(AND(ISNUMBER($AB674),ISNUMBER($AD674),ABS($AB674)&gt;0),$AD674/$AB674,"")</f>
      </c>
      <c r="AW674" s="39">
        <f>IF(ISNUMBER($AD674),MAX(0,(1-0.55-Header!$O$3)*Header!$Q$3*$AQ674),"")</f>
      </c>
      <c r="AX674" s="43">
        <f>IF($A674="","",IF(TRIM(IF($A674="","Missing certificate ref. ","") &amp; IF($C674="","Missing effective date. ","") &amp; IF($D674="","Missing binding status. ","") &amp; IF($E674="","Missing movement type. ","") &amp; IF($I674="","Missing make. ","") &amp; IF($L674="","Missing vehicle class. ","") &amp; IF($M674="","Missing agreed value. ","") &amp; IF($N674="","Missing policy type. ","") &amp; IF($Q674="","Missing garaging state. ","") &amp; IF($R674="","Missing garaging ZIP. ","") &amp; IF($S674="","Missing cat zone. ","") &amp; IF($V674="","Missing valuation basis. ","") &amp; IF($W674="","Missing PD deductible. ","") &amp; IF($X674="","Missing liability limit. ","") &amp; IF($AB674="","Missing technical premium. ","") &amp; IF($AF674="","Missing surplus lines tax %. ",""))="","PASS","FAIL: "&amp;TRIM(IF($A674="","Missing certificate ref. ","") &amp; IF($C674="","Missing effective date. ","") &amp; IF($D674="","Missing binding status. ","") &amp; IF($E674="","Missing movement type. ","") &amp; IF($I674="","Missing make. ","") &amp; IF($L674="","Missing vehicle class. ","") &amp; IF($M674="","Missing agreed value. ","") &amp; IF($N674="","Missing policy type. ","") &amp; IF($Q674="","Missing garaging state. ","") &amp; IF($R674="","Missing garaging ZIP. ","") &amp; IF($S674="","Missing cat zone. ","") &amp; IF($V674="","Missing valuation basis. ","") &amp; IF($W674="","Missing PD deductible. ","") &amp; IF($X674="","Missing liability limit. ","") &amp; IF($AB674="","Missing technical premium. ","") &amp; IF($AF674="","Missing surplus lines tax %. ",""))))</f>
      </c>
      <c r="AY674" s="44">
        <f>IF($M674="","",IF(ISNUMBER($M674),IF($M674&gt;=Header!$C$18,"YES — refer","No"),""))</f>
      </c>
      <c r="AZ674" s="44">
        <f>IF($AD674="","",IF(ISNUMBER($AD674),IF($AD674&lt;Header!$C$20,"BELOW MIN PREMIUM","OK"),""))</f>
      </c>
      <c r="BA674" s="48" t="inlineStr">
        <is>
          <t xml:space="preserve">Yes</t>
        </is>
      </c>
      <c r="BB674" s="48" t="inlineStr">
        <is>
          <t xml:space="preserve">Yes</t>
        </is>
      </c>
      <c r="BC674" s="46" t="inlineStr">
        <is>
          <t xml:space="preserve">Synthetic demo data</t>
        </is>
      </c>
      <c r="BE674" s="45">
        <f>IF(OR($A674="",$L674="",$H674=""),"",IF(AND(LEFT($L674,2)="06",$H674&gt;1945),"FAIL - pre-war class, year "&amp;$H674,IF(AND(LEFT($L674,2)="07",OR($H674&lt;1946,$H674&gt;1972)),"FAIL - 1946-72 class, year "&amp;$H674,IF(AND(LEFT($L674,2)="08",OR($H674&lt;1973,$H674&gt;1999)),"FAIL - 1973-99 class, year "&amp;$H674,IF(AND(LEFT($L674,2)="09",OR($H674&lt;2000,$H674&gt;2010)),"FAIL - 2000-10 class, year "&amp;$H674,"OK")))))</f>
      </c>
      <c r="BF674" s="45">
        <f>IF($AD674="","",IF(ROUND($AO674+$AP674+$AQ674-$AD674,2)=0,"OK","FAIL - out by "&amp;TEXT($AO674+$AP674+$AQ674-$AD674,"$0.00")))</f>
      </c>
    </row>
    <row r="675" spans="1:58" ht="18.75" customHeight="1" x14ac:dyDescent="0.25">
      <c r="A675" s="30" t="inlineStr">
        <is>
          <t xml:space="preserve">CANON-202607-010447</t>
        </is>
      </c>
      <c r="B675" s="30" t="inlineStr">
        <is>
          <t xml:space="preserve">Saoirse Rourke</t>
        </is>
      </c>
      <c r="C675" s="31">
        <v>46224</v>
      </c>
      <c r="D675" s="32" t="inlineStr">
        <is>
          <t xml:space="preserve">Bound - within authority</t>
        </is>
      </c>
      <c r="E675" s="32" t="inlineStr">
        <is>
          <t xml:space="preserve">New business</t>
        </is>
      </c>
      <c r="F675" s="30" t="inlineStr">
        <is>
          <t xml:space="preserve">B1234EXOTIC26</t>
        </is>
      </c>
      <c r="G675" s="33">
        <f>IF($A675="","",IF($C675="","",YEAR($C675)))</f>
      </c>
      <c r="H675" s="34">
        <v>2018</v>
      </c>
      <c r="I675" s="30" t="inlineStr">
        <is>
          <t xml:space="preserve">Porsche</t>
        </is>
      </c>
      <c r="J675" s="30" t="inlineStr">
        <is>
          <t xml:space="preserve">911 Turbo S</t>
        </is>
      </c>
      <c r="K675" s="30" t="inlineStr">
        <is>
          <t xml:space="preserve">XRKWUP8E0XKY6B998</t>
        </is>
      </c>
      <c r="L675" s="32" t="inlineStr">
        <is>
          <t xml:space="preserve">02 - Sports / GT</t>
        </is>
      </c>
      <c r="M675" s="35">
        <v>640000</v>
      </c>
      <c r="N675" s="32" t="inlineStr">
        <is>
          <t xml:space="preserve">Personal</t>
        </is>
      </c>
      <c r="O675" s="30" t="inlineStr">
        <is>
          <t xml:space="preserve">Personal - regular use</t>
        </is>
      </c>
      <c r="P675" s="30" t="inlineStr">
        <is>
          <t xml:space="preserve">Under 1,000</t>
        </is>
      </c>
      <c r="Q675" s="30" t="inlineStr">
        <is>
          <t xml:space="preserve">California</t>
        </is>
      </c>
      <c r="R675" s="30" t="inlineStr">
        <is>
          <t xml:space="preserve">90012</t>
        </is>
      </c>
      <c r="S675" s="32" t="inlineStr">
        <is>
          <t xml:space="preserve">Earthquake - high (CA, Cascadia, New Madrid)</t>
        </is>
      </c>
      <c r="T675" s="36">
        <f>IF($A675="","",IF($S675="","",IFERROR(INDEX('[1]natural catastrophe'!$D$6:$D$17,MATCH($S675,'[1]natural catastrophe'!$B$6:$B$17,0)),"?")))</f>
      </c>
      <c r="U675" s="30" t="inlineStr">
        <is>
          <t xml:space="preserve">$5,000</t>
        </is>
      </c>
      <c r="V675" s="32" t="inlineStr">
        <is>
          <t xml:space="preserve">Agreed Value</t>
        </is>
      </c>
      <c r="W675" s="30" t="inlineStr">
        <is>
          <t xml:space="preserve">$1,000</t>
        </is>
      </c>
      <c r="X675" s="32" t="inlineStr">
        <is>
          <t xml:space="preserve">$1,000,000 CSL</t>
        </is>
      </c>
      <c r="Y675" s="30"/>
      <c r="Z675" s="30"/>
      <c r="AA675" s="32" t="inlineStr">
        <is>
          <t xml:space="preserve">Surplus Lines</t>
        </is>
      </c>
      <c r="AB675" s="35">
        <v>8063.73</v>
      </c>
      <c r="AC675" s="37">
        <v>0</v>
      </c>
      <c r="AD675" s="38">
        <f>IF(ISNUMBER($AB675),$AB675*(1+N($AC675)),"")</f>
      </c>
      <c r="AE675" s="35">
        <v>350</v>
      </c>
      <c r="AF675" s="35">
        <v>0</v>
      </c>
      <c r="AG675" s="37"/>
      <c r="AH675" s="39">
        <f>IF(ISNUMBER($AD675),($AD675+$AE675+$AF675)*$AG675,"")</f>
      </c>
      <c r="AI675" s="35"/>
      <c r="AJ675" s="38">
        <f>IF(ISNUMBER($AD675),SUM($AD675:$AH675),"")</f>
      </c>
      <c r="AK675" s="40">
        <f>IF(AND(ISNUMBER($AB675),ISNUMBER($AD675)),IF($AB675&gt;0,$AD675/$AB675,""),"")</f>
      </c>
      <c r="AL675" s="32" t="inlineStr">
        <is>
          <t xml:space="preserve">At technical</t>
        </is>
      </c>
      <c r="AM675" s="41">
        <f>IF(ISNUMBER($AD675),Header!$I$3,"")</f>
      </c>
      <c r="AN675" s="39">
        <f>IF(ISNUMBER($AD675),$AO675+$AP675,"")</f>
      </c>
      <c r="AO675" s="39">
        <f>IF(ISNUMBER($AD675),ROUND($AD675*Header!$K$3,2),"")</f>
      </c>
      <c r="AP675" s="39">
        <f>IF(ISNUMBER($AD675),ROUND($AD675*Header!$M$3,2),"")</f>
      </c>
      <c r="AQ675" s="38">
        <f>IF(ISNUMBER($AD675),ROUND($AD675,2)-$AO675-$AP675,"")</f>
      </c>
      <c r="AR675" s="39">
        <f>IF(ISNUMBER($AD675),IF(Header!$D$34="","?",$AD675*Header!$D$34),"")</f>
      </c>
      <c r="AS675" s="39">
        <f>IF(ISNUMBER($AB675),IF(Header!$D$34="","?",$AB675*Header!$D$34),"")</f>
      </c>
      <c r="AT675" s="42">
        <f>IF(AND(ISNUMBER($AB675),$M675&gt;0),$AB675/$M675*100,"")</f>
      </c>
      <c r="AU675" s="42">
        <f>IF(AND(ISNUMBER($AD675),$M675&gt;0),$AD675/$M675*100,"")</f>
      </c>
      <c r="AV675" s="40">
        <f>IF(AND(ISNUMBER($AB675),ISNUMBER($AD675),ABS($AB675)&gt;0),$AD675/$AB675,"")</f>
      </c>
      <c r="AW675" s="39">
        <f>IF(ISNUMBER($AD675),MAX(0,(1-0.55-Header!$O$3)*Header!$Q$3*$AQ675),"")</f>
      </c>
      <c r="AX675" s="43">
        <f>IF($A675="","",IF(TRIM(IF($A675="","Missing certificate ref. ","") &amp; IF($C675="","Missing effective date. ","") &amp; IF($D675="","Missing binding status. ","") &amp; IF($E675="","Missing movement type. ","") &amp; IF($I675="","Missing make. ","") &amp; IF($L675="","Missing vehicle class. ","") &amp; IF($M675="","Missing agreed value. ","") &amp; IF($N675="","Missing policy type. ","") &amp; IF($Q675="","Missing garaging state. ","") &amp; IF($R675="","Missing garaging ZIP. ","") &amp; IF($S675="","Missing cat zone. ","") &amp; IF($V675="","Missing valuation basis. ","") &amp; IF($W675="","Missing PD deductible. ","") &amp; IF($X675="","Missing liability limit. ","") &amp; IF($AB675="","Missing technical premium. ","") &amp; IF($AF675="","Missing surplus lines tax %. ",""))="","PASS","FAIL: "&amp;TRIM(IF($A675="","Missing certificate ref. ","") &amp; IF($C675="","Missing effective date. ","") &amp; IF($D675="","Missing binding status. ","") &amp; IF($E675="","Missing movement type. ","") &amp; IF($I675="","Missing make. ","") &amp; IF($L675="","Missing vehicle class. ","") &amp; IF($M675="","Missing agreed value. ","") &amp; IF($N675="","Missing policy type. ","") &amp; IF($Q675="","Missing garaging state. ","") &amp; IF($R675="","Missing garaging ZIP. ","") &amp; IF($S675="","Missing cat zone. ","") &amp; IF($V675="","Missing valuation basis. ","") &amp; IF($W675="","Missing PD deductible. ","") &amp; IF($X675="","Missing liability limit. ","") &amp; IF($AB675="","Missing technical premium. ","") &amp; IF($AF675="","Missing surplus lines tax %. ",""))))</f>
      </c>
      <c r="AY675" s="44">
        <f>IF($M675="","",IF(ISNUMBER($M675),IF($M675&gt;=Header!$C$18,"YES — refer","No"),""))</f>
      </c>
      <c r="AZ675" s="44">
        <f>IF($AD675="","",IF(ISNUMBER($AD675),IF($AD675&lt;Header!$C$20,"BELOW MIN PREMIUM","OK"),""))</f>
      </c>
      <c r="BA675" s="32" t="inlineStr">
        <is>
          <t xml:space="preserve">Yes</t>
        </is>
      </c>
      <c r="BB675" s="32" t="inlineStr">
        <is>
          <t xml:space="preserve">Yes</t>
        </is>
      </c>
      <c r="BC675" s="30" t="inlineStr">
        <is>
          <t xml:space="preserve">Synthetic demo data</t>
        </is>
      </c>
      <c r="BE675" s="45">
        <f>IF(OR($A675="",$L675="",$H675=""),"",IF(AND(LEFT($L675,2)="06",$H675&gt;1945),"FAIL - pre-war class, year "&amp;$H675,IF(AND(LEFT($L675,2)="07",OR($H675&lt;1946,$H675&gt;1972)),"FAIL - 1946-72 class, year "&amp;$H675,IF(AND(LEFT($L675,2)="08",OR($H675&lt;1973,$H675&gt;1999)),"FAIL - 1973-99 class, year "&amp;$H675,IF(AND(LEFT($L675,2)="09",OR($H675&lt;2000,$H675&gt;2010)),"FAIL - 2000-10 class, year "&amp;$H675,"OK")))))</f>
      </c>
      <c r="BF675" s="45">
        <f>IF($AD675="","",IF(ROUND($AO675+$AP675+$AQ675-$AD675,2)=0,"OK","FAIL - out by "&amp;TEXT($AO675+$AP675+$AQ675-$AD675,"$0.00")))</f>
      </c>
    </row>
    <row r="676" spans="1:58" ht="18.75" customHeight="1" x14ac:dyDescent="0.25">
      <c r="A676" s="46" t="inlineStr">
        <is>
          <t xml:space="preserve">CANON-202607-010448</t>
        </is>
      </c>
      <c r="B676" s="46" t="inlineStr">
        <is>
          <t xml:space="preserve">Emiliano Underwood</t>
        </is>
      </c>
      <c r="C676" s="47">
        <v>46212</v>
      </c>
      <c r="D676" s="48" t="inlineStr">
        <is>
          <t xml:space="preserve">Bound - within authority</t>
        </is>
      </c>
      <c r="E676" s="48" t="inlineStr">
        <is>
          <t xml:space="preserve">New business</t>
        </is>
      </c>
      <c r="F676" s="46" t="inlineStr">
        <is>
          <t xml:space="preserve">B1234EXOTIC26</t>
        </is>
      </c>
      <c r="G676" s="33">
        <f>IF($A676="","",IF($C676="","",YEAR($C676)))</f>
      </c>
      <c r="H676" s="49">
        <v>1982</v>
      </c>
      <c r="I676" s="46" t="inlineStr">
        <is>
          <t xml:space="preserve">Ferrari</t>
        </is>
      </c>
      <c r="J676" s="46" t="inlineStr">
        <is>
          <t xml:space="preserve">296 GTB</t>
        </is>
      </c>
      <c r="K676" s="46" t="inlineStr">
        <is>
          <t xml:space="preserve">W733010FZE4H44VMY</t>
        </is>
      </c>
      <c r="L676" s="48" t="inlineStr">
        <is>
          <t xml:space="preserve">03 - Supercar</t>
        </is>
      </c>
      <c r="M676" s="50">
        <v>575000</v>
      </c>
      <c r="N676" s="48" t="inlineStr">
        <is>
          <t xml:space="preserve">Personal</t>
        </is>
      </c>
      <c r="O676" s="46" t="inlineStr">
        <is>
          <t xml:space="preserve">Personal - regular use</t>
        </is>
      </c>
      <c r="P676" s="46" t="inlineStr">
        <is>
          <t xml:space="preserve">Under 1,000</t>
        </is>
      </c>
      <c r="Q676" s="46" t="inlineStr">
        <is>
          <t xml:space="preserve">Maryland</t>
        </is>
      </c>
      <c r="R676" s="46" t="inlineStr">
        <is>
          <t xml:space="preserve">21201</t>
        </is>
      </c>
      <c r="S676" s="48" t="inlineStr">
        <is>
          <t xml:space="preserve">Tier 3 - Coastal wind (25-100 miles)</t>
        </is>
      </c>
      <c r="T676" s="36">
        <f>IF($A676="","",IF($S676="","",IFERROR(INDEX('[1]natural catastrophe'!$D$6:$D$17,MATCH($S676,'[1]natural catastrophe'!$B$6:$B$17,0)),"?")))</f>
      </c>
      <c r="U676" s="46" t="inlineStr">
        <is>
          <t xml:space="preserve">2% of agreed value, minimum $10,000</t>
        </is>
      </c>
      <c r="V676" s="48" t="inlineStr">
        <is>
          <t xml:space="preserve">Agreed Value</t>
        </is>
      </c>
      <c r="W676" s="46" t="inlineStr">
        <is>
          <t xml:space="preserve">$1,000</t>
        </is>
      </c>
      <c r="X676" s="48" t="inlineStr">
        <is>
          <t xml:space="preserve">$1,000,000 CSL</t>
        </is>
      </c>
      <c r="Y676" s="46"/>
      <c r="Z676" s="46"/>
      <c r="AA676" s="48" t="inlineStr">
        <is>
          <t xml:space="preserve">Surplus Lines</t>
        </is>
      </c>
      <c r="AB676" s="50">
        <v>7451.16</v>
      </c>
      <c r="AC676" s="51">
        <v>0</v>
      </c>
      <c r="AD676" s="38">
        <f>IF(ISNUMBER($AB676),$AB676*(1+N($AC676)),"")</f>
      </c>
      <c r="AE676" s="50">
        <v>350</v>
      </c>
      <c r="AF676" s="50">
        <v>0</v>
      </c>
      <c r="AG676" s="51"/>
      <c r="AH676" s="39">
        <f>IF(ISNUMBER($AD676),($AD676+$AE676+$AF676)*$AG676,"")</f>
      </c>
      <c r="AI676" s="50"/>
      <c r="AJ676" s="38">
        <f>IF(ISNUMBER($AD676),SUM($AD676:$AH676),"")</f>
      </c>
      <c r="AK676" s="40">
        <f>IF(AND(ISNUMBER($AB676),ISNUMBER($AD676)),IF($AB676&gt;0,$AD676/$AB676,""),"")</f>
      </c>
      <c r="AL676" s="48" t="inlineStr">
        <is>
          <t xml:space="preserve">At technical</t>
        </is>
      </c>
      <c r="AM676" s="41">
        <f>IF(ISNUMBER($AD676),Header!$I$3,"")</f>
      </c>
      <c r="AN676" s="39">
        <f>IF(ISNUMBER($AD676),$AO676+$AP676,"")</f>
      </c>
      <c r="AO676" s="39">
        <f>IF(ISNUMBER($AD676),ROUND($AD676*Header!$K$3,2),"")</f>
      </c>
      <c r="AP676" s="39">
        <f>IF(ISNUMBER($AD676),ROUND($AD676*Header!$M$3,2),"")</f>
      </c>
      <c r="AQ676" s="38">
        <f>IF(ISNUMBER($AD676),ROUND($AD676,2)-$AO676-$AP676,"")</f>
      </c>
      <c r="AR676" s="39">
        <f>IF(ISNUMBER($AD676),IF(Header!$D$34="","?",$AD676*Header!$D$34),"")</f>
      </c>
      <c r="AS676" s="39">
        <f>IF(ISNUMBER($AB676),IF(Header!$D$34="","?",$AB676*Header!$D$34),"")</f>
      </c>
      <c r="AT676" s="42">
        <f>IF(AND(ISNUMBER($AB676),$M676&gt;0),$AB676/$M676*100,"")</f>
      </c>
      <c r="AU676" s="42">
        <f>IF(AND(ISNUMBER($AD676),$M676&gt;0),$AD676/$M676*100,"")</f>
      </c>
      <c r="AV676" s="40">
        <f>IF(AND(ISNUMBER($AB676),ISNUMBER($AD676),ABS($AB676)&gt;0),$AD676/$AB676,"")</f>
      </c>
      <c r="AW676" s="39">
        <f>IF(ISNUMBER($AD676),MAX(0,(1-0.55-Header!$O$3)*Header!$Q$3*$AQ676),"")</f>
      </c>
      <c r="AX676" s="43">
        <f>IF($A676="","",IF(TRIM(IF($A676="","Missing certificate ref. ","") &amp; IF($C676="","Missing effective date. ","") &amp; IF($D676="","Missing binding status. ","") &amp; IF($E676="","Missing movement type. ","") &amp; IF($I676="","Missing make. ","") &amp; IF($L676="","Missing vehicle class. ","") &amp; IF($M676="","Missing agreed value. ","") &amp; IF($N676="","Missing policy type. ","") &amp; IF($Q676="","Missing garaging state. ","") &amp; IF($R676="","Missing garaging ZIP. ","") &amp; IF($S676="","Missing cat zone. ","") &amp; IF($V676="","Missing valuation basis. ","") &amp; IF($W676="","Missing PD deductible. ","") &amp; IF($X676="","Missing liability limit. ","") &amp; IF($AB676="","Missing technical premium. ","") &amp; IF($AF676="","Missing surplus lines tax %. ",""))="","PASS","FAIL: "&amp;TRIM(IF($A676="","Missing certificate ref. ","") &amp; IF($C676="","Missing effective date. ","") &amp; IF($D676="","Missing binding status. ","") &amp; IF($E676="","Missing movement type. ","") &amp; IF($I676="","Missing make. ","") &amp; IF($L676="","Missing vehicle class. ","") &amp; IF($M676="","Missing agreed value. ","") &amp; IF($N676="","Missing policy type. ","") &amp; IF($Q676="","Missing garaging state. ","") &amp; IF($R676="","Missing garaging ZIP. ","") &amp; IF($S676="","Missing cat zone. ","") &amp; IF($V676="","Missing valuation basis. ","") &amp; IF($W676="","Missing PD deductible. ","") &amp; IF($X676="","Missing liability limit. ","") &amp; IF($AB676="","Missing technical premium. ","") &amp; IF($AF676="","Missing surplus lines tax %. ",""))))</f>
      </c>
      <c r="AY676" s="44">
        <f>IF($M676="","",IF(ISNUMBER($M676),IF($M676&gt;=Header!$C$18,"YES — refer","No"),""))</f>
      </c>
      <c r="AZ676" s="44">
        <f>IF($AD676="","",IF(ISNUMBER($AD676),IF($AD676&lt;Header!$C$20,"BELOW MIN PREMIUM","OK"),""))</f>
      </c>
      <c r="BA676" s="48" t="inlineStr">
        <is>
          <t xml:space="preserve">Yes</t>
        </is>
      </c>
      <c r="BB676" s="48" t="inlineStr">
        <is>
          <t xml:space="preserve">Yes</t>
        </is>
      </c>
      <c r="BC676" s="46" t="inlineStr">
        <is>
          <t xml:space="preserve">Synthetic demo data</t>
        </is>
      </c>
      <c r="BE676" s="45">
        <f>IF(OR($A676="",$L676="",$H676=""),"",IF(AND(LEFT($L676,2)="06",$H676&gt;1945),"FAIL - pre-war class, year "&amp;$H676,IF(AND(LEFT($L676,2)="07",OR($H676&lt;1946,$H676&gt;1972)),"FAIL - 1946-72 class, year "&amp;$H676,IF(AND(LEFT($L676,2)="08",OR($H676&lt;1973,$H676&gt;1999)),"FAIL - 1973-99 class, year "&amp;$H676,IF(AND(LEFT($L676,2)="09",OR($H676&lt;2000,$H676&gt;2010)),"FAIL - 2000-10 class, year "&amp;$H676,"OK")))))</f>
      </c>
      <c r="BF676" s="45">
        <f>IF($AD676="","",IF(ROUND($AO676+$AP676+$AQ676-$AD676,2)=0,"OK","FAIL - out by "&amp;TEXT($AO676+$AP676+$AQ676-$AD676,"$0.00")))</f>
      </c>
    </row>
    <row r="677" spans="1:58" ht="18.75" customHeight="1" x14ac:dyDescent="0.25">
      <c r="A677" s="30" t="inlineStr">
        <is>
          <t xml:space="preserve">CANON-202607-010449</t>
        </is>
      </c>
      <c r="B677" s="30" t="inlineStr">
        <is>
          <t xml:space="preserve">Mireille Thistlewood</t>
        </is>
      </c>
      <c r="C677" s="31">
        <v>46213</v>
      </c>
      <c r="D677" s="32" t="inlineStr">
        <is>
          <t xml:space="preserve">Bound - within authority</t>
        </is>
      </c>
      <c r="E677" s="32" t="inlineStr">
        <is>
          <t xml:space="preserve">New business</t>
        </is>
      </c>
      <c r="F677" s="30" t="inlineStr">
        <is>
          <t xml:space="preserve">B1234EXOTIC26</t>
        </is>
      </c>
      <c r="G677" s="33">
        <f>IF($A677="","",IF($C677="","",YEAR($C677)))</f>
      </c>
      <c r="H677" s="34">
        <v>1971</v>
      </c>
      <c r="I677" s="30" t="inlineStr">
        <is>
          <t xml:space="preserve">McLaren</t>
        </is>
      </c>
      <c r="J677" s="30" t="inlineStr">
        <is>
          <t xml:space="preserve">750S</t>
        </is>
      </c>
      <c r="K677" s="30" t="inlineStr">
        <is>
          <t xml:space="preserve">WSW7UDL0YPSWBX1N0</t>
        </is>
      </c>
      <c r="L677" s="32" t="inlineStr">
        <is>
          <t xml:space="preserve">03 - Supercar</t>
        </is>
      </c>
      <c r="M677" s="35">
        <v>625000</v>
      </c>
      <c r="N677" s="32" t="inlineStr">
        <is>
          <t xml:space="preserve">Personal</t>
        </is>
      </c>
      <c r="O677" s="30" t="inlineStr">
        <is>
          <t xml:space="preserve">Personal - regular use</t>
        </is>
      </c>
      <c r="P677" s="30" t="inlineStr">
        <is>
          <t xml:space="preserve">Under 1,000</t>
        </is>
      </c>
      <c r="Q677" s="30" t="inlineStr">
        <is>
          <t xml:space="preserve">Massachusetts</t>
        </is>
      </c>
      <c r="R677" s="30" t="inlineStr">
        <is>
          <t xml:space="preserve">02108</t>
        </is>
      </c>
      <c r="S677" s="32" t="inlineStr">
        <is>
          <t xml:space="preserve">Tier 3 - Coastal wind (25-100 miles)</t>
        </is>
      </c>
      <c r="T677" s="36">
        <f>IF($A677="","",IF($S677="","",IFERROR(INDEX('[1]natural catastrophe'!$D$6:$D$17,MATCH($S677,'[1]natural catastrophe'!$B$6:$B$17,0)),"?")))</f>
      </c>
      <c r="U677" s="30" t="inlineStr">
        <is>
          <t xml:space="preserve">2% of agreed value, minimum $10,000</t>
        </is>
      </c>
      <c r="V677" s="32" t="inlineStr">
        <is>
          <t xml:space="preserve">Agreed Value</t>
        </is>
      </c>
      <c r="W677" s="30" t="inlineStr">
        <is>
          <t xml:space="preserve">$1,000</t>
        </is>
      </c>
      <c r="X677" s="32" t="inlineStr">
        <is>
          <t xml:space="preserve">$1,000,000 CSL</t>
        </is>
      </c>
      <c r="Y677" s="30"/>
      <c r="Z677" s="30"/>
      <c r="AA677" s="32" t="inlineStr">
        <is>
          <t xml:space="preserve">Surplus Lines</t>
        </is>
      </c>
      <c r="AB677" s="35">
        <v>10656.69</v>
      </c>
      <c r="AC677" s="37">
        <v>0</v>
      </c>
      <c r="AD677" s="38">
        <f>IF(ISNUMBER($AB677),$AB677*(1+N($AC677)),"")</f>
      </c>
      <c r="AE677" s="35">
        <v>350</v>
      </c>
      <c r="AF677" s="35">
        <v>0</v>
      </c>
      <c r="AG677" s="37"/>
      <c r="AH677" s="39">
        <f>IF(ISNUMBER($AD677),($AD677+$AE677+$AF677)*$AG677,"")</f>
      </c>
      <c r="AI677" s="35"/>
      <c r="AJ677" s="38">
        <f>IF(ISNUMBER($AD677),SUM($AD677:$AH677),"")</f>
      </c>
      <c r="AK677" s="40">
        <f>IF(AND(ISNUMBER($AB677),ISNUMBER($AD677)),IF($AB677&gt;0,$AD677/$AB677,""),"")</f>
      </c>
      <c r="AL677" s="32" t="inlineStr">
        <is>
          <t xml:space="preserve">At technical</t>
        </is>
      </c>
      <c r="AM677" s="41">
        <f>IF(ISNUMBER($AD677),Header!$I$3,"")</f>
      </c>
      <c r="AN677" s="39">
        <f>IF(ISNUMBER($AD677),$AO677+$AP677,"")</f>
      </c>
      <c r="AO677" s="39">
        <f>IF(ISNUMBER($AD677),ROUND($AD677*Header!$K$3,2),"")</f>
      </c>
      <c r="AP677" s="39">
        <f>IF(ISNUMBER($AD677),ROUND($AD677*Header!$M$3,2),"")</f>
      </c>
      <c r="AQ677" s="38">
        <f>IF(ISNUMBER($AD677),ROUND($AD677,2)-$AO677-$AP677,"")</f>
      </c>
      <c r="AR677" s="39">
        <f>IF(ISNUMBER($AD677),IF(Header!$D$34="","?",$AD677*Header!$D$34),"")</f>
      </c>
      <c r="AS677" s="39">
        <f>IF(ISNUMBER($AB677),IF(Header!$D$34="","?",$AB677*Header!$D$34),"")</f>
      </c>
      <c r="AT677" s="42">
        <f>IF(AND(ISNUMBER($AB677),$M677&gt;0),$AB677/$M677*100,"")</f>
      </c>
      <c r="AU677" s="42">
        <f>IF(AND(ISNUMBER($AD677),$M677&gt;0),$AD677/$M677*100,"")</f>
      </c>
      <c r="AV677" s="40">
        <f>IF(AND(ISNUMBER($AB677),ISNUMBER($AD677),ABS($AB677)&gt;0),$AD677/$AB677,"")</f>
      </c>
      <c r="AW677" s="39">
        <f>IF(ISNUMBER($AD677),MAX(0,(1-0.55-Header!$O$3)*Header!$Q$3*$AQ677),"")</f>
      </c>
      <c r="AX677" s="43">
        <f>IF($A677="","",IF(TRIM(IF($A677="","Missing certificate ref. ","") &amp; IF($C677="","Missing effective date. ","") &amp; IF($D677="","Missing binding status. ","") &amp; IF($E677="","Missing movement type. ","") &amp; IF($I677="","Missing make. ","") &amp; IF($L677="","Missing vehicle class. ","") &amp; IF($M677="","Missing agreed value. ","") &amp; IF($N677="","Missing policy type. ","") &amp; IF($Q677="","Missing garaging state. ","") &amp; IF($R677="","Missing garaging ZIP. ","") &amp; IF($S677="","Missing cat zone. ","") &amp; IF($V677="","Missing valuation basis. ","") &amp; IF($W677="","Missing PD deductible. ","") &amp; IF($X677="","Missing liability limit. ","") &amp; IF($AB677="","Missing technical premium. ","") &amp; IF($AF677="","Missing surplus lines tax %. ",""))="","PASS","FAIL: "&amp;TRIM(IF($A677="","Missing certificate ref. ","") &amp; IF($C677="","Missing effective date. ","") &amp; IF($D677="","Missing binding status. ","") &amp; IF($E677="","Missing movement type. ","") &amp; IF($I677="","Missing make. ","") &amp; IF($L677="","Missing vehicle class. ","") &amp; IF($M677="","Missing agreed value. ","") &amp; IF($N677="","Missing policy type. ","") &amp; IF($Q677="","Missing garaging state. ","") &amp; IF($R677="","Missing garaging ZIP. ","") &amp; IF($S677="","Missing cat zone. ","") &amp; IF($V677="","Missing valuation basis. ","") &amp; IF($W677="","Missing PD deductible. ","") &amp; IF($X677="","Missing liability limit. ","") &amp; IF($AB677="","Missing technical premium. ","") &amp; IF($AF677="","Missing surplus lines tax %. ",""))))</f>
      </c>
      <c r="AY677" s="44">
        <f>IF($M677="","",IF(ISNUMBER($M677),IF($M677&gt;=Header!$C$18,"YES — refer","No"),""))</f>
      </c>
      <c r="AZ677" s="44">
        <f>IF($AD677="","",IF(ISNUMBER($AD677),IF($AD677&lt;Header!$C$20,"BELOW MIN PREMIUM","OK"),""))</f>
      </c>
      <c r="BA677" s="32" t="inlineStr">
        <is>
          <t xml:space="preserve">Yes</t>
        </is>
      </c>
      <c r="BB677" s="32" t="inlineStr">
        <is>
          <t xml:space="preserve">Yes</t>
        </is>
      </c>
      <c r="BC677" s="30" t="inlineStr">
        <is>
          <t xml:space="preserve">Synthetic demo data</t>
        </is>
      </c>
      <c r="BE677" s="45">
        <f>IF(OR($A677="",$L677="",$H677=""),"",IF(AND(LEFT($L677,2)="06",$H677&gt;1945),"FAIL - pre-war class, year "&amp;$H677,IF(AND(LEFT($L677,2)="07",OR($H677&lt;1946,$H677&gt;1972)),"FAIL - 1946-72 class, year "&amp;$H677,IF(AND(LEFT($L677,2)="08",OR($H677&lt;1973,$H677&gt;1999)),"FAIL - 1973-99 class, year "&amp;$H677,IF(AND(LEFT($L677,2)="09",OR($H677&lt;2000,$H677&gt;2010)),"FAIL - 2000-10 class, year "&amp;$H677,"OK")))))</f>
      </c>
      <c r="BF677" s="45">
        <f>IF($AD677="","",IF(ROUND($AO677+$AP677+$AQ677-$AD677,2)=0,"OK","FAIL - out by "&amp;TEXT($AO677+$AP677+$AQ677-$AD677,"$0.00")))</f>
      </c>
    </row>
    <row r="678" spans="1:58" ht="18.75" customHeight="1" x14ac:dyDescent="0.25">
      <c r="A678" s="46" t="inlineStr">
        <is>
          <t xml:space="preserve">CANON-202607-010451</t>
        </is>
      </c>
      <c r="B678" s="46" t="inlineStr">
        <is>
          <t xml:space="preserve">Leopold Pennington</t>
        </is>
      </c>
      <c r="C678" s="47">
        <v>46205</v>
      </c>
      <c r="D678" s="48" t="inlineStr">
        <is>
          <t xml:space="preserve">Bound - within authority</t>
        </is>
      </c>
      <c r="E678" s="48" t="inlineStr">
        <is>
          <t xml:space="preserve">New business</t>
        </is>
      </c>
      <c r="F678" s="46" t="inlineStr">
        <is>
          <t xml:space="preserve">B1234EXOTIC26</t>
        </is>
      </c>
      <c r="G678" s="33">
        <f>IF($A678="","",IF($C678="","",YEAR($C678)))</f>
      </c>
      <c r="H678" s="49">
        <v>2003</v>
      </c>
      <c r="I678" s="46" t="inlineStr">
        <is>
          <t xml:space="preserve">Porsche</t>
        </is>
      </c>
      <c r="J678" s="46" t="inlineStr">
        <is>
          <t xml:space="preserve">911 Turbo S</t>
        </is>
      </c>
      <c r="K678" s="46" t="inlineStr">
        <is>
          <t xml:space="preserve">L4AYGV7KUE73WN09H</t>
        </is>
      </c>
      <c r="L678" s="48" t="inlineStr">
        <is>
          <t xml:space="preserve">02 - Sports / GT</t>
        </is>
      </c>
      <c r="M678" s="50">
        <v>460000</v>
      </c>
      <c r="N678" s="48" t="inlineStr">
        <is>
          <t xml:space="preserve">Personal</t>
        </is>
      </c>
      <c r="O678" s="46" t="inlineStr">
        <is>
          <t xml:space="preserve">Personal - regular use</t>
        </is>
      </c>
      <c r="P678" s="46" t="inlineStr">
        <is>
          <t xml:space="preserve">Under 1,000</t>
        </is>
      </c>
      <c r="Q678" s="46" t="inlineStr">
        <is>
          <t xml:space="preserve">Kansas</t>
        </is>
      </c>
      <c r="R678" s="46" t="inlineStr">
        <is>
          <t xml:space="preserve">66603</t>
        </is>
      </c>
      <c r="S678" s="48" t="inlineStr">
        <is>
          <t xml:space="preserve">Severe convective - hail alley (high)</t>
        </is>
      </c>
      <c r="T678" s="36">
        <f>IF($A678="","",IF($S678="","",IFERROR(INDEX('[1]natural catastrophe'!$D$6:$D$17,MATCH($S678,'[1]natural catastrophe'!$B$6:$B$17,0)),"?")))</f>
      </c>
      <c r="U678" s="46" t="inlineStr">
        <is>
          <t xml:space="preserve">$5,000</t>
        </is>
      </c>
      <c r="V678" s="48" t="inlineStr">
        <is>
          <t xml:space="preserve">Agreed Value</t>
        </is>
      </c>
      <c r="W678" s="46" t="inlineStr">
        <is>
          <t xml:space="preserve">$1,000</t>
        </is>
      </c>
      <c r="X678" s="48" t="inlineStr">
        <is>
          <t xml:space="preserve">$1,000,000 CSL</t>
        </is>
      </c>
      <c r="Y678" s="46"/>
      <c r="Z678" s="46"/>
      <c r="AA678" s="48" t="inlineStr">
        <is>
          <t xml:space="preserve">Surplus Lines</t>
        </is>
      </c>
      <c r="AB678" s="50">
        <v>4805.07</v>
      </c>
      <c r="AC678" s="51">
        <v>0</v>
      </c>
      <c r="AD678" s="38">
        <f>IF(ISNUMBER($AB678),$AB678*(1+N($AC678)),"")</f>
      </c>
      <c r="AE678" s="50">
        <v>350</v>
      </c>
      <c r="AF678" s="50">
        <v>0</v>
      </c>
      <c r="AG678" s="51"/>
      <c r="AH678" s="39">
        <f>IF(ISNUMBER($AD678),($AD678+$AE678+$AF678)*$AG678,"")</f>
      </c>
      <c r="AI678" s="50"/>
      <c r="AJ678" s="38">
        <f>IF(ISNUMBER($AD678),SUM($AD678:$AH678),"")</f>
      </c>
      <c r="AK678" s="40">
        <f>IF(AND(ISNUMBER($AB678),ISNUMBER($AD678)),IF($AB678&gt;0,$AD678/$AB678,""),"")</f>
      </c>
      <c r="AL678" s="48" t="inlineStr">
        <is>
          <t xml:space="preserve">At technical</t>
        </is>
      </c>
      <c r="AM678" s="41">
        <f>IF(ISNUMBER($AD678),Header!$I$3,"")</f>
      </c>
      <c r="AN678" s="39">
        <f>IF(ISNUMBER($AD678),$AO678+$AP678,"")</f>
      </c>
      <c r="AO678" s="39">
        <f>IF(ISNUMBER($AD678),ROUND($AD678*Header!$K$3,2),"")</f>
      </c>
      <c r="AP678" s="39">
        <f>IF(ISNUMBER($AD678),ROUND($AD678*Header!$M$3,2),"")</f>
      </c>
      <c r="AQ678" s="38">
        <f>IF(ISNUMBER($AD678),ROUND($AD678,2)-$AO678-$AP678,"")</f>
      </c>
      <c r="AR678" s="39">
        <f>IF(ISNUMBER($AD678),IF(Header!$D$34="","?",$AD678*Header!$D$34),"")</f>
      </c>
      <c r="AS678" s="39">
        <f>IF(ISNUMBER($AB678),IF(Header!$D$34="","?",$AB678*Header!$D$34),"")</f>
      </c>
      <c r="AT678" s="42">
        <f>IF(AND(ISNUMBER($AB678),$M678&gt;0),$AB678/$M678*100,"")</f>
      </c>
      <c r="AU678" s="42">
        <f>IF(AND(ISNUMBER($AD678),$M678&gt;0),$AD678/$M678*100,"")</f>
      </c>
      <c r="AV678" s="40">
        <f>IF(AND(ISNUMBER($AB678),ISNUMBER($AD678),ABS($AB678)&gt;0),$AD678/$AB678,"")</f>
      </c>
      <c r="AW678" s="39">
        <f>IF(ISNUMBER($AD678),MAX(0,(1-0.55-Header!$O$3)*Header!$Q$3*$AQ678),"")</f>
      </c>
      <c r="AX678" s="43">
        <f>IF($A678="","",IF(TRIM(IF($A678="","Missing certificate ref. ","") &amp; IF($C678="","Missing effective date. ","") &amp; IF($D678="","Missing binding status. ","") &amp; IF($E678="","Missing movement type. ","") &amp; IF($I678="","Missing make. ","") &amp; IF($L678="","Missing vehicle class. ","") &amp; IF($M678="","Missing agreed value. ","") &amp; IF($N678="","Missing policy type. ","") &amp; IF($Q678="","Missing garaging state. ","") &amp; IF($R678="","Missing garaging ZIP. ","") &amp; IF($S678="","Missing cat zone. ","") &amp; IF($V678="","Missing valuation basis. ","") &amp; IF($W678="","Missing PD deductible. ","") &amp; IF($X678="","Missing liability limit. ","") &amp; IF($AB678="","Missing technical premium. ","") &amp; IF($AF678="","Missing surplus lines tax %. ",""))="","PASS","FAIL: "&amp;TRIM(IF($A678="","Missing certificate ref. ","") &amp; IF($C678="","Missing effective date. ","") &amp; IF($D678="","Missing binding status. ","") &amp; IF($E678="","Missing movement type. ","") &amp; IF($I678="","Missing make. ","") &amp; IF($L678="","Missing vehicle class. ","") &amp; IF($M678="","Missing agreed value. ","") &amp; IF($N678="","Missing policy type. ","") &amp; IF($Q678="","Missing garaging state. ","") &amp; IF($R678="","Missing garaging ZIP. ","") &amp; IF($S678="","Missing cat zone. ","") &amp; IF($V678="","Missing valuation basis. ","") &amp; IF($W678="","Missing PD deductible. ","") &amp; IF($X678="","Missing liability limit. ","") &amp; IF($AB678="","Missing technical premium. ","") &amp; IF($AF678="","Missing surplus lines tax %. ",""))))</f>
      </c>
      <c r="AY678" s="44">
        <f>IF($M678="","",IF(ISNUMBER($M678),IF($M678&gt;=Header!$C$18,"YES — refer","No"),""))</f>
      </c>
      <c r="AZ678" s="44">
        <f>IF($AD678="","",IF(ISNUMBER($AD678),IF($AD678&lt;Header!$C$20,"BELOW MIN PREMIUM","OK"),""))</f>
      </c>
      <c r="BA678" s="48" t="inlineStr">
        <is>
          <t xml:space="preserve">Yes</t>
        </is>
      </c>
      <c r="BB678" s="48" t="inlineStr">
        <is>
          <t xml:space="preserve">Yes</t>
        </is>
      </c>
      <c r="BC678" s="46" t="inlineStr">
        <is>
          <t xml:space="preserve">Synthetic demo data</t>
        </is>
      </c>
      <c r="BE678" s="45">
        <f>IF(OR($A678="",$L678="",$H678=""),"",IF(AND(LEFT($L678,2)="06",$H678&gt;1945),"FAIL - pre-war class, year "&amp;$H678,IF(AND(LEFT($L678,2)="07",OR($H678&lt;1946,$H678&gt;1972)),"FAIL - 1946-72 class, year "&amp;$H678,IF(AND(LEFT($L678,2)="08",OR($H678&lt;1973,$H678&gt;1999)),"FAIL - 1973-99 class, year "&amp;$H678,IF(AND(LEFT($L678,2)="09",OR($H678&lt;2000,$H678&gt;2010)),"FAIL - 2000-10 class, year "&amp;$H678,"OK")))))</f>
      </c>
      <c r="BF678" s="45">
        <f>IF($AD678="","",IF(ROUND($AO678+$AP678+$AQ678-$AD678,2)=0,"OK","FAIL - out by "&amp;TEXT($AO678+$AP678+$AQ678-$AD678,"$0.00")))</f>
      </c>
    </row>
    <row r="679" spans="1:58" ht="18.75" customHeight="1" x14ac:dyDescent="0.25">
      <c r="A679" s="30" t="inlineStr">
        <is>
          <t xml:space="preserve">CANON-202607-010452</t>
        </is>
      </c>
      <c r="B679" s="30" t="inlineStr">
        <is>
          <t xml:space="preserve">Fitzgerald Harrington</t>
        </is>
      </c>
      <c r="C679" s="31">
        <v>46225</v>
      </c>
      <c r="D679" s="32" t="inlineStr">
        <is>
          <t xml:space="preserve">Bound - within authority</t>
        </is>
      </c>
      <c r="E679" s="32" t="inlineStr">
        <is>
          <t xml:space="preserve">New business</t>
        </is>
      </c>
      <c r="F679" s="30" t="inlineStr">
        <is>
          <t xml:space="preserve">B1234EXOTIC26</t>
        </is>
      </c>
      <c r="G679" s="33">
        <f>IF($A679="","",IF($C679="","",YEAR($C679)))</f>
      </c>
      <c r="H679" s="34">
        <v>1970</v>
      </c>
      <c r="I679" s="30" t="inlineStr">
        <is>
          <t xml:space="preserve">Mercedes-Benz</t>
        </is>
      </c>
      <c r="J679" s="30" t="inlineStr">
        <is>
          <t xml:space="preserve">280SL Pagoda</t>
        </is>
      </c>
      <c r="K679" s="30" t="inlineStr">
        <is>
          <t xml:space="preserve">1E0EL2XL9BET1PZ62</t>
        </is>
      </c>
      <c r="L679" s="32" t="inlineStr">
        <is>
          <t xml:space="preserve">07 - Post-War Classic (1946-1972)</t>
        </is>
      </c>
      <c r="M679" s="35">
        <v>445000</v>
      </c>
      <c r="N679" s="32" t="inlineStr">
        <is>
          <t xml:space="preserve">Personal</t>
        </is>
      </c>
      <c r="O679" s="30" t="inlineStr">
        <is>
          <t xml:space="preserve">Personal - regular use</t>
        </is>
      </c>
      <c r="P679" s="30" t="inlineStr">
        <is>
          <t xml:space="preserve">2,500 - 5,000</t>
        </is>
      </c>
      <c r="Q679" s="30" t="inlineStr">
        <is>
          <t xml:space="preserve">Hawaii</t>
        </is>
      </c>
      <c r="R679" s="30" t="inlineStr">
        <is>
          <t xml:space="preserve">96813</t>
        </is>
      </c>
      <c r="S679" s="32" t="inlineStr">
        <is>
          <t xml:space="preserve">Earthquake - high (CA, Cascadia, New Madrid)</t>
        </is>
      </c>
      <c r="T679" s="36">
        <f>IF($A679="","",IF($S679="","",IFERROR(INDEX('[1]natural catastrophe'!$D$6:$D$17,MATCH($S679,'[1]natural catastrophe'!$B$6:$B$17,0)),"?")))</f>
      </c>
      <c r="U679" s="30" t="inlineStr">
        <is>
          <t xml:space="preserve">$5,000</t>
        </is>
      </c>
      <c r="V679" s="32" t="inlineStr">
        <is>
          <t xml:space="preserve">Agreed Value</t>
        </is>
      </c>
      <c r="W679" s="30" t="inlineStr">
        <is>
          <t xml:space="preserve">$1,000</t>
        </is>
      </c>
      <c r="X679" s="32" t="inlineStr">
        <is>
          <t xml:space="preserve">$1,000,000 CSL</t>
        </is>
      </c>
      <c r="Y679" s="30"/>
      <c r="Z679" s="30"/>
      <c r="AA679" s="32" t="inlineStr">
        <is>
          <t xml:space="preserve">Surplus Lines</t>
        </is>
      </c>
      <c r="AB679" s="35">
        <v>3987.07</v>
      </c>
      <c r="AC679" s="37">
        <v>0</v>
      </c>
      <c r="AD679" s="38">
        <f>IF(ISNUMBER($AB679),$AB679*(1+N($AC679)),"")</f>
      </c>
      <c r="AE679" s="35">
        <v>350</v>
      </c>
      <c r="AF679" s="35">
        <v>0</v>
      </c>
      <c r="AG679" s="37"/>
      <c r="AH679" s="39">
        <f>IF(ISNUMBER($AD679),($AD679+$AE679+$AF679)*$AG679,"")</f>
      </c>
      <c r="AI679" s="35"/>
      <c r="AJ679" s="38">
        <f>IF(ISNUMBER($AD679),SUM($AD679:$AH679),"")</f>
      </c>
      <c r="AK679" s="40">
        <f>IF(AND(ISNUMBER($AB679),ISNUMBER($AD679)),IF($AB679&gt;0,$AD679/$AB679,""),"")</f>
      </c>
      <c r="AL679" s="32" t="inlineStr">
        <is>
          <t xml:space="preserve">At technical</t>
        </is>
      </c>
      <c r="AM679" s="41">
        <f>IF(ISNUMBER($AD679),Header!$I$3,"")</f>
      </c>
      <c r="AN679" s="39">
        <f>IF(ISNUMBER($AD679),$AO679+$AP679,"")</f>
      </c>
      <c r="AO679" s="39">
        <f>IF(ISNUMBER($AD679),ROUND($AD679*Header!$K$3,2),"")</f>
      </c>
      <c r="AP679" s="39">
        <f>IF(ISNUMBER($AD679),ROUND($AD679*Header!$M$3,2),"")</f>
      </c>
      <c r="AQ679" s="38">
        <f>IF(ISNUMBER($AD679),ROUND($AD679,2)-$AO679-$AP679,"")</f>
      </c>
      <c r="AR679" s="39">
        <f>IF(ISNUMBER($AD679),IF(Header!$D$34="","?",$AD679*Header!$D$34),"")</f>
      </c>
      <c r="AS679" s="39">
        <f>IF(ISNUMBER($AB679),IF(Header!$D$34="","?",$AB679*Header!$D$34),"")</f>
      </c>
      <c r="AT679" s="42">
        <f>IF(AND(ISNUMBER($AB679),$M679&gt;0),$AB679/$M679*100,"")</f>
      </c>
      <c r="AU679" s="42">
        <f>IF(AND(ISNUMBER($AD679),$M679&gt;0),$AD679/$M679*100,"")</f>
      </c>
      <c r="AV679" s="40">
        <f>IF(AND(ISNUMBER($AB679),ISNUMBER($AD679),ABS($AB679)&gt;0),$AD679/$AB679,"")</f>
      </c>
      <c r="AW679" s="39">
        <f>IF(ISNUMBER($AD679),MAX(0,(1-0.55-Header!$O$3)*Header!$Q$3*$AQ679),"")</f>
      </c>
      <c r="AX679" s="43">
        <f>IF($A679="","",IF(TRIM(IF($A679="","Missing certificate ref. ","") &amp; IF($C679="","Missing effective date. ","") &amp; IF($D679="","Missing binding status. ","") &amp; IF($E679="","Missing movement type. ","") &amp; IF($I679="","Missing make. ","") &amp; IF($L679="","Missing vehicle class. ","") &amp; IF($M679="","Missing agreed value. ","") &amp; IF($N679="","Missing policy type. ","") &amp; IF($Q679="","Missing garaging state. ","") &amp; IF($R679="","Missing garaging ZIP. ","") &amp; IF($S679="","Missing cat zone. ","") &amp; IF($V679="","Missing valuation basis. ","") &amp; IF($W679="","Missing PD deductible. ","") &amp; IF($X679="","Missing liability limit. ","") &amp; IF($AB679="","Missing technical premium. ","") &amp; IF($AF679="","Missing surplus lines tax %. ",""))="","PASS","FAIL: "&amp;TRIM(IF($A679="","Missing certificate ref. ","") &amp; IF($C679="","Missing effective date. ","") &amp; IF($D679="","Missing binding status. ","") &amp; IF($E679="","Missing movement type. ","") &amp; IF($I679="","Missing make. ","") &amp; IF($L679="","Missing vehicle class. ","") &amp; IF($M679="","Missing agreed value. ","") &amp; IF($N679="","Missing policy type. ","") &amp; IF($Q679="","Missing garaging state. ","") &amp; IF($R679="","Missing garaging ZIP. ","") &amp; IF($S679="","Missing cat zone. ","") &amp; IF($V679="","Missing valuation basis. ","") &amp; IF($W679="","Missing PD deductible. ","") &amp; IF($X679="","Missing liability limit. ","") &amp; IF($AB679="","Missing technical premium. ","") &amp; IF($AF679="","Missing surplus lines tax %. ",""))))</f>
      </c>
      <c r="AY679" s="44">
        <f>IF($M679="","",IF(ISNUMBER($M679),IF($M679&gt;=Header!$C$18,"YES — refer","No"),""))</f>
      </c>
      <c r="AZ679" s="44">
        <f>IF($AD679="","",IF(ISNUMBER($AD679),IF($AD679&lt;Header!$C$20,"BELOW MIN PREMIUM","OK"),""))</f>
      </c>
      <c r="BA679" s="32" t="inlineStr">
        <is>
          <t xml:space="preserve">Yes</t>
        </is>
      </c>
      <c r="BB679" s="32" t="inlineStr">
        <is>
          <t xml:space="preserve">Yes</t>
        </is>
      </c>
      <c r="BC679" s="30" t="inlineStr">
        <is>
          <t xml:space="preserve">Synthetic demo data</t>
        </is>
      </c>
      <c r="BE679" s="45">
        <f>IF(OR($A679="",$L679="",$H679=""),"",IF(AND(LEFT($L679,2)="06",$H679&gt;1945),"FAIL - pre-war class, year "&amp;$H679,IF(AND(LEFT($L679,2)="07",OR($H679&lt;1946,$H679&gt;1972)),"FAIL - 1946-72 class, year "&amp;$H679,IF(AND(LEFT($L679,2)="08",OR($H679&lt;1973,$H679&gt;1999)),"FAIL - 1973-99 class, year "&amp;$H679,IF(AND(LEFT($L679,2)="09",OR($H679&lt;2000,$H679&gt;2010)),"FAIL - 2000-10 class, year "&amp;$H679,"OK")))))</f>
      </c>
      <c r="BF679" s="45">
        <f>IF($AD679="","",IF(ROUND($AO679+$AP679+$AQ679-$AD679,2)=0,"OK","FAIL - out by "&amp;TEXT($AO679+$AP679+$AQ679-$AD679,"$0.00")))</f>
      </c>
    </row>
    <row r="680" spans="1:58" ht="18.75" customHeight="1" x14ac:dyDescent="0.25">
      <c r="A680" s="46" t="inlineStr">
        <is>
          <t xml:space="preserve">CANON-202607-010453</t>
        </is>
      </c>
      <c r="B680" s="46" t="inlineStr">
        <is>
          <t xml:space="preserve">Noor Larsson</t>
        </is>
      </c>
      <c r="C680" s="47">
        <v>46212</v>
      </c>
      <c r="D680" s="48" t="inlineStr">
        <is>
          <t xml:space="preserve">Bound - within authority</t>
        </is>
      </c>
      <c r="E680" s="48" t="inlineStr">
        <is>
          <t xml:space="preserve">New business</t>
        </is>
      </c>
      <c r="F680" s="46" t="inlineStr">
        <is>
          <t xml:space="preserve">B1234EXOTIC26</t>
        </is>
      </c>
      <c r="G680" s="33">
        <f>IF($A680="","",IF($C680="","",YEAR($C680)))</f>
      </c>
      <c r="H680" s="49">
        <v>2017</v>
      </c>
      <c r="I680" s="46" t="inlineStr">
        <is>
          <t xml:space="preserve">Aston Martin</t>
        </is>
      </c>
      <c r="J680" s="46" t="inlineStr">
        <is>
          <t xml:space="preserve">DB12</t>
        </is>
      </c>
      <c r="K680" s="46" t="inlineStr">
        <is>
          <t xml:space="preserve">H37RKS5XDFE6Y4JFS</t>
        </is>
      </c>
      <c r="L680" s="48" t="inlineStr">
        <is>
          <t xml:space="preserve">02 - Sports / GT</t>
        </is>
      </c>
      <c r="M680" s="50">
        <v>245000</v>
      </c>
      <c r="N680" s="48" t="inlineStr">
        <is>
          <t xml:space="preserve">Personal</t>
        </is>
      </c>
      <c r="O680" s="46" t="inlineStr">
        <is>
          <t xml:space="preserve">Personal - regular use</t>
        </is>
      </c>
      <c r="P680" s="46" t="inlineStr">
        <is>
          <t xml:space="preserve">2,500 - 5,000</t>
        </is>
      </c>
      <c r="Q680" s="46" t="inlineStr">
        <is>
          <t xml:space="preserve">Texas</t>
        </is>
      </c>
      <c r="R680" s="46" t="inlineStr">
        <is>
          <t xml:space="preserve">75201</t>
        </is>
      </c>
      <c r="S680" s="48" t="inlineStr">
        <is>
          <t xml:space="preserve">Tier 2 - Coastal wind (1-25 miles)</t>
        </is>
      </c>
      <c r="T680" s="36">
        <f>IF($A680="","",IF($S680="","",IFERROR(INDEX('[1]natural catastrophe'!$D$6:$D$17,MATCH($S680,'[1]natural catastrophe'!$B$6:$B$17,0)),"?")))</f>
      </c>
      <c r="U680" s="46" t="inlineStr">
        <is>
          <t xml:space="preserve">2% of agreed value, minimum $10,000</t>
        </is>
      </c>
      <c r="V680" s="48" t="inlineStr">
        <is>
          <t xml:space="preserve">Agreed Value</t>
        </is>
      </c>
      <c r="W680" s="46" t="inlineStr">
        <is>
          <t xml:space="preserve">$1,000</t>
        </is>
      </c>
      <c r="X680" s="48" t="inlineStr">
        <is>
          <t xml:space="preserve">$1,000,000 CSL</t>
        </is>
      </c>
      <c r="Y680" s="46"/>
      <c r="Z680" s="46"/>
      <c r="AA680" s="48" t="inlineStr">
        <is>
          <t xml:space="preserve">Surplus Lines</t>
        </is>
      </c>
      <c r="AB680" s="50">
        <v>3721.86</v>
      </c>
      <c r="AC680" s="51">
        <v>0</v>
      </c>
      <c r="AD680" s="38">
        <f>IF(ISNUMBER($AB680),$AB680*(1+N($AC680)),"")</f>
      </c>
      <c r="AE680" s="50">
        <v>350</v>
      </c>
      <c r="AF680" s="50">
        <v>0</v>
      </c>
      <c r="AG680" s="51"/>
      <c r="AH680" s="39">
        <f>IF(ISNUMBER($AD680),($AD680+$AE680+$AF680)*$AG680,"")</f>
      </c>
      <c r="AI680" s="50"/>
      <c r="AJ680" s="38">
        <f>IF(ISNUMBER($AD680),SUM($AD680:$AH680),"")</f>
      </c>
      <c r="AK680" s="40">
        <f>IF(AND(ISNUMBER($AB680),ISNUMBER($AD680)),IF($AB680&gt;0,$AD680/$AB680,""),"")</f>
      </c>
      <c r="AL680" s="48" t="inlineStr">
        <is>
          <t xml:space="preserve">At technical</t>
        </is>
      </c>
      <c r="AM680" s="41">
        <f>IF(ISNUMBER($AD680),Header!$I$3,"")</f>
      </c>
      <c r="AN680" s="39">
        <f>IF(ISNUMBER($AD680),$AO680+$AP680,"")</f>
      </c>
      <c r="AO680" s="39">
        <f>IF(ISNUMBER($AD680),ROUND($AD680*Header!$K$3,2),"")</f>
      </c>
      <c r="AP680" s="39">
        <f>IF(ISNUMBER($AD680),ROUND($AD680*Header!$M$3,2),"")</f>
      </c>
      <c r="AQ680" s="38">
        <f>IF(ISNUMBER($AD680),ROUND($AD680,2)-$AO680-$AP680,"")</f>
      </c>
      <c r="AR680" s="39">
        <f>IF(ISNUMBER($AD680),IF(Header!$D$34="","?",$AD680*Header!$D$34),"")</f>
      </c>
      <c r="AS680" s="39">
        <f>IF(ISNUMBER($AB680),IF(Header!$D$34="","?",$AB680*Header!$D$34),"")</f>
      </c>
      <c r="AT680" s="42">
        <f>IF(AND(ISNUMBER($AB680),$M680&gt;0),$AB680/$M680*100,"")</f>
      </c>
      <c r="AU680" s="42">
        <f>IF(AND(ISNUMBER($AD680),$M680&gt;0),$AD680/$M680*100,"")</f>
      </c>
      <c r="AV680" s="40">
        <f>IF(AND(ISNUMBER($AB680),ISNUMBER($AD680),ABS($AB680)&gt;0),$AD680/$AB680,"")</f>
      </c>
      <c r="AW680" s="39">
        <f>IF(ISNUMBER($AD680),MAX(0,(1-0.55-Header!$O$3)*Header!$Q$3*$AQ680),"")</f>
      </c>
      <c r="AX680" s="43">
        <f>IF($A680="","",IF(TRIM(IF($A680="","Missing certificate ref. ","") &amp; IF($C680="","Missing effective date. ","") &amp; IF($D680="","Missing binding status. ","") &amp; IF($E680="","Missing movement type. ","") &amp; IF($I680="","Missing make. ","") &amp; IF($L680="","Missing vehicle class. ","") &amp; IF($M680="","Missing agreed value. ","") &amp; IF($N680="","Missing policy type. ","") &amp; IF($Q680="","Missing garaging state. ","") &amp; IF($R680="","Missing garaging ZIP. ","") &amp; IF($S680="","Missing cat zone. ","") &amp; IF($V680="","Missing valuation basis. ","") &amp; IF($W680="","Missing PD deductible. ","") &amp; IF($X680="","Missing liability limit. ","") &amp; IF($AB680="","Missing technical premium. ","") &amp; IF($AF680="","Missing surplus lines tax %. ",""))="","PASS","FAIL: "&amp;TRIM(IF($A680="","Missing certificate ref. ","") &amp; IF($C680="","Missing effective date. ","") &amp; IF($D680="","Missing binding status. ","") &amp; IF($E680="","Missing movement type. ","") &amp; IF($I680="","Missing make. ","") &amp; IF($L680="","Missing vehicle class. ","") &amp; IF($M680="","Missing agreed value. ","") &amp; IF($N680="","Missing policy type. ","") &amp; IF($Q680="","Missing garaging state. ","") &amp; IF($R680="","Missing garaging ZIP. ","") &amp; IF($S680="","Missing cat zone. ","") &amp; IF($V680="","Missing valuation basis. ","") &amp; IF($W680="","Missing PD deductible. ","") &amp; IF($X680="","Missing liability limit. ","") &amp; IF($AB680="","Missing technical premium. ","") &amp; IF($AF680="","Missing surplus lines tax %. ",""))))</f>
      </c>
      <c r="AY680" s="44">
        <f>IF($M680="","",IF(ISNUMBER($M680),IF($M680&gt;=Header!$C$18,"YES — refer","No"),""))</f>
      </c>
      <c r="AZ680" s="44">
        <f>IF($AD680="","",IF(ISNUMBER($AD680),IF($AD680&lt;Header!$C$20,"BELOW MIN PREMIUM","OK"),""))</f>
      </c>
      <c r="BA680" s="48" t="inlineStr">
        <is>
          <t xml:space="preserve">Yes</t>
        </is>
      </c>
      <c r="BB680" s="48" t="inlineStr">
        <is>
          <t xml:space="preserve">Yes</t>
        </is>
      </c>
      <c r="BC680" s="46" t="inlineStr">
        <is>
          <t xml:space="preserve">Synthetic demo data</t>
        </is>
      </c>
      <c r="BE680" s="45">
        <f>IF(OR($A680="",$L680="",$H680=""),"",IF(AND(LEFT($L680,2)="06",$H680&gt;1945),"FAIL - pre-war class, year "&amp;$H680,IF(AND(LEFT($L680,2)="07",OR($H680&lt;1946,$H680&gt;1972)),"FAIL - 1946-72 class, year "&amp;$H680,IF(AND(LEFT($L680,2)="08",OR($H680&lt;1973,$H680&gt;1999)),"FAIL - 1973-99 class, year "&amp;$H680,IF(AND(LEFT($L680,2)="09",OR($H680&lt;2000,$H680&gt;2010)),"FAIL - 2000-10 class, year "&amp;$H680,"OK")))))</f>
      </c>
      <c r="BF680" s="45">
        <f>IF($AD680="","",IF(ROUND($AO680+$AP680+$AQ680-$AD680,2)=0,"OK","FAIL - out by "&amp;TEXT($AO680+$AP680+$AQ680-$AD680,"$0.00")))</f>
      </c>
    </row>
    <row r="681" spans="1:58" ht="18.75" customHeight="1" x14ac:dyDescent="0.25">
      <c r="A681" s="30" t="inlineStr">
        <is>
          <t xml:space="preserve">CANON-202607-010454</t>
        </is>
      </c>
      <c r="B681" s="30" t="inlineStr">
        <is>
          <t xml:space="preserve">Mireille Blackwood</t>
        </is>
      </c>
      <c r="C681" s="31">
        <v>46224</v>
      </c>
      <c r="D681" s="32" t="inlineStr">
        <is>
          <t xml:space="preserve">Bound - within authority</t>
        </is>
      </c>
      <c r="E681" s="32" t="inlineStr">
        <is>
          <t xml:space="preserve">New business</t>
        </is>
      </c>
      <c r="F681" s="30" t="inlineStr">
        <is>
          <t xml:space="preserve">B1234EXOTIC26</t>
        </is>
      </c>
      <c r="G681" s="33">
        <f>IF($A681="","",IF($C681="","",YEAR($C681)))</f>
      </c>
      <c r="H681" s="34">
        <v>1956</v>
      </c>
      <c r="I681" s="30" t="inlineStr">
        <is>
          <t xml:space="preserve">Porsche</t>
        </is>
      </c>
      <c r="J681" s="30" t="inlineStr">
        <is>
          <t xml:space="preserve">911 Turbo S</t>
        </is>
      </c>
      <c r="K681" s="30" t="inlineStr">
        <is>
          <t xml:space="preserve">JVXTKCJD6AFSFPAL7</t>
        </is>
      </c>
      <c r="L681" s="32" t="inlineStr">
        <is>
          <t xml:space="preserve">02 - Sports / GT</t>
        </is>
      </c>
      <c r="M681" s="35">
        <v>885000</v>
      </c>
      <c r="N681" s="32" t="inlineStr">
        <is>
          <t xml:space="preserve">Personal</t>
        </is>
      </c>
      <c r="O681" s="30" t="inlineStr">
        <is>
          <t xml:space="preserve">Personal - regular use</t>
        </is>
      </c>
      <c r="P681" s="30" t="inlineStr">
        <is>
          <t xml:space="preserve">Under 1,000</t>
        </is>
      </c>
      <c r="Q681" s="30" t="inlineStr">
        <is>
          <t xml:space="preserve">Georgia</t>
        </is>
      </c>
      <c r="R681" s="30" t="inlineStr">
        <is>
          <t xml:space="preserve">30303</t>
        </is>
      </c>
      <c r="S681" s="32" t="inlineStr">
        <is>
          <t xml:space="preserve">Tier 2 - Coastal wind (1-25 miles)</t>
        </is>
      </c>
      <c r="T681" s="36">
        <f>IF($A681="","",IF($S681="","",IFERROR(INDEX('[1]natural catastrophe'!$D$6:$D$17,MATCH($S681,'[1]natural catastrophe'!$B$6:$B$17,0)),"?")))</f>
      </c>
      <c r="U681" s="30" t="inlineStr">
        <is>
          <t xml:space="preserve">2% of agreed value, minimum $10,000</t>
        </is>
      </c>
      <c r="V681" s="32" t="inlineStr">
        <is>
          <t xml:space="preserve">Agreed Value</t>
        </is>
      </c>
      <c r="W681" s="30" t="inlineStr">
        <is>
          <t xml:space="preserve">$1,000</t>
        </is>
      </c>
      <c r="X681" s="32" t="inlineStr">
        <is>
          <t xml:space="preserve">$1,000,000 CSL</t>
        </is>
      </c>
      <c r="Y681" s="30"/>
      <c r="Z681" s="30"/>
      <c r="AA681" s="32" t="inlineStr">
        <is>
          <t xml:space="preserve">Surplus Lines</t>
        </is>
      </c>
      <c r="AB681" s="35">
        <v>9250.89</v>
      </c>
      <c r="AC681" s="37">
        <v>0</v>
      </c>
      <c r="AD681" s="38">
        <f>IF(ISNUMBER($AB681),$AB681*(1+N($AC681)),"")</f>
      </c>
      <c r="AE681" s="35">
        <v>350</v>
      </c>
      <c r="AF681" s="35">
        <v>0</v>
      </c>
      <c r="AG681" s="37"/>
      <c r="AH681" s="39">
        <f>IF(ISNUMBER($AD681),($AD681+$AE681+$AF681)*$AG681,"")</f>
      </c>
      <c r="AI681" s="35"/>
      <c r="AJ681" s="38">
        <f>IF(ISNUMBER($AD681),SUM($AD681:$AH681),"")</f>
      </c>
      <c r="AK681" s="40">
        <f>IF(AND(ISNUMBER($AB681),ISNUMBER($AD681)),IF($AB681&gt;0,$AD681/$AB681,""),"")</f>
      </c>
      <c r="AL681" s="32" t="inlineStr">
        <is>
          <t xml:space="preserve">At technical</t>
        </is>
      </c>
      <c r="AM681" s="41">
        <f>IF(ISNUMBER($AD681),Header!$I$3,"")</f>
      </c>
      <c r="AN681" s="39">
        <f>IF(ISNUMBER($AD681),$AO681+$AP681,"")</f>
      </c>
      <c r="AO681" s="39">
        <f>IF(ISNUMBER($AD681),ROUND($AD681*Header!$K$3,2),"")</f>
      </c>
      <c r="AP681" s="39">
        <f>IF(ISNUMBER($AD681),ROUND($AD681*Header!$M$3,2),"")</f>
      </c>
      <c r="AQ681" s="38">
        <f>IF(ISNUMBER($AD681),ROUND($AD681,2)-$AO681-$AP681,"")</f>
      </c>
      <c r="AR681" s="39">
        <f>IF(ISNUMBER($AD681),IF(Header!$D$34="","?",$AD681*Header!$D$34),"")</f>
      </c>
      <c r="AS681" s="39">
        <f>IF(ISNUMBER($AB681),IF(Header!$D$34="","?",$AB681*Header!$D$34),"")</f>
      </c>
      <c r="AT681" s="42">
        <f>IF(AND(ISNUMBER($AB681),$M681&gt;0),$AB681/$M681*100,"")</f>
      </c>
      <c r="AU681" s="42">
        <f>IF(AND(ISNUMBER($AD681),$M681&gt;0),$AD681/$M681*100,"")</f>
      </c>
      <c r="AV681" s="40">
        <f>IF(AND(ISNUMBER($AB681),ISNUMBER($AD681),ABS($AB681)&gt;0),$AD681/$AB681,"")</f>
      </c>
      <c r="AW681" s="39">
        <f>IF(ISNUMBER($AD681),MAX(0,(1-0.55-Header!$O$3)*Header!$Q$3*$AQ681),"")</f>
      </c>
      <c r="AX681" s="43">
        <f>IF($A681="","",IF(TRIM(IF($A681="","Missing certificate ref. ","") &amp; IF($C681="","Missing effective date. ","") &amp; IF($D681="","Missing binding status. ","") &amp; IF($E681="","Missing movement type. ","") &amp; IF($I681="","Missing make. ","") &amp; IF($L681="","Missing vehicle class. ","") &amp; IF($M681="","Missing agreed value. ","") &amp; IF($N681="","Missing policy type. ","") &amp; IF($Q681="","Missing garaging state. ","") &amp; IF($R681="","Missing garaging ZIP. ","") &amp; IF($S681="","Missing cat zone. ","") &amp; IF($V681="","Missing valuation basis. ","") &amp; IF($W681="","Missing PD deductible. ","") &amp; IF($X681="","Missing liability limit. ","") &amp; IF($AB681="","Missing technical premium. ","") &amp; IF($AF681="","Missing surplus lines tax %. ",""))="","PASS","FAIL: "&amp;TRIM(IF($A681="","Missing certificate ref. ","") &amp; IF($C681="","Missing effective date. ","") &amp; IF($D681="","Missing binding status. ","") &amp; IF($E681="","Missing movement type. ","") &amp; IF($I681="","Missing make. ","") &amp; IF($L681="","Missing vehicle class. ","") &amp; IF($M681="","Missing agreed value. ","") &amp; IF($N681="","Missing policy type. ","") &amp; IF($Q681="","Missing garaging state. ","") &amp; IF($R681="","Missing garaging ZIP. ","") &amp; IF($S681="","Missing cat zone. ","") &amp; IF($V681="","Missing valuation basis. ","") &amp; IF($W681="","Missing PD deductible. ","") &amp; IF($X681="","Missing liability limit. ","") &amp; IF($AB681="","Missing technical premium. ","") &amp; IF($AF681="","Missing surplus lines tax %. ",""))))</f>
      </c>
      <c r="AY681" s="44">
        <f>IF($M681="","",IF(ISNUMBER($M681),IF($M681&gt;=Header!$C$18,"YES — refer","No"),""))</f>
      </c>
      <c r="AZ681" s="44">
        <f>IF($AD681="","",IF(ISNUMBER($AD681),IF($AD681&lt;Header!$C$20,"BELOW MIN PREMIUM","OK"),""))</f>
      </c>
      <c r="BA681" s="32" t="inlineStr">
        <is>
          <t xml:space="preserve">Yes</t>
        </is>
      </c>
      <c r="BB681" s="32" t="inlineStr">
        <is>
          <t xml:space="preserve">Yes</t>
        </is>
      </c>
      <c r="BC681" s="30" t="inlineStr">
        <is>
          <t xml:space="preserve">Synthetic demo data</t>
        </is>
      </c>
      <c r="BE681" s="45">
        <f>IF(OR($A681="",$L681="",$H681=""),"",IF(AND(LEFT($L681,2)="06",$H681&gt;1945),"FAIL - pre-war class, year "&amp;$H681,IF(AND(LEFT($L681,2)="07",OR($H681&lt;1946,$H681&gt;1972)),"FAIL - 1946-72 class, year "&amp;$H681,IF(AND(LEFT($L681,2)="08",OR($H681&lt;1973,$H681&gt;1999)),"FAIL - 1973-99 class, year "&amp;$H681,IF(AND(LEFT($L681,2)="09",OR($H681&lt;2000,$H681&gt;2010)),"FAIL - 2000-10 class, year "&amp;$H681,"OK")))))</f>
      </c>
      <c r="BF681" s="45">
        <f>IF($AD681="","",IF(ROUND($AO681+$AP681+$AQ681-$AD681,2)=0,"OK","FAIL - out by "&amp;TEXT($AO681+$AP681+$AQ681-$AD681,"$0.00")))</f>
      </c>
    </row>
    <row r="682" spans="1:58" ht="18.75" customHeight="1" x14ac:dyDescent="0.25">
      <c r="A682" s="46" t="inlineStr">
        <is>
          <t xml:space="preserve">CANON-202607-010455</t>
        </is>
      </c>
      <c r="B682" s="46" t="inlineStr">
        <is>
          <t xml:space="preserve">Anouk Merriweather</t>
        </is>
      </c>
      <c r="C682" s="47">
        <v>46206</v>
      </c>
      <c r="D682" s="48" t="inlineStr">
        <is>
          <t xml:space="preserve">Bound - within authority</t>
        </is>
      </c>
      <c r="E682" s="48" t="inlineStr">
        <is>
          <t xml:space="preserve">New business</t>
        </is>
      </c>
      <c r="F682" s="46" t="inlineStr">
        <is>
          <t xml:space="preserve">B1234EXOTIC26</t>
        </is>
      </c>
      <c r="G682" s="33">
        <f>IF($A682="","",IF($C682="","",YEAR($C682)))</f>
      </c>
      <c r="H682" s="49">
        <v>1987</v>
      </c>
      <c r="I682" s="46" t="inlineStr">
        <is>
          <t xml:space="preserve">Lamborghini</t>
        </is>
      </c>
      <c r="J682" s="46" t="inlineStr">
        <is>
          <t xml:space="preserve">Huracan EVO</t>
        </is>
      </c>
      <c r="K682" s="46" t="inlineStr">
        <is>
          <t xml:space="preserve">LM30ADNVNDWDRM0A3</t>
        </is>
      </c>
      <c r="L682" s="48" t="inlineStr">
        <is>
          <t xml:space="preserve">03 - Supercar</t>
        </is>
      </c>
      <c r="M682" s="50">
        <v>240000</v>
      </c>
      <c r="N682" s="48" t="inlineStr">
        <is>
          <t xml:space="preserve">Personal</t>
        </is>
      </c>
      <c r="O682" s="46" t="inlineStr">
        <is>
          <t xml:space="preserve">Personal - regular use</t>
        </is>
      </c>
      <c r="P682" s="46" t="inlineStr">
        <is>
          <t xml:space="preserve">Under 1,000</t>
        </is>
      </c>
      <c r="Q682" s="46" t="inlineStr">
        <is>
          <t xml:space="preserve">Texas</t>
        </is>
      </c>
      <c r="R682" s="46" t="inlineStr">
        <is>
          <t xml:space="preserve">75201</t>
        </is>
      </c>
      <c r="S682" s="48" t="inlineStr">
        <is>
          <t xml:space="preserve">Tier 2 - Coastal wind (1-25 miles)</t>
        </is>
      </c>
      <c r="T682" s="36">
        <f>IF($A682="","",IF($S682="","",IFERROR(INDEX('[1]natural catastrophe'!$D$6:$D$17,MATCH($S682,'[1]natural catastrophe'!$B$6:$B$17,0)),"?")))</f>
      </c>
      <c r="U682" s="46" t="inlineStr">
        <is>
          <t xml:space="preserve">2% of agreed value, minimum $10,000</t>
        </is>
      </c>
      <c r="V682" s="48" t="inlineStr">
        <is>
          <t xml:space="preserve">Agreed Value</t>
        </is>
      </c>
      <c r="W682" s="46" t="inlineStr">
        <is>
          <t xml:space="preserve">$1,000</t>
        </is>
      </c>
      <c r="X682" s="48" t="inlineStr">
        <is>
          <t xml:space="preserve">$1,000,000 CSL</t>
        </is>
      </c>
      <c r="Y682" s="46"/>
      <c r="Z682" s="46"/>
      <c r="AA682" s="48" t="inlineStr">
        <is>
          <t xml:space="preserve">Surplus Lines</t>
        </is>
      </c>
      <c r="AB682" s="50">
        <v>5627.38</v>
      </c>
      <c r="AC682" s="51">
        <v>0</v>
      </c>
      <c r="AD682" s="38">
        <f>IF(ISNUMBER($AB682),$AB682*(1+N($AC682)),"")</f>
      </c>
      <c r="AE682" s="50">
        <v>350</v>
      </c>
      <c r="AF682" s="50">
        <v>0</v>
      </c>
      <c r="AG682" s="51"/>
      <c r="AH682" s="39">
        <f>IF(ISNUMBER($AD682),($AD682+$AE682+$AF682)*$AG682,"")</f>
      </c>
      <c r="AI682" s="50"/>
      <c r="AJ682" s="38">
        <f>IF(ISNUMBER($AD682),SUM($AD682:$AH682),"")</f>
      </c>
      <c r="AK682" s="40">
        <f>IF(AND(ISNUMBER($AB682),ISNUMBER($AD682)),IF($AB682&gt;0,$AD682/$AB682,""),"")</f>
      </c>
      <c r="AL682" s="48" t="inlineStr">
        <is>
          <t xml:space="preserve">At technical</t>
        </is>
      </c>
      <c r="AM682" s="41">
        <f>IF(ISNUMBER($AD682),Header!$I$3,"")</f>
      </c>
      <c r="AN682" s="39">
        <f>IF(ISNUMBER($AD682),$AO682+$AP682,"")</f>
      </c>
      <c r="AO682" s="39">
        <f>IF(ISNUMBER($AD682),ROUND($AD682*Header!$K$3,2),"")</f>
      </c>
      <c r="AP682" s="39">
        <f>IF(ISNUMBER($AD682),ROUND($AD682*Header!$M$3,2),"")</f>
      </c>
      <c r="AQ682" s="38">
        <f>IF(ISNUMBER($AD682),ROUND($AD682,2)-$AO682-$AP682,"")</f>
      </c>
      <c r="AR682" s="39">
        <f>IF(ISNUMBER($AD682),IF(Header!$D$34="","?",$AD682*Header!$D$34),"")</f>
      </c>
      <c r="AS682" s="39">
        <f>IF(ISNUMBER($AB682),IF(Header!$D$34="","?",$AB682*Header!$D$34),"")</f>
      </c>
      <c r="AT682" s="42">
        <f>IF(AND(ISNUMBER($AB682),$M682&gt;0),$AB682/$M682*100,"")</f>
      </c>
      <c r="AU682" s="42">
        <f>IF(AND(ISNUMBER($AD682),$M682&gt;0),$AD682/$M682*100,"")</f>
      </c>
      <c r="AV682" s="40">
        <f>IF(AND(ISNUMBER($AB682),ISNUMBER($AD682),ABS($AB682)&gt;0),$AD682/$AB682,"")</f>
      </c>
      <c r="AW682" s="39">
        <f>IF(ISNUMBER($AD682),MAX(0,(1-0.55-Header!$O$3)*Header!$Q$3*$AQ682),"")</f>
      </c>
      <c r="AX682" s="43">
        <f>IF($A682="","",IF(TRIM(IF($A682="","Missing certificate ref. ","") &amp; IF($C682="","Missing effective date. ","") &amp; IF($D682="","Missing binding status. ","") &amp; IF($E682="","Missing movement type. ","") &amp; IF($I682="","Missing make. ","") &amp; IF($L682="","Missing vehicle class. ","") &amp; IF($M682="","Missing agreed value. ","") &amp; IF($N682="","Missing policy type. ","") &amp; IF($Q682="","Missing garaging state. ","") &amp; IF($R682="","Missing garaging ZIP. ","") &amp; IF($S682="","Missing cat zone. ","") &amp; IF($V682="","Missing valuation basis. ","") &amp; IF($W682="","Missing PD deductible. ","") &amp; IF($X682="","Missing liability limit. ","") &amp; IF($AB682="","Missing technical premium. ","") &amp; IF($AF682="","Missing surplus lines tax %. ",""))="","PASS","FAIL: "&amp;TRIM(IF($A682="","Missing certificate ref. ","") &amp; IF($C682="","Missing effective date. ","") &amp; IF($D682="","Missing binding status. ","") &amp; IF($E682="","Missing movement type. ","") &amp; IF($I682="","Missing make. ","") &amp; IF($L682="","Missing vehicle class. ","") &amp; IF($M682="","Missing agreed value. ","") &amp; IF($N682="","Missing policy type. ","") &amp; IF($Q682="","Missing garaging state. ","") &amp; IF($R682="","Missing garaging ZIP. ","") &amp; IF($S682="","Missing cat zone. ","") &amp; IF($V682="","Missing valuation basis. ","") &amp; IF($W682="","Missing PD deductible. ","") &amp; IF($X682="","Missing liability limit. ","") &amp; IF($AB682="","Missing technical premium. ","") &amp; IF($AF682="","Missing surplus lines tax %. ",""))))</f>
      </c>
      <c r="AY682" s="44">
        <f>IF($M682="","",IF(ISNUMBER($M682),IF($M682&gt;=Header!$C$18,"YES — refer","No"),""))</f>
      </c>
      <c r="AZ682" s="44">
        <f>IF($AD682="","",IF(ISNUMBER($AD682),IF($AD682&lt;Header!$C$20,"BELOW MIN PREMIUM","OK"),""))</f>
      </c>
      <c r="BA682" s="48" t="inlineStr">
        <is>
          <t xml:space="preserve">Yes</t>
        </is>
      </c>
      <c r="BB682" s="48" t="inlineStr">
        <is>
          <t xml:space="preserve">Yes</t>
        </is>
      </c>
      <c r="BC682" s="46" t="inlineStr">
        <is>
          <t xml:space="preserve">Synthetic demo data</t>
        </is>
      </c>
      <c r="BE682" s="45">
        <f>IF(OR($A682="",$L682="",$H682=""),"",IF(AND(LEFT($L682,2)="06",$H682&gt;1945),"FAIL - pre-war class, year "&amp;$H682,IF(AND(LEFT($L682,2)="07",OR($H682&lt;1946,$H682&gt;1972)),"FAIL - 1946-72 class, year "&amp;$H682,IF(AND(LEFT($L682,2)="08",OR($H682&lt;1973,$H682&gt;1999)),"FAIL - 1973-99 class, year "&amp;$H682,IF(AND(LEFT($L682,2)="09",OR($H682&lt;2000,$H682&gt;2010)),"FAIL - 2000-10 class, year "&amp;$H682,"OK")))))</f>
      </c>
      <c r="BF682" s="45">
        <f>IF($AD682="","",IF(ROUND($AO682+$AP682+$AQ682-$AD682,2)=0,"OK","FAIL - out by "&amp;TEXT($AO682+$AP682+$AQ682-$AD682,"$0.00")))</f>
      </c>
    </row>
    <row r="683" spans="1:58" ht="18.75" customHeight="1" x14ac:dyDescent="0.25">
      <c r="A683" s="30" t="inlineStr">
        <is>
          <t xml:space="preserve">CANON-202607-010458</t>
        </is>
      </c>
      <c r="B683" s="30" t="inlineStr">
        <is>
          <t xml:space="preserve">Horace Montoya</t>
        </is>
      </c>
      <c r="C683" s="31">
        <v>46211</v>
      </c>
      <c r="D683" s="32" t="inlineStr">
        <is>
          <t xml:space="preserve">Bound - within authority</t>
        </is>
      </c>
      <c r="E683" s="32" t="inlineStr">
        <is>
          <t xml:space="preserve">New business</t>
        </is>
      </c>
      <c r="F683" s="30" t="inlineStr">
        <is>
          <t xml:space="preserve">B1234EXOTIC26</t>
        </is>
      </c>
      <c r="G683" s="33">
        <f>IF($A683="","",IF($C683="","",YEAR($C683)))</f>
      </c>
      <c r="H683" s="34">
        <v>1995</v>
      </c>
      <c r="I683" s="30" t="inlineStr">
        <is>
          <t xml:space="preserve">Porsche</t>
        </is>
      </c>
      <c r="J683" s="30" t="inlineStr">
        <is>
          <t xml:space="preserve">911 Turbo S</t>
        </is>
      </c>
      <c r="K683" s="30" t="inlineStr">
        <is>
          <t xml:space="preserve">4UWL2JELGHNEG5RCB</t>
        </is>
      </c>
      <c r="L683" s="32" t="inlineStr">
        <is>
          <t xml:space="preserve">02 - Sports / GT</t>
        </is>
      </c>
      <c r="M683" s="35">
        <v>270000</v>
      </c>
      <c r="N683" s="32" t="inlineStr">
        <is>
          <t xml:space="preserve">Personal</t>
        </is>
      </c>
      <c r="O683" s="30" t="inlineStr">
        <is>
          <t xml:space="preserve">Personal - regular use</t>
        </is>
      </c>
      <c r="P683" s="30" t="inlineStr">
        <is>
          <t xml:space="preserve">2,500 - 5,000</t>
        </is>
      </c>
      <c r="Q683" s="30" t="inlineStr">
        <is>
          <t xml:space="preserve">Oklahoma</t>
        </is>
      </c>
      <c r="R683" s="30" t="inlineStr">
        <is>
          <t xml:space="preserve">73102</t>
        </is>
      </c>
      <c r="S683" s="32" t="inlineStr">
        <is>
          <t xml:space="preserve">Severe convective - hail alley (high)</t>
        </is>
      </c>
      <c r="T683" s="36">
        <f>IF($A683="","",IF($S683="","",IFERROR(INDEX('[1]natural catastrophe'!$D$6:$D$17,MATCH($S683,'[1]natural catastrophe'!$B$6:$B$17,0)),"?")))</f>
      </c>
      <c r="U683" s="30" t="inlineStr">
        <is>
          <t xml:space="preserve">$5,000</t>
        </is>
      </c>
      <c r="V683" s="32" t="inlineStr">
        <is>
          <t xml:space="preserve">Agreed Value</t>
        </is>
      </c>
      <c r="W683" s="30" t="inlineStr">
        <is>
          <t xml:space="preserve">$1,000</t>
        </is>
      </c>
      <c r="X683" s="32" t="inlineStr">
        <is>
          <t xml:space="preserve">$1,000,000 CSL</t>
        </is>
      </c>
      <c r="Y683" s="30"/>
      <c r="Z683" s="30"/>
      <c r="AA683" s="32" t="inlineStr">
        <is>
          <t xml:space="preserve">Surplus Lines</t>
        </is>
      </c>
      <c r="AB683" s="35">
        <v>3663.57</v>
      </c>
      <c r="AC683" s="37">
        <v>0</v>
      </c>
      <c r="AD683" s="38">
        <f>IF(ISNUMBER($AB683),$AB683*(1+N($AC683)),"")</f>
      </c>
      <c r="AE683" s="35">
        <v>350</v>
      </c>
      <c r="AF683" s="35">
        <v>0</v>
      </c>
      <c r="AG683" s="37"/>
      <c r="AH683" s="39">
        <f>IF(ISNUMBER($AD683),($AD683+$AE683+$AF683)*$AG683,"")</f>
      </c>
      <c r="AI683" s="35"/>
      <c r="AJ683" s="38">
        <f>IF(ISNUMBER($AD683),SUM($AD683:$AH683),"")</f>
      </c>
      <c r="AK683" s="40">
        <f>IF(AND(ISNUMBER($AB683),ISNUMBER($AD683)),IF($AB683&gt;0,$AD683/$AB683,""),"")</f>
      </c>
      <c r="AL683" s="32" t="inlineStr">
        <is>
          <t xml:space="preserve">At technical</t>
        </is>
      </c>
      <c r="AM683" s="41">
        <f>IF(ISNUMBER($AD683),Header!$I$3,"")</f>
      </c>
      <c r="AN683" s="39">
        <f>IF(ISNUMBER($AD683),$AO683+$AP683,"")</f>
      </c>
      <c r="AO683" s="39">
        <f>IF(ISNUMBER($AD683),ROUND($AD683*Header!$K$3,2),"")</f>
      </c>
      <c r="AP683" s="39">
        <f>IF(ISNUMBER($AD683),ROUND($AD683*Header!$M$3,2),"")</f>
      </c>
      <c r="AQ683" s="38">
        <f>IF(ISNUMBER($AD683),ROUND($AD683,2)-$AO683-$AP683,"")</f>
      </c>
      <c r="AR683" s="39">
        <f>IF(ISNUMBER($AD683),IF(Header!$D$34="","?",$AD683*Header!$D$34),"")</f>
      </c>
      <c r="AS683" s="39">
        <f>IF(ISNUMBER($AB683),IF(Header!$D$34="","?",$AB683*Header!$D$34),"")</f>
      </c>
      <c r="AT683" s="42">
        <f>IF(AND(ISNUMBER($AB683),$M683&gt;0),$AB683/$M683*100,"")</f>
      </c>
      <c r="AU683" s="42">
        <f>IF(AND(ISNUMBER($AD683),$M683&gt;0),$AD683/$M683*100,"")</f>
      </c>
      <c r="AV683" s="40">
        <f>IF(AND(ISNUMBER($AB683),ISNUMBER($AD683),ABS($AB683)&gt;0),$AD683/$AB683,"")</f>
      </c>
      <c r="AW683" s="39">
        <f>IF(ISNUMBER($AD683),MAX(0,(1-0.55-Header!$O$3)*Header!$Q$3*$AQ683),"")</f>
      </c>
      <c r="AX683" s="43">
        <f>IF($A683="","",IF(TRIM(IF($A683="","Missing certificate ref. ","") &amp; IF($C683="","Missing effective date. ","") &amp; IF($D683="","Missing binding status. ","") &amp; IF($E683="","Missing movement type. ","") &amp; IF($I683="","Missing make. ","") &amp; IF($L683="","Missing vehicle class. ","") &amp; IF($M683="","Missing agreed value. ","") &amp; IF($N683="","Missing policy type. ","") &amp; IF($Q683="","Missing garaging state. ","") &amp; IF($R683="","Missing garaging ZIP. ","") &amp; IF($S683="","Missing cat zone. ","") &amp; IF($V683="","Missing valuation basis. ","") &amp; IF($W683="","Missing PD deductible. ","") &amp; IF($X683="","Missing liability limit. ","") &amp; IF($AB683="","Missing technical premium. ","") &amp; IF($AF683="","Missing surplus lines tax %. ",""))="","PASS","FAIL: "&amp;TRIM(IF($A683="","Missing certificate ref. ","") &amp; IF($C683="","Missing effective date. ","") &amp; IF($D683="","Missing binding status. ","") &amp; IF($E683="","Missing movement type. ","") &amp; IF($I683="","Missing make. ","") &amp; IF($L683="","Missing vehicle class. ","") &amp; IF($M683="","Missing agreed value. ","") &amp; IF($N683="","Missing policy type. ","") &amp; IF($Q683="","Missing garaging state. ","") &amp; IF($R683="","Missing garaging ZIP. ","") &amp; IF($S683="","Missing cat zone. ","") &amp; IF($V683="","Missing valuation basis. ","") &amp; IF($W683="","Missing PD deductible. ","") &amp; IF($X683="","Missing liability limit. ","") &amp; IF($AB683="","Missing technical premium. ","") &amp; IF($AF683="","Missing surplus lines tax %. ",""))))</f>
      </c>
      <c r="AY683" s="44">
        <f>IF($M683="","",IF(ISNUMBER($M683),IF($M683&gt;=Header!$C$18,"YES — refer","No"),""))</f>
      </c>
      <c r="AZ683" s="44">
        <f>IF($AD683="","",IF(ISNUMBER($AD683),IF($AD683&lt;Header!$C$20,"BELOW MIN PREMIUM","OK"),""))</f>
      </c>
      <c r="BA683" s="32" t="inlineStr">
        <is>
          <t xml:space="preserve">Yes</t>
        </is>
      </c>
      <c r="BB683" s="32" t="inlineStr">
        <is>
          <t xml:space="preserve">Yes</t>
        </is>
      </c>
      <c r="BC683" s="30" t="inlineStr">
        <is>
          <t xml:space="preserve">Synthetic demo data</t>
        </is>
      </c>
      <c r="BE683" s="45">
        <f>IF(OR($A683="",$L683="",$H683=""),"",IF(AND(LEFT($L683,2)="06",$H683&gt;1945),"FAIL - pre-war class, year "&amp;$H683,IF(AND(LEFT($L683,2)="07",OR($H683&lt;1946,$H683&gt;1972)),"FAIL - 1946-72 class, year "&amp;$H683,IF(AND(LEFT($L683,2)="08",OR($H683&lt;1973,$H683&gt;1999)),"FAIL - 1973-99 class, year "&amp;$H683,IF(AND(LEFT($L683,2)="09",OR($H683&lt;2000,$H683&gt;2010)),"FAIL - 2000-10 class, year "&amp;$H683,"OK")))))</f>
      </c>
      <c r="BF683" s="45">
        <f>IF($AD683="","",IF(ROUND($AO683+$AP683+$AQ683-$AD683,2)=0,"OK","FAIL - out by "&amp;TEXT($AO683+$AP683+$AQ683-$AD683,"$0.00")))</f>
      </c>
    </row>
    <row r="684" spans="1:58" ht="18.75" customHeight="1" x14ac:dyDescent="0.25">
      <c r="A684" s="46" t="inlineStr">
        <is>
          <t xml:space="preserve">CANON-202607-010459</t>
        </is>
      </c>
      <c r="B684" s="46" t="inlineStr">
        <is>
          <t xml:space="preserve">Sunniva Merriweather</t>
        </is>
      </c>
      <c r="C684" s="47">
        <v>46206</v>
      </c>
      <c r="D684" s="48" t="inlineStr">
        <is>
          <t xml:space="preserve">Bound - within authority</t>
        </is>
      </c>
      <c r="E684" s="48" t="inlineStr">
        <is>
          <t xml:space="preserve">New business</t>
        </is>
      </c>
      <c r="F684" s="46" t="inlineStr">
        <is>
          <t xml:space="preserve">B1234EXOTIC26</t>
        </is>
      </c>
      <c r="G684" s="33">
        <f>IF($A684="","",IF($C684="","",YEAR($C684)))</f>
      </c>
      <c r="H684" s="49">
        <v>1997</v>
      </c>
      <c r="I684" s="46" t="inlineStr">
        <is>
          <t xml:space="preserve">Ferrari</t>
        </is>
      </c>
      <c r="J684" s="46" t="inlineStr">
        <is>
          <t xml:space="preserve">296 GTB</t>
        </is>
      </c>
      <c r="K684" s="46" t="inlineStr">
        <is>
          <t xml:space="preserve">HB1PXN14SHL5RET8W</t>
        </is>
      </c>
      <c r="L684" s="48" t="inlineStr">
        <is>
          <t xml:space="preserve">03 - Supercar</t>
        </is>
      </c>
      <c r="M684" s="50">
        <v>1055000</v>
      </c>
      <c r="N684" s="48" t="inlineStr">
        <is>
          <t xml:space="preserve">Personal</t>
        </is>
      </c>
      <c r="O684" s="46" t="inlineStr">
        <is>
          <t xml:space="preserve">Personal - regular use</t>
        </is>
      </c>
      <c r="P684" s="46" t="inlineStr">
        <is>
          <t xml:space="preserve">Under 1,000</t>
        </is>
      </c>
      <c r="Q684" s="46" t="inlineStr">
        <is>
          <t xml:space="preserve">Texas</t>
        </is>
      </c>
      <c r="R684" s="46" t="inlineStr">
        <is>
          <t xml:space="preserve">75201</t>
        </is>
      </c>
      <c r="S684" s="48" t="inlineStr">
        <is>
          <t xml:space="preserve">Tier 2 - Coastal wind (1-25 miles)</t>
        </is>
      </c>
      <c r="T684" s="36">
        <f>IF($A684="","",IF($S684="","",IFERROR(INDEX('[1]natural catastrophe'!$D$6:$D$17,MATCH($S684,'[1]natural catastrophe'!$B$6:$B$17,0)),"?")))</f>
      </c>
      <c r="U684" s="46" t="inlineStr">
        <is>
          <t xml:space="preserve">2% of agreed value, minimum $10,000</t>
        </is>
      </c>
      <c r="V684" s="48" t="inlineStr">
        <is>
          <t xml:space="preserve">Agreed Value</t>
        </is>
      </c>
      <c r="W684" s="46" t="inlineStr">
        <is>
          <t xml:space="preserve">$1,000</t>
        </is>
      </c>
      <c r="X684" s="48" t="inlineStr">
        <is>
          <t xml:space="preserve">$1,000,000 CSL</t>
        </is>
      </c>
      <c r="Y684" s="46"/>
      <c r="Z684" s="46"/>
      <c r="AA684" s="48" t="inlineStr">
        <is>
          <t xml:space="preserve">Surplus Lines</t>
        </is>
      </c>
      <c r="AB684" s="50">
        <v>13936.35</v>
      </c>
      <c r="AC684" s="51">
        <v>0</v>
      </c>
      <c r="AD684" s="38">
        <f>IF(ISNUMBER($AB684),$AB684*(1+N($AC684)),"")</f>
      </c>
      <c r="AE684" s="50">
        <v>350</v>
      </c>
      <c r="AF684" s="50">
        <v>250</v>
      </c>
      <c r="AG684" s="51"/>
      <c r="AH684" s="39">
        <f>IF(ISNUMBER($AD684),($AD684+$AE684+$AF684)*$AG684,"")</f>
      </c>
      <c r="AI684" s="50"/>
      <c r="AJ684" s="38">
        <f>IF(ISNUMBER($AD684),SUM($AD684:$AH684),"")</f>
      </c>
      <c r="AK684" s="40">
        <f>IF(AND(ISNUMBER($AB684),ISNUMBER($AD684)),IF($AB684&gt;0,$AD684/$AB684,""),"")</f>
      </c>
      <c r="AL684" s="48" t="inlineStr">
        <is>
          <t xml:space="preserve">At technical</t>
        </is>
      </c>
      <c r="AM684" s="41">
        <f>IF(ISNUMBER($AD684),Header!$I$3,"")</f>
      </c>
      <c r="AN684" s="39">
        <f>IF(ISNUMBER($AD684),$AO684+$AP684,"")</f>
      </c>
      <c r="AO684" s="39">
        <f>IF(ISNUMBER($AD684),ROUND($AD684*Header!$K$3,2),"")</f>
      </c>
      <c r="AP684" s="39">
        <f>IF(ISNUMBER($AD684),ROUND($AD684*Header!$M$3,2),"")</f>
      </c>
      <c r="AQ684" s="38">
        <f>IF(ISNUMBER($AD684),ROUND($AD684,2)-$AO684-$AP684,"")</f>
      </c>
      <c r="AR684" s="39">
        <f>IF(ISNUMBER($AD684),IF(Header!$D$34="","?",$AD684*Header!$D$34),"")</f>
      </c>
      <c r="AS684" s="39">
        <f>IF(ISNUMBER($AB684),IF(Header!$D$34="","?",$AB684*Header!$D$34),"")</f>
      </c>
      <c r="AT684" s="42">
        <f>IF(AND(ISNUMBER($AB684),$M684&gt;0),$AB684/$M684*100,"")</f>
      </c>
      <c r="AU684" s="42">
        <f>IF(AND(ISNUMBER($AD684),$M684&gt;0),$AD684/$M684*100,"")</f>
      </c>
      <c r="AV684" s="40">
        <f>IF(AND(ISNUMBER($AB684),ISNUMBER($AD684),ABS($AB684)&gt;0),$AD684/$AB684,"")</f>
      </c>
      <c r="AW684" s="39">
        <f>IF(ISNUMBER($AD684),MAX(0,(1-0.55-Header!$O$3)*Header!$Q$3*$AQ684),"")</f>
      </c>
      <c r="AX684" s="43">
        <f>IF($A684="","",IF(TRIM(IF($A684="","Missing certificate ref. ","") &amp; IF($C684="","Missing effective date. ","") &amp; IF($D684="","Missing binding status. ","") &amp; IF($E684="","Missing movement type. ","") &amp; IF($I684="","Missing make. ","") &amp; IF($L684="","Missing vehicle class. ","") &amp; IF($M684="","Missing agreed value. ","") &amp; IF($N684="","Missing policy type. ","") &amp; IF($Q684="","Missing garaging state. ","") &amp; IF($R684="","Missing garaging ZIP. ","") &amp; IF($S684="","Missing cat zone. ","") &amp; IF($V684="","Missing valuation basis. ","") &amp; IF($W684="","Missing PD deductible. ","") &amp; IF($X684="","Missing liability limit. ","") &amp; IF($AB684="","Missing technical premium. ","") &amp; IF($AF684="","Missing surplus lines tax %. ",""))="","PASS","FAIL: "&amp;TRIM(IF($A684="","Missing certificate ref. ","") &amp; IF($C684="","Missing effective date. ","") &amp; IF($D684="","Missing binding status. ","") &amp; IF($E684="","Missing movement type. ","") &amp; IF($I684="","Missing make. ","") &amp; IF($L684="","Missing vehicle class. ","") &amp; IF($M684="","Missing agreed value. ","") &amp; IF($N684="","Missing policy type. ","") &amp; IF($Q684="","Missing garaging state. ","") &amp; IF($R684="","Missing garaging ZIP. ","") &amp; IF($S684="","Missing cat zone. ","") &amp; IF($V684="","Missing valuation basis. ","") &amp; IF($W684="","Missing PD deductible. ","") &amp; IF($X684="","Missing liability limit. ","") &amp; IF($AB684="","Missing technical premium. ","") &amp; IF($AF684="","Missing surplus lines tax %. ",""))))</f>
      </c>
      <c r="AY684" s="44">
        <f>IF($M684="","",IF(ISNUMBER($M684),IF($M684&gt;=Header!$C$18,"YES — refer","No"),""))</f>
      </c>
      <c r="AZ684" s="44">
        <f>IF($AD684="","",IF(ISNUMBER($AD684),IF($AD684&lt;Header!$C$20,"BELOW MIN PREMIUM","OK"),""))</f>
      </c>
      <c r="BA684" s="48" t="inlineStr">
        <is>
          <t xml:space="preserve">Yes</t>
        </is>
      </c>
      <c r="BB684" s="48" t="inlineStr">
        <is>
          <t xml:space="preserve">Yes</t>
        </is>
      </c>
      <c r="BC684" s="46" t="inlineStr">
        <is>
          <t xml:space="preserve">Synthetic demo data</t>
        </is>
      </c>
      <c r="BE684" s="45">
        <f>IF(OR($A684="",$L684="",$H684=""),"",IF(AND(LEFT($L684,2)="06",$H684&gt;1945),"FAIL - pre-war class, year "&amp;$H684,IF(AND(LEFT($L684,2)="07",OR($H684&lt;1946,$H684&gt;1972)),"FAIL - 1946-72 class, year "&amp;$H684,IF(AND(LEFT($L684,2)="08",OR($H684&lt;1973,$H684&gt;1999)),"FAIL - 1973-99 class, year "&amp;$H684,IF(AND(LEFT($L684,2)="09",OR($H684&lt;2000,$H684&gt;2010)),"FAIL - 2000-10 class, year "&amp;$H684,"OK")))))</f>
      </c>
      <c r="BF684" s="45">
        <f>IF($AD684="","",IF(ROUND($AO684+$AP684+$AQ684-$AD684,2)=0,"OK","FAIL - out by "&amp;TEXT($AO684+$AP684+$AQ684-$AD684,"$0.00")))</f>
      </c>
    </row>
    <row r="685" spans="1:58" ht="18.75" customHeight="1" x14ac:dyDescent="0.25">
      <c r="A685" s="30" t="inlineStr">
        <is>
          <t xml:space="preserve">CANON-202607-010460</t>
        </is>
      </c>
      <c r="B685" s="30" t="inlineStr">
        <is>
          <t xml:space="preserve">Callum Fairweather</t>
        </is>
      </c>
      <c r="C685" s="31">
        <v>46224</v>
      </c>
      <c r="D685" s="32" t="inlineStr">
        <is>
          <t xml:space="preserve">Bound - within authority</t>
        </is>
      </c>
      <c r="E685" s="32" t="inlineStr">
        <is>
          <t xml:space="preserve">New business</t>
        </is>
      </c>
      <c r="F685" s="30" t="inlineStr">
        <is>
          <t xml:space="preserve">B1234EXOTIC26</t>
        </is>
      </c>
      <c r="G685" s="33">
        <f>IF($A685="","",IF($C685="","",YEAR($C685)))</f>
      </c>
      <c r="H685" s="34">
        <v>1969</v>
      </c>
      <c r="I685" s="30" t="inlineStr">
        <is>
          <t xml:space="preserve">Aston Martin</t>
        </is>
      </c>
      <c r="J685" s="30" t="inlineStr">
        <is>
          <t xml:space="preserve">DB12</t>
        </is>
      </c>
      <c r="K685" s="30" t="inlineStr">
        <is>
          <t xml:space="preserve">S4KS8FNH8V9YL6X0U</t>
        </is>
      </c>
      <c r="L685" s="32" t="inlineStr">
        <is>
          <t xml:space="preserve">02 - Sports / GT</t>
        </is>
      </c>
      <c r="M685" s="35">
        <v>300000</v>
      </c>
      <c r="N685" s="32" t="inlineStr">
        <is>
          <t xml:space="preserve">Personal</t>
        </is>
      </c>
      <c r="O685" s="30" t="inlineStr">
        <is>
          <t xml:space="preserve">Personal - regular use</t>
        </is>
      </c>
      <c r="P685" s="30" t="inlineStr">
        <is>
          <t xml:space="preserve">Under 1,000</t>
        </is>
      </c>
      <c r="Q685" s="30" t="inlineStr">
        <is>
          <t xml:space="preserve">Arkansas</t>
        </is>
      </c>
      <c r="R685" s="30" t="inlineStr">
        <is>
          <t xml:space="preserve">72201</t>
        </is>
      </c>
      <c r="S685" s="32" t="inlineStr">
        <is>
          <t xml:space="preserve">Severe convective - hail / tornado (moderate)</t>
        </is>
      </c>
      <c r="T685" s="36">
        <f>IF($A685="","",IF($S685="","",IFERROR(INDEX('[1]natural catastrophe'!$D$6:$D$17,MATCH($S685,'[1]natural catastrophe'!$B$6:$B$17,0)),"?")))</f>
      </c>
      <c r="U685" s="30" t="inlineStr">
        <is>
          <t xml:space="preserve">$5,000</t>
        </is>
      </c>
      <c r="V685" s="32" t="inlineStr">
        <is>
          <t xml:space="preserve">Agreed Value</t>
        </is>
      </c>
      <c r="W685" s="30" t="inlineStr">
        <is>
          <t xml:space="preserve">$1,000</t>
        </is>
      </c>
      <c r="X685" s="32" t="inlineStr">
        <is>
          <t xml:space="preserve">$1,000,000 CSL</t>
        </is>
      </c>
      <c r="Y685" s="30"/>
      <c r="Z685" s="30"/>
      <c r="AA685" s="32" t="inlineStr">
        <is>
          <t xml:space="preserve">Surplus Lines</t>
        </is>
      </c>
      <c r="AB685" s="35">
        <v>4458.31</v>
      </c>
      <c r="AC685" s="37">
        <v>0</v>
      </c>
      <c r="AD685" s="38">
        <f>IF(ISNUMBER($AB685),$AB685*(1+N($AC685)),"")</f>
      </c>
      <c r="AE685" s="35">
        <v>350</v>
      </c>
      <c r="AF685" s="35">
        <v>0</v>
      </c>
      <c r="AG685" s="37"/>
      <c r="AH685" s="39">
        <f>IF(ISNUMBER($AD685),($AD685+$AE685+$AF685)*$AG685,"")</f>
      </c>
      <c r="AI685" s="35"/>
      <c r="AJ685" s="38">
        <f>IF(ISNUMBER($AD685),SUM($AD685:$AH685),"")</f>
      </c>
      <c r="AK685" s="40">
        <f>IF(AND(ISNUMBER($AB685),ISNUMBER($AD685)),IF($AB685&gt;0,$AD685/$AB685,""),"")</f>
      </c>
      <c r="AL685" s="32" t="inlineStr">
        <is>
          <t xml:space="preserve">At technical</t>
        </is>
      </c>
      <c r="AM685" s="41">
        <f>IF(ISNUMBER($AD685),Header!$I$3,"")</f>
      </c>
      <c r="AN685" s="39">
        <f>IF(ISNUMBER($AD685),$AO685+$AP685,"")</f>
      </c>
      <c r="AO685" s="39">
        <f>IF(ISNUMBER($AD685),ROUND($AD685*Header!$K$3,2),"")</f>
      </c>
      <c r="AP685" s="39">
        <f>IF(ISNUMBER($AD685),ROUND($AD685*Header!$M$3,2),"")</f>
      </c>
      <c r="AQ685" s="38">
        <f>IF(ISNUMBER($AD685),ROUND($AD685,2)-$AO685-$AP685,"")</f>
      </c>
      <c r="AR685" s="39">
        <f>IF(ISNUMBER($AD685),IF(Header!$D$34="","?",$AD685*Header!$D$34),"")</f>
      </c>
      <c r="AS685" s="39">
        <f>IF(ISNUMBER($AB685),IF(Header!$D$34="","?",$AB685*Header!$D$34),"")</f>
      </c>
      <c r="AT685" s="42">
        <f>IF(AND(ISNUMBER($AB685),$M685&gt;0),$AB685/$M685*100,"")</f>
      </c>
      <c r="AU685" s="42">
        <f>IF(AND(ISNUMBER($AD685),$M685&gt;0),$AD685/$M685*100,"")</f>
      </c>
      <c r="AV685" s="40">
        <f>IF(AND(ISNUMBER($AB685),ISNUMBER($AD685),ABS($AB685)&gt;0),$AD685/$AB685,"")</f>
      </c>
      <c r="AW685" s="39">
        <f>IF(ISNUMBER($AD685),MAX(0,(1-0.55-Header!$O$3)*Header!$Q$3*$AQ685),"")</f>
      </c>
      <c r="AX685" s="43">
        <f>IF($A685="","",IF(TRIM(IF($A685="","Missing certificate ref. ","") &amp; IF($C685="","Missing effective date. ","") &amp; IF($D685="","Missing binding status. ","") &amp; IF($E685="","Missing movement type. ","") &amp; IF($I685="","Missing make. ","") &amp; IF($L685="","Missing vehicle class. ","") &amp; IF($M685="","Missing agreed value. ","") &amp; IF($N685="","Missing policy type. ","") &amp; IF($Q685="","Missing garaging state. ","") &amp; IF($R685="","Missing garaging ZIP. ","") &amp; IF($S685="","Missing cat zone. ","") &amp; IF($V685="","Missing valuation basis. ","") &amp; IF($W685="","Missing PD deductible. ","") &amp; IF($X685="","Missing liability limit. ","") &amp; IF($AB685="","Missing technical premium. ","") &amp; IF($AF685="","Missing surplus lines tax %. ",""))="","PASS","FAIL: "&amp;TRIM(IF($A685="","Missing certificate ref. ","") &amp; IF($C685="","Missing effective date. ","") &amp; IF($D685="","Missing binding status. ","") &amp; IF($E685="","Missing movement type. ","") &amp; IF($I685="","Missing make. ","") &amp; IF($L685="","Missing vehicle class. ","") &amp; IF($M685="","Missing agreed value. ","") &amp; IF($N685="","Missing policy type. ","") &amp; IF($Q685="","Missing garaging state. ","") &amp; IF($R685="","Missing garaging ZIP. ","") &amp; IF($S685="","Missing cat zone. ","") &amp; IF($V685="","Missing valuation basis. ","") &amp; IF($W685="","Missing PD deductible. ","") &amp; IF($X685="","Missing liability limit. ","") &amp; IF($AB685="","Missing technical premium. ","") &amp; IF($AF685="","Missing surplus lines tax %. ",""))))</f>
      </c>
      <c r="AY685" s="44">
        <f>IF($M685="","",IF(ISNUMBER($M685),IF($M685&gt;=Header!$C$18,"YES — refer","No"),""))</f>
      </c>
      <c r="AZ685" s="44">
        <f>IF($AD685="","",IF(ISNUMBER($AD685),IF($AD685&lt;Header!$C$20,"BELOW MIN PREMIUM","OK"),""))</f>
      </c>
      <c r="BA685" s="32" t="inlineStr">
        <is>
          <t xml:space="preserve">Yes</t>
        </is>
      </c>
      <c r="BB685" s="32" t="inlineStr">
        <is>
          <t xml:space="preserve">Yes</t>
        </is>
      </c>
      <c r="BC685" s="30" t="inlineStr">
        <is>
          <t xml:space="preserve">Synthetic demo data</t>
        </is>
      </c>
      <c r="BE685" s="45">
        <f>IF(OR($A685="",$L685="",$H685=""),"",IF(AND(LEFT($L685,2)="06",$H685&gt;1945),"FAIL - pre-war class, year "&amp;$H685,IF(AND(LEFT($L685,2)="07",OR($H685&lt;1946,$H685&gt;1972)),"FAIL - 1946-72 class, year "&amp;$H685,IF(AND(LEFT($L685,2)="08",OR($H685&lt;1973,$H685&gt;1999)),"FAIL - 1973-99 class, year "&amp;$H685,IF(AND(LEFT($L685,2)="09",OR($H685&lt;2000,$H685&gt;2010)),"FAIL - 2000-10 class, year "&amp;$H685,"OK")))))</f>
      </c>
      <c r="BF685" s="45">
        <f>IF($AD685="","",IF(ROUND($AO685+$AP685+$AQ685-$AD685,2)=0,"OK","FAIL - out by "&amp;TEXT($AO685+$AP685+$AQ685-$AD685,"$0.00")))</f>
      </c>
    </row>
    <row r="686" spans="1:58" ht="18.75" customHeight="1" x14ac:dyDescent="0.25">
      <c r="A686" s="46" t="inlineStr">
        <is>
          <t xml:space="preserve">CANON-202607-010461</t>
        </is>
      </c>
      <c r="B686" s="46" t="inlineStr">
        <is>
          <t xml:space="preserve">Ramona Chattopadhyay</t>
        </is>
      </c>
      <c r="C686" s="47">
        <v>46217</v>
      </c>
      <c r="D686" s="48" t="inlineStr">
        <is>
          <t xml:space="preserve">Bound - within authority</t>
        </is>
      </c>
      <c r="E686" s="48" t="inlineStr">
        <is>
          <t xml:space="preserve">New business</t>
        </is>
      </c>
      <c r="F686" s="46" t="inlineStr">
        <is>
          <t xml:space="preserve">B1234EXOTIC26</t>
        </is>
      </c>
      <c r="G686" s="33">
        <f>IF($A686="","",IF($C686="","",YEAR($C686)))</f>
      </c>
      <c r="H686" s="49">
        <v>1984</v>
      </c>
      <c r="I686" s="46" t="inlineStr">
        <is>
          <t xml:space="preserve">Bentley</t>
        </is>
      </c>
      <c r="J686" s="46" t="inlineStr">
        <is>
          <t xml:space="preserve">Continental GT</t>
        </is>
      </c>
      <c r="K686" s="46" t="inlineStr">
        <is>
          <t xml:space="preserve">AJ0JW836SWAGRKAS4</t>
        </is>
      </c>
      <c r="L686" s="48" t="inlineStr">
        <is>
          <t xml:space="preserve">02 - Sports / GT</t>
        </is>
      </c>
      <c r="M686" s="50">
        <v>740000</v>
      </c>
      <c r="N686" s="48" t="inlineStr">
        <is>
          <t xml:space="preserve">Personal</t>
        </is>
      </c>
      <c r="O686" s="46" t="inlineStr">
        <is>
          <t xml:space="preserve">Personal - regular use</t>
        </is>
      </c>
      <c r="P686" s="46" t="inlineStr">
        <is>
          <t xml:space="preserve">Under 1,000</t>
        </is>
      </c>
      <c r="Q686" s="46" t="inlineStr">
        <is>
          <t xml:space="preserve">Iowa</t>
        </is>
      </c>
      <c r="R686" s="46" t="inlineStr">
        <is>
          <t xml:space="preserve">50309</t>
        </is>
      </c>
      <c r="S686" s="48" t="inlineStr">
        <is>
          <t xml:space="preserve">Severe convective - hail alley (high)</t>
        </is>
      </c>
      <c r="T686" s="36">
        <f>IF($A686="","",IF($S686="","",IFERROR(INDEX('[1]natural catastrophe'!$D$6:$D$17,MATCH($S686,'[1]natural catastrophe'!$B$6:$B$17,0)),"?")))</f>
      </c>
      <c r="U686" s="46" t="inlineStr">
        <is>
          <t xml:space="preserve">$5,000</t>
        </is>
      </c>
      <c r="V686" s="48" t="inlineStr">
        <is>
          <t xml:space="preserve">Agreed Value</t>
        </is>
      </c>
      <c r="W686" s="46" t="inlineStr">
        <is>
          <t xml:space="preserve">$1,000</t>
        </is>
      </c>
      <c r="X686" s="48" t="inlineStr">
        <is>
          <t xml:space="preserve">$1,000,000 CSL</t>
        </is>
      </c>
      <c r="Y686" s="46"/>
      <c r="Z686" s="46"/>
      <c r="AA686" s="48" t="inlineStr">
        <is>
          <t xml:space="preserve">Surplus Lines</t>
        </is>
      </c>
      <c r="AB686" s="50">
        <v>7597.08</v>
      </c>
      <c r="AC686" s="51">
        <v>0</v>
      </c>
      <c r="AD686" s="38">
        <f>IF(ISNUMBER($AB686),$AB686*(1+N($AC686)),"")</f>
      </c>
      <c r="AE686" s="50">
        <v>350</v>
      </c>
      <c r="AF686" s="50">
        <v>0</v>
      </c>
      <c r="AG686" s="51"/>
      <c r="AH686" s="39">
        <f>IF(ISNUMBER($AD686),($AD686+$AE686+$AF686)*$AG686,"")</f>
      </c>
      <c r="AI686" s="50"/>
      <c r="AJ686" s="38">
        <f>IF(ISNUMBER($AD686),SUM($AD686:$AH686),"")</f>
      </c>
      <c r="AK686" s="40">
        <f>IF(AND(ISNUMBER($AB686),ISNUMBER($AD686)),IF($AB686&gt;0,$AD686/$AB686,""),"")</f>
      </c>
      <c r="AL686" s="48" t="inlineStr">
        <is>
          <t xml:space="preserve">At technical</t>
        </is>
      </c>
      <c r="AM686" s="41">
        <f>IF(ISNUMBER($AD686),Header!$I$3,"")</f>
      </c>
      <c r="AN686" s="39">
        <f>IF(ISNUMBER($AD686),$AO686+$AP686,"")</f>
      </c>
      <c r="AO686" s="39">
        <f>IF(ISNUMBER($AD686),ROUND($AD686*Header!$K$3,2),"")</f>
      </c>
      <c r="AP686" s="39">
        <f>IF(ISNUMBER($AD686),ROUND($AD686*Header!$M$3,2),"")</f>
      </c>
      <c r="AQ686" s="38">
        <f>IF(ISNUMBER($AD686),ROUND($AD686,2)-$AO686-$AP686,"")</f>
      </c>
      <c r="AR686" s="39">
        <f>IF(ISNUMBER($AD686),IF(Header!$D$34="","?",$AD686*Header!$D$34),"")</f>
      </c>
      <c r="AS686" s="39">
        <f>IF(ISNUMBER($AB686),IF(Header!$D$34="","?",$AB686*Header!$D$34),"")</f>
      </c>
      <c r="AT686" s="42">
        <f>IF(AND(ISNUMBER($AB686),$M686&gt;0),$AB686/$M686*100,"")</f>
      </c>
      <c r="AU686" s="42">
        <f>IF(AND(ISNUMBER($AD686),$M686&gt;0),$AD686/$M686*100,"")</f>
      </c>
      <c r="AV686" s="40">
        <f>IF(AND(ISNUMBER($AB686),ISNUMBER($AD686),ABS($AB686)&gt;0),$AD686/$AB686,"")</f>
      </c>
      <c r="AW686" s="39">
        <f>IF(ISNUMBER($AD686),MAX(0,(1-0.55-Header!$O$3)*Header!$Q$3*$AQ686),"")</f>
      </c>
      <c r="AX686" s="43">
        <f>IF($A686="","",IF(TRIM(IF($A686="","Missing certificate ref. ","") &amp; IF($C686="","Missing effective date. ","") &amp; IF($D686="","Missing binding status. ","") &amp; IF($E686="","Missing movement type. ","") &amp; IF($I686="","Missing make. ","") &amp; IF($L686="","Missing vehicle class. ","") &amp; IF($M686="","Missing agreed value. ","") &amp; IF($N686="","Missing policy type. ","") &amp; IF($Q686="","Missing garaging state. ","") &amp; IF($R686="","Missing garaging ZIP. ","") &amp; IF($S686="","Missing cat zone. ","") &amp; IF($V686="","Missing valuation basis. ","") &amp; IF($W686="","Missing PD deductible. ","") &amp; IF($X686="","Missing liability limit. ","") &amp; IF($AB686="","Missing technical premium. ","") &amp; IF($AF686="","Missing surplus lines tax %. ",""))="","PASS","FAIL: "&amp;TRIM(IF($A686="","Missing certificate ref. ","") &amp; IF($C686="","Missing effective date. ","") &amp; IF($D686="","Missing binding status. ","") &amp; IF($E686="","Missing movement type. ","") &amp; IF($I686="","Missing make. ","") &amp; IF($L686="","Missing vehicle class. ","") &amp; IF($M686="","Missing agreed value. ","") &amp; IF($N686="","Missing policy type. ","") &amp; IF($Q686="","Missing garaging state. ","") &amp; IF($R686="","Missing garaging ZIP. ","") &amp; IF($S686="","Missing cat zone. ","") &amp; IF($V686="","Missing valuation basis. ","") &amp; IF($W686="","Missing PD deductible. ","") &amp; IF($X686="","Missing liability limit. ","") &amp; IF($AB686="","Missing technical premium. ","") &amp; IF($AF686="","Missing surplus lines tax %. ",""))))</f>
      </c>
      <c r="AY686" s="44">
        <f>IF($M686="","",IF(ISNUMBER($M686),IF($M686&gt;=Header!$C$18,"YES — refer","No"),""))</f>
      </c>
      <c r="AZ686" s="44">
        <f>IF($AD686="","",IF(ISNUMBER($AD686),IF($AD686&lt;Header!$C$20,"BELOW MIN PREMIUM","OK"),""))</f>
      </c>
      <c r="BA686" s="48" t="inlineStr">
        <is>
          <t xml:space="preserve">Yes</t>
        </is>
      </c>
      <c r="BB686" s="48" t="inlineStr">
        <is>
          <t xml:space="preserve">Yes</t>
        </is>
      </c>
      <c r="BC686" s="46" t="inlineStr">
        <is>
          <t xml:space="preserve">Synthetic demo data</t>
        </is>
      </c>
      <c r="BE686" s="45">
        <f>IF(OR($A686="",$L686="",$H686=""),"",IF(AND(LEFT($L686,2)="06",$H686&gt;1945),"FAIL - pre-war class, year "&amp;$H686,IF(AND(LEFT($L686,2)="07",OR($H686&lt;1946,$H686&gt;1972)),"FAIL - 1946-72 class, year "&amp;$H686,IF(AND(LEFT($L686,2)="08",OR($H686&lt;1973,$H686&gt;1999)),"FAIL - 1973-99 class, year "&amp;$H686,IF(AND(LEFT($L686,2)="09",OR($H686&lt;2000,$H686&gt;2010)),"FAIL - 2000-10 class, year "&amp;$H686,"OK")))))</f>
      </c>
      <c r="BF686" s="45">
        <f>IF($AD686="","",IF(ROUND($AO686+$AP686+$AQ686-$AD686,2)=0,"OK","FAIL - out by "&amp;TEXT($AO686+$AP686+$AQ686-$AD686,"$0.00")))</f>
      </c>
    </row>
    <row r="687" spans="1:58" ht="18.75" customHeight="1" x14ac:dyDescent="0.25">
      <c r="A687" s="30" t="inlineStr">
        <is>
          <t xml:space="preserve">CANON-202607-010464</t>
        </is>
      </c>
      <c r="B687" s="30" t="inlineStr">
        <is>
          <t xml:space="preserve">Emiliano Delacroix</t>
        </is>
      </c>
      <c r="C687" s="31">
        <v>46214</v>
      </c>
      <c r="D687" s="32" t="inlineStr">
        <is>
          <t xml:space="preserve">Bound - within authority</t>
        </is>
      </c>
      <c r="E687" s="32" t="inlineStr">
        <is>
          <t xml:space="preserve">New business</t>
        </is>
      </c>
      <c r="F687" s="30" t="inlineStr">
        <is>
          <t xml:space="preserve">B1234EXOTIC26</t>
        </is>
      </c>
      <c r="G687" s="33">
        <f>IF($A687="","",IF($C687="","",YEAR($C687)))</f>
      </c>
      <c r="H687" s="34">
        <v>1975</v>
      </c>
      <c r="I687" s="30" t="inlineStr">
        <is>
          <t xml:space="preserve">Ferrari</t>
        </is>
      </c>
      <c r="J687" s="30" t="inlineStr">
        <is>
          <t xml:space="preserve">SF90 Stradale</t>
        </is>
      </c>
      <c r="K687" s="30" t="inlineStr">
        <is>
          <t xml:space="preserve">UUX57P6CH1UXY37RB</t>
        </is>
      </c>
      <c r="L687" s="32" t="inlineStr">
        <is>
          <t xml:space="preserve">03 - Supercar</t>
        </is>
      </c>
      <c r="M687" s="35">
        <v>1235000</v>
      </c>
      <c r="N687" s="32" t="inlineStr">
        <is>
          <t xml:space="preserve">Personal</t>
        </is>
      </c>
      <c r="O687" s="30" t="inlineStr">
        <is>
          <t xml:space="preserve">Personal - regular use</t>
        </is>
      </c>
      <c r="P687" s="30" t="inlineStr">
        <is>
          <t xml:space="preserve">1,000 - 2,500</t>
        </is>
      </c>
      <c r="Q687" s="30" t="inlineStr">
        <is>
          <t xml:space="preserve">Florida</t>
        </is>
      </c>
      <c r="R687" s="30" t="inlineStr">
        <is>
          <t xml:space="preserve">33139</t>
        </is>
      </c>
      <c r="S687" s="32" t="inlineStr">
        <is>
          <t xml:space="preserve">Tier 2 - Coastal wind (1-25 miles)</t>
        </is>
      </c>
      <c r="T687" s="36">
        <f>IF($A687="","",IF($S687="","",IFERROR(INDEX('[1]natural catastrophe'!$D$6:$D$17,MATCH($S687,'[1]natural catastrophe'!$B$6:$B$17,0)),"?")))</f>
      </c>
      <c r="U687" s="30" t="inlineStr">
        <is>
          <t xml:space="preserve">2% of agreed value, minimum $10,000</t>
        </is>
      </c>
      <c r="V687" s="32" t="inlineStr">
        <is>
          <t xml:space="preserve">Agreed Value</t>
        </is>
      </c>
      <c r="W687" s="30" t="inlineStr">
        <is>
          <t xml:space="preserve">$1,000</t>
        </is>
      </c>
      <c r="X687" s="32" t="inlineStr">
        <is>
          <t xml:space="preserve">$1,000,000 CSL</t>
        </is>
      </c>
      <c r="Y687" s="30"/>
      <c r="Z687" s="30"/>
      <c r="AA687" s="32" t="inlineStr">
        <is>
          <t xml:space="preserve">Surplus Lines</t>
        </is>
      </c>
      <c r="AB687" s="35">
        <v>20144.39</v>
      </c>
      <c r="AC687" s="37">
        <v>0</v>
      </c>
      <c r="AD687" s="38">
        <f>IF(ISNUMBER($AB687),$AB687*(1+N($AC687)),"")</f>
      </c>
      <c r="AE687" s="35">
        <v>350</v>
      </c>
      <c r="AF687" s="35">
        <v>250</v>
      </c>
      <c r="AG687" s="37"/>
      <c r="AH687" s="39">
        <f>IF(ISNUMBER($AD687),($AD687+$AE687+$AF687)*$AG687,"")</f>
      </c>
      <c r="AI687" s="35"/>
      <c r="AJ687" s="38">
        <f>IF(ISNUMBER($AD687),SUM($AD687:$AH687),"")</f>
      </c>
      <c r="AK687" s="40">
        <f>IF(AND(ISNUMBER($AB687),ISNUMBER($AD687)),IF($AB687&gt;0,$AD687/$AB687,""),"")</f>
      </c>
      <c r="AL687" s="32" t="inlineStr">
        <is>
          <t xml:space="preserve">At technical</t>
        </is>
      </c>
      <c r="AM687" s="41">
        <f>IF(ISNUMBER($AD687),Header!$I$3,"")</f>
      </c>
      <c r="AN687" s="39">
        <f>IF(ISNUMBER($AD687),$AO687+$AP687,"")</f>
      </c>
      <c r="AO687" s="39">
        <f>IF(ISNUMBER($AD687),ROUND($AD687*Header!$K$3,2),"")</f>
      </c>
      <c r="AP687" s="39">
        <f>IF(ISNUMBER($AD687),ROUND($AD687*Header!$M$3,2),"")</f>
      </c>
      <c r="AQ687" s="38">
        <f>IF(ISNUMBER($AD687),ROUND($AD687,2)-$AO687-$AP687,"")</f>
      </c>
      <c r="AR687" s="39">
        <f>IF(ISNUMBER($AD687),IF(Header!$D$34="","?",$AD687*Header!$D$34),"")</f>
      </c>
      <c r="AS687" s="39">
        <f>IF(ISNUMBER($AB687),IF(Header!$D$34="","?",$AB687*Header!$D$34),"")</f>
      </c>
      <c r="AT687" s="42">
        <f>IF(AND(ISNUMBER($AB687),$M687&gt;0),$AB687/$M687*100,"")</f>
      </c>
      <c r="AU687" s="42">
        <f>IF(AND(ISNUMBER($AD687),$M687&gt;0),$AD687/$M687*100,"")</f>
      </c>
      <c r="AV687" s="40">
        <f>IF(AND(ISNUMBER($AB687),ISNUMBER($AD687),ABS($AB687)&gt;0),$AD687/$AB687,"")</f>
      </c>
      <c r="AW687" s="39">
        <f>IF(ISNUMBER($AD687),MAX(0,(1-0.55-Header!$O$3)*Header!$Q$3*$AQ687),"")</f>
      </c>
      <c r="AX687" s="43">
        <f>IF($A687="","",IF(TRIM(IF($A687="","Missing certificate ref. ","") &amp; IF($C687="","Missing effective date. ","") &amp; IF($D687="","Missing binding status. ","") &amp; IF($E687="","Missing movement type. ","") &amp; IF($I687="","Missing make. ","") &amp; IF($L687="","Missing vehicle class. ","") &amp; IF($M687="","Missing agreed value. ","") &amp; IF($N687="","Missing policy type. ","") &amp; IF($Q687="","Missing garaging state. ","") &amp; IF($R687="","Missing garaging ZIP. ","") &amp; IF($S687="","Missing cat zone. ","") &amp; IF($V687="","Missing valuation basis. ","") &amp; IF($W687="","Missing PD deductible. ","") &amp; IF($X687="","Missing liability limit. ","") &amp; IF($AB687="","Missing technical premium. ","") &amp; IF($AF687="","Missing surplus lines tax %. ",""))="","PASS","FAIL: "&amp;TRIM(IF($A687="","Missing certificate ref. ","") &amp; IF($C687="","Missing effective date. ","") &amp; IF($D687="","Missing binding status. ","") &amp; IF($E687="","Missing movement type. ","") &amp; IF($I687="","Missing make. ","") &amp; IF($L687="","Missing vehicle class. ","") &amp; IF($M687="","Missing agreed value. ","") &amp; IF($N687="","Missing policy type. ","") &amp; IF($Q687="","Missing garaging state. ","") &amp; IF($R687="","Missing garaging ZIP. ","") &amp; IF($S687="","Missing cat zone. ","") &amp; IF($V687="","Missing valuation basis. ","") &amp; IF($W687="","Missing PD deductible. ","") &amp; IF($X687="","Missing liability limit. ","") &amp; IF($AB687="","Missing technical premium. ","") &amp; IF($AF687="","Missing surplus lines tax %. ",""))))</f>
      </c>
      <c r="AY687" s="44">
        <f>IF($M687="","",IF(ISNUMBER($M687),IF($M687&gt;=Header!$C$18,"YES — refer","No"),""))</f>
      </c>
      <c r="AZ687" s="44">
        <f>IF($AD687="","",IF(ISNUMBER($AD687),IF($AD687&lt;Header!$C$20,"BELOW MIN PREMIUM","OK"),""))</f>
      </c>
      <c r="BA687" s="32" t="inlineStr">
        <is>
          <t xml:space="preserve">Yes</t>
        </is>
      </c>
      <c r="BB687" s="32" t="inlineStr">
        <is>
          <t xml:space="preserve">Yes</t>
        </is>
      </c>
      <c r="BC687" s="30" t="inlineStr">
        <is>
          <t xml:space="preserve">Synthetic demo data</t>
        </is>
      </c>
      <c r="BE687" s="45">
        <f>IF(OR($A687="",$L687="",$H687=""),"",IF(AND(LEFT($L687,2)="06",$H687&gt;1945),"FAIL - pre-war class, year "&amp;$H687,IF(AND(LEFT($L687,2)="07",OR($H687&lt;1946,$H687&gt;1972)),"FAIL - 1946-72 class, year "&amp;$H687,IF(AND(LEFT($L687,2)="08",OR($H687&lt;1973,$H687&gt;1999)),"FAIL - 1973-99 class, year "&amp;$H687,IF(AND(LEFT($L687,2)="09",OR($H687&lt;2000,$H687&gt;2010)),"FAIL - 2000-10 class, year "&amp;$H687,"OK")))))</f>
      </c>
      <c r="BF687" s="45">
        <f>IF($AD687="","",IF(ROUND($AO687+$AP687+$AQ687-$AD687,2)=0,"OK","FAIL - out by "&amp;TEXT($AO687+$AP687+$AQ687-$AD687,"$0.00")))</f>
      </c>
    </row>
    <row r="688" spans="1:58" ht="18.75" customHeight="1" x14ac:dyDescent="0.25">
      <c r="A688" s="46" t="inlineStr">
        <is>
          <t xml:space="preserve">CANON-202607-010465</t>
        </is>
      </c>
      <c r="B688" s="46" t="inlineStr">
        <is>
          <t xml:space="preserve">Anouk Rourke</t>
        </is>
      </c>
      <c r="C688" s="47">
        <v>46224</v>
      </c>
      <c r="D688" s="48" t="inlineStr">
        <is>
          <t xml:space="preserve">Bound - within authority</t>
        </is>
      </c>
      <c r="E688" s="48" t="inlineStr">
        <is>
          <t xml:space="preserve">New business</t>
        </is>
      </c>
      <c r="F688" s="46" t="inlineStr">
        <is>
          <t xml:space="preserve">B1234EXOTIC26</t>
        </is>
      </c>
      <c r="G688" s="33">
        <f>IF($A688="","",IF($C688="","",YEAR($C688)))</f>
      </c>
      <c r="H688" s="49">
        <v>1980</v>
      </c>
      <c r="I688" s="46" t="inlineStr">
        <is>
          <t xml:space="preserve">Bentley</t>
        </is>
      </c>
      <c r="J688" s="46" t="inlineStr">
        <is>
          <t xml:space="preserve">Continental GT</t>
        </is>
      </c>
      <c r="K688" s="46" t="inlineStr">
        <is>
          <t xml:space="preserve">C8H6MUH194SAVAL6C</t>
        </is>
      </c>
      <c r="L688" s="48" t="inlineStr">
        <is>
          <t xml:space="preserve">02 - Sports / GT</t>
        </is>
      </c>
      <c r="M688" s="50">
        <v>495000</v>
      </c>
      <c r="N688" s="48" t="inlineStr">
        <is>
          <t xml:space="preserve">Personal</t>
        </is>
      </c>
      <c r="O688" s="46" t="inlineStr">
        <is>
          <t xml:space="preserve">Personal - regular use</t>
        </is>
      </c>
      <c r="P688" s="46" t="inlineStr">
        <is>
          <t xml:space="preserve">2,500 - 5,000</t>
        </is>
      </c>
      <c r="Q688" s="46" t="inlineStr">
        <is>
          <t xml:space="preserve">Oregon</t>
        </is>
      </c>
      <c r="R688" s="46" t="inlineStr">
        <is>
          <t xml:space="preserve">97204</t>
        </is>
      </c>
      <c r="S688" s="48" t="inlineStr">
        <is>
          <t xml:space="preserve">Earthquake - high (CA, Cascadia, New Madrid)</t>
        </is>
      </c>
      <c r="T688" s="36">
        <f>IF($A688="","",IF($S688="","",IFERROR(INDEX('[1]natural catastrophe'!$D$6:$D$17,MATCH($S688,'[1]natural catastrophe'!$B$6:$B$17,0)),"?")))</f>
      </c>
      <c r="U688" s="46" t="inlineStr">
        <is>
          <t xml:space="preserve">$5,000</t>
        </is>
      </c>
      <c r="V688" s="48" t="inlineStr">
        <is>
          <t xml:space="preserve">Agreed Value</t>
        </is>
      </c>
      <c r="W688" s="46" t="inlineStr">
        <is>
          <t xml:space="preserve">$1,000</t>
        </is>
      </c>
      <c r="X688" s="48" t="inlineStr">
        <is>
          <t xml:space="preserve">$1,000,000 CSL</t>
        </is>
      </c>
      <c r="Y688" s="46"/>
      <c r="Z688" s="46"/>
      <c r="AA688" s="48" t="inlineStr">
        <is>
          <t xml:space="preserve">Surplus Lines</t>
        </is>
      </c>
      <c r="AB688" s="50">
        <v>6023.57</v>
      </c>
      <c r="AC688" s="51">
        <v>0</v>
      </c>
      <c r="AD688" s="38">
        <f>IF(ISNUMBER($AB688),$AB688*(1+N($AC688)),"")</f>
      </c>
      <c r="AE688" s="50">
        <v>350</v>
      </c>
      <c r="AF688" s="50">
        <v>0</v>
      </c>
      <c r="AG688" s="51"/>
      <c r="AH688" s="39">
        <f>IF(ISNUMBER($AD688),($AD688+$AE688+$AF688)*$AG688,"")</f>
      </c>
      <c r="AI688" s="50"/>
      <c r="AJ688" s="38">
        <f>IF(ISNUMBER($AD688),SUM($AD688:$AH688),"")</f>
      </c>
      <c r="AK688" s="40">
        <f>IF(AND(ISNUMBER($AB688),ISNUMBER($AD688)),IF($AB688&gt;0,$AD688/$AB688,""),"")</f>
      </c>
      <c r="AL688" s="48" t="inlineStr">
        <is>
          <t xml:space="preserve">At technical</t>
        </is>
      </c>
      <c r="AM688" s="41">
        <f>IF(ISNUMBER($AD688),Header!$I$3,"")</f>
      </c>
      <c r="AN688" s="39">
        <f>IF(ISNUMBER($AD688),$AO688+$AP688,"")</f>
      </c>
      <c r="AO688" s="39">
        <f>IF(ISNUMBER($AD688),ROUND($AD688*Header!$K$3,2),"")</f>
      </c>
      <c r="AP688" s="39">
        <f>IF(ISNUMBER($AD688),ROUND($AD688*Header!$M$3,2),"")</f>
      </c>
      <c r="AQ688" s="38">
        <f>IF(ISNUMBER($AD688),ROUND($AD688,2)-$AO688-$AP688,"")</f>
      </c>
      <c r="AR688" s="39">
        <f>IF(ISNUMBER($AD688),IF(Header!$D$34="","?",$AD688*Header!$D$34),"")</f>
      </c>
      <c r="AS688" s="39">
        <f>IF(ISNUMBER($AB688),IF(Header!$D$34="","?",$AB688*Header!$D$34),"")</f>
      </c>
      <c r="AT688" s="42">
        <f>IF(AND(ISNUMBER($AB688),$M688&gt;0),$AB688/$M688*100,"")</f>
      </c>
      <c r="AU688" s="42">
        <f>IF(AND(ISNUMBER($AD688),$M688&gt;0),$AD688/$M688*100,"")</f>
      </c>
      <c r="AV688" s="40">
        <f>IF(AND(ISNUMBER($AB688),ISNUMBER($AD688),ABS($AB688)&gt;0),$AD688/$AB688,"")</f>
      </c>
      <c r="AW688" s="39">
        <f>IF(ISNUMBER($AD688),MAX(0,(1-0.55-Header!$O$3)*Header!$Q$3*$AQ688),"")</f>
      </c>
      <c r="AX688" s="43">
        <f>IF($A688="","",IF(TRIM(IF($A688="","Missing certificate ref. ","") &amp; IF($C688="","Missing effective date. ","") &amp; IF($D688="","Missing binding status. ","") &amp; IF($E688="","Missing movement type. ","") &amp; IF($I688="","Missing make. ","") &amp; IF($L688="","Missing vehicle class. ","") &amp; IF($M688="","Missing agreed value. ","") &amp; IF($N688="","Missing policy type. ","") &amp; IF($Q688="","Missing garaging state. ","") &amp; IF($R688="","Missing garaging ZIP. ","") &amp; IF($S688="","Missing cat zone. ","") &amp; IF($V688="","Missing valuation basis. ","") &amp; IF($W688="","Missing PD deductible. ","") &amp; IF($X688="","Missing liability limit. ","") &amp; IF($AB688="","Missing technical premium. ","") &amp; IF($AF688="","Missing surplus lines tax %. ",""))="","PASS","FAIL: "&amp;TRIM(IF($A688="","Missing certificate ref. ","") &amp; IF($C688="","Missing effective date. ","") &amp; IF($D688="","Missing binding status. ","") &amp; IF($E688="","Missing movement type. ","") &amp; IF($I688="","Missing make. ","") &amp; IF($L688="","Missing vehicle class. ","") &amp; IF($M688="","Missing agreed value. ","") &amp; IF($N688="","Missing policy type. ","") &amp; IF($Q688="","Missing garaging state. ","") &amp; IF($R688="","Missing garaging ZIP. ","") &amp; IF($S688="","Missing cat zone. ","") &amp; IF($V688="","Missing valuation basis. ","") &amp; IF($W688="","Missing PD deductible. ","") &amp; IF($X688="","Missing liability limit. ","") &amp; IF($AB688="","Missing technical premium. ","") &amp; IF($AF688="","Missing surplus lines tax %. ",""))))</f>
      </c>
      <c r="AY688" s="44">
        <f>IF($M688="","",IF(ISNUMBER($M688),IF($M688&gt;=Header!$C$18,"YES — refer","No"),""))</f>
      </c>
      <c r="AZ688" s="44">
        <f>IF($AD688="","",IF(ISNUMBER($AD688),IF($AD688&lt;Header!$C$20,"BELOW MIN PREMIUM","OK"),""))</f>
      </c>
      <c r="BA688" s="48" t="inlineStr">
        <is>
          <t xml:space="preserve">Yes</t>
        </is>
      </c>
      <c r="BB688" s="48" t="inlineStr">
        <is>
          <t xml:space="preserve">Yes</t>
        </is>
      </c>
      <c r="BC688" s="46" t="inlineStr">
        <is>
          <t xml:space="preserve">Synthetic demo data</t>
        </is>
      </c>
      <c r="BE688" s="45">
        <f>IF(OR($A688="",$L688="",$H688=""),"",IF(AND(LEFT($L688,2)="06",$H688&gt;1945),"FAIL - pre-war class, year "&amp;$H688,IF(AND(LEFT($L688,2)="07",OR($H688&lt;1946,$H688&gt;1972)),"FAIL - 1946-72 class, year "&amp;$H688,IF(AND(LEFT($L688,2)="08",OR($H688&lt;1973,$H688&gt;1999)),"FAIL - 1973-99 class, year "&amp;$H688,IF(AND(LEFT($L688,2)="09",OR($H688&lt;2000,$H688&gt;2010)),"FAIL - 2000-10 class, year "&amp;$H688,"OK")))))</f>
      </c>
      <c r="BF688" s="45">
        <f>IF($AD688="","",IF(ROUND($AO688+$AP688+$AQ688-$AD688,2)=0,"OK","FAIL - out by "&amp;TEXT($AO688+$AP688+$AQ688-$AD688,"$0.00")))</f>
      </c>
    </row>
    <row r="689" spans="1:58" ht="18.75" customHeight="1" x14ac:dyDescent="0.25">
      <c r="A689" s="30" t="inlineStr">
        <is>
          <t xml:space="preserve">CANON-202607-010467</t>
        </is>
      </c>
      <c r="B689" s="30" t="inlineStr">
        <is>
          <t xml:space="preserve">Wilhelmina Farkas</t>
        </is>
      </c>
      <c r="C689" s="31">
        <v>46211</v>
      </c>
      <c r="D689" s="32" t="inlineStr">
        <is>
          <t xml:space="preserve">Bound - within authority</t>
        </is>
      </c>
      <c r="E689" s="32" t="inlineStr">
        <is>
          <t xml:space="preserve">New business</t>
        </is>
      </c>
      <c r="F689" s="30" t="inlineStr">
        <is>
          <t xml:space="preserve">B1234EXOTIC26</t>
        </is>
      </c>
      <c r="G689" s="33">
        <f>IF($A689="","",IF($C689="","",YEAR($C689)))</f>
      </c>
      <c r="H689" s="34">
        <v>1962</v>
      </c>
      <c r="I689" s="30" t="inlineStr">
        <is>
          <t xml:space="preserve">Ringbrothers</t>
        </is>
      </c>
      <c r="J689" s="30" t="inlineStr">
        <is>
          <t xml:space="preserve">Mustang</t>
        </is>
      </c>
      <c r="K689" s="30" t="inlineStr">
        <is>
          <t xml:space="preserve">JKTV3KK12WLCH09SB</t>
        </is>
      </c>
      <c r="L689" s="32" t="inlineStr">
        <is>
          <t xml:space="preserve">11 - Restomod / Coachbuilt / Bespoke</t>
        </is>
      </c>
      <c r="M689" s="35">
        <v>735000</v>
      </c>
      <c r="N689" s="32" t="inlineStr">
        <is>
          <t xml:space="preserve">Personal</t>
        </is>
      </c>
      <c r="O689" s="30" t="inlineStr">
        <is>
          <t xml:space="preserve">Personal - regular use</t>
        </is>
      </c>
      <c r="P689" s="30" t="inlineStr">
        <is>
          <t xml:space="preserve">2,500 - 5,000</t>
        </is>
      </c>
      <c r="Q689" s="30" t="inlineStr">
        <is>
          <t xml:space="preserve">Nebraska</t>
        </is>
      </c>
      <c r="R689" s="30" t="inlineStr">
        <is>
          <t xml:space="preserve">68102</t>
        </is>
      </c>
      <c r="S689" s="32" t="inlineStr">
        <is>
          <t xml:space="preserve">Severe convective - hail alley (high)</t>
        </is>
      </c>
      <c r="T689" s="36">
        <f>IF($A689="","",IF($S689="","",IFERROR(INDEX('[1]natural catastrophe'!$D$6:$D$17,MATCH($S689,'[1]natural catastrophe'!$B$6:$B$17,0)),"?")))</f>
      </c>
      <c r="U689" s="30" t="inlineStr">
        <is>
          <t xml:space="preserve">$5,000</t>
        </is>
      </c>
      <c r="V689" s="32" t="inlineStr">
        <is>
          <t xml:space="preserve">Agreed Value</t>
        </is>
      </c>
      <c r="W689" s="30" t="inlineStr">
        <is>
          <t xml:space="preserve">$1,000</t>
        </is>
      </c>
      <c r="X689" s="32" t="inlineStr">
        <is>
          <t xml:space="preserve">$1,000,000 CSL</t>
        </is>
      </c>
      <c r="Y689" s="30"/>
      <c r="Z689" s="30"/>
      <c r="AA689" s="32" t="inlineStr">
        <is>
          <t xml:space="preserve">Surplus Lines</t>
        </is>
      </c>
      <c r="AB689" s="35">
        <v>10701.24</v>
      </c>
      <c r="AC689" s="37">
        <v>0</v>
      </c>
      <c r="AD689" s="38">
        <f>IF(ISNUMBER($AB689),$AB689*(1+N($AC689)),"")</f>
      </c>
      <c r="AE689" s="35">
        <v>350</v>
      </c>
      <c r="AF689" s="35">
        <v>0</v>
      </c>
      <c r="AG689" s="37"/>
      <c r="AH689" s="39">
        <f>IF(ISNUMBER($AD689),($AD689+$AE689+$AF689)*$AG689,"")</f>
      </c>
      <c r="AI689" s="35"/>
      <c r="AJ689" s="38">
        <f>IF(ISNUMBER($AD689),SUM($AD689:$AH689),"")</f>
      </c>
      <c r="AK689" s="40">
        <f>IF(AND(ISNUMBER($AB689),ISNUMBER($AD689)),IF($AB689&gt;0,$AD689/$AB689,""),"")</f>
      </c>
      <c r="AL689" s="32" t="inlineStr">
        <is>
          <t xml:space="preserve">At technical</t>
        </is>
      </c>
      <c r="AM689" s="41">
        <f>IF(ISNUMBER($AD689),Header!$I$3,"")</f>
      </c>
      <c r="AN689" s="39">
        <f>IF(ISNUMBER($AD689),$AO689+$AP689,"")</f>
      </c>
      <c r="AO689" s="39">
        <f>IF(ISNUMBER($AD689),ROUND($AD689*Header!$K$3,2),"")</f>
      </c>
      <c r="AP689" s="39">
        <f>IF(ISNUMBER($AD689),ROUND($AD689*Header!$M$3,2),"")</f>
      </c>
      <c r="AQ689" s="38">
        <f>IF(ISNUMBER($AD689),ROUND($AD689,2)-$AO689-$AP689,"")</f>
      </c>
      <c r="AR689" s="39">
        <f>IF(ISNUMBER($AD689),IF(Header!$D$34="","?",$AD689*Header!$D$34),"")</f>
      </c>
      <c r="AS689" s="39">
        <f>IF(ISNUMBER($AB689),IF(Header!$D$34="","?",$AB689*Header!$D$34),"")</f>
      </c>
      <c r="AT689" s="42">
        <f>IF(AND(ISNUMBER($AB689),$M689&gt;0),$AB689/$M689*100,"")</f>
      </c>
      <c r="AU689" s="42">
        <f>IF(AND(ISNUMBER($AD689),$M689&gt;0),$AD689/$M689*100,"")</f>
      </c>
      <c r="AV689" s="40">
        <f>IF(AND(ISNUMBER($AB689),ISNUMBER($AD689),ABS($AB689)&gt;0),$AD689/$AB689,"")</f>
      </c>
      <c r="AW689" s="39">
        <f>IF(ISNUMBER($AD689),MAX(0,(1-0.55-Header!$O$3)*Header!$Q$3*$AQ689),"")</f>
      </c>
      <c r="AX689" s="43">
        <f>IF($A689="","",IF(TRIM(IF($A689="","Missing certificate ref. ","") &amp; IF($C689="","Missing effective date. ","") &amp; IF($D689="","Missing binding status. ","") &amp; IF($E689="","Missing movement type. ","") &amp; IF($I689="","Missing make. ","") &amp; IF($L689="","Missing vehicle class. ","") &amp; IF($M689="","Missing agreed value. ","") &amp; IF($N689="","Missing policy type. ","") &amp; IF($Q689="","Missing garaging state. ","") &amp; IF($R689="","Missing garaging ZIP. ","") &amp; IF($S689="","Missing cat zone. ","") &amp; IF($V689="","Missing valuation basis. ","") &amp; IF($W689="","Missing PD deductible. ","") &amp; IF($X689="","Missing liability limit. ","") &amp; IF($AB689="","Missing technical premium. ","") &amp; IF($AF689="","Missing surplus lines tax %. ",""))="","PASS","FAIL: "&amp;TRIM(IF($A689="","Missing certificate ref. ","") &amp; IF($C689="","Missing effective date. ","") &amp; IF($D689="","Missing binding status. ","") &amp; IF($E689="","Missing movement type. ","") &amp; IF($I689="","Missing make. ","") &amp; IF($L689="","Missing vehicle class. ","") &amp; IF($M689="","Missing agreed value. ","") &amp; IF($N689="","Missing policy type. ","") &amp; IF($Q689="","Missing garaging state. ","") &amp; IF($R689="","Missing garaging ZIP. ","") &amp; IF($S689="","Missing cat zone. ","") &amp; IF($V689="","Missing valuation basis. ","") &amp; IF($W689="","Missing PD deductible. ","") &amp; IF($X689="","Missing liability limit. ","") &amp; IF($AB689="","Missing technical premium. ","") &amp; IF($AF689="","Missing surplus lines tax %. ",""))))</f>
      </c>
      <c r="AY689" s="44">
        <f>IF($M689="","",IF(ISNUMBER($M689),IF($M689&gt;=Header!$C$18,"YES — refer","No"),""))</f>
      </c>
      <c r="AZ689" s="44">
        <f>IF($AD689="","",IF(ISNUMBER($AD689),IF($AD689&lt;Header!$C$20,"BELOW MIN PREMIUM","OK"),""))</f>
      </c>
      <c r="BA689" s="32" t="inlineStr">
        <is>
          <t xml:space="preserve">Yes</t>
        </is>
      </c>
      <c r="BB689" s="32" t="inlineStr">
        <is>
          <t xml:space="preserve">Yes</t>
        </is>
      </c>
      <c r="BC689" s="30" t="inlineStr">
        <is>
          <t xml:space="preserve">Synthetic demo data</t>
        </is>
      </c>
      <c r="BE689" s="45">
        <f>IF(OR($A689="",$L689="",$H689=""),"",IF(AND(LEFT($L689,2)="06",$H689&gt;1945),"FAIL - pre-war class, year "&amp;$H689,IF(AND(LEFT($L689,2)="07",OR($H689&lt;1946,$H689&gt;1972)),"FAIL - 1946-72 class, year "&amp;$H689,IF(AND(LEFT($L689,2)="08",OR($H689&lt;1973,$H689&gt;1999)),"FAIL - 1973-99 class, year "&amp;$H689,IF(AND(LEFT($L689,2)="09",OR($H689&lt;2000,$H689&gt;2010)),"FAIL - 2000-10 class, year "&amp;$H689,"OK")))))</f>
      </c>
      <c r="BF689" s="45">
        <f>IF($AD689="","",IF(ROUND($AO689+$AP689+$AQ689-$AD689,2)=0,"OK","FAIL - out by "&amp;TEXT($AO689+$AP689+$AQ689-$AD689,"$0.00")))</f>
      </c>
    </row>
    <row r="690" spans="1:58" ht="18.75" customHeight="1" x14ac:dyDescent="0.25">
      <c r="A690" s="46" t="inlineStr">
        <is>
          <t xml:space="preserve">CANON-202607-010468</t>
        </is>
      </c>
      <c r="B690" s="46" t="inlineStr">
        <is>
          <t xml:space="preserve">Ramona Vandermeer</t>
        </is>
      </c>
      <c r="C690" s="47">
        <v>46209</v>
      </c>
      <c r="D690" s="48" t="inlineStr">
        <is>
          <t xml:space="preserve">Bound - within authority</t>
        </is>
      </c>
      <c r="E690" s="48" t="inlineStr">
        <is>
          <t xml:space="preserve">New business</t>
        </is>
      </c>
      <c r="F690" s="46" t="inlineStr">
        <is>
          <t xml:space="preserve">B1234EXOTIC26</t>
        </is>
      </c>
      <c r="G690" s="33">
        <f>IF($A690="","",IF($C690="","",YEAR($C690)))</f>
      </c>
      <c r="H690" s="49">
        <v>1972</v>
      </c>
      <c r="I690" s="46" t="inlineStr">
        <is>
          <t xml:space="preserve">Ferrari</t>
        </is>
      </c>
      <c r="J690" s="46" t="inlineStr">
        <is>
          <t xml:space="preserve">296 GTB</t>
        </is>
      </c>
      <c r="K690" s="46" t="inlineStr">
        <is>
          <t xml:space="preserve">895R9P28V5UFHHJBT</t>
        </is>
      </c>
      <c r="L690" s="48" t="inlineStr">
        <is>
          <t xml:space="preserve">03 - Supercar</t>
        </is>
      </c>
      <c r="M690" s="50">
        <v>560000</v>
      </c>
      <c r="N690" s="48" t="inlineStr">
        <is>
          <t xml:space="preserve">Personal</t>
        </is>
      </c>
      <c r="O690" s="46" t="inlineStr">
        <is>
          <t xml:space="preserve">Personal - regular use</t>
        </is>
      </c>
      <c r="P690" s="46" t="inlineStr">
        <is>
          <t xml:space="preserve">1,000 - 2,500</t>
        </is>
      </c>
      <c r="Q690" s="46" t="inlineStr">
        <is>
          <t xml:space="preserve">Alaska</t>
        </is>
      </c>
      <c r="R690" s="46" t="inlineStr">
        <is>
          <t xml:space="preserve">99501</t>
        </is>
      </c>
      <c r="S690" s="48" t="inlineStr">
        <is>
          <t xml:space="preserve">Earthquake - high (CA, Cascadia, New Madrid)</t>
        </is>
      </c>
      <c r="T690" s="36">
        <f>IF($A690="","",IF($S690="","",IFERROR(INDEX('[1]natural catastrophe'!$D$6:$D$17,MATCH($S690,'[1]natural catastrophe'!$B$6:$B$17,0)),"?")))</f>
      </c>
      <c r="U690" s="46" t="inlineStr">
        <is>
          <t xml:space="preserve">$5,000</t>
        </is>
      </c>
      <c r="V690" s="48" t="inlineStr">
        <is>
          <t xml:space="preserve">Agreed Value</t>
        </is>
      </c>
      <c r="W690" s="46" t="inlineStr">
        <is>
          <t xml:space="preserve">$1,000</t>
        </is>
      </c>
      <c r="X690" s="48" t="inlineStr">
        <is>
          <t xml:space="preserve">$1,000,000 CSL</t>
        </is>
      </c>
      <c r="Y690" s="46"/>
      <c r="Z690" s="46"/>
      <c r="AA690" s="48" t="inlineStr">
        <is>
          <t xml:space="preserve">Surplus Lines</t>
        </is>
      </c>
      <c r="AB690" s="50">
        <v>8708.14</v>
      </c>
      <c r="AC690" s="51">
        <v>0</v>
      </c>
      <c r="AD690" s="38">
        <f>IF(ISNUMBER($AB690),$AB690*(1+N($AC690)),"")</f>
      </c>
      <c r="AE690" s="50">
        <v>350</v>
      </c>
      <c r="AF690" s="50">
        <v>0</v>
      </c>
      <c r="AG690" s="51"/>
      <c r="AH690" s="39">
        <f>IF(ISNUMBER($AD690),($AD690+$AE690+$AF690)*$AG690,"")</f>
      </c>
      <c r="AI690" s="50"/>
      <c r="AJ690" s="38">
        <f>IF(ISNUMBER($AD690),SUM($AD690:$AH690),"")</f>
      </c>
      <c r="AK690" s="40">
        <f>IF(AND(ISNUMBER($AB690),ISNUMBER($AD690)),IF($AB690&gt;0,$AD690/$AB690,""),"")</f>
      </c>
      <c r="AL690" s="48" t="inlineStr">
        <is>
          <t xml:space="preserve">At technical</t>
        </is>
      </c>
      <c r="AM690" s="41">
        <f>IF(ISNUMBER($AD690),Header!$I$3,"")</f>
      </c>
      <c r="AN690" s="39">
        <f>IF(ISNUMBER($AD690),$AO690+$AP690,"")</f>
      </c>
      <c r="AO690" s="39">
        <f>IF(ISNUMBER($AD690),ROUND($AD690*Header!$K$3,2),"")</f>
      </c>
      <c r="AP690" s="39">
        <f>IF(ISNUMBER($AD690),ROUND($AD690*Header!$M$3,2),"")</f>
      </c>
      <c r="AQ690" s="38">
        <f>IF(ISNUMBER($AD690),ROUND($AD690,2)-$AO690-$AP690,"")</f>
      </c>
      <c r="AR690" s="39">
        <f>IF(ISNUMBER($AD690),IF(Header!$D$34="","?",$AD690*Header!$D$34),"")</f>
      </c>
      <c r="AS690" s="39">
        <f>IF(ISNUMBER($AB690),IF(Header!$D$34="","?",$AB690*Header!$D$34),"")</f>
      </c>
      <c r="AT690" s="42">
        <f>IF(AND(ISNUMBER($AB690),$M690&gt;0),$AB690/$M690*100,"")</f>
      </c>
      <c r="AU690" s="42">
        <f>IF(AND(ISNUMBER($AD690),$M690&gt;0),$AD690/$M690*100,"")</f>
      </c>
      <c r="AV690" s="40">
        <f>IF(AND(ISNUMBER($AB690),ISNUMBER($AD690),ABS($AB690)&gt;0),$AD690/$AB690,"")</f>
      </c>
      <c r="AW690" s="39">
        <f>IF(ISNUMBER($AD690),MAX(0,(1-0.55-Header!$O$3)*Header!$Q$3*$AQ690),"")</f>
      </c>
      <c r="AX690" s="43">
        <f>IF($A690="","",IF(TRIM(IF($A690="","Missing certificate ref. ","") &amp; IF($C690="","Missing effective date. ","") &amp; IF($D690="","Missing binding status. ","") &amp; IF($E690="","Missing movement type. ","") &amp; IF($I690="","Missing make. ","") &amp; IF($L690="","Missing vehicle class. ","") &amp; IF($M690="","Missing agreed value. ","") &amp; IF($N690="","Missing policy type. ","") &amp; IF($Q690="","Missing garaging state. ","") &amp; IF($R690="","Missing garaging ZIP. ","") &amp; IF($S690="","Missing cat zone. ","") &amp; IF($V690="","Missing valuation basis. ","") &amp; IF($W690="","Missing PD deductible. ","") &amp; IF($X690="","Missing liability limit. ","") &amp; IF($AB690="","Missing technical premium. ","") &amp; IF($AF690="","Missing surplus lines tax %. ",""))="","PASS","FAIL: "&amp;TRIM(IF($A690="","Missing certificate ref. ","") &amp; IF($C690="","Missing effective date. ","") &amp; IF($D690="","Missing binding status. ","") &amp; IF($E690="","Missing movement type. ","") &amp; IF($I690="","Missing make. ","") &amp; IF($L690="","Missing vehicle class. ","") &amp; IF($M690="","Missing agreed value. ","") &amp; IF($N690="","Missing policy type. ","") &amp; IF($Q690="","Missing garaging state. ","") &amp; IF($R690="","Missing garaging ZIP. ","") &amp; IF($S690="","Missing cat zone. ","") &amp; IF($V690="","Missing valuation basis. ","") &amp; IF($W690="","Missing PD deductible. ","") &amp; IF($X690="","Missing liability limit. ","") &amp; IF($AB690="","Missing technical premium. ","") &amp; IF($AF690="","Missing surplus lines tax %. ",""))))</f>
      </c>
      <c r="AY690" s="44">
        <f>IF($M690="","",IF(ISNUMBER($M690),IF($M690&gt;=Header!$C$18,"YES — refer","No"),""))</f>
      </c>
      <c r="AZ690" s="44">
        <f>IF($AD690="","",IF(ISNUMBER($AD690),IF($AD690&lt;Header!$C$20,"BELOW MIN PREMIUM","OK"),""))</f>
      </c>
      <c r="BA690" s="48" t="inlineStr">
        <is>
          <t xml:space="preserve">Yes</t>
        </is>
      </c>
      <c r="BB690" s="48" t="inlineStr">
        <is>
          <t xml:space="preserve">Yes</t>
        </is>
      </c>
      <c r="BC690" s="46" t="inlineStr">
        <is>
          <t xml:space="preserve">Synthetic demo data</t>
        </is>
      </c>
      <c r="BE690" s="45">
        <f>IF(OR($A690="",$L690="",$H690=""),"",IF(AND(LEFT($L690,2)="06",$H690&gt;1945),"FAIL - pre-war class, year "&amp;$H690,IF(AND(LEFT($L690,2)="07",OR($H690&lt;1946,$H690&gt;1972)),"FAIL - 1946-72 class, year "&amp;$H690,IF(AND(LEFT($L690,2)="08",OR($H690&lt;1973,$H690&gt;1999)),"FAIL - 1973-99 class, year "&amp;$H690,IF(AND(LEFT($L690,2)="09",OR($H690&lt;2000,$H690&gt;2010)),"FAIL - 2000-10 class, year "&amp;$H690,"OK")))))</f>
      </c>
      <c r="BF690" s="45">
        <f>IF($AD690="","",IF(ROUND($AO690+$AP690+$AQ690-$AD690,2)=0,"OK","FAIL - out by "&amp;TEXT($AO690+$AP690+$AQ690-$AD690,"$0.00")))</f>
      </c>
    </row>
    <row r="691" spans="1:58" ht="18.75" customHeight="1" x14ac:dyDescent="0.25">
      <c r="A691" s="30" t="inlineStr">
        <is>
          <t xml:space="preserve">CANON-202607-010469</t>
        </is>
      </c>
      <c r="B691" s="30" t="inlineStr">
        <is>
          <t xml:space="preserve">Saoirse Merriweather</t>
        </is>
      </c>
      <c r="C691" s="31">
        <v>46214</v>
      </c>
      <c r="D691" s="32" t="inlineStr">
        <is>
          <t xml:space="preserve">Bound - within authority</t>
        </is>
      </c>
      <c r="E691" s="32" t="inlineStr">
        <is>
          <t xml:space="preserve">New business</t>
        </is>
      </c>
      <c r="F691" s="30" t="inlineStr">
        <is>
          <t xml:space="preserve">B1234EXOTIC26</t>
        </is>
      </c>
      <c r="G691" s="33">
        <f>IF($A691="","",IF($C691="","",YEAR($C691)))</f>
      </c>
      <c r="H691" s="34">
        <v>2002</v>
      </c>
      <c r="I691" s="30" t="inlineStr">
        <is>
          <t xml:space="preserve">Ferrari</t>
        </is>
      </c>
      <c r="J691" s="30" t="inlineStr">
        <is>
          <t xml:space="preserve">SF90 Stradale</t>
        </is>
      </c>
      <c r="K691" s="30" t="inlineStr">
        <is>
          <t xml:space="preserve">576HWM35SRBMK6PZL</t>
        </is>
      </c>
      <c r="L691" s="32" t="inlineStr">
        <is>
          <t xml:space="preserve">03 - Supercar</t>
        </is>
      </c>
      <c r="M691" s="35">
        <v>1105000</v>
      </c>
      <c r="N691" s="32" t="inlineStr">
        <is>
          <t xml:space="preserve">Personal</t>
        </is>
      </c>
      <c r="O691" s="30" t="inlineStr">
        <is>
          <t xml:space="preserve">Personal - regular use</t>
        </is>
      </c>
      <c r="P691" s="30" t="inlineStr">
        <is>
          <t xml:space="preserve">1,000 - 2,500</t>
        </is>
      </c>
      <c r="Q691" s="30" t="inlineStr">
        <is>
          <t xml:space="preserve">Oklahoma</t>
        </is>
      </c>
      <c r="R691" s="30" t="inlineStr">
        <is>
          <t xml:space="preserve">73102</t>
        </is>
      </c>
      <c r="S691" s="32" t="inlineStr">
        <is>
          <t xml:space="preserve">Severe convective - hail alley (high)</t>
        </is>
      </c>
      <c r="T691" s="36">
        <f>IF($A691="","",IF($S691="","",IFERROR(INDEX('[1]natural catastrophe'!$D$6:$D$17,MATCH($S691,'[1]natural catastrophe'!$B$6:$B$17,0)),"?")))</f>
      </c>
      <c r="U691" s="30" t="inlineStr">
        <is>
          <t xml:space="preserve">$5,000</t>
        </is>
      </c>
      <c r="V691" s="32" t="inlineStr">
        <is>
          <t xml:space="preserve">Agreed Value</t>
        </is>
      </c>
      <c r="W691" s="30" t="inlineStr">
        <is>
          <t xml:space="preserve">$1,000</t>
        </is>
      </c>
      <c r="X691" s="32" t="inlineStr">
        <is>
          <t xml:space="preserve">$1,000,000 CSL</t>
        </is>
      </c>
      <c r="Y691" s="30"/>
      <c r="Z691" s="30"/>
      <c r="AA691" s="32" t="inlineStr">
        <is>
          <t xml:space="preserve">Surplus Lines</t>
        </is>
      </c>
      <c r="AB691" s="35">
        <v>15993.06</v>
      </c>
      <c r="AC691" s="37">
        <v>0</v>
      </c>
      <c r="AD691" s="38">
        <f>IF(ISNUMBER($AB691),$AB691*(1+N($AC691)),"")</f>
      </c>
      <c r="AE691" s="35">
        <v>350</v>
      </c>
      <c r="AF691" s="35">
        <v>250</v>
      </c>
      <c r="AG691" s="37"/>
      <c r="AH691" s="39">
        <f>IF(ISNUMBER($AD691),($AD691+$AE691+$AF691)*$AG691,"")</f>
      </c>
      <c r="AI691" s="35"/>
      <c r="AJ691" s="38">
        <f>IF(ISNUMBER($AD691),SUM($AD691:$AH691),"")</f>
      </c>
      <c r="AK691" s="40">
        <f>IF(AND(ISNUMBER($AB691),ISNUMBER($AD691)),IF($AB691&gt;0,$AD691/$AB691,""),"")</f>
      </c>
      <c r="AL691" s="32" t="inlineStr">
        <is>
          <t xml:space="preserve">At technical</t>
        </is>
      </c>
      <c r="AM691" s="41">
        <f>IF(ISNUMBER($AD691),Header!$I$3,"")</f>
      </c>
      <c r="AN691" s="39">
        <f>IF(ISNUMBER($AD691),$AO691+$AP691,"")</f>
      </c>
      <c r="AO691" s="39">
        <f>IF(ISNUMBER($AD691),ROUND($AD691*Header!$K$3,2),"")</f>
      </c>
      <c r="AP691" s="39">
        <f>IF(ISNUMBER($AD691),ROUND($AD691*Header!$M$3,2),"")</f>
      </c>
      <c r="AQ691" s="38">
        <f>IF(ISNUMBER($AD691),ROUND($AD691,2)-$AO691-$AP691,"")</f>
      </c>
      <c r="AR691" s="39">
        <f>IF(ISNUMBER($AD691),IF(Header!$D$34="","?",$AD691*Header!$D$34),"")</f>
      </c>
      <c r="AS691" s="39">
        <f>IF(ISNUMBER($AB691),IF(Header!$D$34="","?",$AB691*Header!$D$34),"")</f>
      </c>
      <c r="AT691" s="42">
        <f>IF(AND(ISNUMBER($AB691),$M691&gt;0),$AB691/$M691*100,"")</f>
      </c>
      <c r="AU691" s="42">
        <f>IF(AND(ISNUMBER($AD691),$M691&gt;0),$AD691/$M691*100,"")</f>
      </c>
      <c r="AV691" s="40">
        <f>IF(AND(ISNUMBER($AB691),ISNUMBER($AD691),ABS($AB691)&gt;0),$AD691/$AB691,"")</f>
      </c>
      <c r="AW691" s="39">
        <f>IF(ISNUMBER($AD691),MAX(0,(1-0.55-Header!$O$3)*Header!$Q$3*$AQ691),"")</f>
      </c>
      <c r="AX691" s="43">
        <f>IF($A691="","",IF(TRIM(IF($A691="","Missing certificate ref. ","") &amp; IF($C691="","Missing effective date. ","") &amp; IF($D691="","Missing binding status. ","") &amp; IF($E691="","Missing movement type. ","") &amp; IF($I691="","Missing make. ","") &amp; IF($L691="","Missing vehicle class. ","") &amp; IF($M691="","Missing agreed value. ","") &amp; IF($N691="","Missing policy type. ","") &amp; IF($Q691="","Missing garaging state. ","") &amp; IF($R691="","Missing garaging ZIP. ","") &amp; IF($S691="","Missing cat zone. ","") &amp; IF($V691="","Missing valuation basis. ","") &amp; IF($W691="","Missing PD deductible. ","") &amp; IF($X691="","Missing liability limit. ","") &amp; IF($AB691="","Missing technical premium. ","") &amp; IF($AF691="","Missing surplus lines tax %. ",""))="","PASS","FAIL: "&amp;TRIM(IF($A691="","Missing certificate ref. ","") &amp; IF($C691="","Missing effective date. ","") &amp; IF($D691="","Missing binding status. ","") &amp; IF($E691="","Missing movement type. ","") &amp; IF($I691="","Missing make. ","") &amp; IF($L691="","Missing vehicle class. ","") &amp; IF($M691="","Missing agreed value. ","") &amp; IF($N691="","Missing policy type. ","") &amp; IF($Q691="","Missing garaging state. ","") &amp; IF($R691="","Missing garaging ZIP. ","") &amp; IF($S691="","Missing cat zone. ","") &amp; IF($V691="","Missing valuation basis. ","") &amp; IF($W691="","Missing PD deductible. ","") &amp; IF($X691="","Missing liability limit. ","") &amp; IF($AB691="","Missing technical premium. ","") &amp; IF($AF691="","Missing surplus lines tax %. ",""))))</f>
      </c>
      <c r="AY691" s="44">
        <f>IF($M691="","",IF(ISNUMBER($M691),IF($M691&gt;=Header!$C$18,"YES — refer","No"),""))</f>
      </c>
      <c r="AZ691" s="44">
        <f>IF($AD691="","",IF(ISNUMBER($AD691),IF($AD691&lt;Header!$C$20,"BELOW MIN PREMIUM","OK"),""))</f>
      </c>
      <c r="BA691" s="32" t="inlineStr">
        <is>
          <t xml:space="preserve">Yes</t>
        </is>
      </c>
      <c r="BB691" s="32" t="inlineStr">
        <is>
          <t xml:space="preserve">Yes</t>
        </is>
      </c>
      <c r="BC691" s="30" t="inlineStr">
        <is>
          <t xml:space="preserve">Synthetic demo data</t>
        </is>
      </c>
      <c r="BE691" s="45">
        <f>IF(OR($A691="",$L691="",$H691=""),"",IF(AND(LEFT($L691,2)="06",$H691&gt;1945),"FAIL - pre-war class, year "&amp;$H691,IF(AND(LEFT($L691,2)="07",OR($H691&lt;1946,$H691&gt;1972)),"FAIL - 1946-72 class, year "&amp;$H691,IF(AND(LEFT($L691,2)="08",OR($H691&lt;1973,$H691&gt;1999)),"FAIL - 1973-99 class, year "&amp;$H691,IF(AND(LEFT($L691,2)="09",OR($H691&lt;2000,$H691&gt;2010)),"FAIL - 2000-10 class, year "&amp;$H691,"OK")))))</f>
      </c>
      <c r="BF691" s="45">
        <f>IF($AD691="","",IF(ROUND($AO691+$AP691+$AQ691-$AD691,2)=0,"OK","FAIL - out by "&amp;TEXT($AO691+$AP691+$AQ691-$AD691,"$0.00")))</f>
      </c>
    </row>
    <row r="692" spans="1:58" ht="18.75" customHeight="1" x14ac:dyDescent="0.25">
      <c r="A692" s="46" t="inlineStr">
        <is>
          <t xml:space="preserve">CANON-202607-010470</t>
        </is>
      </c>
      <c r="B692" s="46" t="inlineStr">
        <is>
          <t xml:space="preserve">Cassius Ashcombe</t>
        </is>
      </c>
      <c r="C692" s="47">
        <v>46208</v>
      </c>
      <c r="D692" s="48" t="inlineStr">
        <is>
          <t xml:space="preserve">Bound - within authority</t>
        </is>
      </c>
      <c r="E692" s="48" t="inlineStr">
        <is>
          <t xml:space="preserve">New business</t>
        </is>
      </c>
      <c r="F692" s="46" t="inlineStr">
        <is>
          <t xml:space="preserve">B1234EXOTIC26</t>
        </is>
      </c>
      <c r="G692" s="33">
        <f>IF($A692="","",IF($C692="","",YEAR($C692)))</f>
      </c>
      <c r="H692" s="49">
        <v>2008</v>
      </c>
      <c r="I692" s="46" t="inlineStr">
        <is>
          <t xml:space="preserve">Maserati</t>
        </is>
      </c>
      <c r="J692" s="46" t="inlineStr">
        <is>
          <t xml:space="preserve">GranTurismo</t>
        </is>
      </c>
      <c r="K692" s="46" t="inlineStr">
        <is>
          <t xml:space="preserve">LYCKN359S0P0ULGEM</t>
        </is>
      </c>
      <c r="L692" s="48" t="inlineStr">
        <is>
          <t xml:space="preserve">02 - Sports / GT</t>
        </is>
      </c>
      <c r="M692" s="50">
        <v>385000</v>
      </c>
      <c r="N692" s="48" t="inlineStr">
        <is>
          <t xml:space="preserve">Personal</t>
        </is>
      </c>
      <c r="O692" s="46" t="inlineStr">
        <is>
          <t xml:space="preserve">Personal - regular use</t>
        </is>
      </c>
      <c r="P692" s="46" t="inlineStr">
        <is>
          <t xml:space="preserve">Under 1,000</t>
        </is>
      </c>
      <c r="Q692" s="46" t="inlineStr">
        <is>
          <t xml:space="preserve">Pennsylvania</t>
        </is>
      </c>
      <c r="R692" s="46" t="inlineStr">
        <is>
          <t xml:space="preserve">19103</t>
        </is>
      </c>
      <c r="S692" s="48" t="inlineStr">
        <is>
          <t xml:space="preserve">Low hazard - inland benign</t>
        </is>
      </c>
      <c r="T692" s="36">
        <f>IF($A692="","",IF($S692="","",IFERROR(INDEX('[1]natural catastrophe'!$D$6:$D$17,MATCH($S692,'[1]natural catastrophe'!$B$6:$B$17,0)),"?")))</f>
      </c>
      <c r="U692" s="46" t="inlineStr">
        <is>
          <t xml:space="preserve">$5,000</t>
        </is>
      </c>
      <c r="V692" s="48" t="inlineStr">
        <is>
          <t xml:space="preserve">Agreed Value</t>
        </is>
      </c>
      <c r="W692" s="46" t="inlineStr">
        <is>
          <t xml:space="preserve">$1,000</t>
        </is>
      </c>
      <c r="X692" s="48" t="inlineStr">
        <is>
          <t xml:space="preserve">$1,000,000 CSL</t>
        </is>
      </c>
      <c r="Y692" s="46"/>
      <c r="Z692" s="46"/>
      <c r="AA692" s="48" t="inlineStr">
        <is>
          <t xml:space="preserve">Surplus Lines</t>
        </is>
      </c>
      <c r="AB692" s="50">
        <v>4146.01</v>
      </c>
      <c r="AC692" s="51">
        <v>0</v>
      </c>
      <c r="AD692" s="38">
        <f>IF(ISNUMBER($AB692),$AB692*(1+N($AC692)),"")</f>
      </c>
      <c r="AE692" s="50">
        <v>350</v>
      </c>
      <c r="AF692" s="50">
        <v>0</v>
      </c>
      <c r="AG692" s="51"/>
      <c r="AH692" s="39">
        <f>IF(ISNUMBER($AD692),($AD692+$AE692+$AF692)*$AG692,"")</f>
      </c>
      <c r="AI692" s="50"/>
      <c r="AJ692" s="38">
        <f>IF(ISNUMBER($AD692),SUM($AD692:$AH692),"")</f>
      </c>
      <c r="AK692" s="40">
        <f>IF(AND(ISNUMBER($AB692),ISNUMBER($AD692)),IF($AB692&gt;0,$AD692/$AB692,""),"")</f>
      </c>
      <c r="AL692" s="48" t="inlineStr">
        <is>
          <t xml:space="preserve">At technical</t>
        </is>
      </c>
      <c r="AM692" s="41">
        <f>IF(ISNUMBER($AD692),Header!$I$3,"")</f>
      </c>
      <c r="AN692" s="39">
        <f>IF(ISNUMBER($AD692),$AO692+$AP692,"")</f>
      </c>
      <c r="AO692" s="39">
        <f>IF(ISNUMBER($AD692),ROUND($AD692*Header!$K$3,2),"")</f>
      </c>
      <c r="AP692" s="39">
        <f>IF(ISNUMBER($AD692),ROUND($AD692*Header!$M$3,2),"")</f>
      </c>
      <c r="AQ692" s="38">
        <f>IF(ISNUMBER($AD692),ROUND($AD692,2)-$AO692-$AP692,"")</f>
      </c>
      <c r="AR692" s="39">
        <f>IF(ISNUMBER($AD692),IF(Header!$D$34="","?",$AD692*Header!$D$34),"")</f>
      </c>
      <c r="AS692" s="39">
        <f>IF(ISNUMBER($AB692),IF(Header!$D$34="","?",$AB692*Header!$D$34),"")</f>
      </c>
      <c r="AT692" s="42">
        <f>IF(AND(ISNUMBER($AB692),$M692&gt;0),$AB692/$M692*100,"")</f>
      </c>
      <c r="AU692" s="42">
        <f>IF(AND(ISNUMBER($AD692),$M692&gt;0),$AD692/$M692*100,"")</f>
      </c>
      <c r="AV692" s="40">
        <f>IF(AND(ISNUMBER($AB692),ISNUMBER($AD692),ABS($AB692)&gt;0),$AD692/$AB692,"")</f>
      </c>
      <c r="AW692" s="39">
        <f>IF(ISNUMBER($AD692),MAX(0,(1-0.55-Header!$O$3)*Header!$Q$3*$AQ692),"")</f>
      </c>
      <c r="AX692" s="43">
        <f>IF($A692="","",IF(TRIM(IF($A692="","Missing certificate ref. ","") &amp; IF($C692="","Missing effective date. ","") &amp; IF($D692="","Missing binding status. ","") &amp; IF($E692="","Missing movement type. ","") &amp; IF($I692="","Missing make. ","") &amp; IF($L692="","Missing vehicle class. ","") &amp; IF($M692="","Missing agreed value. ","") &amp; IF($N692="","Missing policy type. ","") &amp; IF($Q692="","Missing garaging state. ","") &amp; IF($R692="","Missing garaging ZIP. ","") &amp; IF($S692="","Missing cat zone. ","") &amp; IF($V692="","Missing valuation basis. ","") &amp; IF($W692="","Missing PD deductible. ","") &amp; IF($X692="","Missing liability limit. ","") &amp; IF($AB692="","Missing technical premium. ","") &amp; IF($AF692="","Missing surplus lines tax %. ",""))="","PASS","FAIL: "&amp;TRIM(IF($A692="","Missing certificate ref. ","") &amp; IF($C692="","Missing effective date. ","") &amp; IF($D692="","Missing binding status. ","") &amp; IF($E692="","Missing movement type. ","") &amp; IF($I692="","Missing make. ","") &amp; IF($L692="","Missing vehicle class. ","") &amp; IF($M692="","Missing agreed value. ","") &amp; IF($N692="","Missing policy type. ","") &amp; IF($Q692="","Missing garaging state. ","") &amp; IF($R692="","Missing garaging ZIP. ","") &amp; IF($S692="","Missing cat zone. ","") &amp; IF($V692="","Missing valuation basis. ","") &amp; IF($W692="","Missing PD deductible. ","") &amp; IF($X692="","Missing liability limit. ","") &amp; IF($AB692="","Missing technical premium. ","") &amp; IF($AF692="","Missing surplus lines tax %. ",""))))</f>
      </c>
      <c r="AY692" s="44">
        <f>IF($M692="","",IF(ISNUMBER($M692),IF($M692&gt;=Header!$C$18,"YES — refer","No"),""))</f>
      </c>
      <c r="AZ692" s="44">
        <f>IF($AD692="","",IF(ISNUMBER($AD692),IF($AD692&lt;Header!$C$20,"BELOW MIN PREMIUM","OK"),""))</f>
      </c>
      <c r="BA692" s="48" t="inlineStr">
        <is>
          <t xml:space="preserve">Yes</t>
        </is>
      </c>
      <c r="BB692" s="48" t="inlineStr">
        <is>
          <t xml:space="preserve">Yes</t>
        </is>
      </c>
      <c r="BC692" s="46" t="inlineStr">
        <is>
          <t xml:space="preserve">Synthetic demo data</t>
        </is>
      </c>
      <c r="BE692" s="45">
        <f>IF(OR($A692="",$L692="",$H692=""),"",IF(AND(LEFT($L692,2)="06",$H692&gt;1945),"FAIL - pre-war class, year "&amp;$H692,IF(AND(LEFT($L692,2)="07",OR($H692&lt;1946,$H692&gt;1972)),"FAIL - 1946-72 class, year "&amp;$H692,IF(AND(LEFT($L692,2)="08",OR($H692&lt;1973,$H692&gt;1999)),"FAIL - 1973-99 class, year "&amp;$H692,IF(AND(LEFT($L692,2)="09",OR($H692&lt;2000,$H692&gt;2010)),"FAIL - 2000-10 class, year "&amp;$H692,"OK")))))</f>
      </c>
      <c r="BF692" s="45">
        <f>IF($AD692="","",IF(ROUND($AO692+$AP692+$AQ692-$AD692,2)=0,"OK","FAIL - out by "&amp;TEXT($AO692+$AP692+$AQ692-$AD692,"$0.00")))</f>
      </c>
    </row>
    <row r="693" spans="1:58" ht="18.75" customHeight="1" x14ac:dyDescent="0.25">
      <c r="A693" s="30" t="inlineStr">
        <is>
          <t xml:space="preserve">CANON-202607-010471</t>
        </is>
      </c>
      <c r="B693" s="30" t="inlineStr">
        <is>
          <t xml:space="preserve">Leopold Blackwood</t>
        </is>
      </c>
      <c r="C693" s="31">
        <v>46214</v>
      </c>
      <c r="D693" s="32" t="inlineStr">
        <is>
          <t xml:space="preserve">Bound - within authority</t>
        </is>
      </c>
      <c r="E693" s="32" t="inlineStr">
        <is>
          <t xml:space="preserve">New business</t>
        </is>
      </c>
      <c r="F693" s="30" t="inlineStr">
        <is>
          <t xml:space="preserve">B1234EXOTIC26</t>
        </is>
      </c>
      <c r="G693" s="33">
        <f>IF($A693="","",IF($C693="","",YEAR($C693)))</f>
      </c>
      <c r="H693" s="34">
        <v>1958</v>
      </c>
      <c r="I693" s="30" t="inlineStr">
        <is>
          <t xml:space="preserve">Bentley</t>
        </is>
      </c>
      <c r="J693" s="30" t="inlineStr">
        <is>
          <t xml:space="preserve">Continental GT</t>
        </is>
      </c>
      <c r="K693" s="30" t="inlineStr">
        <is>
          <t xml:space="preserve">D4ECGGVUPTXEZXN89</t>
        </is>
      </c>
      <c r="L693" s="32" t="inlineStr">
        <is>
          <t xml:space="preserve">02 - Sports / GT</t>
        </is>
      </c>
      <c r="M693" s="35">
        <v>360000</v>
      </c>
      <c r="N693" s="32" t="inlineStr">
        <is>
          <t xml:space="preserve">Personal</t>
        </is>
      </c>
      <c r="O693" s="30" t="inlineStr">
        <is>
          <t xml:space="preserve">Personal - regular use</t>
        </is>
      </c>
      <c r="P693" s="30" t="inlineStr">
        <is>
          <t xml:space="preserve">1,000 - 2,500</t>
        </is>
      </c>
      <c r="Q693" s="30" t="inlineStr">
        <is>
          <t xml:space="preserve">Vermont</t>
        </is>
      </c>
      <c r="R693" s="30" t="inlineStr">
        <is>
          <t xml:space="preserve">05601</t>
        </is>
      </c>
      <c r="S693" s="32" t="inlineStr">
        <is>
          <t xml:space="preserve">Low hazard - inland benign</t>
        </is>
      </c>
      <c r="T693" s="36">
        <f>IF($A693="","",IF($S693="","",IFERROR(INDEX('[1]natural catastrophe'!$D$6:$D$17,MATCH($S693,'[1]natural catastrophe'!$B$6:$B$17,0)),"?")))</f>
      </c>
      <c r="U693" s="30" t="inlineStr">
        <is>
          <t xml:space="preserve">$5,000</t>
        </is>
      </c>
      <c r="V693" s="32" t="inlineStr">
        <is>
          <t xml:space="preserve">Agreed Value</t>
        </is>
      </c>
      <c r="W693" s="30" t="inlineStr">
        <is>
          <t xml:space="preserve">$1,000</t>
        </is>
      </c>
      <c r="X693" s="32" t="inlineStr">
        <is>
          <t xml:space="preserve">$1,000,000 CSL</t>
        </is>
      </c>
      <c r="Y693" s="30"/>
      <c r="Z693" s="30"/>
      <c r="AA693" s="32" t="inlineStr">
        <is>
          <t xml:space="preserve">Surplus Lines</t>
        </is>
      </c>
      <c r="AB693" s="35">
        <v>4729.68</v>
      </c>
      <c r="AC693" s="37">
        <v>0</v>
      </c>
      <c r="AD693" s="38">
        <f>IF(ISNUMBER($AB693),$AB693*(1+N($AC693)),"")</f>
      </c>
      <c r="AE693" s="35">
        <v>350</v>
      </c>
      <c r="AF693" s="35">
        <v>0</v>
      </c>
      <c r="AG693" s="37"/>
      <c r="AH693" s="39">
        <f>IF(ISNUMBER($AD693),($AD693+$AE693+$AF693)*$AG693,"")</f>
      </c>
      <c r="AI693" s="35"/>
      <c r="AJ693" s="38">
        <f>IF(ISNUMBER($AD693),SUM($AD693:$AH693),"")</f>
      </c>
      <c r="AK693" s="40">
        <f>IF(AND(ISNUMBER($AB693),ISNUMBER($AD693)),IF($AB693&gt;0,$AD693/$AB693,""),"")</f>
      </c>
      <c r="AL693" s="32" t="inlineStr">
        <is>
          <t xml:space="preserve">At technical</t>
        </is>
      </c>
      <c r="AM693" s="41">
        <f>IF(ISNUMBER($AD693),Header!$I$3,"")</f>
      </c>
      <c r="AN693" s="39">
        <f>IF(ISNUMBER($AD693),$AO693+$AP693,"")</f>
      </c>
      <c r="AO693" s="39">
        <f>IF(ISNUMBER($AD693),ROUND($AD693*Header!$K$3,2),"")</f>
      </c>
      <c r="AP693" s="39">
        <f>IF(ISNUMBER($AD693),ROUND($AD693*Header!$M$3,2),"")</f>
      </c>
      <c r="AQ693" s="38">
        <f>IF(ISNUMBER($AD693),ROUND($AD693,2)-$AO693-$AP693,"")</f>
      </c>
      <c r="AR693" s="39">
        <f>IF(ISNUMBER($AD693),IF(Header!$D$34="","?",$AD693*Header!$D$34),"")</f>
      </c>
      <c r="AS693" s="39">
        <f>IF(ISNUMBER($AB693),IF(Header!$D$34="","?",$AB693*Header!$D$34),"")</f>
      </c>
      <c r="AT693" s="42">
        <f>IF(AND(ISNUMBER($AB693),$M693&gt;0),$AB693/$M693*100,"")</f>
      </c>
      <c r="AU693" s="42">
        <f>IF(AND(ISNUMBER($AD693),$M693&gt;0),$AD693/$M693*100,"")</f>
      </c>
      <c r="AV693" s="40">
        <f>IF(AND(ISNUMBER($AB693),ISNUMBER($AD693),ABS($AB693)&gt;0),$AD693/$AB693,"")</f>
      </c>
      <c r="AW693" s="39">
        <f>IF(ISNUMBER($AD693),MAX(0,(1-0.55-Header!$O$3)*Header!$Q$3*$AQ693),"")</f>
      </c>
      <c r="AX693" s="43">
        <f>IF($A693="","",IF(TRIM(IF($A693="","Missing certificate ref. ","") &amp; IF($C693="","Missing effective date. ","") &amp; IF($D693="","Missing binding status. ","") &amp; IF($E693="","Missing movement type. ","") &amp; IF($I693="","Missing make. ","") &amp; IF($L693="","Missing vehicle class. ","") &amp; IF($M693="","Missing agreed value. ","") &amp; IF($N693="","Missing policy type. ","") &amp; IF($Q693="","Missing garaging state. ","") &amp; IF($R693="","Missing garaging ZIP. ","") &amp; IF($S693="","Missing cat zone. ","") &amp; IF($V693="","Missing valuation basis. ","") &amp; IF($W693="","Missing PD deductible. ","") &amp; IF($X693="","Missing liability limit. ","") &amp; IF($AB693="","Missing technical premium. ","") &amp; IF($AF693="","Missing surplus lines tax %. ",""))="","PASS","FAIL: "&amp;TRIM(IF($A693="","Missing certificate ref. ","") &amp; IF($C693="","Missing effective date. ","") &amp; IF($D693="","Missing binding status. ","") &amp; IF($E693="","Missing movement type. ","") &amp; IF($I693="","Missing make. ","") &amp; IF($L693="","Missing vehicle class. ","") &amp; IF($M693="","Missing agreed value. ","") &amp; IF($N693="","Missing policy type. ","") &amp; IF($Q693="","Missing garaging state. ","") &amp; IF($R693="","Missing garaging ZIP. ","") &amp; IF($S693="","Missing cat zone. ","") &amp; IF($V693="","Missing valuation basis. ","") &amp; IF($W693="","Missing PD deductible. ","") &amp; IF($X693="","Missing liability limit. ","") &amp; IF($AB693="","Missing technical premium. ","") &amp; IF($AF693="","Missing surplus lines tax %. ",""))))</f>
      </c>
      <c r="AY693" s="44">
        <f>IF($M693="","",IF(ISNUMBER($M693),IF($M693&gt;=Header!$C$18,"YES — refer","No"),""))</f>
      </c>
      <c r="AZ693" s="44">
        <f>IF($AD693="","",IF(ISNUMBER($AD693),IF($AD693&lt;Header!$C$20,"BELOW MIN PREMIUM","OK"),""))</f>
      </c>
      <c r="BA693" s="32" t="inlineStr">
        <is>
          <t xml:space="preserve">Yes</t>
        </is>
      </c>
      <c r="BB693" s="32" t="inlineStr">
        <is>
          <t xml:space="preserve">Yes</t>
        </is>
      </c>
      <c r="BC693" s="30" t="inlineStr">
        <is>
          <t xml:space="preserve">Synthetic demo data</t>
        </is>
      </c>
      <c r="BE693" s="45">
        <f>IF(OR($A693="",$L693="",$H693=""),"",IF(AND(LEFT($L693,2)="06",$H693&gt;1945),"FAIL - pre-war class, year "&amp;$H693,IF(AND(LEFT($L693,2)="07",OR($H693&lt;1946,$H693&gt;1972)),"FAIL - 1946-72 class, year "&amp;$H693,IF(AND(LEFT($L693,2)="08",OR($H693&lt;1973,$H693&gt;1999)),"FAIL - 1973-99 class, year "&amp;$H693,IF(AND(LEFT($L693,2)="09",OR($H693&lt;2000,$H693&gt;2010)),"FAIL - 2000-10 class, year "&amp;$H693,"OK")))))</f>
      </c>
      <c r="BF693" s="45">
        <f>IF($AD693="","",IF(ROUND($AO693+$AP693+$AQ693-$AD693,2)=0,"OK","FAIL - out by "&amp;TEXT($AO693+$AP693+$AQ693-$AD693,"$0.00")))</f>
      </c>
    </row>
    <row r="694" spans="1:58" ht="18.75" customHeight="1" x14ac:dyDescent="0.25">
      <c r="A694" s="46" t="inlineStr">
        <is>
          <t xml:space="preserve">CANON-202607-010472</t>
        </is>
      </c>
      <c r="B694" s="46" t="inlineStr">
        <is>
          <t xml:space="preserve">Noor Okonkwo</t>
        </is>
      </c>
      <c r="C694" s="47">
        <v>46224</v>
      </c>
      <c r="D694" s="48" t="inlineStr">
        <is>
          <t xml:space="preserve">Bound - within authority</t>
        </is>
      </c>
      <c r="E694" s="48" t="inlineStr">
        <is>
          <t xml:space="preserve">New business</t>
        </is>
      </c>
      <c r="F694" s="46" t="inlineStr">
        <is>
          <t xml:space="preserve">B1234EXOTIC26</t>
        </is>
      </c>
      <c r="G694" s="33">
        <f>IF($A694="","",IF($C694="","",YEAR($C694)))</f>
      </c>
      <c r="H694" s="49">
        <v>2007</v>
      </c>
      <c r="I694" s="46" t="inlineStr">
        <is>
          <t xml:space="preserve">BMW</t>
        </is>
      </c>
      <c r="J694" s="46" t="inlineStr">
        <is>
          <t xml:space="preserve">M8 Competition</t>
        </is>
      </c>
      <c r="K694" s="46" t="inlineStr">
        <is>
          <t xml:space="preserve">PT15SS731Y7NBA8J9</t>
        </is>
      </c>
      <c r="L694" s="48" t="inlineStr">
        <is>
          <t xml:space="preserve">02 - Sports / GT</t>
        </is>
      </c>
      <c r="M694" s="50">
        <v>365000</v>
      </c>
      <c r="N694" s="48" t="inlineStr">
        <is>
          <t xml:space="preserve">Personal</t>
        </is>
      </c>
      <c r="O694" s="46" t="inlineStr">
        <is>
          <t xml:space="preserve">Personal - regular use</t>
        </is>
      </c>
      <c r="P694" s="46" t="inlineStr">
        <is>
          <t xml:space="preserve">2,500 - 5,000</t>
        </is>
      </c>
      <c r="Q694" s="46" t="inlineStr">
        <is>
          <t xml:space="preserve">California</t>
        </is>
      </c>
      <c r="R694" s="46" t="inlineStr">
        <is>
          <t xml:space="preserve">90012</t>
        </is>
      </c>
      <c r="S694" s="48" t="inlineStr">
        <is>
          <t xml:space="preserve">Earthquake - high (CA, Cascadia, New Madrid)</t>
        </is>
      </c>
      <c r="T694" s="36">
        <f>IF($A694="","",IF($S694="","",IFERROR(INDEX('[1]natural catastrophe'!$D$6:$D$17,MATCH($S694,'[1]natural catastrophe'!$B$6:$B$17,0)),"?")))</f>
      </c>
      <c r="U694" s="46" t="inlineStr">
        <is>
          <t xml:space="preserve">$5,000</t>
        </is>
      </c>
      <c r="V694" s="48" t="inlineStr">
        <is>
          <t xml:space="preserve">Agreed Value</t>
        </is>
      </c>
      <c r="W694" s="46" t="inlineStr">
        <is>
          <t xml:space="preserve">$1,000</t>
        </is>
      </c>
      <c r="X694" s="48" t="inlineStr">
        <is>
          <t xml:space="preserve">$1,000,000 CSL</t>
        </is>
      </c>
      <c r="Y694" s="46"/>
      <c r="Z694" s="46"/>
      <c r="AA694" s="48" t="inlineStr">
        <is>
          <t xml:space="preserve">Surplus Lines</t>
        </is>
      </c>
      <c r="AB694" s="50">
        <v>5306.36</v>
      </c>
      <c r="AC694" s="51">
        <v>0</v>
      </c>
      <c r="AD694" s="38">
        <f>IF(ISNUMBER($AB694),$AB694*(1+N($AC694)),"")</f>
      </c>
      <c r="AE694" s="50">
        <v>350</v>
      </c>
      <c r="AF694" s="50">
        <v>0</v>
      </c>
      <c r="AG694" s="51"/>
      <c r="AH694" s="39">
        <f>IF(ISNUMBER($AD694),($AD694+$AE694+$AF694)*$AG694,"")</f>
      </c>
      <c r="AI694" s="50"/>
      <c r="AJ694" s="38">
        <f>IF(ISNUMBER($AD694),SUM($AD694:$AH694),"")</f>
      </c>
      <c r="AK694" s="40">
        <f>IF(AND(ISNUMBER($AB694),ISNUMBER($AD694)),IF($AB694&gt;0,$AD694/$AB694,""),"")</f>
      </c>
      <c r="AL694" s="48" t="inlineStr">
        <is>
          <t xml:space="preserve">At technical</t>
        </is>
      </c>
      <c r="AM694" s="41">
        <f>IF(ISNUMBER($AD694),Header!$I$3,"")</f>
      </c>
      <c r="AN694" s="39">
        <f>IF(ISNUMBER($AD694),$AO694+$AP694,"")</f>
      </c>
      <c r="AO694" s="39">
        <f>IF(ISNUMBER($AD694),ROUND($AD694*Header!$K$3,2),"")</f>
      </c>
      <c r="AP694" s="39">
        <f>IF(ISNUMBER($AD694),ROUND($AD694*Header!$M$3,2),"")</f>
      </c>
      <c r="AQ694" s="38">
        <f>IF(ISNUMBER($AD694),ROUND($AD694,2)-$AO694-$AP694,"")</f>
      </c>
      <c r="AR694" s="39">
        <f>IF(ISNUMBER($AD694),IF(Header!$D$34="","?",$AD694*Header!$D$34),"")</f>
      </c>
      <c r="AS694" s="39">
        <f>IF(ISNUMBER($AB694),IF(Header!$D$34="","?",$AB694*Header!$D$34),"")</f>
      </c>
      <c r="AT694" s="42">
        <f>IF(AND(ISNUMBER($AB694),$M694&gt;0),$AB694/$M694*100,"")</f>
      </c>
      <c r="AU694" s="42">
        <f>IF(AND(ISNUMBER($AD694),$M694&gt;0),$AD694/$M694*100,"")</f>
      </c>
      <c r="AV694" s="40">
        <f>IF(AND(ISNUMBER($AB694),ISNUMBER($AD694),ABS($AB694)&gt;0),$AD694/$AB694,"")</f>
      </c>
      <c r="AW694" s="39">
        <f>IF(ISNUMBER($AD694),MAX(0,(1-0.55-Header!$O$3)*Header!$Q$3*$AQ694),"")</f>
      </c>
      <c r="AX694" s="43">
        <f>IF($A694="","",IF(TRIM(IF($A694="","Missing certificate ref. ","") &amp; IF($C694="","Missing effective date. ","") &amp; IF($D694="","Missing binding status. ","") &amp; IF($E694="","Missing movement type. ","") &amp; IF($I694="","Missing make. ","") &amp; IF($L694="","Missing vehicle class. ","") &amp; IF($M694="","Missing agreed value. ","") &amp; IF($N694="","Missing policy type. ","") &amp; IF($Q694="","Missing garaging state. ","") &amp; IF($R694="","Missing garaging ZIP. ","") &amp; IF($S694="","Missing cat zone. ","") &amp; IF($V694="","Missing valuation basis. ","") &amp; IF($W694="","Missing PD deductible. ","") &amp; IF($X694="","Missing liability limit. ","") &amp; IF($AB694="","Missing technical premium. ","") &amp; IF($AF694="","Missing surplus lines tax %. ",""))="","PASS","FAIL: "&amp;TRIM(IF($A694="","Missing certificate ref. ","") &amp; IF($C694="","Missing effective date. ","") &amp; IF($D694="","Missing binding status. ","") &amp; IF($E694="","Missing movement type. ","") &amp; IF($I694="","Missing make. ","") &amp; IF($L694="","Missing vehicle class. ","") &amp; IF($M694="","Missing agreed value. ","") &amp; IF($N694="","Missing policy type. ","") &amp; IF($Q694="","Missing garaging state. ","") &amp; IF($R694="","Missing garaging ZIP. ","") &amp; IF($S694="","Missing cat zone. ","") &amp; IF($V694="","Missing valuation basis. ","") &amp; IF($W694="","Missing PD deductible. ","") &amp; IF($X694="","Missing liability limit. ","") &amp; IF($AB694="","Missing technical premium. ","") &amp; IF($AF694="","Missing surplus lines tax %. ",""))))</f>
      </c>
      <c r="AY694" s="44">
        <f>IF($M694="","",IF(ISNUMBER($M694),IF($M694&gt;=Header!$C$18,"YES — refer","No"),""))</f>
      </c>
      <c r="AZ694" s="44">
        <f>IF($AD694="","",IF(ISNUMBER($AD694),IF($AD694&lt;Header!$C$20,"BELOW MIN PREMIUM","OK"),""))</f>
      </c>
      <c r="BA694" s="48" t="inlineStr">
        <is>
          <t xml:space="preserve">Yes</t>
        </is>
      </c>
      <c r="BB694" s="48" t="inlineStr">
        <is>
          <t xml:space="preserve">Yes</t>
        </is>
      </c>
      <c r="BC694" s="46" t="inlineStr">
        <is>
          <t xml:space="preserve">Synthetic demo data</t>
        </is>
      </c>
      <c r="BE694" s="45">
        <f>IF(OR($A694="",$L694="",$H694=""),"",IF(AND(LEFT($L694,2)="06",$H694&gt;1945),"FAIL - pre-war class, year "&amp;$H694,IF(AND(LEFT($L694,2)="07",OR($H694&lt;1946,$H694&gt;1972)),"FAIL - 1946-72 class, year "&amp;$H694,IF(AND(LEFT($L694,2)="08",OR($H694&lt;1973,$H694&gt;1999)),"FAIL - 1973-99 class, year "&amp;$H694,IF(AND(LEFT($L694,2)="09",OR($H694&lt;2000,$H694&gt;2010)),"FAIL - 2000-10 class, year "&amp;$H694,"OK")))))</f>
      </c>
      <c r="BF694" s="45">
        <f>IF($AD694="","",IF(ROUND($AO694+$AP694+$AQ694-$AD694,2)=0,"OK","FAIL - out by "&amp;TEXT($AO694+$AP694+$AQ694-$AD694,"$0.00")))</f>
      </c>
    </row>
    <row r="695" spans="1:58" ht="18.75" customHeight="1" x14ac:dyDescent="0.25">
      <c r="A695" s="30" t="inlineStr">
        <is>
          <t xml:space="preserve">CANON-202607-010473</t>
        </is>
      </c>
      <c r="B695" s="30" t="inlineStr">
        <is>
          <t xml:space="preserve">Priya Nakashima</t>
        </is>
      </c>
      <c r="C695" s="31">
        <v>46225</v>
      </c>
      <c r="D695" s="32" t="inlineStr">
        <is>
          <t xml:space="preserve">Bound - within authority</t>
        </is>
      </c>
      <c r="E695" s="32" t="inlineStr">
        <is>
          <t xml:space="preserve">New business</t>
        </is>
      </c>
      <c r="F695" s="30" t="inlineStr">
        <is>
          <t xml:space="preserve">B1234EXOTIC26</t>
        </is>
      </c>
      <c r="G695" s="33">
        <f>IF($A695="","",IF($C695="","",YEAR($C695)))</f>
      </c>
      <c r="H695" s="34">
        <v>2011</v>
      </c>
      <c r="I695" s="30" t="inlineStr">
        <is>
          <t xml:space="preserve">Aston Martin</t>
        </is>
      </c>
      <c r="J695" s="30" t="inlineStr">
        <is>
          <t xml:space="preserve">DB5</t>
        </is>
      </c>
      <c r="K695" s="30" t="inlineStr">
        <is>
          <t xml:space="preserve">PSN6XVYLR240CVBEC</t>
        </is>
      </c>
      <c r="L695" s="32" t="inlineStr">
        <is>
          <t xml:space="preserve">02 - Sports / GT</t>
        </is>
      </c>
      <c r="M695" s="35">
        <v>1040000</v>
      </c>
      <c r="N695" s="32" t="inlineStr">
        <is>
          <t xml:space="preserve">Personal</t>
        </is>
      </c>
      <c r="O695" s="30" t="inlineStr">
        <is>
          <t xml:space="preserve">Personal - regular use</t>
        </is>
      </c>
      <c r="P695" s="30" t="inlineStr">
        <is>
          <t xml:space="preserve">Under 1,000</t>
        </is>
      </c>
      <c r="Q695" s="30" t="inlineStr">
        <is>
          <t xml:space="preserve">Kansas</t>
        </is>
      </c>
      <c r="R695" s="30" t="inlineStr">
        <is>
          <t xml:space="preserve">66603</t>
        </is>
      </c>
      <c r="S695" s="32" t="inlineStr">
        <is>
          <t xml:space="preserve">Severe convective - hail alley (high)</t>
        </is>
      </c>
      <c r="T695" s="36">
        <f>IF($A695="","",IF($S695="","",IFERROR(INDEX('[1]natural catastrophe'!$D$6:$D$17,MATCH($S695,'[1]natural catastrophe'!$B$6:$B$17,0)),"?")))</f>
      </c>
      <c r="U695" s="30" t="inlineStr">
        <is>
          <t xml:space="preserve">$5,000</t>
        </is>
      </c>
      <c r="V695" s="32" t="inlineStr">
        <is>
          <t xml:space="preserve">Agreed Value</t>
        </is>
      </c>
      <c r="W695" s="30" t="inlineStr">
        <is>
          <t xml:space="preserve">$1,000</t>
        </is>
      </c>
      <c r="X695" s="32" t="inlineStr">
        <is>
          <t xml:space="preserve">$1,000,000 CSL</t>
        </is>
      </c>
      <c r="Y695" s="30"/>
      <c r="Z695" s="30"/>
      <c r="AA695" s="32" t="inlineStr">
        <is>
          <t xml:space="preserve">Surplus Lines</t>
        </is>
      </c>
      <c r="AB695" s="35">
        <v>5504.24</v>
      </c>
      <c r="AC695" s="37">
        <v>0</v>
      </c>
      <c r="AD695" s="38">
        <f>IF(ISNUMBER($AB695),$AB695*(1+N($AC695)),"")</f>
      </c>
      <c r="AE695" s="35">
        <v>350</v>
      </c>
      <c r="AF695" s="35">
        <v>250</v>
      </c>
      <c r="AG695" s="37"/>
      <c r="AH695" s="39">
        <f>IF(ISNUMBER($AD695),($AD695+$AE695+$AF695)*$AG695,"")</f>
      </c>
      <c r="AI695" s="35"/>
      <c r="AJ695" s="38">
        <f>IF(ISNUMBER($AD695),SUM($AD695:$AH695),"")</f>
      </c>
      <c r="AK695" s="40">
        <f>IF(AND(ISNUMBER($AB695),ISNUMBER($AD695)),IF($AB695&gt;0,$AD695/$AB695,""),"")</f>
      </c>
      <c r="AL695" s="32" t="inlineStr">
        <is>
          <t xml:space="preserve">At technical</t>
        </is>
      </c>
      <c r="AM695" s="41">
        <f>IF(ISNUMBER($AD695),Header!$I$3,"")</f>
      </c>
      <c r="AN695" s="39">
        <f>IF(ISNUMBER($AD695),$AO695+$AP695,"")</f>
      </c>
      <c r="AO695" s="39">
        <f>IF(ISNUMBER($AD695),ROUND($AD695*Header!$K$3,2),"")</f>
      </c>
      <c r="AP695" s="39">
        <f>IF(ISNUMBER($AD695),ROUND($AD695*Header!$M$3,2),"")</f>
      </c>
      <c r="AQ695" s="38">
        <f>IF(ISNUMBER($AD695),ROUND($AD695,2)-$AO695-$AP695,"")</f>
      </c>
      <c r="AR695" s="39">
        <f>IF(ISNUMBER($AD695),IF(Header!$D$34="","?",$AD695*Header!$D$34),"")</f>
      </c>
      <c r="AS695" s="39">
        <f>IF(ISNUMBER($AB695),IF(Header!$D$34="","?",$AB695*Header!$D$34),"")</f>
      </c>
      <c r="AT695" s="42">
        <f>IF(AND(ISNUMBER($AB695),$M695&gt;0),$AB695/$M695*100,"")</f>
      </c>
      <c r="AU695" s="42">
        <f>IF(AND(ISNUMBER($AD695),$M695&gt;0),$AD695/$M695*100,"")</f>
      </c>
      <c r="AV695" s="40">
        <f>IF(AND(ISNUMBER($AB695),ISNUMBER($AD695),ABS($AB695)&gt;0),$AD695/$AB695,"")</f>
      </c>
      <c r="AW695" s="39">
        <f>IF(ISNUMBER($AD695),MAX(0,(1-0.55-Header!$O$3)*Header!$Q$3*$AQ695),"")</f>
      </c>
      <c r="AX695" s="43">
        <f>IF($A695="","",IF(TRIM(IF($A695="","Missing certificate ref. ","") &amp; IF($C695="","Missing effective date. ","") &amp; IF($D695="","Missing binding status. ","") &amp; IF($E695="","Missing movement type. ","") &amp; IF($I695="","Missing make. ","") &amp; IF($L695="","Missing vehicle class. ","") &amp; IF($M695="","Missing agreed value. ","") &amp; IF($N695="","Missing policy type. ","") &amp; IF($Q695="","Missing garaging state. ","") &amp; IF($R695="","Missing garaging ZIP. ","") &amp; IF($S695="","Missing cat zone. ","") &amp; IF($V695="","Missing valuation basis. ","") &amp; IF($W695="","Missing PD deductible. ","") &amp; IF($X695="","Missing liability limit. ","") &amp; IF($AB695="","Missing technical premium. ","") &amp; IF($AF695="","Missing surplus lines tax %. ",""))="","PASS","FAIL: "&amp;TRIM(IF($A695="","Missing certificate ref. ","") &amp; IF($C695="","Missing effective date. ","") &amp; IF($D695="","Missing binding status. ","") &amp; IF($E695="","Missing movement type. ","") &amp; IF($I695="","Missing make. ","") &amp; IF($L695="","Missing vehicle class. ","") &amp; IF($M695="","Missing agreed value. ","") &amp; IF($N695="","Missing policy type. ","") &amp; IF($Q695="","Missing garaging state. ","") &amp; IF($R695="","Missing garaging ZIP. ","") &amp; IF($S695="","Missing cat zone. ","") &amp; IF($V695="","Missing valuation basis. ","") &amp; IF($W695="","Missing PD deductible. ","") &amp; IF($X695="","Missing liability limit. ","") &amp; IF($AB695="","Missing technical premium. ","") &amp; IF($AF695="","Missing surplus lines tax %. ",""))))</f>
      </c>
      <c r="AY695" s="44">
        <f>IF($M695="","",IF(ISNUMBER($M695),IF($M695&gt;=Header!$C$18,"YES — refer","No"),""))</f>
      </c>
      <c r="AZ695" s="44">
        <f>IF($AD695="","",IF(ISNUMBER($AD695),IF($AD695&lt;Header!$C$20,"BELOW MIN PREMIUM","OK"),""))</f>
      </c>
      <c r="BA695" s="32" t="inlineStr">
        <is>
          <t xml:space="preserve">Yes</t>
        </is>
      </c>
      <c r="BB695" s="32" t="inlineStr">
        <is>
          <t xml:space="preserve">Yes</t>
        </is>
      </c>
      <c r="BC695" s="30" t="inlineStr">
        <is>
          <t xml:space="preserve">Synthetic demo data</t>
        </is>
      </c>
      <c r="BE695" s="45">
        <f>IF(OR($A695="",$L695="",$H695=""),"",IF(AND(LEFT($L695,2)="06",$H695&gt;1945),"FAIL - pre-war class, year "&amp;$H695,IF(AND(LEFT($L695,2)="07",OR($H695&lt;1946,$H695&gt;1972)),"FAIL - 1946-72 class, year "&amp;$H695,IF(AND(LEFT($L695,2)="08",OR($H695&lt;1973,$H695&gt;1999)),"FAIL - 1973-99 class, year "&amp;$H695,IF(AND(LEFT($L695,2)="09",OR($H695&lt;2000,$H695&gt;2010)),"FAIL - 2000-10 class, year "&amp;$H695,"OK")))))</f>
      </c>
      <c r="BF695" s="45">
        <f>IF($AD695="","",IF(ROUND($AO695+$AP695+$AQ695-$AD695,2)=0,"OK","FAIL - out by "&amp;TEXT($AO695+$AP695+$AQ695-$AD695,"$0.00")))</f>
      </c>
    </row>
    <row r="696" spans="1:58" ht="18.75" customHeight="1" x14ac:dyDescent="0.25">
      <c r="A696" s="46" t="inlineStr">
        <is>
          <t xml:space="preserve">CANON-202607-010474</t>
        </is>
      </c>
      <c r="B696" s="46" t="inlineStr">
        <is>
          <t xml:space="preserve">Horace Vasquez</t>
        </is>
      </c>
      <c r="C696" s="47">
        <v>46234</v>
      </c>
      <c r="D696" s="48" t="inlineStr">
        <is>
          <t xml:space="preserve">Bound - within authority</t>
        </is>
      </c>
      <c r="E696" s="48" t="inlineStr">
        <is>
          <t xml:space="preserve">New business</t>
        </is>
      </c>
      <c r="F696" s="46" t="inlineStr">
        <is>
          <t xml:space="preserve">B1234EXOTIC26</t>
        </is>
      </c>
      <c r="G696" s="33">
        <f>IF($A696="","",IF($C696="","",YEAR($C696)))</f>
      </c>
      <c r="H696" s="49">
        <v>1990</v>
      </c>
      <c r="I696" s="46" t="inlineStr">
        <is>
          <t xml:space="preserve">Aston Martin</t>
        </is>
      </c>
      <c r="J696" s="46" t="inlineStr">
        <is>
          <t xml:space="preserve">DB5</t>
        </is>
      </c>
      <c r="K696" s="46" t="inlineStr">
        <is>
          <t xml:space="preserve">P37HHCJGMEUS51YB3</t>
        </is>
      </c>
      <c r="L696" s="48" t="inlineStr">
        <is>
          <t xml:space="preserve">08 - Modern Classic (1973-1999)</t>
        </is>
      </c>
      <c r="M696" s="50">
        <v>1505000</v>
      </c>
      <c r="N696" s="48" t="inlineStr">
        <is>
          <t xml:space="preserve">Personal</t>
        </is>
      </c>
      <c r="O696" s="46" t="inlineStr">
        <is>
          <t xml:space="preserve">Personal - regular use</t>
        </is>
      </c>
      <c r="P696" s="46" t="inlineStr">
        <is>
          <t xml:space="preserve">2,500 - 5,000</t>
        </is>
      </c>
      <c r="Q696" s="46" t="inlineStr">
        <is>
          <t xml:space="preserve">Oregon</t>
        </is>
      </c>
      <c r="R696" s="46" t="inlineStr">
        <is>
          <t xml:space="preserve">97204</t>
        </is>
      </c>
      <c r="S696" s="48" t="inlineStr">
        <is>
          <t xml:space="preserve">Earthquake - high (CA, Cascadia, New Madrid)</t>
        </is>
      </c>
      <c r="T696" s="36">
        <f>IF($A696="","",IF($S696="","",IFERROR(INDEX('[1]natural catastrophe'!$D$6:$D$17,MATCH($S696,'[1]natural catastrophe'!$B$6:$B$17,0)),"?")))</f>
      </c>
      <c r="U696" s="46" t="inlineStr">
        <is>
          <t xml:space="preserve">$5,000</t>
        </is>
      </c>
      <c r="V696" s="48" t="inlineStr">
        <is>
          <t xml:space="preserve">Agreed Value</t>
        </is>
      </c>
      <c r="W696" s="46" t="inlineStr">
        <is>
          <t xml:space="preserve">$1,000</t>
        </is>
      </c>
      <c r="X696" s="48" t="inlineStr">
        <is>
          <t xml:space="preserve">$1,000,000 CSL</t>
        </is>
      </c>
      <c r="Y696" s="46"/>
      <c r="Z696" s="46"/>
      <c r="AA696" s="48" t="inlineStr">
        <is>
          <t xml:space="preserve">Surplus Lines</t>
        </is>
      </c>
      <c r="AB696" s="50">
        <v>9279.13</v>
      </c>
      <c r="AC696" s="51">
        <v>0</v>
      </c>
      <c r="AD696" s="38">
        <f>IF(ISNUMBER($AB696),$AB696*(1+N($AC696)),"")</f>
      </c>
      <c r="AE696" s="50">
        <v>350</v>
      </c>
      <c r="AF696" s="50">
        <v>250</v>
      </c>
      <c r="AG696" s="51"/>
      <c r="AH696" s="39">
        <f>IF(ISNUMBER($AD696),($AD696+$AE696+$AF696)*$AG696,"")</f>
      </c>
      <c r="AI696" s="50"/>
      <c r="AJ696" s="38">
        <f>IF(ISNUMBER($AD696),SUM($AD696:$AH696),"")</f>
      </c>
      <c r="AK696" s="40">
        <f>IF(AND(ISNUMBER($AB696),ISNUMBER($AD696)),IF($AB696&gt;0,$AD696/$AB696,""),"")</f>
      </c>
      <c r="AL696" s="48" t="inlineStr">
        <is>
          <t xml:space="preserve">At technical</t>
        </is>
      </c>
      <c r="AM696" s="41">
        <f>IF(ISNUMBER($AD696),Header!$I$3,"")</f>
      </c>
      <c r="AN696" s="39">
        <f>IF(ISNUMBER($AD696),$AO696+$AP696,"")</f>
      </c>
      <c r="AO696" s="39">
        <f>IF(ISNUMBER($AD696),ROUND($AD696*Header!$K$3,2),"")</f>
      </c>
      <c r="AP696" s="39">
        <f>IF(ISNUMBER($AD696),ROUND($AD696*Header!$M$3,2),"")</f>
      </c>
      <c r="AQ696" s="38">
        <f>IF(ISNUMBER($AD696),ROUND($AD696,2)-$AO696-$AP696,"")</f>
      </c>
      <c r="AR696" s="39">
        <f>IF(ISNUMBER($AD696),IF(Header!$D$34="","?",$AD696*Header!$D$34),"")</f>
      </c>
      <c r="AS696" s="39">
        <f>IF(ISNUMBER($AB696),IF(Header!$D$34="","?",$AB696*Header!$D$34),"")</f>
      </c>
      <c r="AT696" s="42">
        <f>IF(AND(ISNUMBER($AB696),$M696&gt;0),$AB696/$M696*100,"")</f>
      </c>
      <c r="AU696" s="42">
        <f>IF(AND(ISNUMBER($AD696),$M696&gt;0),$AD696/$M696*100,"")</f>
      </c>
      <c r="AV696" s="40">
        <f>IF(AND(ISNUMBER($AB696),ISNUMBER($AD696),ABS($AB696)&gt;0),$AD696/$AB696,"")</f>
      </c>
      <c r="AW696" s="39">
        <f>IF(ISNUMBER($AD696),MAX(0,(1-0.55-Header!$O$3)*Header!$Q$3*$AQ696),"")</f>
      </c>
      <c r="AX696" s="43">
        <f>IF($A696="","",IF(TRIM(IF($A696="","Missing certificate ref. ","") &amp; IF($C696="","Missing effective date. ","") &amp; IF($D696="","Missing binding status. ","") &amp; IF($E696="","Missing movement type. ","") &amp; IF($I696="","Missing make. ","") &amp; IF($L696="","Missing vehicle class. ","") &amp; IF($M696="","Missing agreed value. ","") &amp; IF($N696="","Missing policy type. ","") &amp; IF($Q696="","Missing garaging state. ","") &amp; IF($R696="","Missing garaging ZIP. ","") &amp; IF($S696="","Missing cat zone. ","") &amp; IF($V696="","Missing valuation basis. ","") &amp; IF($W696="","Missing PD deductible. ","") &amp; IF($X696="","Missing liability limit. ","") &amp; IF($AB696="","Missing technical premium. ","") &amp; IF($AF696="","Missing surplus lines tax %. ",""))="","PASS","FAIL: "&amp;TRIM(IF($A696="","Missing certificate ref. ","") &amp; IF($C696="","Missing effective date. ","") &amp; IF($D696="","Missing binding status. ","") &amp; IF($E696="","Missing movement type. ","") &amp; IF($I696="","Missing make. ","") &amp; IF($L696="","Missing vehicle class. ","") &amp; IF($M696="","Missing agreed value. ","") &amp; IF($N696="","Missing policy type. ","") &amp; IF($Q696="","Missing garaging state. ","") &amp; IF($R696="","Missing garaging ZIP. ","") &amp; IF($S696="","Missing cat zone. ","") &amp; IF($V696="","Missing valuation basis. ","") &amp; IF($W696="","Missing PD deductible. ","") &amp; IF($X696="","Missing liability limit. ","") &amp; IF($AB696="","Missing technical premium. ","") &amp; IF($AF696="","Missing surplus lines tax %. ",""))))</f>
      </c>
      <c r="AY696" s="44">
        <f>IF($M696="","",IF(ISNUMBER($M696),IF($M696&gt;=Header!$C$18,"YES — refer","No"),""))</f>
      </c>
      <c r="AZ696" s="44">
        <f>IF($AD696="","",IF(ISNUMBER($AD696),IF($AD696&lt;Header!$C$20,"BELOW MIN PREMIUM","OK"),""))</f>
      </c>
      <c r="BA696" s="48" t="inlineStr">
        <is>
          <t xml:space="preserve">Yes</t>
        </is>
      </c>
      <c r="BB696" s="48" t="inlineStr">
        <is>
          <t xml:space="preserve">Yes</t>
        </is>
      </c>
      <c r="BC696" s="46" t="inlineStr">
        <is>
          <t xml:space="preserve">Synthetic demo data</t>
        </is>
      </c>
      <c r="BE696" s="45">
        <f>IF(OR($A696="",$L696="",$H696=""),"",IF(AND(LEFT($L696,2)="06",$H696&gt;1945),"FAIL - pre-war class, year "&amp;$H696,IF(AND(LEFT($L696,2)="07",OR($H696&lt;1946,$H696&gt;1972)),"FAIL - 1946-72 class, year "&amp;$H696,IF(AND(LEFT($L696,2)="08",OR($H696&lt;1973,$H696&gt;1999)),"FAIL - 1973-99 class, year "&amp;$H696,IF(AND(LEFT($L696,2)="09",OR($H696&lt;2000,$H696&gt;2010)),"FAIL - 2000-10 class, year "&amp;$H696,"OK")))))</f>
      </c>
      <c r="BF696" s="45">
        <f>IF($AD696="","",IF(ROUND($AO696+$AP696+$AQ696-$AD696,2)=0,"OK","FAIL - out by "&amp;TEXT($AO696+$AP696+$AQ696-$AD696,"$0.00")))</f>
      </c>
    </row>
    <row r="697" spans="1:58" ht="18.75" customHeight="1" x14ac:dyDescent="0.25">
      <c r="A697" s="30" t="inlineStr">
        <is>
          <t xml:space="preserve">CANON-202607-010476</t>
        </is>
      </c>
      <c r="B697" s="30" t="inlineStr">
        <is>
          <t xml:space="preserve">Desmond Farkas</t>
        </is>
      </c>
      <c r="C697" s="31">
        <v>46231</v>
      </c>
      <c r="D697" s="32" t="inlineStr">
        <is>
          <t xml:space="preserve">Bound - within authority</t>
        </is>
      </c>
      <c r="E697" s="32" t="inlineStr">
        <is>
          <t xml:space="preserve">New business</t>
        </is>
      </c>
      <c r="F697" s="30" t="inlineStr">
        <is>
          <t xml:space="preserve">B1234EXOTIC26</t>
        </is>
      </c>
      <c r="G697" s="33">
        <f>IF($A697="","",IF($C697="","",YEAR($C697)))</f>
      </c>
      <c r="H697" s="34">
        <v>1983</v>
      </c>
      <c r="I697" s="30" t="inlineStr">
        <is>
          <t xml:space="preserve">McLaren</t>
        </is>
      </c>
      <c r="J697" s="30" t="inlineStr">
        <is>
          <t xml:space="preserve">750S</t>
        </is>
      </c>
      <c r="K697" s="30" t="inlineStr">
        <is>
          <t xml:space="preserve">6F5FWPK3SPHVPV6LV</t>
        </is>
      </c>
      <c r="L697" s="32" t="inlineStr">
        <is>
          <t xml:space="preserve">03 - Supercar</t>
        </is>
      </c>
      <c r="M697" s="35">
        <v>775000</v>
      </c>
      <c r="N697" s="32" t="inlineStr">
        <is>
          <t xml:space="preserve">Personal</t>
        </is>
      </c>
      <c r="O697" s="30" t="inlineStr">
        <is>
          <t xml:space="preserve">Personal - regular use</t>
        </is>
      </c>
      <c r="P697" s="30" t="inlineStr">
        <is>
          <t xml:space="preserve">Under 1,000</t>
        </is>
      </c>
      <c r="Q697" s="30" t="inlineStr">
        <is>
          <t xml:space="preserve">New Mexico</t>
        </is>
      </c>
      <c r="R697" s="30" t="inlineStr">
        <is>
          <t xml:space="preserve">87501</t>
        </is>
      </c>
      <c r="S697" s="32" t="inlineStr">
        <is>
          <t xml:space="preserve">Wildfire - WUI high hazard</t>
        </is>
      </c>
      <c r="T697" s="36">
        <f>IF($A697="","",IF($S697="","",IFERROR(INDEX('[1]natural catastrophe'!$D$6:$D$17,MATCH($S697,'[1]natural catastrophe'!$B$6:$B$17,0)),"?")))</f>
      </c>
      <c r="U697" s="30" t="inlineStr">
        <is>
          <t xml:space="preserve">$5,000</t>
        </is>
      </c>
      <c r="V697" s="32" t="inlineStr">
        <is>
          <t xml:space="preserve">Agreed Value</t>
        </is>
      </c>
      <c r="W697" s="30" t="inlineStr">
        <is>
          <t xml:space="preserve">$1,000</t>
        </is>
      </c>
      <c r="X697" s="32" t="inlineStr">
        <is>
          <t xml:space="preserve">$1,000,000 CSL</t>
        </is>
      </c>
      <c r="Y697" s="30"/>
      <c r="Z697" s="30"/>
      <c r="AA697" s="32" t="inlineStr">
        <is>
          <t xml:space="preserve">Surplus Lines</t>
        </is>
      </c>
      <c r="AB697" s="35">
        <v>13531.44</v>
      </c>
      <c r="AC697" s="37">
        <v>0</v>
      </c>
      <c r="AD697" s="38">
        <f>IF(ISNUMBER($AB697),$AB697*(1+N($AC697)),"")</f>
      </c>
      <c r="AE697" s="35">
        <v>350</v>
      </c>
      <c r="AF697" s="35">
        <v>0</v>
      </c>
      <c r="AG697" s="37"/>
      <c r="AH697" s="39">
        <f>IF(ISNUMBER($AD697),($AD697+$AE697+$AF697)*$AG697,"")</f>
      </c>
      <c r="AI697" s="35"/>
      <c r="AJ697" s="38">
        <f>IF(ISNUMBER($AD697),SUM($AD697:$AH697),"")</f>
      </c>
      <c r="AK697" s="40">
        <f>IF(AND(ISNUMBER($AB697),ISNUMBER($AD697)),IF($AB697&gt;0,$AD697/$AB697,""),"")</f>
      </c>
      <c r="AL697" s="32" t="inlineStr">
        <is>
          <t xml:space="preserve">At technical</t>
        </is>
      </c>
      <c r="AM697" s="41">
        <f>IF(ISNUMBER($AD697),Header!$I$3,"")</f>
      </c>
      <c r="AN697" s="39">
        <f>IF(ISNUMBER($AD697),$AO697+$AP697,"")</f>
      </c>
      <c r="AO697" s="39">
        <f>IF(ISNUMBER($AD697),ROUND($AD697*Header!$K$3,2),"")</f>
      </c>
      <c r="AP697" s="39">
        <f>IF(ISNUMBER($AD697),ROUND($AD697*Header!$M$3,2),"")</f>
      </c>
      <c r="AQ697" s="38">
        <f>IF(ISNUMBER($AD697),ROUND($AD697,2)-$AO697-$AP697,"")</f>
      </c>
      <c r="AR697" s="39">
        <f>IF(ISNUMBER($AD697),IF(Header!$D$34="","?",$AD697*Header!$D$34),"")</f>
      </c>
      <c r="AS697" s="39">
        <f>IF(ISNUMBER($AB697),IF(Header!$D$34="","?",$AB697*Header!$D$34),"")</f>
      </c>
      <c r="AT697" s="42">
        <f>IF(AND(ISNUMBER($AB697),$M697&gt;0),$AB697/$M697*100,"")</f>
      </c>
      <c r="AU697" s="42">
        <f>IF(AND(ISNUMBER($AD697),$M697&gt;0),$AD697/$M697*100,"")</f>
      </c>
      <c r="AV697" s="40">
        <f>IF(AND(ISNUMBER($AB697),ISNUMBER($AD697),ABS($AB697)&gt;0),$AD697/$AB697,"")</f>
      </c>
      <c r="AW697" s="39">
        <f>IF(ISNUMBER($AD697),MAX(0,(1-0.55-Header!$O$3)*Header!$Q$3*$AQ697),"")</f>
      </c>
      <c r="AX697" s="43">
        <f>IF($A697="","",IF(TRIM(IF($A697="","Missing certificate ref. ","") &amp; IF($C697="","Missing effective date. ","") &amp; IF($D697="","Missing binding status. ","") &amp; IF($E697="","Missing movement type. ","") &amp; IF($I697="","Missing make. ","") &amp; IF($L697="","Missing vehicle class. ","") &amp; IF($M697="","Missing agreed value. ","") &amp; IF($N697="","Missing policy type. ","") &amp; IF($Q697="","Missing garaging state. ","") &amp; IF($R697="","Missing garaging ZIP. ","") &amp; IF($S697="","Missing cat zone. ","") &amp; IF($V697="","Missing valuation basis. ","") &amp; IF($W697="","Missing PD deductible. ","") &amp; IF($X697="","Missing liability limit. ","") &amp; IF($AB697="","Missing technical premium. ","") &amp; IF($AF697="","Missing surplus lines tax %. ",""))="","PASS","FAIL: "&amp;TRIM(IF($A697="","Missing certificate ref. ","") &amp; IF($C697="","Missing effective date. ","") &amp; IF($D697="","Missing binding status. ","") &amp; IF($E697="","Missing movement type. ","") &amp; IF($I697="","Missing make. ","") &amp; IF($L697="","Missing vehicle class. ","") &amp; IF($M697="","Missing agreed value. ","") &amp; IF($N697="","Missing policy type. ","") &amp; IF($Q697="","Missing garaging state. ","") &amp; IF($R697="","Missing garaging ZIP. ","") &amp; IF($S697="","Missing cat zone. ","") &amp; IF($V697="","Missing valuation basis. ","") &amp; IF($W697="","Missing PD deductible. ","") &amp; IF($X697="","Missing liability limit. ","") &amp; IF($AB697="","Missing technical premium. ","") &amp; IF($AF697="","Missing surplus lines tax %. ",""))))</f>
      </c>
      <c r="AY697" s="44">
        <f>IF($M697="","",IF(ISNUMBER($M697),IF($M697&gt;=Header!$C$18,"YES — refer","No"),""))</f>
      </c>
      <c r="AZ697" s="44">
        <f>IF($AD697="","",IF(ISNUMBER($AD697),IF($AD697&lt;Header!$C$20,"BELOW MIN PREMIUM","OK"),""))</f>
      </c>
      <c r="BA697" s="32" t="inlineStr">
        <is>
          <t xml:space="preserve">Yes</t>
        </is>
      </c>
      <c r="BB697" s="32" t="inlineStr">
        <is>
          <t xml:space="preserve">Yes</t>
        </is>
      </c>
      <c r="BC697" s="30" t="inlineStr">
        <is>
          <t xml:space="preserve">Synthetic demo data</t>
        </is>
      </c>
      <c r="BE697" s="45">
        <f>IF(OR($A697="",$L697="",$H697=""),"",IF(AND(LEFT($L697,2)="06",$H697&gt;1945),"FAIL - pre-war class, year "&amp;$H697,IF(AND(LEFT($L697,2)="07",OR($H697&lt;1946,$H697&gt;1972)),"FAIL - 1946-72 class, year "&amp;$H697,IF(AND(LEFT($L697,2)="08",OR($H697&lt;1973,$H697&gt;1999)),"FAIL - 1973-99 class, year "&amp;$H697,IF(AND(LEFT($L697,2)="09",OR($H697&lt;2000,$H697&gt;2010)),"FAIL - 2000-10 class, year "&amp;$H697,"OK")))))</f>
      </c>
      <c r="BF697" s="45">
        <f>IF($AD697="","",IF(ROUND($AO697+$AP697+$AQ697-$AD697,2)=0,"OK","FAIL - out by "&amp;TEXT($AO697+$AP697+$AQ697-$AD697,"$0.00")))</f>
      </c>
    </row>
    <row r="698" spans="1:58" ht="18.75" customHeight="1" x14ac:dyDescent="0.25">
      <c r="A698" s="46" t="inlineStr">
        <is>
          <t xml:space="preserve">CANON-202607-010477</t>
        </is>
      </c>
      <c r="B698" s="46" t="inlineStr">
        <is>
          <t xml:space="preserve">Saoirse Okonkwo</t>
        </is>
      </c>
      <c r="C698" s="47">
        <v>46231</v>
      </c>
      <c r="D698" s="48" t="inlineStr">
        <is>
          <t xml:space="preserve">Bound - within authority</t>
        </is>
      </c>
      <c r="E698" s="48" t="inlineStr">
        <is>
          <t xml:space="preserve">New business</t>
        </is>
      </c>
      <c r="F698" s="46" t="inlineStr">
        <is>
          <t xml:space="preserve">B1234EXOTIC26</t>
        </is>
      </c>
      <c r="G698" s="33">
        <f>IF($A698="","",IF($C698="","",YEAR($C698)))</f>
      </c>
      <c r="H698" s="49">
        <v>2024</v>
      </c>
      <c r="I698" s="46" t="inlineStr">
        <is>
          <t xml:space="preserve">Jaguar</t>
        </is>
      </c>
      <c r="J698" s="46" t="inlineStr">
        <is>
          <t xml:space="preserve">E-Type Series 1</t>
        </is>
      </c>
      <c r="K698" s="46" t="inlineStr">
        <is>
          <t xml:space="preserve">MD7FH2VVMNYW3B7X5</t>
        </is>
      </c>
      <c r="L698" s="48" t="inlineStr">
        <is>
          <t xml:space="preserve">02 - Sports / GT</t>
        </is>
      </c>
      <c r="M698" s="50">
        <v>280000</v>
      </c>
      <c r="N698" s="48" t="inlineStr">
        <is>
          <t xml:space="preserve">Personal</t>
        </is>
      </c>
      <c r="O698" s="46" t="inlineStr">
        <is>
          <t xml:space="preserve">Personal - regular use</t>
        </is>
      </c>
      <c r="P698" s="46" t="inlineStr">
        <is>
          <t xml:space="preserve">Under 1,000</t>
        </is>
      </c>
      <c r="Q698" s="46" t="inlineStr">
        <is>
          <t xml:space="preserve">Connecticut</t>
        </is>
      </c>
      <c r="R698" s="46" t="inlineStr">
        <is>
          <t xml:space="preserve">06103</t>
        </is>
      </c>
      <c r="S698" s="48" t="inlineStr">
        <is>
          <t xml:space="preserve">Tier 3 - Coastal wind (25-100 miles)</t>
        </is>
      </c>
      <c r="T698" s="36">
        <f>IF($A698="","",IF($S698="","",IFERROR(INDEX('[1]natural catastrophe'!$D$6:$D$17,MATCH($S698,'[1]natural catastrophe'!$B$6:$B$17,0)),"?")))</f>
      </c>
      <c r="U698" s="46" t="inlineStr">
        <is>
          <t xml:space="preserve">2% of agreed value, minimum $10,000</t>
        </is>
      </c>
      <c r="V698" s="48" t="inlineStr">
        <is>
          <t xml:space="preserve">Agreed Value</t>
        </is>
      </c>
      <c r="W698" s="46" t="inlineStr">
        <is>
          <t xml:space="preserve">$1,000</t>
        </is>
      </c>
      <c r="X698" s="48" t="inlineStr">
        <is>
          <t xml:space="preserve">$1,000,000 CSL</t>
        </is>
      </c>
      <c r="Y698" s="46"/>
      <c r="Z698" s="46"/>
      <c r="AA698" s="48" t="inlineStr">
        <is>
          <t xml:space="preserve">Surplus Lines</t>
        </is>
      </c>
      <c r="AB698" s="50">
        <v>2161.35</v>
      </c>
      <c r="AC698" s="51">
        <v>0</v>
      </c>
      <c r="AD698" s="38">
        <f>IF(ISNUMBER($AB698),$AB698*(1+N($AC698)),"")</f>
      </c>
      <c r="AE698" s="50">
        <v>350</v>
      </c>
      <c r="AF698" s="50">
        <v>0</v>
      </c>
      <c r="AG698" s="51"/>
      <c r="AH698" s="39">
        <f>IF(ISNUMBER($AD698),($AD698+$AE698+$AF698)*$AG698,"")</f>
      </c>
      <c r="AI698" s="50"/>
      <c r="AJ698" s="38">
        <f>IF(ISNUMBER($AD698),SUM($AD698:$AH698),"")</f>
      </c>
      <c r="AK698" s="40">
        <f>IF(AND(ISNUMBER($AB698),ISNUMBER($AD698)),IF($AB698&gt;0,$AD698/$AB698,""),"")</f>
      </c>
      <c r="AL698" s="48" t="inlineStr">
        <is>
          <t xml:space="preserve">At technical</t>
        </is>
      </c>
      <c r="AM698" s="41">
        <f>IF(ISNUMBER($AD698),Header!$I$3,"")</f>
      </c>
      <c r="AN698" s="39">
        <f>IF(ISNUMBER($AD698),$AO698+$AP698,"")</f>
      </c>
      <c r="AO698" s="39">
        <f>IF(ISNUMBER($AD698),ROUND($AD698*Header!$K$3,2),"")</f>
      </c>
      <c r="AP698" s="39">
        <f>IF(ISNUMBER($AD698),ROUND($AD698*Header!$M$3,2),"")</f>
      </c>
      <c r="AQ698" s="38">
        <f>IF(ISNUMBER($AD698),ROUND($AD698,2)-$AO698-$AP698,"")</f>
      </c>
      <c r="AR698" s="39">
        <f>IF(ISNUMBER($AD698),IF(Header!$D$34="","?",$AD698*Header!$D$34),"")</f>
      </c>
      <c r="AS698" s="39">
        <f>IF(ISNUMBER($AB698),IF(Header!$D$34="","?",$AB698*Header!$D$34),"")</f>
      </c>
      <c r="AT698" s="42">
        <f>IF(AND(ISNUMBER($AB698),$M698&gt;0),$AB698/$M698*100,"")</f>
      </c>
      <c r="AU698" s="42">
        <f>IF(AND(ISNUMBER($AD698),$M698&gt;0),$AD698/$M698*100,"")</f>
      </c>
      <c r="AV698" s="40">
        <f>IF(AND(ISNUMBER($AB698),ISNUMBER($AD698),ABS($AB698)&gt;0),$AD698/$AB698,"")</f>
      </c>
      <c r="AW698" s="39">
        <f>IF(ISNUMBER($AD698),MAX(0,(1-0.55-Header!$O$3)*Header!$Q$3*$AQ698),"")</f>
      </c>
      <c r="AX698" s="43">
        <f>IF($A698="","",IF(TRIM(IF($A698="","Missing certificate ref. ","") &amp; IF($C698="","Missing effective date. ","") &amp; IF($D698="","Missing binding status. ","") &amp; IF($E698="","Missing movement type. ","") &amp; IF($I698="","Missing make. ","") &amp; IF($L698="","Missing vehicle class. ","") &amp; IF($M698="","Missing agreed value. ","") &amp; IF($N698="","Missing policy type. ","") &amp; IF($Q698="","Missing garaging state. ","") &amp; IF($R698="","Missing garaging ZIP. ","") &amp; IF($S698="","Missing cat zone. ","") &amp; IF($V698="","Missing valuation basis. ","") &amp; IF($W698="","Missing PD deductible. ","") &amp; IF($X698="","Missing liability limit. ","") &amp; IF($AB698="","Missing technical premium. ","") &amp; IF($AF698="","Missing surplus lines tax %. ",""))="","PASS","FAIL: "&amp;TRIM(IF($A698="","Missing certificate ref. ","") &amp; IF($C698="","Missing effective date. ","") &amp; IF($D698="","Missing binding status. ","") &amp; IF($E698="","Missing movement type. ","") &amp; IF($I698="","Missing make. ","") &amp; IF($L698="","Missing vehicle class. ","") &amp; IF($M698="","Missing agreed value. ","") &amp; IF($N698="","Missing policy type. ","") &amp; IF($Q698="","Missing garaging state. ","") &amp; IF($R698="","Missing garaging ZIP. ","") &amp; IF($S698="","Missing cat zone. ","") &amp; IF($V698="","Missing valuation basis. ","") &amp; IF($W698="","Missing PD deductible. ","") &amp; IF($X698="","Missing liability limit. ","") &amp; IF($AB698="","Missing technical premium. ","") &amp; IF($AF698="","Missing surplus lines tax %. ",""))))</f>
      </c>
      <c r="AY698" s="44">
        <f>IF($M698="","",IF(ISNUMBER($M698),IF($M698&gt;=Header!$C$18,"YES — refer","No"),""))</f>
      </c>
      <c r="AZ698" s="44">
        <f>IF($AD698="","",IF(ISNUMBER($AD698),IF($AD698&lt;Header!$C$20,"BELOW MIN PREMIUM","OK"),""))</f>
      </c>
      <c r="BA698" s="48" t="inlineStr">
        <is>
          <t xml:space="preserve">Yes</t>
        </is>
      </c>
      <c r="BB698" s="48" t="inlineStr">
        <is>
          <t xml:space="preserve">Yes</t>
        </is>
      </c>
      <c r="BC698" s="46" t="inlineStr">
        <is>
          <t xml:space="preserve">Synthetic demo data</t>
        </is>
      </c>
      <c r="BE698" s="45">
        <f>IF(OR($A698="",$L698="",$H698=""),"",IF(AND(LEFT($L698,2)="06",$H698&gt;1945),"FAIL - pre-war class, year "&amp;$H698,IF(AND(LEFT($L698,2)="07",OR($H698&lt;1946,$H698&gt;1972)),"FAIL - 1946-72 class, year "&amp;$H698,IF(AND(LEFT($L698,2)="08",OR($H698&lt;1973,$H698&gt;1999)),"FAIL - 1973-99 class, year "&amp;$H698,IF(AND(LEFT($L698,2)="09",OR($H698&lt;2000,$H698&gt;2010)),"FAIL - 2000-10 class, year "&amp;$H698,"OK")))))</f>
      </c>
      <c r="BF698" s="45">
        <f>IF($AD698="","",IF(ROUND($AO698+$AP698+$AQ698-$AD698,2)=0,"OK","FAIL - out by "&amp;TEXT($AO698+$AP698+$AQ698-$AD698,"$0.00")))</f>
      </c>
    </row>
    <row r="699" spans="1:58" ht="18.75" customHeight="1" x14ac:dyDescent="0.25">
      <c r="A699" s="30" t="inlineStr">
        <is>
          <t xml:space="preserve">CANON-202607-010478</t>
        </is>
      </c>
      <c r="B699" s="30" t="inlineStr">
        <is>
          <t xml:space="preserve">Mireille Merriweather</t>
        </is>
      </c>
      <c r="C699" s="31">
        <v>46218</v>
      </c>
      <c r="D699" s="32" t="inlineStr">
        <is>
          <t xml:space="preserve">Bound - within authority</t>
        </is>
      </c>
      <c r="E699" s="32" t="inlineStr">
        <is>
          <t xml:space="preserve">New business</t>
        </is>
      </c>
      <c r="F699" s="30" t="inlineStr">
        <is>
          <t xml:space="preserve">B1234EXOTIC26</t>
        </is>
      </c>
      <c r="G699" s="33">
        <f>IF($A699="","",IF($C699="","",YEAR($C699)))</f>
      </c>
      <c r="H699" s="34">
        <v>2023</v>
      </c>
      <c r="I699" s="30" t="inlineStr">
        <is>
          <t xml:space="preserve">Lamborghini</t>
        </is>
      </c>
      <c r="J699" s="30" t="inlineStr">
        <is>
          <t xml:space="preserve">Huracan EVO</t>
        </is>
      </c>
      <c r="K699" s="30" t="inlineStr">
        <is>
          <t xml:space="preserve">Z63N7W7VK2WLRS74R</t>
        </is>
      </c>
      <c r="L699" s="32" t="inlineStr">
        <is>
          <t xml:space="preserve">03 - Supercar</t>
        </is>
      </c>
      <c r="M699" s="35">
        <v>1000000</v>
      </c>
      <c r="N699" s="32" t="inlineStr">
        <is>
          <t xml:space="preserve">Personal</t>
        </is>
      </c>
      <c r="O699" s="30" t="inlineStr">
        <is>
          <t xml:space="preserve">Personal - regular use</t>
        </is>
      </c>
      <c r="P699" s="30" t="inlineStr">
        <is>
          <t xml:space="preserve">2,500 - 5,000</t>
        </is>
      </c>
      <c r="Q699" s="30" t="inlineStr">
        <is>
          <t xml:space="preserve">Ohio</t>
        </is>
      </c>
      <c r="R699" s="30" t="inlineStr">
        <is>
          <t xml:space="preserve">43215</t>
        </is>
      </c>
      <c r="S699" s="32" t="inlineStr">
        <is>
          <t xml:space="preserve">Severe convective - hail / tornado (moderate)</t>
        </is>
      </c>
      <c r="T699" s="36">
        <f>IF($A699="","",IF($S699="","",IFERROR(INDEX('[1]natural catastrophe'!$D$6:$D$17,MATCH($S699,'[1]natural catastrophe'!$B$6:$B$17,0)),"?")))</f>
      </c>
      <c r="U699" s="30" t="inlineStr">
        <is>
          <t xml:space="preserve">$5,000</t>
        </is>
      </c>
      <c r="V699" s="32" t="inlineStr">
        <is>
          <t xml:space="preserve">Agreed Value</t>
        </is>
      </c>
      <c r="W699" s="30" t="inlineStr">
        <is>
          <t xml:space="preserve">$1,000</t>
        </is>
      </c>
      <c r="X699" s="32" t="inlineStr">
        <is>
          <t xml:space="preserve">$1,000,000 CSL</t>
        </is>
      </c>
      <c r="Y699" s="30"/>
      <c r="Z699" s="30"/>
      <c r="AA699" s="32" t="inlineStr">
        <is>
          <t xml:space="preserve">Surplus Lines</t>
        </is>
      </c>
      <c r="AB699" s="35">
        <v>15966.64</v>
      </c>
      <c r="AC699" s="37">
        <v>0</v>
      </c>
      <c r="AD699" s="38">
        <f>IF(ISNUMBER($AB699),$AB699*(1+N($AC699)),"")</f>
      </c>
      <c r="AE699" s="35">
        <v>350</v>
      </c>
      <c r="AF699" s="35">
        <v>250</v>
      </c>
      <c r="AG699" s="37"/>
      <c r="AH699" s="39">
        <f>IF(ISNUMBER($AD699),($AD699+$AE699+$AF699)*$AG699,"")</f>
      </c>
      <c r="AI699" s="35"/>
      <c r="AJ699" s="38">
        <f>IF(ISNUMBER($AD699),SUM($AD699:$AH699),"")</f>
      </c>
      <c r="AK699" s="40">
        <f>IF(AND(ISNUMBER($AB699),ISNUMBER($AD699)),IF($AB699&gt;0,$AD699/$AB699,""),"")</f>
      </c>
      <c r="AL699" s="32" t="inlineStr">
        <is>
          <t xml:space="preserve">At technical</t>
        </is>
      </c>
      <c r="AM699" s="41">
        <f>IF(ISNUMBER($AD699),Header!$I$3,"")</f>
      </c>
      <c r="AN699" s="39">
        <f>IF(ISNUMBER($AD699),$AO699+$AP699,"")</f>
      </c>
      <c r="AO699" s="39">
        <f>IF(ISNUMBER($AD699),ROUND($AD699*Header!$K$3,2),"")</f>
      </c>
      <c r="AP699" s="39">
        <f>IF(ISNUMBER($AD699),ROUND($AD699*Header!$M$3,2),"")</f>
      </c>
      <c r="AQ699" s="38">
        <f>IF(ISNUMBER($AD699),ROUND($AD699,2)-$AO699-$AP699,"")</f>
      </c>
      <c r="AR699" s="39">
        <f>IF(ISNUMBER($AD699),IF(Header!$D$34="","?",$AD699*Header!$D$34),"")</f>
      </c>
      <c r="AS699" s="39">
        <f>IF(ISNUMBER($AB699),IF(Header!$D$34="","?",$AB699*Header!$D$34),"")</f>
      </c>
      <c r="AT699" s="42">
        <f>IF(AND(ISNUMBER($AB699),$M699&gt;0),$AB699/$M699*100,"")</f>
      </c>
      <c r="AU699" s="42">
        <f>IF(AND(ISNUMBER($AD699),$M699&gt;0),$AD699/$M699*100,"")</f>
      </c>
      <c r="AV699" s="40">
        <f>IF(AND(ISNUMBER($AB699),ISNUMBER($AD699),ABS($AB699)&gt;0),$AD699/$AB699,"")</f>
      </c>
      <c r="AW699" s="39">
        <f>IF(ISNUMBER($AD699),MAX(0,(1-0.55-Header!$O$3)*Header!$Q$3*$AQ699),"")</f>
      </c>
      <c r="AX699" s="43">
        <f>IF($A699="","",IF(TRIM(IF($A699="","Missing certificate ref. ","") &amp; IF($C699="","Missing effective date. ","") &amp; IF($D699="","Missing binding status. ","") &amp; IF($E699="","Missing movement type. ","") &amp; IF($I699="","Missing make. ","") &amp; IF($L699="","Missing vehicle class. ","") &amp; IF($M699="","Missing agreed value. ","") &amp; IF($N699="","Missing policy type. ","") &amp; IF($Q699="","Missing garaging state. ","") &amp; IF($R699="","Missing garaging ZIP. ","") &amp; IF($S699="","Missing cat zone. ","") &amp; IF($V699="","Missing valuation basis. ","") &amp; IF($W699="","Missing PD deductible. ","") &amp; IF($X699="","Missing liability limit. ","") &amp; IF($AB699="","Missing technical premium. ","") &amp; IF($AF699="","Missing surplus lines tax %. ",""))="","PASS","FAIL: "&amp;TRIM(IF($A699="","Missing certificate ref. ","") &amp; IF($C699="","Missing effective date. ","") &amp; IF($D699="","Missing binding status. ","") &amp; IF($E699="","Missing movement type. ","") &amp; IF($I699="","Missing make. ","") &amp; IF($L699="","Missing vehicle class. ","") &amp; IF($M699="","Missing agreed value. ","") &amp; IF($N699="","Missing policy type. ","") &amp; IF($Q699="","Missing garaging state. ","") &amp; IF($R699="","Missing garaging ZIP. ","") &amp; IF($S699="","Missing cat zone. ","") &amp; IF($V699="","Missing valuation basis. ","") &amp; IF($W699="","Missing PD deductible. ","") &amp; IF($X699="","Missing liability limit. ","") &amp; IF($AB699="","Missing technical premium. ","") &amp; IF($AF699="","Missing surplus lines tax %. ",""))))</f>
      </c>
      <c r="AY699" s="44">
        <f>IF($M699="","",IF(ISNUMBER($M699),IF($M699&gt;=Header!$C$18,"YES — refer","No"),""))</f>
      </c>
      <c r="AZ699" s="44">
        <f>IF($AD699="","",IF(ISNUMBER($AD699),IF($AD699&lt;Header!$C$20,"BELOW MIN PREMIUM","OK"),""))</f>
      </c>
      <c r="BA699" s="32" t="inlineStr">
        <is>
          <t xml:space="preserve">Yes</t>
        </is>
      </c>
      <c r="BB699" s="32" t="inlineStr">
        <is>
          <t xml:space="preserve">Yes</t>
        </is>
      </c>
      <c r="BC699" s="30" t="inlineStr">
        <is>
          <t xml:space="preserve">Synthetic demo data</t>
        </is>
      </c>
      <c r="BE699" s="45">
        <f>IF(OR($A699="",$L699="",$H699=""),"",IF(AND(LEFT($L699,2)="06",$H699&gt;1945),"FAIL - pre-war class, year "&amp;$H699,IF(AND(LEFT($L699,2)="07",OR($H699&lt;1946,$H699&gt;1972)),"FAIL - 1946-72 class, year "&amp;$H699,IF(AND(LEFT($L699,2)="08",OR($H699&lt;1973,$H699&gt;1999)),"FAIL - 1973-99 class, year "&amp;$H699,IF(AND(LEFT($L699,2)="09",OR($H699&lt;2000,$H699&gt;2010)),"FAIL - 2000-10 class, year "&amp;$H699,"OK")))))</f>
      </c>
      <c r="BF699" s="45">
        <f>IF($AD699="","",IF(ROUND($AO699+$AP699+$AQ699-$AD699,2)=0,"OK","FAIL - out by "&amp;TEXT($AO699+$AP699+$AQ699-$AD699,"$0.00")))</f>
      </c>
    </row>
    <row r="700" spans="1:58" ht="18.75" customHeight="1" x14ac:dyDescent="0.25">
      <c r="A700" s="46" t="inlineStr">
        <is>
          <t xml:space="preserve">CANON-202607-010483</t>
        </is>
      </c>
      <c r="B700" s="46" t="inlineStr">
        <is>
          <t xml:space="preserve">Priya Fairweather</t>
        </is>
      </c>
      <c r="C700" s="47">
        <v>46204</v>
      </c>
      <c r="D700" s="48" t="inlineStr">
        <is>
          <t xml:space="preserve">Bound - within authority</t>
        </is>
      </c>
      <c r="E700" s="48" t="inlineStr">
        <is>
          <t xml:space="preserve">New business</t>
        </is>
      </c>
      <c r="F700" s="46" t="inlineStr">
        <is>
          <t xml:space="preserve">B1234EXOTIC26</t>
        </is>
      </c>
      <c r="G700" s="33">
        <f>IF($A700="","",IF($C700="","",YEAR($C700)))</f>
      </c>
      <c r="H700" s="49">
        <v>1995</v>
      </c>
      <c r="I700" s="46" t="inlineStr">
        <is>
          <t xml:space="preserve">Mercedes-Benz</t>
        </is>
      </c>
      <c r="J700" s="46" t="inlineStr">
        <is>
          <t xml:space="preserve">AMG GT</t>
        </is>
      </c>
      <c r="K700" s="46" t="inlineStr">
        <is>
          <t xml:space="preserve">Z295R7Z76J5GP3XZ7</t>
        </is>
      </c>
      <c r="L700" s="48" t="inlineStr">
        <is>
          <t xml:space="preserve">02 - Sports / GT</t>
        </is>
      </c>
      <c r="M700" s="50">
        <v>300000</v>
      </c>
      <c r="N700" s="48" t="inlineStr">
        <is>
          <t xml:space="preserve">Personal</t>
        </is>
      </c>
      <c r="O700" s="46" t="inlineStr">
        <is>
          <t xml:space="preserve">Personal - regular use</t>
        </is>
      </c>
      <c r="P700" s="46" t="inlineStr">
        <is>
          <t xml:space="preserve">1,000 - 2,500</t>
        </is>
      </c>
      <c r="Q700" s="46" t="inlineStr">
        <is>
          <t xml:space="preserve">Florida</t>
        </is>
      </c>
      <c r="R700" s="46" t="inlineStr">
        <is>
          <t xml:space="preserve">33139</t>
        </is>
      </c>
      <c r="S700" s="48" t="inlineStr">
        <is>
          <t xml:space="preserve">Tier 2 - Coastal wind (1-25 miles)</t>
        </is>
      </c>
      <c r="T700" s="36">
        <f>IF($A700="","",IF($S700="","",IFERROR(INDEX('[1]natural catastrophe'!$D$6:$D$17,MATCH($S700,'[1]natural catastrophe'!$B$6:$B$17,0)),"?")))</f>
      </c>
      <c r="U700" s="46" t="inlineStr">
        <is>
          <t xml:space="preserve">2% of agreed value, minimum $10,000</t>
        </is>
      </c>
      <c r="V700" s="48" t="inlineStr">
        <is>
          <t xml:space="preserve">Agreed Value</t>
        </is>
      </c>
      <c r="W700" s="46" t="inlineStr">
        <is>
          <t xml:space="preserve">$1,000</t>
        </is>
      </c>
      <c r="X700" s="48" t="inlineStr">
        <is>
          <t xml:space="preserve">$1,000,000 CSL</t>
        </is>
      </c>
      <c r="Y700" s="46"/>
      <c r="Z700" s="46"/>
      <c r="AA700" s="48" t="inlineStr">
        <is>
          <t xml:space="preserve">Surplus Lines</t>
        </is>
      </c>
      <c r="AB700" s="50">
        <v>4587.54</v>
      </c>
      <c r="AC700" s="51">
        <v>0</v>
      </c>
      <c r="AD700" s="38">
        <f>IF(ISNUMBER($AB700),$AB700*(1+N($AC700)),"")</f>
      </c>
      <c r="AE700" s="50">
        <v>350</v>
      </c>
      <c r="AF700" s="50">
        <v>0</v>
      </c>
      <c r="AG700" s="51"/>
      <c r="AH700" s="39">
        <f>IF(ISNUMBER($AD700),($AD700+$AE700+$AF700)*$AG700,"")</f>
      </c>
      <c r="AI700" s="50"/>
      <c r="AJ700" s="38">
        <f>IF(ISNUMBER($AD700),SUM($AD700:$AH700),"")</f>
      </c>
      <c r="AK700" s="40">
        <f>IF(AND(ISNUMBER($AB700),ISNUMBER($AD700)),IF($AB700&gt;0,$AD700/$AB700,""),"")</f>
      </c>
      <c r="AL700" s="48" t="inlineStr">
        <is>
          <t xml:space="preserve">At technical</t>
        </is>
      </c>
      <c r="AM700" s="41">
        <f>IF(ISNUMBER($AD700),Header!$I$3,"")</f>
      </c>
      <c r="AN700" s="39">
        <f>IF(ISNUMBER($AD700),$AO700+$AP700,"")</f>
      </c>
      <c r="AO700" s="39">
        <f>IF(ISNUMBER($AD700),ROUND($AD700*Header!$K$3,2),"")</f>
      </c>
      <c r="AP700" s="39">
        <f>IF(ISNUMBER($AD700),ROUND($AD700*Header!$M$3,2),"")</f>
      </c>
      <c r="AQ700" s="38">
        <f>IF(ISNUMBER($AD700),ROUND($AD700,2)-$AO700-$AP700,"")</f>
      </c>
      <c r="AR700" s="39">
        <f>IF(ISNUMBER($AD700),IF(Header!$D$34="","?",$AD700*Header!$D$34),"")</f>
      </c>
      <c r="AS700" s="39">
        <f>IF(ISNUMBER($AB700),IF(Header!$D$34="","?",$AB700*Header!$D$34),"")</f>
      </c>
      <c r="AT700" s="42">
        <f>IF(AND(ISNUMBER($AB700),$M700&gt;0),$AB700/$M700*100,"")</f>
      </c>
      <c r="AU700" s="42">
        <f>IF(AND(ISNUMBER($AD700),$M700&gt;0),$AD700/$M700*100,"")</f>
      </c>
      <c r="AV700" s="40">
        <f>IF(AND(ISNUMBER($AB700),ISNUMBER($AD700),ABS($AB700)&gt;0),$AD700/$AB700,"")</f>
      </c>
      <c r="AW700" s="39">
        <f>IF(ISNUMBER($AD700),MAX(0,(1-0.55-Header!$O$3)*Header!$Q$3*$AQ700),"")</f>
      </c>
      <c r="AX700" s="43">
        <f>IF($A700="","",IF(TRIM(IF($A700="","Missing certificate ref. ","") &amp; IF($C700="","Missing effective date. ","") &amp; IF($D700="","Missing binding status. ","") &amp; IF($E700="","Missing movement type. ","") &amp; IF($I700="","Missing make. ","") &amp; IF($L700="","Missing vehicle class. ","") &amp; IF($M700="","Missing agreed value. ","") &amp; IF($N700="","Missing policy type. ","") &amp; IF($Q700="","Missing garaging state. ","") &amp; IF($R700="","Missing garaging ZIP. ","") &amp; IF($S700="","Missing cat zone. ","") &amp; IF($V700="","Missing valuation basis. ","") &amp; IF($W700="","Missing PD deductible. ","") &amp; IF($X700="","Missing liability limit. ","") &amp; IF($AB700="","Missing technical premium. ","") &amp; IF($AF700="","Missing surplus lines tax %. ",""))="","PASS","FAIL: "&amp;TRIM(IF($A700="","Missing certificate ref. ","") &amp; IF($C700="","Missing effective date. ","") &amp; IF($D700="","Missing binding status. ","") &amp; IF($E700="","Missing movement type. ","") &amp; IF($I700="","Missing make. ","") &amp; IF($L700="","Missing vehicle class. ","") &amp; IF($M700="","Missing agreed value. ","") &amp; IF($N700="","Missing policy type. ","") &amp; IF($Q700="","Missing garaging state. ","") &amp; IF($R700="","Missing garaging ZIP. ","") &amp; IF($S700="","Missing cat zone. ","") &amp; IF($V700="","Missing valuation basis. ","") &amp; IF($W700="","Missing PD deductible. ","") &amp; IF($X700="","Missing liability limit. ","") &amp; IF($AB700="","Missing technical premium. ","") &amp; IF($AF700="","Missing surplus lines tax %. ",""))))</f>
      </c>
      <c r="AY700" s="44">
        <f>IF($M700="","",IF(ISNUMBER($M700),IF($M700&gt;=Header!$C$18,"YES — refer","No"),""))</f>
      </c>
      <c r="AZ700" s="44">
        <f>IF($AD700="","",IF(ISNUMBER($AD700),IF($AD700&lt;Header!$C$20,"BELOW MIN PREMIUM","OK"),""))</f>
      </c>
      <c r="BA700" s="48" t="inlineStr">
        <is>
          <t xml:space="preserve">Yes</t>
        </is>
      </c>
      <c r="BB700" s="48" t="inlineStr">
        <is>
          <t xml:space="preserve">Yes</t>
        </is>
      </c>
      <c r="BC700" s="46" t="inlineStr">
        <is>
          <t xml:space="preserve">Synthetic demo data</t>
        </is>
      </c>
      <c r="BE700" s="45">
        <f>IF(OR($A700="",$L700="",$H700=""),"",IF(AND(LEFT($L700,2)="06",$H700&gt;1945),"FAIL - pre-war class, year "&amp;$H700,IF(AND(LEFT($L700,2)="07",OR($H700&lt;1946,$H700&gt;1972)),"FAIL - 1946-72 class, year "&amp;$H700,IF(AND(LEFT($L700,2)="08",OR($H700&lt;1973,$H700&gt;1999)),"FAIL - 1973-99 class, year "&amp;$H700,IF(AND(LEFT($L700,2)="09",OR($H700&lt;2000,$H700&gt;2010)),"FAIL - 2000-10 class, year "&amp;$H700,"OK")))))</f>
      </c>
      <c r="BF700" s="45">
        <f>IF($AD700="","",IF(ROUND($AO700+$AP700+$AQ700-$AD700,2)=0,"OK","FAIL - out by "&amp;TEXT($AO700+$AP700+$AQ700-$AD700,"$0.00")))</f>
      </c>
    </row>
    <row r="701" spans="1:58" ht="18.75" customHeight="1" x14ac:dyDescent="0.25">
      <c r="A701" s="30" t="inlineStr">
        <is>
          <t xml:space="preserve">CANON-202607-010485</t>
        </is>
      </c>
      <c r="B701" s="30" t="inlineStr">
        <is>
          <t xml:space="preserve">Fitzgerald Montoya</t>
        </is>
      </c>
      <c r="C701" s="31">
        <v>46215</v>
      </c>
      <c r="D701" s="32" t="inlineStr">
        <is>
          <t xml:space="preserve">Bound - within authority</t>
        </is>
      </c>
      <c r="E701" s="32" t="inlineStr">
        <is>
          <t xml:space="preserve">New business</t>
        </is>
      </c>
      <c r="F701" s="30" t="inlineStr">
        <is>
          <t xml:space="preserve">B1234EXOTIC26</t>
        </is>
      </c>
      <c r="G701" s="33">
        <f>IF($A701="","",IF($C701="","",YEAR($C701)))</f>
      </c>
      <c r="H701" s="34">
        <v>1967</v>
      </c>
      <c r="I701" s="30" t="inlineStr">
        <is>
          <t xml:space="preserve">Alfa Romeo</t>
        </is>
      </c>
      <c r="J701" s="30" t="inlineStr">
        <is>
          <t xml:space="preserve">8C 2900</t>
        </is>
      </c>
      <c r="K701" s="30" t="inlineStr">
        <is>
          <t xml:space="preserve">FBGSPC64WBY3SLLN0</t>
        </is>
      </c>
      <c r="L701" s="32" t="inlineStr">
        <is>
          <t xml:space="preserve">07 - Post-War Classic (1946-1972)</t>
        </is>
      </c>
      <c r="M701" s="35">
        <v>715000</v>
      </c>
      <c r="N701" s="32" t="inlineStr">
        <is>
          <t xml:space="preserve">Personal</t>
        </is>
      </c>
      <c r="O701" s="30" t="inlineStr">
        <is>
          <t xml:space="preserve">Personal - regular use</t>
        </is>
      </c>
      <c r="P701" s="30" t="inlineStr">
        <is>
          <t xml:space="preserve">Under 1,000</t>
        </is>
      </c>
      <c r="Q701" s="30" t="inlineStr">
        <is>
          <t xml:space="preserve">Alaska</t>
        </is>
      </c>
      <c r="R701" s="30" t="inlineStr">
        <is>
          <t xml:space="preserve">99501</t>
        </is>
      </c>
      <c r="S701" s="32" t="inlineStr">
        <is>
          <t xml:space="preserve">Earthquake - high (CA, Cascadia, New Madrid)</t>
        </is>
      </c>
      <c r="T701" s="36">
        <f>IF($A701="","",IF($S701="","",IFERROR(INDEX('[1]natural catastrophe'!$D$6:$D$17,MATCH($S701,'[1]natural catastrophe'!$B$6:$B$17,0)),"?")))</f>
      </c>
      <c r="U701" s="30" t="inlineStr">
        <is>
          <t xml:space="preserve">$5,000</t>
        </is>
      </c>
      <c r="V701" s="32" t="inlineStr">
        <is>
          <t xml:space="preserve">Agreed Value</t>
        </is>
      </c>
      <c r="W701" s="30" t="inlineStr">
        <is>
          <t xml:space="preserve">$1,000</t>
        </is>
      </c>
      <c r="X701" s="32" t="inlineStr">
        <is>
          <t xml:space="preserve">$1,000,000 CSL</t>
        </is>
      </c>
      <c r="Y701" s="30"/>
      <c r="Z701" s="30"/>
      <c r="AA701" s="32" t="inlineStr">
        <is>
          <t xml:space="preserve">Surplus Lines</t>
        </is>
      </c>
      <c r="AB701" s="35">
        <v>4447.37</v>
      </c>
      <c r="AC701" s="37">
        <v>0</v>
      </c>
      <c r="AD701" s="38">
        <f>IF(ISNUMBER($AB701),$AB701*(1+N($AC701)),"")</f>
      </c>
      <c r="AE701" s="35">
        <v>350</v>
      </c>
      <c r="AF701" s="35">
        <v>0</v>
      </c>
      <c r="AG701" s="37"/>
      <c r="AH701" s="39">
        <f>IF(ISNUMBER($AD701),($AD701+$AE701+$AF701)*$AG701,"")</f>
      </c>
      <c r="AI701" s="35"/>
      <c r="AJ701" s="38">
        <f>IF(ISNUMBER($AD701),SUM($AD701:$AH701),"")</f>
      </c>
      <c r="AK701" s="40">
        <f>IF(AND(ISNUMBER($AB701),ISNUMBER($AD701)),IF($AB701&gt;0,$AD701/$AB701,""),"")</f>
      </c>
      <c r="AL701" s="32" t="inlineStr">
        <is>
          <t xml:space="preserve">At technical</t>
        </is>
      </c>
      <c r="AM701" s="41">
        <f>IF(ISNUMBER($AD701),Header!$I$3,"")</f>
      </c>
      <c r="AN701" s="39">
        <f>IF(ISNUMBER($AD701),$AO701+$AP701,"")</f>
      </c>
      <c r="AO701" s="39">
        <f>IF(ISNUMBER($AD701),ROUND($AD701*Header!$K$3,2),"")</f>
      </c>
      <c r="AP701" s="39">
        <f>IF(ISNUMBER($AD701),ROUND($AD701*Header!$M$3,2),"")</f>
      </c>
      <c r="AQ701" s="38">
        <f>IF(ISNUMBER($AD701),ROUND($AD701,2)-$AO701-$AP701,"")</f>
      </c>
      <c r="AR701" s="39">
        <f>IF(ISNUMBER($AD701),IF(Header!$D$34="","?",$AD701*Header!$D$34),"")</f>
      </c>
      <c r="AS701" s="39">
        <f>IF(ISNUMBER($AB701),IF(Header!$D$34="","?",$AB701*Header!$D$34),"")</f>
      </c>
      <c r="AT701" s="42">
        <f>IF(AND(ISNUMBER($AB701),$M701&gt;0),$AB701/$M701*100,"")</f>
      </c>
      <c r="AU701" s="42">
        <f>IF(AND(ISNUMBER($AD701),$M701&gt;0),$AD701/$M701*100,"")</f>
      </c>
      <c r="AV701" s="40">
        <f>IF(AND(ISNUMBER($AB701),ISNUMBER($AD701),ABS($AB701)&gt;0),$AD701/$AB701,"")</f>
      </c>
      <c r="AW701" s="39">
        <f>IF(ISNUMBER($AD701),MAX(0,(1-0.55-Header!$O$3)*Header!$Q$3*$AQ701),"")</f>
      </c>
      <c r="AX701" s="43">
        <f>IF($A701="","",IF(TRIM(IF($A701="","Missing certificate ref. ","") &amp; IF($C701="","Missing effective date. ","") &amp; IF($D701="","Missing binding status. ","") &amp; IF($E701="","Missing movement type. ","") &amp; IF($I701="","Missing make. ","") &amp; IF($L701="","Missing vehicle class. ","") &amp; IF($M701="","Missing agreed value. ","") &amp; IF($N701="","Missing policy type. ","") &amp; IF($Q701="","Missing garaging state. ","") &amp; IF($R701="","Missing garaging ZIP. ","") &amp; IF($S701="","Missing cat zone. ","") &amp; IF($V701="","Missing valuation basis. ","") &amp; IF($W701="","Missing PD deductible. ","") &amp; IF($X701="","Missing liability limit. ","") &amp; IF($AB701="","Missing technical premium. ","") &amp; IF($AF701="","Missing surplus lines tax %. ",""))="","PASS","FAIL: "&amp;TRIM(IF($A701="","Missing certificate ref. ","") &amp; IF($C701="","Missing effective date. ","") &amp; IF($D701="","Missing binding status. ","") &amp; IF($E701="","Missing movement type. ","") &amp; IF($I701="","Missing make. ","") &amp; IF($L701="","Missing vehicle class. ","") &amp; IF($M701="","Missing agreed value. ","") &amp; IF($N701="","Missing policy type. ","") &amp; IF($Q701="","Missing garaging state. ","") &amp; IF($R701="","Missing garaging ZIP. ","") &amp; IF($S701="","Missing cat zone. ","") &amp; IF($V701="","Missing valuation basis. ","") &amp; IF($W701="","Missing PD deductible. ","") &amp; IF($X701="","Missing liability limit. ","") &amp; IF($AB701="","Missing technical premium. ","") &amp; IF($AF701="","Missing surplus lines tax %. ",""))))</f>
      </c>
      <c r="AY701" s="44">
        <f>IF($M701="","",IF(ISNUMBER($M701),IF($M701&gt;=Header!$C$18,"YES — refer","No"),""))</f>
      </c>
      <c r="AZ701" s="44">
        <f>IF($AD701="","",IF(ISNUMBER($AD701),IF($AD701&lt;Header!$C$20,"BELOW MIN PREMIUM","OK"),""))</f>
      </c>
      <c r="BA701" s="32" t="inlineStr">
        <is>
          <t xml:space="preserve">Yes</t>
        </is>
      </c>
      <c r="BB701" s="32" t="inlineStr">
        <is>
          <t xml:space="preserve">Yes</t>
        </is>
      </c>
      <c r="BC701" s="30" t="inlineStr">
        <is>
          <t xml:space="preserve">Synthetic demo data</t>
        </is>
      </c>
      <c r="BE701" s="45">
        <f>IF(OR($A701="",$L701="",$H701=""),"",IF(AND(LEFT($L701,2)="06",$H701&gt;1945),"FAIL - pre-war class, year "&amp;$H701,IF(AND(LEFT($L701,2)="07",OR($H701&lt;1946,$H701&gt;1972)),"FAIL - 1946-72 class, year "&amp;$H701,IF(AND(LEFT($L701,2)="08",OR($H701&lt;1973,$H701&gt;1999)),"FAIL - 1973-99 class, year "&amp;$H701,IF(AND(LEFT($L701,2)="09",OR($H701&lt;2000,$H701&gt;2010)),"FAIL - 2000-10 class, year "&amp;$H701,"OK")))))</f>
      </c>
      <c r="BF701" s="45">
        <f>IF($AD701="","",IF(ROUND($AO701+$AP701+$AQ701-$AD701,2)=0,"OK","FAIL - out by "&amp;TEXT($AO701+$AP701+$AQ701-$AD701,"$0.00")))</f>
      </c>
    </row>
    <row r="702" spans="1:58" ht="18.75" customHeight="1" x14ac:dyDescent="0.25">
      <c r="A702" s="46" t="inlineStr">
        <is>
          <t xml:space="preserve">CANON-202607-010487</t>
        </is>
      </c>
      <c r="B702" s="46" t="inlineStr">
        <is>
          <t xml:space="preserve">Thaddeus Castellanos</t>
        </is>
      </c>
      <c r="C702" s="47">
        <v>46223</v>
      </c>
      <c r="D702" s="48" t="inlineStr">
        <is>
          <t xml:space="preserve">Bound - within authority</t>
        </is>
      </c>
      <c r="E702" s="48" t="inlineStr">
        <is>
          <t xml:space="preserve">New business</t>
        </is>
      </c>
      <c r="F702" s="46" t="inlineStr">
        <is>
          <t xml:space="preserve">B1234EXOTIC26</t>
        </is>
      </c>
      <c r="G702" s="33">
        <f>IF($A702="","",IF($C702="","",YEAR($C702)))</f>
      </c>
      <c r="H702" s="49">
        <v>1996</v>
      </c>
      <c r="I702" s="46" t="inlineStr">
        <is>
          <t xml:space="preserve">Lamborghini</t>
        </is>
      </c>
      <c r="J702" s="46" t="inlineStr">
        <is>
          <t xml:space="preserve">Huracan EVO</t>
        </is>
      </c>
      <c r="K702" s="46" t="inlineStr">
        <is>
          <t xml:space="preserve">3H8MKTCJZM9J7AFDM</t>
        </is>
      </c>
      <c r="L702" s="48" t="inlineStr">
        <is>
          <t xml:space="preserve">03 - Supercar</t>
        </is>
      </c>
      <c r="M702" s="50">
        <v>565000</v>
      </c>
      <c r="N702" s="48" t="inlineStr">
        <is>
          <t xml:space="preserve">Personal</t>
        </is>
      </c>
      <c r="O702" s="46" t="inlineStr">
        <is>
          <t xml:space="preserve">Personal - regular use</t>
        </is>
      </c>
      <c r="P702" s="46" t="inlineStr">
        <is>
          <t xml:space="preserve">Under 1,000</t>
        </is>
      </c>
      <c r="Q702" s="46" t="inlineStr">
        <is>
          <t xml:space="preserve">Alaska</t>
        </is>
      </c>
      <c r="R702" s="46" t="inlineStr">
        <is>
          <t xml:space="preserve">99501</t>
        </is>
      </c>
      <c r="S702" s="48" t="inlineStr">
        <is>
          <t xml:space="preserve">Earthquake - high (CA, Cascadia, New Madrid)</t>
        </is>
      </c>
      <c r="T702" s="36">
        <f>IF($A702="","",IF($S702="","",IFERROR(INDEX('[1]natural catastrophe'!$D$6:$D$17,MATCH($S702,'[1]natural catastrophe'!$B$6:$B$17,0)),"?")))</f>
      </c>
      <c r="U702" s="46" t="inlineStr">
        <is>
          <t xml:space="preserve">$5,000</t>
        </is>
      </c>
      <c r="V702" s="48" t="inlineStr">
        <is>
          <t xml:space="preserve">Agreed Value</t>
        </is>
      </c>
      <c r="W702" s="46" t="inlineStr">
        <is>
          <t xml:space="preserve">$1,000</t>
        </is>
      </c>
      <c r="X702" s="48" t="inlineStr">
        <is>
          <t xml:space="preserve">$1,000,000 CSL</t>
        </is>
      </c>
      <c r="Y702" s="46"/>
      <c r="Z702" s="46"/>
      <c r="AA702" s="48" t="inlineStr">
        <is>
          <t xml:space="preserve">Surplus Lines</t>
        </is>
      </c>
      <c r="AB702" s="50">
        <v>8785.89</v>
      </c>
      <c r="AC702" s="51">
        <v>0</v>
      </c>
      <c r="AD702" s="38">
        <f>IF(ISNUMBER($AB702),$AB702*(1+N($AC702)),"")</f>
      </c>
      <c r="AE702" s="50">
        <v>350</v>
      </c>
      <c r="AF702" s="50">
        <v>0</v>
      </c>
      <c r="AG702" s="51"/>
      <c r="AH702" s="39">
        <f>IF(ISNUMBER($AD702),($AD702+$AE702+$AF702)*$AG702,"")</f>
      </c>
      <c r="AI702" s="50"/>
      <c r="AJ702" s="38">
        <f>IF(ISNUMBER($AD702),SUM($AD702:$AH702),"")</f>
      </c>
      <c r="AK702" s="40">
        <f>IF(AND(ISNUMBER($AB702),ISNUMBER($AD702)),IF($AB702&gt;0,$AD702/$AB702,""),"")</f>
      </c>
      <c r="AL702" s="48" t="inlineStr">
        <is>
          <t xml:space="preserve">At technical</t>
        </is>
      </c>
      <c r="AM702" s="41">
        <f>IF(ISNUMBER($AD702),Header!$I$3,"")</f>
      </c>
      <c r="AN702" s="39">
        <f>IF(ISNUMBER($AD702),$AO702+$AP702,"")</f>
      </c>
      <c r="AO702" s="39">
        <f>IF(ISNUMBER($AD702),ROUND($AD702*Header!$K$3,2),"")</f>
      </c>
      <c r="AP702" s="39">
        <f>IF(ISNUMBER($AD702),ROUND($AD702*Header!$M$3,2),"")</f>
      </c>
      <c r="AQ702" s="38">
        <f>IF(ISNUMBER($AD702),ROUND($AD702,2)-$AO702-$AP702,"")</f>
      </c>
      <c r="AR702" s="39">
        <f>IF(ISNUMBER($AD702),IF(Header!$D$34="","?",$AD702*Header!$D$34),"")</f>
      </c>
      <c r="AS702" s="39">
        <f>IF(ISNUMBER($AB702),IF(Header!$D$34="","?",$AB702*Header!$D$34),"")</f>
      </c>
      <c r="AT702" s="42">
        <f>IF(AND(ISNUMBER($AB702),$M702&gt;0),$AB702/$M702*100,"")</f>
      </c>
      <c r="AU702" s="42">
        <f>IF(AND(ISNUMBER($AD702),$M702&gt;0),$AD702/$M702*100,"")</f>
      </c>
      <c r="AV702" s="40">
        <f>IF(AND(ISNUMBER($AB702),ISNUMBER($AD702),ABS($AB702)&gt;0),$AD702/$AB702,"")</f>
      </c>
      <c r="AW702" s="39">
        <f>IF(ISNUMBER($AD702),MAX(0,(1-0.55-Header!$O$3)*Header!$Q$3*$AQ702),"")</f>
      </c>
      <c r="AX702" s="43">
        <f>IF($A702="","",IF(TRIM(IF($A702="","Missing certificate ref. ","") &amp; IF($C702="","Missing effective date. ","") &amp; IF($D702="","Missing binding status. ","") &amp; IF($E702="","Missing movement type. ","") &amp; IF($I702="","Missing make. ","") &amp; IF($L702="","Missing vehicle class. ","") &amp; IF($M702="","Missing agreed value. ","") &amp; IF($N702="","Missing policy type. ","") &amp; IF($Q702="","Missing garaging state. ","") &amp; IF($R702="","Missing garaging ZIP. ","") &amp; IF($S702="","Missing cat zone. ","") &amp; IF($V702="","Missing valuation basis. ","") &amp; IF($W702="","Missing PD deductible. ","") &amp; IF($X702="","Missing liability limit. ","") &amp; IF($AB702="","Missing technical premium. ","") &amp; IF($AF702="","Missing surplus lines tax %. ",""))="","PASS","FAIL: "&amp;TRIM(IF($A702="","Missing certificate ref. ","") &amp; IF($C702="","Missing effective date. ","") &amp; IF($D702="","Missing binding status. ","") &amp; IF($E702="","Missing movement type. ","") &amp; IF($I702="","Missing make. ","") &amp; IF($L702="","Missing vehicle class. ","") &amp; IF($M702="","Missing agreed value. ","") &amp; IF($N702="","Missing policy type. ","") &amp; IF($Q702="","Missing garaging state. ","") &amp; IF($R702="","Missing garaging ZIP. ","") &amp; IF($S702="","Missing cat zone. ","") &amp; IF($V702="","Missing valuation basis. ","") &amp; IF($W702="","Missing PD deductible. ","") &amp; IF($X702="","Missing liability limit. ","") &amp; IF($AB702="","Missing technical premium. ","") &amp; IF($AF702="","Missing surplus lines tax %. ",""))))</f>
      </c>
      <c r="AY702" s="44">
        <f>IF($M702="","",IF(ISNUMBER($M702),IF($M702&gt;=Header!$C$18,"YES — refer","No"),""))</f>
      </c>
      <c r="AZ702" s="44">
        <f>IF($AD702="","",IF(ISNUMBER($AD702),IF($AD702&lt;Header!$C$20,"BELOW MIN PREMIUM","OK"),""))</f>
      </c>
      <c r="BA702" s="48" t="inlineStr">
        <is>
          <t xml:space="preserve">Yes</t>
        </is>
      </c>
      <c r="BB702" s="48" t="inlineStr">
        <is>
          <t xml:space="preserve">Yes</t>
        </is>
      </c>
      <c r="BC702" s="46" t="inlineStr">
        <is>
          <t xml:space="preserve">Synthetic demo data</t>
        </is>
      </c>
      <c r="BE702" s="45">
        <f>IF(OR($A702="",$L702="",$H702=""),"",IF(AND(LEFT($L702,2)="06",$H702&gt;1945),"FAIL - pre-war class, year "&amp;$H702,IF(AND(LEFT($L702,2)="07",OR($H702&lt;1946,$H702&gt;1972)),"FAIL - 1946-72 class, year "&amp;$H702,IF(AND(LEFT($L702,2)="08",OR($H702&lt;1973,$H702&gt;1999)),"FAIL - 1973-99 class, year "&amp;$H702,IF(AND(LEFT($L702,2)="09",OR($H702&lt;2000,$H702&gt;2010)),"FAIL - 2000-10 class, year "&amp;$H702,"OK")))))</f>
      </c>
      <c r="BF702" s="45">
        <f>IF($AD702="","",IF(ROUND($AO702+$AP702+$AQ702-$AD702,2)=0,"OK","FAIL - out by "&amp;TEXT($AO702+$AP702+$AQ702-$AD702,"$0.00")))</f>
      </c>
    </row>
    <row r="703" spans="1:58" ht="18.75" customHeight="1" x14ac:dyDescent="0.25">
      <c r="A703" s="30" t="inlineStr">
        <is>
          <t xml:space="preserve">CANON-202607-010488</t>
        </is>
      </c>
      <c r="B703" s="30" t="inlineStr">
        <is>
          <t xml:space="preserve">Desmond Kingsford</t>
        </is>
      </c>
      <c r="C703" s="31">
        <v>46218</v>
      </c>
      <c r="D703" s="32" t="inlineStr">
        <is>
          <t xml:space="preserve">Bound - within authority</t>
        </is>
      </c>
      <c r="E703" s="32" t="inlineStr">
        <is>
          <t xml:space="preserve">New business</t>
        </is>
      </c>
      <c r="F703" s="30" t="inlineStr">
        <is>
          <t xml:space="preserve">B1234EXOTIC26</t>
        </is>
      </c>
      <c r="G703" s="33">
        <f>IF($A703="","",IF($C703="","",YEAR($C703)))</f>
      </c>
      <c r="H703" s="34">
        <v>1990</v>
      </c>
      <c r="I703" s="30" t="inlineStr">
        <is>
          <t xml:space="preserve">Ferrari</t>
        </is>
      </c>
      <c r="J703" s="30" t="inlineStr">
        <is>
          <t xml:space="preserve">SF90 Stradale</t>
        </is>
      </c>
      <c r="K703" s="30" t="inlineStr">
        <is>
          <t xml:space="preserve">F9SLN5YJP84C4G4HJ</t>
        </is>
      </c>
      <c r="L703" s="32" t="inlineStr">
        <is>
          <t xml:space="preserve">03 - Supercar</t>
        </is>
      </c>
      <c r="M703" s="35">
        <v>310000</v>
      </c>
      <c r="N703" s="32" t="inlineStr">
        <is>
          <t xml:space="preserve">Personal</t>
        </is>
      </c>
      <c r="O703" s="30" t="inlineStr">
        <is>
          <t xml:space="preserve">Personal - regular use</t>
        </is>
      </c>
      <c r="P703" s="30" t="inlineStr">
        <is>
          <t xml:space="preserve">1,000 - 2,500</t>
        </is>
      </c>
      <c r="Q703" s="30" t="inlineStr">
        <is>
          <t xml:space="preserve">Minnesota</t>
        </is>
      </c>
      <c r="R703" s="30" t="inlineStr">
        <is>
          <t xml:space="preserve">55401</t>
        </is>
      </c>
      <c r="S703" s="32" t="inlineStr">
        <is>
          <t xml:space="preserve">Severe convective - hail / tornado (moderate)</t>
        </is>
      </c>
      <c r="T703" s="36">
        <f>IF($A703="","",IF($S703="","",IFERROR(INDEX('[1]natural catastrophe'!$D$6:$D$17,MATCH($S703,'[1]natural catastrophe'!$B$6:$B$17,0)),"?")))</f>
      </c>
      <c r="U703" s="30" t="inlineStr">
        <is>
          <t xml:space="preserve">$5,000</t>
        </is>
      </c>
      <c r="V703" s="32" t="inlineStr">
        <is>
          <t xml:space="preserve">Agreed Value</t>
        </is>
      </c>
      <c r="W703" s="30" t="inlineStr">
        <is>
          <t xml:space="preserve">$1,000</t>
        </is>
      </c>
      <c r="X703" s="32" t="inlineStr">
        <is>
          <t xml:space="preserve">$1,000,000 CSL</t>
        </is>
      </c>
      <c r="Y703" s="30"/>
      <c r="Z703" s="30"/>
      <c r="AA703" s="32" t="inlineStr">
        <is>
          <t xml:space="preserve">Surplus Lines</t>
        </is>
      </c>
      <c r="AB703" s="35">
        <v>6756.82</v>
      </c>
      <c r="AC703" s="37">
        <v>0</v>
      </c>
      <c r="AD703" s="38">
        <f>IF(ISNUMBER($AB703),$AB703*(1+N($AC703)),"")</f>
      </c>
      <c r="AE703" s="35">
        <v>350</v>
      </c>
      <c r="AF703" s="35">
        <v>0</v>
      </c>
      <c r="AG703" s="37"/>
      <c r="AH703" s="39">
        <f>IF(ISNUMBER($AD703),($AD703+$AE703+$AF703)*$AG703,"")</f>
      </c>
      <c r="AI703" s="35"/>
      <c r="AJ703" s="38">
        <f>IF(ISNUMBER($AD703),SUM($AD703:$AH703),"")</f>
      </c>
      <c r="AK703" s="40">
        <f>IF(AND(ISNUMBER($AB703),ISNUMBER($AD703)),IF($AB703&gt;0,$AD703/$AB703,""),"")</f>
      </c>
      <c r="AL703" s="32" t="inlineStr">
        <is>
          <t xml:space="preserve">At technical</t>
        </is>
      </c>
      <c r="AM703" s="41">
        <f>IF(ISNUMBER($AD703),Header!$I$3,"")</f>
      </c>
      <c r="AN703" s="39">
        <f>IF(ISNUMBER($AD703),$AO703+$AP703,"")</f>
      </c>
      <c r="AO703" s="39">
        <f>IF(ISNUMBER($AD703),ROUND($AD703*Header!$K$3,2),"")</f>
      </c>
      <c r="AP703" s="39">
        <f>IF(ISNUMBER($AD703),ROUND($AD703*Header!$M$3,2),"")</f>
      </c>
      <c r="AQ703" s="38">
        <f>IF(ISNUMBER($AD703),ROUND($AD703,2)-$AO703-$AP703,"")</f>
      </c>
      <c r="AR703" s="39">
        <f>IF(ISNUMBER($AD703),IF(Header!$D$34="","?",$AD703*Header!$D$34),"")</f>
      </c>
      <c r="AS703" s="39">
        <f>IF(ISNUMBER($AB703),IF(Header!$D$34="","?",$AB703*Header!$D$34),"")</f>
      </c>
      <c r="AT703" s="42">
        <f>IF(AND(ISNUMBER($AB703),$M703&gt;0),$AB703/$M703*100,"")</f>
      </c>
      <c r="AU703" s="42">
        <f>IF(AND(ISNUMBER($AD703),$M703&gt;0),$AD703/$M703*100,"")</f>
      </c>
      <c r="AV703" s="40">
        <f>IF(AND(ISNUMBER($AB703),ISNUMBER($AD703),ABS($AB703)&gt;0),$AD703/$AB703,"")</f>
      </c>
      <c r="AW703" s="39">
        <f>IF(ISNUMBER($AD703),MAX(0,(1-0.55-Header!$O$3)*Header!$Q$3*$AQ703),"")</f>
      </c>
      <c r="AX703" s="43">
        <f>IF($A703="","",IF(TRIM(IF($A703="","Missing certificate ref. ","") &amp; IF($C703="","Missing effective date. ","") &amp; IF($D703="","Missing binding status. ","") &amp; IF($E703="","Missing movement type. ","") &amp; IF($I703="","Missing make. ","") &amp; IF($L703="","Missing vehicle class. ","") &amp; IF($M703="","Missing agreed value. ","") &amp; IF($N703="","Missing policy type. ","") &amp; IF($Q703="","Missing garaging state. ","") &amp; IF($R703="","Missing garaging ZIP. ","") &amp; IF($S703="","Missing cat zone. ","") &amp; IF($V703="","Missing valuation basis. ","") &amp; IF($W703="","Missing PD deductible. ","") &amp; IF($X703="","Missing liability limit. ","") &amp; IF($AB703="","Missing technical premium. ","") &amp; IF($AF703="","Missing surplus lines tax %. ",""))="","PASS","FAIL: "&amp;TRIM(IF($A703="","Missing certificate ref. ","") &amp; IF($C703="","Missing effective date. ","") &amp; IF($D703="","Missing binding status. ","") &amp; IF($E703="","Missing movement type. ","") &amp; IF($I703="","Missing make. ","") &amp; IF($L703="","Missing vehicle class. ","") &amp; IF($M703="","Missing agreed value. ","") &amp; IF($N703="","Missing policy type. ","") &amp; IF($Q703="","Missing garaging state. ","") &amp; IF($R703="","Missing garaging ZIP. ","") &amp; IF($S703="","Missing cat zone. ","") &amp; IF($V703="","Missing valuation basis. ","") &amp; IF($W703="","Missing PD deductible. ","") &amp; IF($X703="","Missing liability limit. ","") &amp; IF($AB703="","Missing technical premium. ","") &amp; IF($AF703="","Missing surplus lines tax %. ",""))))</f>
      </c>
      <c r="AY703" s="44">
        <f>IF($M703="","",IF(ISNUMBER($M703),IF($M703&gt;=Header!$C$18,"YES — refer","No"),""))</f>
      </c>
      <c r="AZ703" s="44">
        <f>IF($AD703="","",IF(ISNUMBER($AD703),IF($AD703&lt;Header!$C$20,"BELOW MIN PREMIUM","OK"),""))</f>
      </c>
      <c r="BA703" s="32" t="inlineStr">
        <is>
          <t xml:space="preserve">Yes</t>
        </is>
      </c>
      <c r="BB703" s="32" t="inlineStr">
        <is>
          <t xml:space="preserve">Yes</t>
        </is>
      </c>
      <c r="BC703" s="30" t="inlineStr">
        <is>
          <t xml:space="preserve">Synthetic demo data</t>
        </is>
      </c>
      <c r="BE703" s="45">
        <f>IF(OR($A703="",$L703="",$H703=""),"",IF(AND(LEFT($L703,2)="06",$H703&gt;1945),"FAIL - pre-war class, year "&amp;$H703,IF(AND(LEFT($L703,2)="07",OR($H703&lt;1946,$H703&gt;1972)),"FAIL - 1946-72 class, year "&amp;$H703,IF(AND(LEFT($L703,2)="08",OR($H703&lt;1973,$H703&gt;1999)),"FAIL - 1973-99 class, year "&amp;$H703,IF(AND(LEFT($L703,2)="09",OR($H703&lt;2000,$H703&gt;2010)),"FAIL - 2000-10 class, year "&amp;$H703,"OK")))))</f>
      </c>
      <c r="BF703" s="45">
        <f>IF($AD703="","",IF(ROUND($AO703+$AP703+$AQ703-$AD703,2)=0,"OK","FAIL - out by "&amp;TEXT($AO703+$AP703+$AQ703-$AD703,"$0.00")))</f>
      </c>
    </row>
    <row r="704" spans="1:58" ht="18.75" customHeight="1" x14ac:dyDescent="0.25">
      <c r="A704" s="46" t="inlineStr">
        <is>
          <t xml:space="preserve">CANON-202607-010489</t>
        </is>
      </c>
      <c r="B704" s="46" t="inlineStr">
        <is>
          <t xml:space="preserve">Anouk Rourke</t>
        </is>
      </c>
      <c r="C704" s="47">
        <v>46209</v>
      </c>
      <c r="D704" s="48" t="inlineStr">
        <is>
          <t xml:space="preserve">Bound - within authority</t>
        </is>
      </c>
      <c r="E704" s="48" t="inlineStr">
        <is>
          <t xml:space="preserve">New business</t>
        </is>
      </c>
      <c r="F704" s="46" t="inlineStr">
        <is>
          <t xml:space="preserve">B1234EXOTIC26</t>
        </is>
      </c>
      <c r="G704" s="33">
        <f>IF($A704="","",IF($C704="","",YEAR($C704)))</f>
      </c>
      <c r="H704" s="49">
        <v>2017</v>
      </c>
      <c r="I704" s="46" t="inlineStr">
        <is>
          <t xml:space="preserve">Ferrari</t>
        </is>
      </c>
      <c r="J704" s="46" t="inlineStr">
        <is>
          <t xml:space="preserve">SF90 Stradale</t>
        </is>
      </c>
      <c r="K704" s="46" t="inlineStr">
        <is>
          <t xml:space="preserve">BN0Z8HNAYKDB1UD75</t>
        </is>
      </c>
      <c r="L704" s="48" t="inlineStr">
        <is>
          <t xml:space="preserve">03 - Supercar</t>
        </is>
      </c>
      <c r="M704" s="50">
        <v>1490000</v>
      </c>
      <c r="N704" s="48" t="inlineStr">
        <is>
          <t xml:space="preserve">Personal</t>
        </is>
      </c>
      <c r="O704" s="46" t="inlineStr">
        <is>
          <t xml:space="preserve">Personal - regular use</t>
        </is>
      </c>
      <c r="P704" s="46" t="inlineStr">
        <is>
          <t xml:space="preserve">2,500 - 5,000</t>
        </is>
      </c>
      <c r="Q704" s="46" t="inlineStr">
        <is>
          <t xml:space="preserve">Connecticut</t>
        </is>
      </c>
      <c r="R704" s="46" t="inlineStr">
        <is>
          <t xml:space="preserve">06103</t>
        </is>
      </c>
      <c r="S704" s="48" t="inlineStr">
        <is>
          <t xml:space="preserve">Tier 3 - Coastal wind (25-100 miles)</t>
        </is>
      </c>
      <c r="T704" s="36">
        <f>IF($A704="","",IF($S704="","",IFERROR(INDEX('[1]natural catastrophe'!$D$6:$D$17,MATCH($S704,'[1]natural catastrophe'!$B$6:$B$17,0)),"?")))</f>
      </c>
      <c r="U704" s="46" t="inlineStr">
        <is>
          <t xml:space="preserve">2% of agreed value, minimum $10,000</t>
        </is>
      </c>
      <c r="V704" s="48" t="inlineStr">
        <is>
          <t xml:space="preserve">Agreed Value</t>
        </is>
      </c>
      <c r="W704" s="46" t="inlineStr">
        <is>
          <t xml:space="preserve">$1,000</t>
        </is>
      </c>
      <c r="X704" s="48" t="inlineStr">
        <is>
          <t xml:space="preserve">$1,000,000 CSL</t>
        </is>
      </c>
      <c r="Y704" s="46"/>
      <c r="Z704" s="46"/>
      <c r="AA704" s="48" t="inlineStr">
        <is>
          <t xml:space="preserve">Surplus Lines</t>
        </is>
      </c>
      <c r="AB704" s="50">
        <v>19169.16</v>
      </c>
      <c r="AC704" s="51">
        <v>0</v>
      </c>
      <c r="AD704" s="38">
        <f>IF(ISNUMBER($AB704),$AB704*(1+N($AC704)),"")</f>
      </c>
      <c r="AE704" s="50">
        <v>350</v>
      </c>
      <c r="AF704" s="50">
        <v>250</v>
      </c>
      <c r="AG704" s="51"/>
      <c r="AH704" s="39">
        <f>IF(ISNUMBER($AD704),($AD704+$AE704+$AF704)*$AG704,"")</f>
      </c>
      <c r="AI704" s="50"/>
      <c r="AJ704" s="38">
        <f>IF(ISNUMBER($AD704),SUM($AD704:$AH704),"")</f>
      </c>
      <c r="AK704" s="40">
        <f>IF(AND(ISNUMBER($AB704),ISNUMBER($AD704)),IF($AB704&gt;0,$AD704/$AB704,""),"")</f>
      </c>
      <c r="AL704" s="48" t="inlineStr">
        <is>
          <t xml:space="preserve">At technical</t>
        </is>
      </c>
      <c r="AM704" s="41">
        <f>IF(ISNUMBER($AD704),Header!$I$3,"")</f>
      </c>
      <c r="AN704" s="39">
        <f>IF(ISNUMBER($AD704),$AO704+$AP704,"")</f>
      </c>
      <c r="AO704" s="39">
        <f>IF(ISNUMBER($AD704),ROUND($AD704*Header!$K$3,2),"")</f>
      </c>
      <c r="AP704" s="39">
        <f>IF(ISNUMBER($AD704),ROUND($AD704*Header!$M$3,2),"")</f>
      </c>
      <c r="AQ704" s="38">
        <f>IF(ISNUMBER($AD704),ROUND($AD704,2)-$AO704-$AP704,"")</f>
      </c>
      <c r="AR704" s="39">
        <f>IF(ISNUMBER($AD704),IF(Header!$D$34="","?",$AD704*Header!$D$34),"")</f>
      </c>
      <c r="AS704" s="39">
        <f>IF(ISNUMBER($AB704),IF(Header!$D$34="","?",$AB704*Header!$D$34),"")</f>
      </c>
      <c r="AT704" s="42">
        <f>IF(AND(ISNUMBER($AB704),$M704&gt;0),$AB704/$M704*100,"")</f>
      </c>
      <c r="AU704" s="42">
        <f>IF(AND(ISNUMBER($AD704),$M704&gt;0),$AD704/$M704*100,"")</f>
      </c>
      <c r="AV704" s="40">
        <f>IF(AND(ISNUMBER($AB704),ISNUMBER($AD704),ABS($AB704)&gt;0),$AD704/$AB704,"")</f>
      </c>
      <c r="AW704" s="39">
        <f>IF(ISNUMBER($AD704),MAX(0,(1-0.55-Header!$O$3)*Header!$Q$3*$AQ704),"")</f>
      </c>
      <c r="AX704" s="43">
        <f>IF($A704="","",IF(TRIM(IF($A704="","Missing certificate ref. ","") &amp; IF($C704="","Missing effective date. ","") &amp; IF($D704="","Missing binding status. ","") &amp; IF($E704="","Missing movement type. ","") &amp; IF($I704="","Missing make. ","") &amp; IF($L704="","Missing vehicle class. ","") &amp; IF($M704="","Missing agreed value. ","") &amp; IF($N704="","Missing policy type. ","") &amp; IF($Q704="","Missing garaging state. ","") &amp; IF($R704="","Missing garaging ZIP. ","") &amp; IF($S704="","Missing cat zone. ","") &amp; IF($V704="","Missing valuation basis. ","") &amp; IF($W704="","Missing PD deductible. ","") &amp; IF($X704="","Missing liability limit. ","") &amp; IF($AB704="","Missing technical premium. ","") &amp; IF($AF704="","Missing surplus lines tax %. ",""))="","PASS","FAIL: "&amp;TRIM(IF($A704="","Missing certificate ref. ","") &amp; IF($C704="","Missing effective date. ","") &amp; IF($D704="","Missing binding status. ","") &amp; IF($E704="","Missing movement type. ","") &amp; IF($I704="","Missing make. ","") &amp; IF($L704="","Missing vehicle class. ","") &amp; IF($M704="","Missing agreed value. ","") &amp; IF($N704="","Missing policy type. ","") &amp; IF($Q704="","Missing garaging state. ","") &amp; IF($R704="","Missing garaging ZIP. ","") &amp; IF($S704="","Missing cat zone. ","") &amp; IF($V704="","Missing valuation basis. ","") &amp; IF($W704="","Missing PD deductible. ","") &amp; IF($X704="","Missing liability limit. ","") &amp; IF($AB704="","Missing technical premium. ","") &amp; IF($AF704="","Missing surplus lines tax %. ",""))))</f>
      </c>
      <c r="AY704" s="44">
        <f>IF($M704="","",IF(ISNUMBER($M704),IF($M704&gt;=Header!$C$18,"YES — refer","No"),""))</f>
      </c>
      <c r="AZ704" s="44">
        <f>IF($AD704="","",IF(ISNUMBER($AD704),IF($AD704&lt;Header!$C$20,"BELOW MIN PREMIUM","OK"),""))</f>
      </c>
      <c r="BA704" s="48" t="inlineStr">
        <is>
          <t xml:space="preserve">Yes</t>
        </is>
      </c>
      <c r="BB704" s="48" t="inlineStr">
        <is>
          <t xml:space="preserve">Yes</t>
        </is>
      </c>
      <c r="BC704" s="46" t="inlineStr">
        <is>
          <t xml:space="preserve">Synthetic demo data</t>
        </is>
      </c>
      <c r="BE704" s="45">
        <f>IF(OR($A704="",$L704="",$H704=""),"",IF(AND(LEFT($L704,2)="06",$H704&gt;1945),"FAIL - pre-war class, year "&amp;$H704,IF(AND(LEFT($L704,2)="07",OR($H704&lt;1946,$H704&gt;1972)),"FAIL - 1946-72 class, year "&amp;$H704,IF(AND(LEFT($L704,2)="08",OR($H704&lt;1973,$H704&gt;1999)),"FAIL - 1973-99 class, year "&amp;$H704,IF(AND(LEFT($L704,2)="09",OR($H704&lt;2000,$H704&gt;2010)),"FAIL - 2000-10 class, year "&amp;$H704,"OK")))))</f>
      </c>
      <c r="BF704" s="45">
        <f>IF($AD704="","",IF(ROUND($AO704+$AP704+$AQ704-$AD704,2)=0,"OK","FAIL - out by "&amp;TEXT($AO704+$AP704+$AQ704-$AD704,"$0.00")))</f>
      </c>
    </row>
    <row r="705" spans="1:58" ht="18.75" customHeight="1" x14ac:dyDescent="0.25">
      <c r="A705" s="30" t="inlineStr">
        <is>
          <t xml:space="preserve">CANON-202607-010492</t>
        </is>
      </c>
      <c r="B705" s="30" t="inlineStr">
        <is>
          <t xml:space="preserve">Ottilie Rourke</t>
        </is>
      </c>
      <c r="C705" s="31">
        <v>46233</v>
      </c>
      <c r="D705" s="32" t="inlineStr">
        <is>
          <t xml:space="preserve">Bound - within authority</t>
        </is>
      </c>
      <c r="E705" s="32" t="inlineStr">
        <is>
          <t xml:space="preserve">New business</t>
        </is>
      </c>
      <c r="F705" s="30" t="inlineStr">
        <is>
          <t xml:space="preserve">B1234EXOTIC26</t>
        </is>
      </c>
      <c r="G705" s="33">
        <f>IF($A705="","",IF($C705="","",YEAR($C705)))</f>
      </c>
      <c r="H705" s="34">
        <v>2006</v>
      </c>
      <c r="I705" s="30" t="inlineStr">
        <is>
          <t xml:space="preserve">Mercedes-Benz</t>
        </is>
      </c>
      <c r="J705" s="30" t="inlineStr">
        <is>
          <t xml:space="preserve">AMG GT</t>
        </is>
      </c>
      <c r="K705" s="30" t="inlineStr">
        <is>
          <t xml:space="preserve">FJSDYUR4EDFMV63GR</t>
        </is>
      </c>
      <c r="L705" s="32" t="inlineStr">
        <is>
          <t xml:space="preserve">02 - Sports / GT</t>
        </is>
      </c>
      <c r="M705" s="35">
        <v>1345000</v>
      </c>
      <c r="N705" s="32" t="inlineStr">
        <is>
          <t xml:space="preserve">Personal</t>
        </is>
      </c>
      <c r="O705" s="30" t="inlineStr">
        <is>
          <t xml:space="preserve">Personal - regular use</t>
        </is>
      </c>
      <c r="P705" s="30" t="inlineStr">
        <is>
          <t xml:space="preserve">2,500 - 5,000</t>
        </is>
      </c>
      <c r="Q705" s="30" t="inlineStr">
        <is>
          <t xml:space="preserve">California</t>
        </is>
      </c>
      <c r="R705" s="30" t="inlineStr">
        <is>
          <t xml:space="preserve">90012</t>
        </is>
      </c>
      <c r="S705" s="32" t="inlineStr">
        <is>
          <t xml:space="preserve">Earthquake - high (CA, Cascadia, New Madrid)</t>
        </is>
      </c>
      <c r="T705" s="36">
        <f>IF($A705="","",IF($S705="","",IFERROR(INDEX('[1]natural catastrophe'!$D$6:$D$17,MATCH($S705,'[1]natural catastrophe'!$B$6:$B$17,0)),"?")))</f>
      </c>
      <c r="U705" s="30" t="inlineStr">
        <is>
          <t xml:space="preserve">$5,000</t>
        </is>
      </c>
      <c r="V705" s="32" t="inlineStr">
        <is>
          <t xml:space="preserve">Agreed Value</t>
        </is>
      </c>
      <c r="W705" s="30" t="inlineStr">
        <is>
          <t xml:space="preserve">$1,000</t>
        </is>
      </c>
      <c r="X705" s="32" t="inlineStr">
        <is>
          <t xml:space="preserve">$1,000,000 CSL</t>
        </is>
      </c>
      <c r="Y705" s="30"/>
      <c r="Z705" s="30"/>
      <c r="AA705" s="32" t="inlineStr">
        <is>
          <t xml:space="preserve">Surplus Lines</t>
        </is>
      </c>
      <c r="AB705" s="35">
        <v>14339.29</v>
      </c>
      <c r="AC705" s="37">
        <v>0</v>
      </c>
      <c r="AD705" s="38">
        <f>IF(ISNUMBER($AB705),$AB705*(1+N($AC705)),"")</f>
      </c>
      <c r="AE705" s="35">
        <v>350</v>
      </c>
      <c r="AF705" s="35">
        <v>250</v>
      </c>
      <c r="AG705" s="37"/>
      <c r="AH705" s="39">
        <f>IF(ISNUMBER($AD705),($AD705+$AE705+$AF705)*$AG705,"")</f>
      </c>
      <c r="AI705" s="35"/>
      <c r="AJ705" s="38">
        <f>IF(ISNUMBER($AD705),SUM($AD705:$AH705),"")</f>
      </c>
      <c r="AK705" s="40">
        <f>IF(AND(ISNUMBER($AB705),ISNUMBER($AD705)),IF($AB705&gt;0,$AD705/$AB705,""),"")</f>
      </c>
      <c r="AL705" s="32" t="inlineStr">
        <is>
          <t xml:space="preserve">At technical</t>
        </is>
      </c>
      <c r="AM705" s="41">
        <f>IF(ISNUMBER($AD705),Header!$I$3,"")</f>
      </c>
      <c r="AN705" s="39">
        <f>IF(ISNUMBER($AD705),$AO705+$AP705,"")</f>
      </c>
      <c r="AO705" s="39">
        <f>IF(ISNUMBER($AD705),ROUND($AD705*Header!$K$3,2),"")</f>
      </c>
      <c r="AP705" s="39">
        <f>IF(ISNUMBER($AD705),ROUND($AD705*Header!$M$3,2),"")</f>
      </c>
      <c r="AQ705" s="38">
        <f>IF(ISNUMBER($AD705),ROUND($AD705,2)-$AO705-$AP705,"")</f>
      </c>
      <c r="AR705" s="39">
        <f>IF(ISNUMBER($AD705),IF(Header!$D$34="","?",$AD705*Header!$D$34),"")</f>
      </c>
      <c r="AS705" s="39">
        <f>IF(ISNUMBER($AB705),IF(Header!$D$34="","?",$AB705*Header!$D$34),"")</f>
      </c>
      <c r="AT705" s="42">
        <f>IF(AND(ISNUMBER($AB705),$M705&gt;0),$AB705/$M705*100,"")</f>
      </c>
      <c r="AU705" s="42">
        <f>IF(AND(ISNUMBER($AD705),$M705&gt;0),$AD705/$M705*100,"")</f>
      </c>
      <c r="AV705" s="40">
        <f>IF(AND(ISNUMBER($AB705),ISNUMBER($AD705),ABS($AB705)&gt;0),$AD705/$AB705,"")</f>
      </c>
      <c r="AW705" s="39">
        <f>IF(ISNUMBER($AD705),MAX(0,(1-0.55-Header!$O$3)*Header!$Q$3*$AQ705),"")</f>
      </c>
      <c r="AX705" s="43">
        <f>IF($A705="","",IF(TRIM(IF($A705="","Missing certificate ref. ","") &amp; IF($C705="","Missing effective date. ","") &amp; IF($D705="","Missing binding status. ","") &amp; IF($E705="","Missing movement type. ","") &amp; IF($I705="","Missing make. ","") &amp; IF($L705="","Missing vehicle class. ","") &amp; IF($M705="","Missing agreed value. ","") &amp; IF($N705="","Missing policy type. ","") &amp; IF($Q705="","Missing garaging state. ","") &amp; IF($R705="","Missing garaging ZIP. ","") &amp; IF($S705="","Missing cat zone. ","") &amp; IF($V705="","Missing valuation basis. ","") &amp; IF($W705="","Missing PD deductible. ","") &amp; IF($X705="","Missing liability limit. ","") &amp; IF($AB705="","Missing technical premium. ","") &amp; IF($AF705="","Missing surplus lines tax %. ",""))="","PASS","FAIL: "&amp;TRIM(IF($A705="","Missing certificate ref. ","") &amp; IF($C705="","Missing effective date. ","") &amp; IF($D705="","Missing binding status. ","") &amp; IF($E705="","Missing movement type. ","") &amp; IF($I705="","Missing make. ","") &amp; IF($L705="","Missing vehicle class. ","") &amp; IF($M705="","Missing agreed value. ","") &amp; IF($N705="","Missing policy type. ","") &amp; IF($Q705="","Missing garaging state. ","") &amp; IF($R705="","Missing garaging ZIP. ","") &amp; IF($S705="","Missing cat zone. ","") &amp; IF($V705="","Missing valuation basis. ","") &amp; IF($W705="","Missing PD deductible. ","") &amp; IF($X705="","Missing liability limit. ","") &amp; IF($AB705="","Missing technical premium. ","") &amp; IF($AF705="","Missing surplus lines tax %. ",""))))</f>
      </c>
      <c r="AY705" s="44">
        <f>IF($M705="","",IF(ISNUMBER($M705),IF($M705&gt;=Header!$C$18,"YES — refer","No"),""))</f>
      </c>
      <c r="AZ705" s="44">
        <f>IF($AD705="","",IF(ISNUMBER($AD705),IF($AD705&lt;Header!$C$20,"BELOW MIN PREMIUM","OK"),""))</f>
      </c>
      <c r="BA705" s="32" t="inlineStr">
        <is>
          <t xml:space="preserve">Yes</t>
        </is>
      </c>
      <c r="BB705" s="32" t="inlineStr">
        <is>
          <t xml:space="preserve">Yes</t>
        </is>
      </c>
      <c r="BC705" s="30" t="inlineStr">
        <is>
          <t xml:space="preserve">Synthetic demo data</t>
        </is>
      </c>
      <c r="BE705" s="45">
        <f>IF(OR($A705="",$L705="",$H705=""),"",IF(AND(LEFT($L705,2)="06",$H705&gt;1945),"FAIL - pre-war class, year "&amp;$H705,IF(AND(LEFT($L705,2)="07",OR($H705&lt;1946,$H705&gt;1972)),"FAIL - 1946-72 class, year "&amp;$H705,IF(AND(LEFT($L705,2)="08",OR($H705&lt;1973,$H705&gt;1999)),"FAIL - 1973-99 class, year "&amp;$H705,IF(AND(LEFT($L705,2)="09",OR($H705&lt;2000,$H705&gt;2010)),"FAIL - 2000-10 class, year "&amp;$H705,"OK")))))</f>
      </c>
      <c r="BF705" s="45">
        <f>IF($AD705="","",IF(ROUND($AO705+$AP705+$AQ705-$AD705,2)=0,"OK","FAIL - out by "&amp;TEXT($AO705+$AP705+$AQ705-$AD705,"$0.00")))</f>
      </c>
    </row>
    <row r="706" spans="1:58" ht="18.75" customHeight="1" x14ac:dyDescent="0.25">
      <c r="A706" s="46" t="inlineStr">
        <is>
          <t xml:space="preserve">CANON-202607-010494</t>
        </is>
      </c>
      <c r="B706" s="46" t="inlineStr">
        <is>
          <t xml:space="preserve">Mireille Delacroix</t>
        </is>
      </c>
      <c r="C706" s="47">
        <v>46222</v>
      </c>
      <c r="D706" s="48" t="inlineStr">
        <is>
          <t xml:space="preserve">Bound - within authority</t>
        </is>
      </c>
      <c r="E706" s="48" t="inlineStr">
        <is>
          <t xml:space="preserve">New business</t>
        </is>
      </c>
      <c r="F706" s="46" t="inlineStr">
        <is>
          <t xml:space="preserve">B1234EXOTIC26</t>
        </is>
      </c>
      <c r="G706" s="33">
        <f>IF($A706="","",IF($C706="","",YEAR($C706)))</f>
      </c>
      <c r="H706" s="49">
        <v>1963</v>
      </c>
      <c r="I706" s="46" t="inlineStr">
        <is>
          <t xml:space="preserve">Singer</t>
        </is>
      </c>
      <c r="J706" s="46" t="inlineStr">
        <is>
          <t xml:space="preserve">911 Reimagined</t>
        </is>
      </c>
      <c r="K706" s="46" t="inlineStr">
        <is>
          <t xml:space="preserve">8PWTZWW3P0U4BLF75</t>
        </is>
      </c>
      <c r="L706" s="48" t="inlineStr">
        <is>
          <t xml:space="preserve">11 - Restomod / Coachbuilt / Bespoke</t>
        </is>
      </c>
      <c r="M706" s="50">
        <v>320000</v>
      </c>
      <c r="N706" s="48" t="inlineStr">
        <is>
          <t xml:space="preserve">Personal</t>
        </is>
      </c>
      <c r="O706" s="46" t="inlineStr">
        <is>
          <t xml:space="preserve">Personal - regular use</t>
        </is>
      </c>
      <c r="P706" s="46" t="inlineStr">
        <is>
          <t xml:space="preserve">Under 1,000</t>
        </is>
      </c>
      <c r="Q706" s="46" t="inlineStr">
        <is>
          <t xml:space="preserve">Kentucky</t>
        </is>
      </c>
      <c r="R706" s="46" t="inlineStr">
        <is>
          <t xml:space="preserve">40202</t>
        </is>
      </c>
      <c r="S706" s="48" t="inlineStr">
        <is>
          <t xml:space="preserve">Severe convective - hail / tornado (moderate)</t>
        </is>
      </c>
      <c r="T706" s="36">
        <f>IF($A706="","",IF($S706="","",IFERROR(INDEX('[1]natural catastrophe'!$D$6:$D$17,MATCH($S706,'[1]natural catastrophe'!$B$6:$B$17,0)),"?")))</f>
      </c>
      <c r="U706" s="46" t="inlineStr">
        <is>
          <t xml:space="preserve">$5,000</t>
        </is>
      </c>
      <c r="V706" s="48" t="inlineStr">
        <is>
          <t xml:space="preserve">Agreed Value</t>
        </is>
      </c>
      <c r="W706" s="46" t="inlineStr">
        <is>
          <t xml:space="preserve">$1,000</t>
        </is>
      </c>
      <c r="X706" s="48" t="inlineStr">
        <is>
          <t xml:space="preserve">$1,000,000 CSL</t>
        </is>
      </c>
      <c r="Y706" s="46"/>
      <c r="Z706" s="46"/>
      <c r="AA706" s="48" t="inlineStr">
        <is>
          <t xml:space="preserve">Surplus Lines</t>
        </is>
      </c>
      <c r="AB706" s="50">
        <v>5418.09</v>
      </c>
      <c r="AC706" s="51">
        <v>0</v>
      </c>
      <c r="AD706" s="38">
        <f>IF(ISNUMBER($AB706),$AB706*(1+N($AC706)),"")</f>
      </c>
      <c r="AE706" s="50">
        <v>350</v>
      </c>
      <c r="AF706" s="50">
        <v>0</v>
      </c>
      <c r="AG706" s="51"/>
      <c r="AH706" s="39">
        <f>IF(ISNUMBER($AD706),($AD706+$AE706+$AF706)*$AG706,"")</f>
      </c>
      <c r="AI706" s="50"/>
      <c r="AJ706" s="38">
        <f>IF(ISNUMBER($AD706),SUM($AD706:$AH706),"")</f>
      </c>
      <c r="AK706" s="40">
        <f>IF(AND(ISNUMBER($AB706),ISNUMBER($AD706)),IF($AB706&gt;0,$AD706/$AB706,""),"")</f>
      </c>
      <c r="AL706" s="48" t="inlineStr">
        <is>
          <t xml:space="preserve">At technical</t>
        </is>
      </c>
      <c r="AM706" s="41">
        <f>IF(ISNUMBER($AD706),Header!$I$3,"")</f>
      </c>
      <c r="AN706" s="39">
        <f>IF(ISNUMBER($AD706),$AO706+$AP706,"")</f>
      </c>
      <c r="AO706" s="39">
        <f>IF(ISNUMBER($AD706),ROUND($AD706*Header!$K$3,2),"")</f>
      </c>
      <c r="AP706" s="39">
        <f>IF(ISNUMBER($AD706),ROUND($AD706*Header!$M$3,2),"")</f>
      </c>
      <c r="AQ706" s="38">
        <f>IF(ISNUMBER($AD706),ROUND($AD706,2)-$AO706-$AP706,"")</f>
      </c>
      <c r="AR706" s="39">
        <f>IF(ISNUMBER($AD706),IF(Header!$D$34="","?",$AD706*Header!$D$34),"")</f>
      </c>
      <c r="AS706" s="39">
        <f>IF(ISNUMBER($AB706),IF(Header!$D$34="","?",$AB706*Header!$D$34),"")</f>
      </c>
      <c r="AT706" s="42">
        <f>IF(AND(ISNUMBER($AB706),$M706&gt;0),$AB706/$M706*100,"")</f>
      </c>
      <c r="AU706" s="42">
        <f>IF(AND(ISNUMBER($AD706),$M706&gt;0),$AD706/$M706*100,"")</f>
      </c>
      <c r="AV706" s="40">
        <f>IF(AND(ISNUMBER($AB706),ISNUMBER($AD706),ABS($AB706)&gt;0),$AD706/$AB706,"")</f>
      </c>
      <c r="AW706" s="39">
        <f>IF(ISNUMBER($AD706),MAX(0,(1-0.55-Header!$O$3)*Header!$Q$3*$AQ706),"")</f>
      </c>
      <c r="AX706" s="43">
        <f>IF($A706="","",IF(TRIM(IF($A706="","Missing certificate ref. ","") &amp; IF($C706="","Missing effective date. ","") &amp; IF($D706="","Missing binding status. ","") &amp; IF($E706="","Missing movement type. ","") &amp; IF($I706="","Missing make. ","") &amp; IF($L706="","Missing vehicle class. ","") &amp; IF($M706="","Missing agreed value. ","") &amp; IF($N706="","Missing policy type. ","") &amp; IF($Q706="","Missing garaging state. ","") &amp; IF($R706="","Missing garaging ZIP. ","") &amp; IF($S706="","Missing cat zone. ","") &amp; IF($V706="","Missing valuation basis. ","") &amp; IF($W706="","Missing PD deductible. ","") &amp; IF($X706="","Missing liability limit. ","") &amp; IF($AB706="","Missing technical premium. ","") &amp; IF($AF706="","Missing surplus lines tax %. ",""))="","PASS","FAIL: "&amp;TRIM(IF($A706="","Missing certificate ref. ","") &amp; IF($C706="","Missing effective date. ","") &amp; IF($D706="","Missing binding status. ","") &amp; IF($E706="","Missing movement type. ","") &amp; IF($I706="","Missing make. ","") &amp; IF($L706="","Missing vehicle class. ","") &amp; IF($M706="","Missing agreed value. ","") &amp; IF($N706="","Missing policy type. ","") &amp; IF($Q706="","Missing garaging state. ","") &amp; IF($R706="","Missing garaging ZIP. ","") &amp; IF($S706="","Missing cat zone. ","") &amp; IF($V706="","Missing valuation basis. ","") &amp; IF($W706="","Missing PD deductible. ","") &amp; IF($X706="","Missing liability limit. ","") &amp; IF($AB706="","Missing technical premium. ","") &amp; IF($AF706="","Missing surplus lines tax %. ",""))))</f>
      </c>
      <c r="AY706" s="44">
        <f>IF($M706="","",IF(ISNUMBER($M706),IF($M706&gt;=Header!$C$18,"YES — refer","No"),""))</f>
      </c>
      <c r="AZ706" s="44">
        <f>IF($AD706="","",IF(ISNUMBER($AD706),IF($AD706&lt;Header!$C$20,"BELOW MIN PREMIUM","OK"),""))</f>
      </c>
      <c r="BA706" s="48" t="inlineStr">
        <is>
          <t xml:space="preserve">Yes</t>
        </is>
      </c>
      <c r="BB706" s="48" t="inlineStr">
        <is>
          <t xml:space="preserve">Yes</t>
        </is>
      </c>
      <c r="BC706" s="46" t="inlineStr">
        <is>
          <t xml:space="preserve">Synthetic demo data</t>
        </is>
      </c>
      <c r="BE706" s="45">
        <f>IF(OR($A706="",$L706="",$H706=""),"",IF(AND(LEFT($L706,2)="06",$H706&gt;1945),"FAIL - pre-war class, year "&amp;$H706,IF(AND(LEFT($L706,2)="07",OR($H706&lt;1946,$H706&gt;1972)),"FAIL - 1946-72 class, year "&amp;$H706,IF(AND(LEFT($L706,2)="08",OR($H706&lt;1973,$H706&gt;1999)),"FAIL - 1973-99 class, year "&amp;$H706,IF(AND(LEFT($L706,2)="09",OR($H706&lt;2000,$H706&gt;2010)),"FAIL - 2000-10 class, year "&amp;$H706,"OK")))))</f>
      </c>
      <c r="BF706" s="45">
        <f>IF($AD706="","",IF(ROUND($AO706+$AP706+$AQ706-$AD706,2)=0,"OK","FAIL - out by "&amp;TEXT($AO706+$AP706+$AQ706-$AD706,"$0.00")))</f>
      </c>
    </row>
    <row r="707" spans="1:58" ht="18.75" customHeight="1" x14ac:dyDescent="0.25">
      <c r="A707" s="30" t="inlineStr">
        <is>
          <t xml:space="preserve">CANON-202607-010495</t>
        </is>
      </c>
      <c r="B707" s="30" t="inlineStr">
        <is>
          <t xml:space="preserve">Priya Vandermeer</t>
        </is>
      </c>
      <c r="C707" s="31">
        <v>46221</v>
      </c>
      <c r="D707" s="32" t="inlineStr">
        <is>
          <t xml:space="preserve">Bound - within authority</t>
        </is>
      </c>
      <c r="E707" s="32" t="inlineStr">
        <is>
          <t xml:space="preserve">New business</t>
        </is>
      </c>
      <c r="F707" s="30" t="inlineStr">
        <is>
          <t xml:space="preserve">B1234EXOTIC26</t>
        </is>
      </c>
      <c r="G707" s="33">
        <f>IF($A707="","",IF($C707="","",YEAR($C707)))</f>
      </c>
      <c r="H707" s="34">
        <v>2012</v>
      </c>
      <c r="I707" s="30" t="inlineStr">
        <is>
          <t xml:space="preserve">Porsche</t>
        </is>
      </c>
      <c r="J707" s="30" t="inlineStr">
        <is>
          <t xml:space="preserve">911 Turbo S</t>
        </is>
      </c>
      <c r="K707" s="30" t="inlineStr">
        <is>
          <t xml:space="preserve">TJU2JNL3HLBZ4KLK2</t>
        </is>
      </c>
      <c r="L707" s="32" t="inlineStr">
        <is>
          <t xml:space="preserve">02 - Sports / GT</t>
        </is>
      </c>
      <c r="M707" s="35">
        <v>1950000</v>
      </c>
      <c r="N707" s="32" t="inlineStr">
        <is>
          <t xml:space="preserve">Personal</t>
        </is>
      </c>
      <c r="O707" s="30" t="inlineStr">
        <is>
          <t xml:space="preserve">Personal - regular use</t>
        </is>
      </c>
      <c r="P707" s="30" t="inlineStr">
        <is>
          <t xml:space="preserve">Under 1,000</t>
        </is>
      </c>
      <c r="Q707" s="30" t="inlineStr">
        <is>
          <t xml:space="preserve">New Jersey</t>
        </is>
      </c>
      <c r="R707" s="30" t="inlineStr">
        <is>
          <t xml:space="preserve">07102</t>
        </is>
      </c>
      <c r="S707" s="32" t="inlineStr">
        <is>
          <t xml:space="preserve">Tier 3 - Coastal wind (25-100 miles)</t>
        </is>
      </c>
      <c r="T707" s="36">
        <f>IF($A707="","",IF($S707="","",IFERROR(INDEX('[1]natural catastrophe'!$D$6:$D$17,MATCH($S707,'[1]natural catastrophe'!$B$6:$B$17,0)),"?")))</f>
      </c>
      <c r="U707" s="30" t="inlineStr">
        <is>
          <t xml:space="preserve">2% of agreed value, minimum $10,000</t>
        </is>
      </c>
      <c r="V707" s="32" t="inlineStr">
        <is>
          <t xml:space="preserve">Agreed Value</t>
        </is>
      </c>
      <c r="W707" s="30" t="inlineStr">
        <is>
          <t xml:space="preserve">$1,000</t>
        </is>
      </c>
      <c r="X707" s="32" t="inlineStr">
        <is>
          <t xml:space="preserve">$1,000,000 CSL</t>
        </is>
      </c>
      <c r="Y707" s="30"/>
      <c r="Z707" s="30"/>
      <c r="AA707" s="32" t="inlineStr">
        <is>
          <t xml:space="preserve">Surplus Lines</t>
        </is>
      </c>
      <c r="AB707" s="35">
        <v>14013.53</v>
      </c>
      <c r="AC707" s="37">
        <v>0</v>
      </c>
      <c r="AD707" s="38">
        <f>IF(ISNUMBER($AB707),$AB707*(1+N($AC707)),"")</f>
      </c>
      <c r="AE707" s="35">
        <v>350</v>
      </c>
      <c r="AF707" s="35">
        <v>250</v>
      </c>
      <c r="AG707" s="37"/>
      <c r="AH707" s="39">
        <f>IF(ISNUMBER($AD707),($AD707+$AE707+$AF707)*$AG707,"")</f>
      </c>
      <c r="AI707" s="35"/>
      <c r="AJ707" s="38">
        <f>IF(ISNUMBER($AD707),SUM($AD707:$AH707),"")</f>
      </c>
      <c r="AK707" s="40">
        <f>IF(AND(ISNUMBER($AB707),ISNUMBER($AD707)),IF($AB707&gt;0,$AD707/$AB707,""),"")</f>
      </c>
      <c r="AL707" s="32" t="inlineStr">
        <is>
          <t xml:space="preserve">At technical</t>
        </is>
      </c>
      <c r="AM707" s="41">
        <f>IF(ISNUMBER($AD707),Header!$I$3,"")</f>
      </c>
      <c r="AN707" s="39">
        <f>IF(ISNUMBER($AD707),$AO707+$AP707,"")</f>
      </c>
      <c r="AO707" s="39">
        <f>IF(ISNUMBER($AD707),ROUND($AD707*Header!$K$3,2),"")</f>
      </c>
      <c r="AP707" s="39">
        <f>IF(ISNUMBER($AD707),ROUND($AD707*Header!$M$3,2),"")</f>
      </c>
      <c r="AQ707" s="38">
        <f>IF(ISNUMBER($AD707),ROUND($AD707,2)-$AO707-$AP707,"")</f>
      </c>
      <c r="AR707" s="39">
        <f>IF(ISNUMBER($AD707),IF(Header!$D$34="","?",$AD707*Header!$D$34),"")</f>
      </c>
      <c r="AS707" s="39">
        <f>IF(ISNUMBER($AB707),IF(Header!$D$34="","?",$AB707*Header!$D$34),"")</f>
      </c>
      <c r="AT707" s="42">
        <f>IF(AND(ISNUMBER($AB707),$M707&gt;0),$AB707/$M707*100,"")</f>
      </c>
      <c r="AU707" s="42">
        <f>IF(AND(ISNUMBER($AD707),$M707&gt;0),$AD707/$M707*100,"")</f>
      </c>
      <c r="AV707" s="40">
        <f>IF(AND(ISNUMBER($AB707),ISNUMBER($AD707),ABS($AB707)&gt;0),$AD707/$AB707,"")</f>
      </c>
      <c r="AW707" s="39">
        <f>IF(ISNUMBER($AD707),MAX(0,(1-0.55-Header!$O$3)*Header!$Q$3*$AQ707),"")</f>
      </c>
      <c r="AX707" s="43">
        <f>IF($A707="","",IF(TRIM(IF($A707="","Missing certificate ref. ","") &amp; IF($C707="","Missing effective date. ","") &amp; IF($D707="","Missing binding status. ","") &amp; IF($E707="","Missing movement type. ","") &amp; IF($I707="","Missing make. ","") &amp; IF($L707="","Missing vehicle class. ","") &amp; IF($M707="","Missing agreed value. ","") &amp; IF($N707="","Missing policy type. ","") &amp; IF($Q707="","Missing garaging state. ","") &amp; IF($R707="","Missing garaging ZIP. ","") &amp; IF($S707="","Missing cat zone. ","") &amp; IF($V707="","Missing valuation basis. ","") &amp; IF($W707="","Missing PD deductible. ","") &amp; IF($X707="","Missing liability limit. ","") &amp; IF($AB707="","Missing technical premium. ","") &amp; IF($AF707="","Missing surplus lines tax %. ",""))="","PASS","FAIL: "&amp;TRIM(IF($A707="","Missing certificate ref. ","") &amp; IF($C707="","Missing effective date. ","") &amp; IF($D707="","Missing binding status. ","") &amp; IF($E707="","Missing movement type. ","") &amp; IF($I707="","Missing make. ","") &amp; IF($L707="","Missing vehicle class. ","") &amp; IF($M707="","Missing agreed value. ","") &amp; IF($N707="","Missing policy type. ","") &amp; IF($Q707="","Missing garaging state. ","") &amp; IF($R707="","Missing garaging ZIP. ","") &amp; IF($S707="","Missing cat zone. ","") &amp; IF($V707="","Missing valuation basis. ","") &amp; IF($W707="","Missing PD deductible. ","") &amp; IF($X707="","Missing liability limit. ","") &amp; IF($AB707="","Missing technical premium. ","") &amp; IF($AF707="","Missing surplus lines tax %. ",""))))</f>
      </c>
      <c r="AY707" s="44">
        <f>IF($M707="","",IF(ISNUMBER($M707),IF($M707&gt;=Header!$C$18,"YES — refer","No"),""))</f>
      </c>
      <c r="AZ707" s="44">
        <f>IF($AD707="","",IF(ISNUMBER($AD707),IF($AD707&lt;Header!$C$20,"BELOW MIN PREMIUM","OK"),""))</f>
      </c>
      <c r="BA707" s="32" t="inlineStr">
        <is>
          <t xml:space="preserve">Yes</t>
        </is>
      </c>
      <c r="BB707" s="32" t="inlineStr">
        <is>
          <t xml:space="preserve">Yes</t>
        </is>
      </c>
      <c r="BC707" s="30" t="inlineStr">
        <is>
          <t xml:space="preserve">Synthetic demo data</t>
        </is>
      </c>
      <c r="BE707" s="45">
        <f>IF(OR($A707="",$L707="",$H707=""),"",IF(AND(LEFT($L707,2)="06",$H707&gt;1945),"FAIL - pre-war class, year "&amp;$H707,IF(AND(LEFT($L707,2)="07",OR($H707&lt;1946,$H707&gt;1972)),"FAIL - 1946-72 class, year "&amp;$H707,IF(AND(LEFT($L707,2)="08",OR($H707&lt;1973,$H707&gt;1999)),"FAIL - 1973-99 class, year "&amp;$H707,IF(AND(LEFT($L707,2)="09",OR($H707&lt;2000,$H707&gt;2010)),"FAIL - 2000-10 class, year "&amp;$H707,"OK")))))</f>
      </c>
      <c r="BF707" s="45">
        <f>IF($AD707="","",IF(ROUND($AO707+$AP707+$AQ707-$AD707,2)=0,"OK","FAIL - out by "&amp;TEXT($AO707+$AP707+$AQ707-$AD707,"$0.00")))</f>
      </c>
    </row>
    <row r="708" spans="1:58" ht="18.75" customHeight="1" x14ac:dyDescent="0.25">
      <c r="A708" s="46" t="inlineStr">
        <is>
          <t xml:space="preserve">CANON-202607-010496</t>
        </is>
      </c>
      <c r="B708" s="46" t="inlineStr">
        <is>
          <t xml:space="preserve">Lorenzo Nakashima</t>
        </is>
      </c>
      <c r="C708" s="47">
        <v>46211</v>
      </c>
      <c r="D708" s="48" t="inlineStr">
        <is>
          <t xml:space="preserve">Bound - within authority</t>
        </is>
      </c>
      <c r="E708" s="48" t="inlineStr">
        <is>
          <t xml:space="preserve">New business</t>
        </is>
      </c>
      <c r="F708" s="46" t="inlineStr">
        <is>
          <t xml:space="preserve">B1234EXOTIC26</t>
        </is>
      </c>
      <c r="G708" s="33">
        <f>IF($A708="","",IF($C708="","",YEAR($C708)))</f>
      </c>
      <c r="H708" s="49">
        <v>2021</v>
      </c>
      <c r="I708" s="46" t="inlineStr">
        <is>
          <t xml:space="preserve">McLaren</t>
        </is>
      </c>
      <c r="J708" s="46" t="inlineStr">
        <is>
          <t xml:space="preserve">750S</t>
        </is>
      </c>
      <c r="K708" s="46" t="inlineStr">
        <is>
          <t xml:space="preserve">Z1E59PTX5FA6T6P34</t>
        </is>
      </c>
      <c r="L708" s="48" t="inlineStr">
        <is>
          <t xml:space="preserve">03 - Supercar</t>
        </is>
      </c>
      <c r="M708" s="50">
        <v>790000</v>
      </c>
      <c r="N708" s="48" t="inlineStr">
        <is>
          <t xml:space="preserve">Personal</t>
        </is>
      </c>
      <c r="O708" s="46" t="inlineStr">
        <is>
          <t xml:space="preserve">Personal - regular use</t>
        </is>
      </c>
      <c r="P708" s="46" t="inlineStr">
        <is>
          <t xml:space="preserve">2,500 - 5,000</t>
        </is>
      </c>
      <c r="Q708" s="46" t="inlineStr">
        <is>
          <t xml:space="preserve">New York</t>
        </is>
      </c>
      <c r="R708" s="46" t="inlineStr">
        <is>
          <t xml:space="preserve">10022</t>
        </is>
      </c>
      <c r="S708" s="48" t="inlineStr">
        <is>
          <t xml:space="preserve">Tier 3 - Coastal wind (25-100 miles)</t>
        </is>
      </c>
      <c r="T708" s="36">
        <f>IF($A708="","",IF($S708="","",IFERROR(INDEX('[1]natural catastrophe'!$D$6:$D$17,MATCH($S708,'[1]natural catastrophe'!$B$6:$B$17,0)),"?")))</f>
      </c>
      <c r="U708" s="46" t="inlineStr">
        <is>
          <t xml:space="preserve">2% of agreed value, minimum $10,000</t>
        </is>
      </c>
      <c r="V708" s="48" t="inlineStr">
        <is>
          <t xml:space="preserve">Agreed Value</t>
        </is>
      </c>
      <c r="W708" s="46" t="inlineStr">
        <is>
          <t xml:space="preserve">$1,000</t>
        </is>
      </c>
      <c r="X708" s="48" t="inlineStr">
        <is>
          <t xml:space="preserve">$1,000,000 CSL</t>
        </is>
      </c>
      <c r="Y708" s="46"/>
      <c r="Z708" s="46"/>
      <c r="AA708" s="48" t="inlineStr">
        <is>
          <t xml:space="preserve">Surplus Lines</t>
        </is>
      </c>
      <c r="AB708" s="50">
        <v>13793.34</v>
      </c>
      <c r="AC708" s="51">
        <v>0</v>
      </c>
      <c r="AD708" s="38">
        <f>IF(ISNUMBER($AB708),$AB708*(1+N($AC708)),"")</f>
      </c>
      <c r="AE708" s="50">
        <v>350</v>
      </c>
      <c r="AF708" s="50">
        <v>0</v>
      </c>
      <c r="AG708" s="51"/>
      <c r="AH708" s="39">
        <f>IF(ISNUMBER($AD708),($AD708+$AE708+$AF708)*$AG708,"")</f>
      </c>
      <c r="AI708" s="50"/>
      <c r="AJ708" s="38">
        <f>IF(ISNUMBER($AD708),SUM($AD708:$AH708),"")</f>
      </c>
      <c r="AK708" s="40">
        <f>IF(AND(ISNUMBER($AB708),ISNUMBER($AD708)),IF($AB708&gt;0,$AD708/$AB708,""),"")</f>
      </c>
      <c r="AL708" s="48" t="inlineStr">
        <is>
          <t xml:space="preserve">At technical</t>
        </is>
      </c>
      <c r="AM708" s="41">
        <f>IF(ISNUMBER($AD708),Header!$I$3,"")</f>
      </c>
      <c r="AN708" s="39">
        <f>IF(ISNUMBER($AD708),$AO708+$AP708,"")</f>
      </c>
      <c r="AO708" s="39">
        <f>IF(ISNUMBER($AD708),ROUND($AD708*Header!$K$3,2),"")</f>
      </c>
      <c r="AP708" s="39">
        <f>IF(ISNUMBER($AD708),ROUND($AD708*Header!$M$3,2),"")</f>
      </c>
      <c r="AQ708" s="38">
        <f>IF(ISNUMBER($AD708),ROUND($AD708,2)-$AO708-$AP708,"")</f>
      </c>
      <c r="AR708" s="39">
        <f>IF(ISNUMBER($AD708),IF(Header!$D$34="","?",$AD708*Header!$D$34),"")</f>
      </c>
      <c r="AS708" s="39">
        <f>IF(ISNUMBER($AB708),IF(Header!$D$34="","?",$AB708*Header!$D$34),"")</f>
      </c>
      <c r="AT708" s="42">
        <f>IF(AND(ISNUMBER($AB708),$M708&gt;0),$AB708/$M708*100,"")</f>
      </c>
      <c r="AU708" s="42">
        <f>IF(AND(ISNUMBER($AD708),$M708&gt;0),$AD708/$M708*100,"")</f>
      </c>
      <c r="AV708" s="40">
        <f>IF(AND(ISNUMBER($AB708),ISNUMBER($AD708),ABS($AB708)&gt;0),$AD708/$AB708,"")</f>
      </c>
      <c r="AW708" s="39">
        <f>IF(ISNUMBER($AD708),MAX(0,(1-0.55-Header!$O$3)*Header!$Q$3*$AQ708),"")</f>
      </c>
      <c r="AX708" s="43">
        <f>IF($A708="","",IF(TRIM(IF($A708="","Missing certificate ref. ","") &amp; IF($C708="","Missing effective date. ","") &amp; IF($D708="","Missing binding status. ","") &amp; IF($E708="","Missing movement type. ","") &amp; IF($I708="","Missing make. ","") &amp; IF($L708="","Missing vehicle class. ","") &amp; IF($M708="","Missing agreed value. ","") &amp; IF($N708="","Missing policy type. ","") &amp; IF($Q708="","Missing garaging state. ","") &amp; IF($R708="","Missing garaging ZIP. ","") &amp; IF($S708="","Missing cat zone. ","") &amp; IF($V708="","Missing valuation basis. ","") &amp; IF($W708="","Missing PD deductible. ","") &amp; IF($X708="","Missing liability limit. ","") &amp; IF($AB708="","Missing technical premium. ","") &amp; IF($AF708="","Missing surplus lines tax %. ",""))="","PASS","FAIL: "&amp;TRIM(IF($A708="","Missing certificate ref. ","") &amp; IF($C708="","Missing effective date. ","") &amp; IF($D708="","Missing binding status. ","") &amp; IF($E708="","Missing movement type. ","") &amp; IF($I708="","Missing make. ","") &amp; IF($L708="","Missing vehicle class. ","") &amp; IF($M708="","Missing agreed value. ","") &amp; IF($N708="","Missing policy type. ","") &amp; IF($Q708="","Missing garaging state. ","") &amp; IF($R708="","Missing garaging ZIP. ","") &amp; IF($S708="","Missing cat zone. ","") &amp; IF($V708="","Missing valuation basis. ","") &amp; IF($W708="","Missing PD deductible. ","") &amp; IF($X708="","Missing liability limit. ","") &amp; IF($AB708="","Missing technical premium. ","") &amp; IF($AF708="","Missing surplus lines tax %. ",""))))</f>
      </c>
      <c r="AY708" s="44">
        <f>IF($M708="","",IF(ISNUMBER($M708),IF($M708&gt;=Header!$C$18,"YES — refer","No"),""))</f>
      </c>
      <c r="AZ708" s="44">
        <f>IF($AD708="","",IF(ISNUMBER($AD708),IF($AD708&lt;Header!$C$20,"BELOW MIN PREMIUM","OK"),""))</f>
      </c>
      <c r="BA708" s="48" t="inlineStr">
        <is>
          <t xml:space="preserve">Yes</t>
        </is>
      </c>
      <c r="BB708" s="48" t="inlineStr">
        <is>
          <t xml:space="preserve">Yes</t>
        </is>
      </c>
      <c r="BC708" s="46" t="inlineStr">
        <is>
          <t xml:space="preserve">Synthetic demo data</t>
        </is>
      </c>
      <c r="BE708" s="45">
        <f>IF(OR($A708="",$L708="",$H708=""),"",IF(AND(LEFT($L708,2)="06",$H708&gt;1945),"FAIL - pre-war class, year "&amp;$H708,IF(AND(LEFT($L708,2)="07",OR($H708&lt;1946,$H708&gt;1972)),"FAIL - 1946-72 class, year "&amp;$H708,IF(AND(LEFT($L708,2)="08",OR($H708&lt;1973,$H708&gt;1999)),"FAIL - 1973-99 class, year "&amp;$H708,IF(AND(LEFT($L708,2)="09",OR($H708&lt;2000,$H708&gt;2010)),"FAIL - 2000-10 class, year "&amp;$H708,"OK")))))</f>
      </c>
      <c r="BF708" s="45">
        <f>IF($AD708="","",IF(ROUND($AO708+$AP708+$AQ708-$AD708,2)=0,"OK","FAIL - out by "&amp;TEXT($AO708+$AP708+$AQ708-$AD708,"$0.00")))</f>
      </c>
    </row>
    <row r="709" spans="1:58" ht="18.75" customHeight="1" x14ac:dyDescent="0.25">
      <c r="A709" s="30" t="inlineStr">
        <is>
          <t xml:space="preserve">CANON-202607-010497</t>
        </is>
      </c>
      <c r="B709" s="30" t="inlineStr">
        <is>
          <t xml:space="preserve">Marisol Castellanos</t>
        </is>
      </c>
      <c r="C709" s="31">
        <v>46221</v>
      </c>
      <c r="D709" s="32" t="inlineStr">
        <is>
          <t xml:space="preserve">Bound - within authority</t>
        </is>
      </c>
      <c r="E709" s="32" t="inlineStr">
        <is>
          <t xml:space="preserve">New business</t>
        </is>
      </c>
      <c r="F709" s="30" t="inlineStr">
        <is>
          <t xml:space="preserve">B1234EXOTIC26</t>
        </is>
      </c>
      <c r="G709" s="33">
        <f>IF($A709="","",IF($C709="","",YEAR($C709)))</f>
      </c>
      <c r="H709" s="34">
        <v>2012</v>
      </c>
      <c r="I709" s="30" t="inlineStr">
        <is>
          <t xml:space="preserve">Porsche</t>
        </is>
      </c>
      <c r="J709" s="30" t="inlineStr">
        <is>
          <t xml:space="preserve">911 Turbo S</t>
        </is>
      </c>
      <c r="K709" s="30" t="inlineStr">
        <is>
          <t xml:space="preserve">CKF9TL9SNJ4281UTY</t>
        </is>
      </c>
      <c r="L709" s="32" t="inlineStr">
        <is>
          <t xml:space="preserve">02 - Sports / GT</t>
        </is>
      </c>
      <c r="M709" s="35">
        <v>540000</v>
      </c>
      <c r="N709" s="32" t="inlineStr">
        <is>
          <t xml:space="preserve">Personal</t>
        </is>
      </c>
      <c r="O709" s="30" t="inlineStr">
        <is>
          <t xml:space="preserve">Personal - regular use</t>
        </is>
      </c>
      <c r="P709" s="30" t="inlineStr">
        <is>
          <t xml:space="preserve">1,000 - 2,500</t>
        </is>
      </c>
      <c r="Q709" s="30" t="inlineStr">
        <is>
          <t xml:space="preserve">Rhode Island</t>
        </is>
      </c>
      <c r="R709" s="30" t="inlineStr">
        <is>
          <t xml:space="preserve">02903</t>
        </is>
      </c>
      <c r="S709" s="32" t="inlineStr">
        <is>
          <t xml:space="preserve">Tier 3 - Coastal wind (25-100 miles)</t>
        </is>
      </c>
      <c r="T709" s="36">
        <f>IF($A709="","",IF($S709="","",IFERROR(INDEX('[1]natural catastrophe'!$D$6:$D$17,MATCH($S709,'[1]natural catastrophe'!$B$6:$B$17,0)),"?")))</f>
      </c>
      <c r="U709" s="30" t="inlineStr">
        <is>
          <t xml:space="preserve">2% of agreed value, minimum $10,000</t>
        </is>
      </c>
      <c r="V709" s="32" t="inlineStr">
        <is>
          <t xml:space="preserve">Agreed Value</t>
        </is>
      </c>
      <c r="W709" s="30" t="inlineStr">
        <is>
          <t xml:space="preserve">$1,000</t>
        </is>
      </c>
      <c r="X709" s="32" t="inlineStr">
        <is>
          <t xml:space="preserve">$1,000,000 CSL</t>
        </is>
      </c>
      <c r="Y709" s="30"/>
      <c r="Z709" s="30"/>
      <c r="AA709" s="32" t="inlineStr">
        <is>
          <t xml:space="preserve">Surplus Lines</t>
        </is>
      </c>
      <c r="AB709" s="35">
        <v>6904.57</v>
      </c>
      <c r="AC709" s="37">
        <v>0</v>
      </c>
      <c r="AD709" s="38">
        <f>IF(ISNUMBER($AB709),$AB709*(1+N($AC709)),"")</f>
      </c>
      <c r="AE709" s="35">
        <v>350</v>
      </c>
      <c r="AF709" s="35">
        <v>0</v>
      </c>
      <c r="AG709" s="37"/>
      <c r="AH709" s="39">
        <f>IF(ISNUMBER($AD709),($AD709+$AE709+$AF709)*$AG709,"")</f>
      </c>
      <c r="AI709" s="35"/>
      <c r="AJ709" s="38">
        <f>IF(ISNUMBER($AD709),SUM($AD709:$AH709),"")</f>
      </c>
      <c r="AK709" s="40">
        <f>IF(AND(ISNUMBER($AB709),ISNUMBER($AD709)),IF($AB709&gt;0,$AD709/$AB709,""),"")</f>
      </c>
      <c r="AL709" s="32" t="inlineStr">
        <is>
          <t xml:space="preserve">At technical</t>
        </is>
      </c>
      <c r="AM709" s="41">
        <f>IF(ISNUMBER($AD709),Header!$I$3,"")</f>
      </c>
      <c r="AN709" s="39">
        <f>IF(ISNUMBER($AD709),$AO709+$AP709,"")</f>
      </c>
      <c r="AO709" s="39">
        <f>IF(ISNUMBER($AD709),ROUND($AD709*Header!$K$3,2),"")</f>
      </c>
      <c r="AP709" s="39">
        <f>IF(ISNUMBER($AD709),ROUND($AD709*Header!$M$3,2),"")</f>
      </c>
      <c r="AQ709" s="38">
        <f>IF(ISNUMBER($AD709),ROUND($AD709,2)-$AO709-$AP709,"")</f>
      </c>
      <c r="AR709" s="39">
        <f>IF(ISNUMBER($AD709),IF(Header!$D$34="","?",$AD709*Header!$D$34),"")</f>
      </c>
      <c r="AS709" s="39">
        <f>IF(ISNUMBER($AB709),IF(Header!$D$34="","?",$AB709*Header!$D$34),"")</f>
      </c>
      <c r="AT709" s="42">
        <f>IF(AND(ISNUMBER($AB709),$M709&gt;0),$AB709/$M709*100,"")</f>
      </c>
      <c r="AU709" s="42">
        <f>IF(AND(ISNUMBER($AD709),$M709&gt;0),$AD709/$M709*100,"")</f>
      </c>
      <c r="AV709" s="40">
        <f>IF(AND(ISNUMBER($AB709),ISNUMBER($AD709),ABS($AB709)&gt;0),$AD709/$AB709,"")</f>
      </c>
      <c r="AW709" s="39">
        <f>IF(ISNUMBER($AD709),MAX(0,(1-0.55-Header!$O$3)*Header!$Q$3*$AQ709),"")</f>
      </c>
      <c r="AX709" s="43">
        <f>IF($A709="","",IF(TRIM(IF($A709="","Missing certificate ref. ","") &amp; IF($C709="","Missing effective date. ","") &amp; IF($D709="","Missing binding status. ","") &amp; IF($E709="","Missing movement type. ","") &amp; IF($I709="","Missing make. ","") &amp; IF($L709="","Missing vehicle class. ","") &amp; IF($M709="","Missing agreed value. ","") &amp; IF($N709="","Missing policy type. ","") &amp; IF($Q709="","Missing garaging state. ","") &amp; IF($R709="","Missing garaging ZIP. ","") &amp; IF($S709="","Missing cat zone. ","") &amp; IF($V709="","Missing valuation basis. ","") &amp; IF($W709="","Missing PD deductible. ","") &amp; IF($X709="","Missing liability limit. ","") &amp; IF($AB709="","Missing technical premium. ","") &amp; IF($AF709="","Missing surplus lines tax %. ",""))="","PASS","FAIL: "&amp;TRIM(IF($A709="","Missing certificate ref. ","") &amp; IF($C709="","Missing effective date. ","") &amp; IF($D709="","Missing binding status. ","") &amp; IF($E709="","Missing movement type. ","") &amp; IF($I709="","Missing make. ","") &amp; IF($L709="","Missing vehicle class. ","") &amp; IF($M709="","Missing agreed value. ","") &amp; IF($N709="","Missing policy type. ","") &amp; IF($Q709="","Missing garaging state. ","") &amp; IF($R709="","Missing garaging ZIP. ","") &amp; IF($S709="","Missing cat zone. ","") &amp; IF($V709="","Missing valuation basis. ","") &amp; IF($W709="","Missing PD deductible. ","") &amp; IF($X709="","Missing liability limit. ","") &amp; IF($AB709="","Missing technical premium. ","") &amp; IF($AF709="","Missing surplus lines tax %. ",""))))</f>
      </c>
      <c r="AY709" s="44">
        <f>IF($M709="","",IF(ISNUMBER($M709),IF($M709&gt;=Header!$C$18,"YES — refer","No"),""))</f>
      </c>
      <c r="AZ709" s="44">
        <f>IF($AD709="","",IF(ISNUMBER($AD709),IF($AD709&lt;Header!$C$20,"BELOW MIN PREMIUM","OK"),""))</f>
      </c>
      <c r="BA709" s="32" t="inlineStr">
        <is>
          <t xml:space="preserve">Yes</t>
        </is>
      </c>
      <c r="BB709" s="32" t="inlineStr">
        <is>
          <t xml:space="preserve">Yes</t>
        </is>
      </c>
      <c r="BC709" s="30" t="inlineStr">
        <is>
          <t xml:space="preserve">Synthetic demo data</t>
        </is>
      </c>
      <c r="BE709" s="45">
        <f>IF(OR($A709="",$L709="",$H709=""),"",IF(AND(LEFT($L709,2)="06",$H709&gt;1945),"FAIL - pre-war class, year "&amp;$H709,IF(AND(LEFT($L709,2)="07",OR($H709&lt;1946,$H709&gt;1972)),"FAIL - 1946-72 class, year "&amp;$H709,IF(AND(LEFT($L709,2)="08",OR($H709&lt;1973,$H709&gt;1999)),"FAIL - 1973-99 class, year "&amp;$H709,IF(AND(LEFT($L709,2)="09",OR($H709&lt;2000,$H709&gt;2010)),"FAIL - 2000-10 class, year "&amp;$H709,"OK")))))</f>
      </c>
      <c r="BF709" s="45">
        <f>IF($AD709="","",IF(ROUND($AO709+$AP709+$AQ709-$AD709,2)=0,"OK","FAIL - out by "&amp;TEXT($AO709+$AP709+$AQ709-$AD709,"$0.00")))</f>
      </c>
    </row>
    <row r="710" spans="1:58" ht="18.75" customHeight="1" x14ac:dyDescent="0.25">
      <c r="A710" s="46" t="inlineStr">
        <is>
          <t xml:space="preserve">CANON-202607-010498</t>
        </is>
      </c>
      <c r="B710" s="46" t="inlineStr">
        <is>
          <t xml:space="preserve">Ramona Delacroix</t>
        </is>
      </c>
      <c r="C710" s="47">
        <v>46217</v>
      </c>
      <c r="D710" s="48" t="inlineStr">
        <is>
          <t xml:space="preserve">Bound - within authority</t>
        </is>
      </c>
      <c r="E710" s="48" t="inlineStr">
        <is>
          <t xml:space="preserve">New business</t>
        </is>
      </c>
      <c r="F710" s="46" t="inlineStr">
        <is>
          <t xml:space="preserve">B1234EXOTIC26</t>
        </is>
      </c>
      <c r="G710" s="33">
        <f>IF($A710="","",IF($C710="","",YEAR($C710)))</f>
      </c>
      <c r="H710" s="49">
        <v>1999</v>
      </c>
      <c r="I710" s="46" t="inlineStr">
        <is>
          <t xml:space="preserve">Lamborghini</t>
        </is>
      </c>
      <c r="J710" s="46" t="inlineStr">
        <is>
          <t xml:space="preserve">Huracan EVO</t>
        </is>
      </c>
      <c r="K710" s="46" t="inlineStr">
        <is>
          <t xml:space="preserve">N8WPCDKKUV1V4U6W3</t>
        </is>
      </c>
      <c r="L710" s="48" t="inlineStr">
        <is>
          <t xml:space="preserve">03 - Supercar</t>
        </is>
      </c>
      <c r="M710" s="50">
        <v>745000</v>
      </c>
      <c r="N710" s="48" t="inlineStr">
        <is>
          <t xml:space="preserve">Personal</t>
        </is>
      </c>
      <c r="O710" s="46" t="inlineStr">
        <is>
          <t xml:space="preserve">Personal - regular use</t>
        </is>
      </c>
      <c r="P710" s="46" t="inlineStr">
        <is>
          <t xml:space="preserve">1,000 - 2,500</t>
        </is>
      </c>
      <c r="Q710" s="46" t="inlineStr">
        <is>
          <t xml:space="preserve">Virginia</t>
        </is>
      </c>
      <c r="R710" s="46" t="inlineStr">
        <is>
          <t xml:space="preserve">23219</t>
        </is>
      </c>
      <c r="S710" s="48" t="inlineStr">
        <is>
          <t xml:space="preserve">Tier 3 - Coastal wind (25-100 miles)</t>
        </is>
      </c>
      <c r="T710" s="36">
        <f>IF($A710="","",IF($S710="","",IFERROR(INDEX('[1]natural catastrophe'!$D$6:$D$17,MATCH($S710,'[1]natural catastrophe'!$B$6:$B$17,0)),"?")))</f>
      </c>
      <c r="U710" s="46" t="inlineStr">
        <is>
          <t xml:space="preserve">2% of agreed value, minimum $10,000</t>
        </is>
      </c>
      <c r="V710" s="48" t="inlineStr">
        <is>
          <t xml:space="preserve">Agreed Value</t>
        </is>
      </c>
      <c r="W710" s="46" t="inlineStr">
        <is>
          <t xml:space="preserve">$1,000</t>
        </is>
      </c>
      <c r="X710" s="48" t="inlineStr">
        <is>
          <t xml:space="preserve">$1,000,000 CSL</t>
        </is>
      </c>
      <c r="Y710" s="46"/>
      <c r="Z710" s="46"/>
      <c r="AA710" s="48" t="inlineStr">
        <is>
          <t xml:space="preserve">Surplus Lines</t>
        </is>
      </c>
      <c r="AB710" s="50">
        <v>11076.82</v>
      </c>
      <c r="AC710" s="51">
        <v>0</v>
      </c>
      <c r="AD710" s="38">
        <f>IF(ISNUMBER($AB710),$AB710*(1+N($AC710)),"")</f>
      </c>
      <c r="AE710" s="50">
        <v>350</v>
      </c>
      <c r="AF710" s="50">
        <v>0</v>
      </c>
      <c r="AG710" s="51"/>
      <c r="AH710" s="39">
        <f>IF(ISNUMBER($AD710),($AD710+$AE710+$AF710)*$AG710,"")</f>
      </c>
      <c r="AI710" s="50"/>
      <c r="AJ710" s="38">
        <f>IF(ISNUMBER($AD710),SUM($AD710:$AH710),"")</f>
      </c>
      <c r="AK710" s="40">
        <f>IF(AND(ISNUMBER($AB710),ISNUMBER($AD710)),IF($AB710&gt;0,$AD710/$AB710,""),"")</f>
      </c>
      <c r="AL710" s="48" t="inlineStr">
        <is>
          <t xml:space="preserve">At technical</t>
        </is>
      </c>
      <c r="AM710" s="41">
        <f>IF(ISNUMBER($AD710),Header!$I$3,"")</f>
      </c>
      <c r="AN710" s="39">
        <f>IF(ISNUMBER($AD710),$AO710+$AP710,"")</f>
      </c>
      <c r="AO710" s="39">
        <f>IF(ISNUMBER($AD710),ROUND($AD710*Header!$K$3,2),"")</f>
      </c>
      <c r="AP710" s="39">
        <f>IF(ISNUMBER($AD710),ROUND($AD710*Header!$M$3,2),"")</f>
      </c>
      <c r="AQ710" s="38">
        <f>IF(ISNUMBER($AD710),ROUND($AD710,2)-$AO710-$AP710,"")</f>
      </c>
      <c r="AR710" s="39">
        <f>IF(ISNUMBER($AD710),IF(Header!$D$34="","?",$AD710*Header!$D$34),"")</f>
      </c>
      <c r="AS710" s="39">
        <f>IF(ISNUMBER($AB710),IF(Header!$D$34="","?",$AB710*Header!$D$34),"")</f>
      </c>
      <c r="AT710" s="42">
        <f>IF(AND(ISNUMBER($AB710),$M710&gt;0),$AB710/$M710*100,"")</f>
      </c>
      <c r="AU710" s="42">
        <f>IF(AND(ISNUMBER($AD710),$M710&gt;0),$AD710/$M710*100,"")</f>
      </c>
      <c r="AV710" s="40">
        <f>IF(AND(ISNUMBER($AB710),ISNUMBER($AD710),ABS($AB710)&gt;0),$AD710/$AB710,"")</f>
      </c>
      <c r="AW710" s="39">
        <f>IF(ISNUMBER($AD710),MAX(0,(1-0.55-Header!$O$3)*Header!$Q$3*$AQ710),"")</f>
      </c>
      <c r="AX710" s="43">
        <f>IF($A710="","",IF(TRIM(IF($A710="","Missing certificate ref. ","") &amp; IF($C710="","Missing effective date. ","") &amp; IF($D710="","Missing binding status. ","") &amp; IF($E710="","Missing movement type. ","") &amp; IF($I710="","Missing make. ","") &amp; IF($L710="","Missing vehicle class. ","") &amp; IF($M710="","Missing agreed value. ","") &amp; IF($N710="","Missing policy type. ","") &amp; IF($Q710="","Missing garaging state. ","") &amp; IF($R710="","Missing garaging ZIP. ","") &amp; IF($S710="","Missing cat zone. ","") &amp; IF($V710="","Missing valuation basis. ","") &amp; IF($W710="","Missing PD deductible. ","") &amp; IF($X710="","Missing liability limit. ","") &amp; IF($AB710="","Missing technical premium. ","") &amp; IF($AF710="","Missing surplus lines tax %. ",""))="","PASS","FAIL: "&amp;TRIM(IF($A710="","Missing certificate ref. ","") &amp; IF($C710="","Missing effective date. ","") &amp; IF($D710="","Missing binding status. ","") &amp; IF($E710="","Missing movement type. ","") &amp; IF($I710="","Missing make. ","") &amp; IF($L710="","Missing vehicle class. ","") &amp; IF($M710="","Missing agreed value. ","") &amp; IF($N710="","Missing policy type. ","") &amp; IF($Q710="","Missing garaging state. ","") &amp; IF($R710="","Missing garaging ZIP. ","") &amp; IF($S710="","Missing cat zone. ","") &amp; IF($V710="","Missing valuation basis. ","") &amp; IF($W710="","Missing PD deductible. ","") &amp; IF($X710="","Missing liability limit. ","") &amp; IF($AB710="","Missing technical premium. ","") &amp; IF($AF710="","Missing surplus lines tax %. ",""))))</f>
      </c>
      <c r="AY710" s="44">
        <f>IF($M710="","",IF(ISNUMBER($M710),IF($M710&gt;=Header!$C$18,"YES — refer","No"),""))</f>
      </c>
      <c r="AZ710" s="44">
        <f>IF($AD710="","",IF(ISNUMBER($AD710),IF($AD710&lt;Header!$C$20,"BELOW MIN PREMIUM","OK"),""))</f>
      </c>
      <c r="BA710" s="48" t="inlineStr">
        <is>
          <t xml:space="preserve">Yes</t>
        </is>
      </c>
      <c r="BB710" s="48" t="inlineStr">
        <is>
          <t xml:space="preserve">Yes</t>
        </is>
      </c>
      <c r="BC710" s="46" t="inlineStr">
        <is>
          <t xml:space="preserve">Synthetic demo data</t>
        </is>
      </c>
      <c r="BE710" s="45">
        <f>IF(OR($A710="",$L710="",$H710=""),"",IF(AND(LEFT($L710,2)="06",$H710&gt;1945),"FAIL - pre-war class, year "&amp;$H710,IF(AND(LEFT($L710,2)="07",OR($H710&lt;1946,$H710&gt;1972)),"FAIL - 1946-72 class, year "&amp;$H710,IF(AND(LEFT($L710,2)="08",OR($H710&lt;1973,$H710&gt;1999)),"FAIL - 1973-99 class, year "&amp;$H710,IF(AND(LEFT($L710,2)="09",OR($H710&lt;2000,$H710&gt;2010)),"FAIL - 2000-10 class, year "&amp;$H710,"OK")))))</f>
      </c>
      <c r="BF710" s="45">
        <f>IF($AD710="","",IF(ROUND($AO710+$AP710+$AQ710-$AD710,2)=0,"OK","FAIL - out by "&amp;TEXT($AO710+$AP710+$AQ710-$AD710,"$0.00")))</f>
      </c>
    </row>
    <row r="711" spans="1:58" ht="18.75" customHeight="1" x14ac:dyDescent="0.25">
      <c r="A711" s="30" t="inlineStr">
        <is>
          <t xml:space="preserve">CANON-202607-010499</t>
        </is>
      </c>
      <c r="B711" s="30" t="inlineStr">
        <is>
          <t xml:space="preserve">Beatrix Whitlock</t>
        </is>
      </c>
      <c r="C711" s="31">
        <v>46213</v>
      </c>
      <c r="D711" s="32" t="inlineStr">
        <is>
          <t xml:space="preserve">Bound - within authority</t>
        </is>
      </c>
      <c r="E711" s="32" t="inlineStr">
        <is>
          <t xml:space="preserve">New business</t>
        </is>
      </c>
      <c r="F711" s="30" t="inlineStr">
        <is>
          <t xml:space="preserve">B1234EXOTIC26</t>
        </is>
      </c>
      <c r="G711" s="33">
        <f>IF($A711="","",IF($C711="","",YEAR($C711)))</f>
      </c>
      <c r="H711" s="34">
        <v>2002</v>
      </c>
      <c r="I711" s="30" t="inlineStr">
        <is>
          <t xml:space="preserve">Ferrari</t>
        </is>
      </c>
      <c r="J711" s="30" t="inlineStr">
        <is>
          <t xml:space="preserve">SF90 Stradale</t>
        </is>
      </c>
      <c r="K711" s="30" t="inlineStr">
        <is>
          <t xml:space="preserve">4LU6FBXSZU1HC8W97</t>
        </is>
      </c>
      <c r="L711" s="32" t="inlineStr">
        <is>
          <t xml:space="preserve">03 - Supercar</t>
        </is>
      </c>
      <c r="M711" s="35">
        <v>1805000</v>
      </c>
      <c r="N711" s="32" t="inlineStr">
        <is>
          <t xml:space="preserve">Personal</t>
        </is>
      </c>
      <c r="O711" s="30" t="inlineStr">
        <is>
          <t xml:space="preserve">Personal - regular use</t>
        </is>
      </c>
      <c r="P711" s="30" t="inlineStr">
        <is>
          <t xml:space="preserve">1,000 - 2,500</t>
        </is>
      </c>
      <c r="Q711" s="30" t="inlineStr">
        <is>
          <t xml:space="preserve">Massachusetts</t>
        </is>
      </c>
      <c r="R711" s="30" t="inlineStr">
        <is>
          <t xml:space="preserve">02108</t>
        </is>
      </c>
      <c r="S711" s="32" t="inlineStr">
        <is>
          <t xml:space="preserve">Tier 3 - Coastal wind (25-100 miles)</t>
        </is>
      </c>
      <c r="T711" s="36">
        <f>IF($A711="","",IF($S711="","",IFERROR(INDEX('[1]natural catastrophe'!$D$6:$D$17,MATCH($S711,'[1]natural catastrophe'!$B$6:$B$17,0)),"?")))</f>
      </c>
      <c r="U711" s="30" t="inlineStr">
        <is>
          <t xml:space="preserve">2% of agreed value, minimum $10,000</t>
        </is>
      </c>
      <c r="V711" s="32" t="inlineStr">
        <is>
          <t xml:space="preserve">Agreed Value</t>
        </is>
      </c>
      <c r="W711" s="30" t="inlineStr">
        <is>
          <t xml:space="preserve">$1,000</t>
        </is>
      </c>
      <c r="X711" s="32" t="inlineStr">
        <is>
          <t xml:space="preserve">$1,000,000 CSL</t>
        </is>
      </c>
      <c r="Y711" s="30"/>
      <c r="Z711" s="30"/>
      <c r="AA711" s="32" t="inlineStr">
        <is>
          <t xml:space="preserve">Surplus Lines</t>
        </is>
      </c>
      <c r="AB711" s="35">
        <v>25917.07</v>
      </c>
      <c r="AC711" s="37">
        <v>0</v>
      </c>
      <c r="AD711" s="38">
        <f>IF(ISNUMBER($AB711),$AB711*(1+N($AC711)),"")</f>
      </c>
      <c r="AE711" s="35">
        <v>350</v>
      </c>
      <c r="AF711" s="35">
        <v>250</v>
      </c>
      <c r="AG711" s="37"/>
      <c r="AH711" s="39">
        <f>IF(ISNUMBER($AD711),($AD711+$AE711+$AF711)*$AG711,"")</f>
      </c>
      <c r="AI711" s="35"/>
      <c r="AJ711" s="38">
        <f>IF(ISNUMBER($AD711),SUM($AD711:$AH711),"")</f>
      </c>
      <c r="AK711" s="40">
        <f>IF(AND(ISNUMBER($AB711),ISNUMBER($AD711)),IF($AB711&gt;0,$AD711/$AB711,""),"")</f>
      </c>
      <c r="AL711" s="32" t="inlineStr">
        <is>
          <t xml:space="preserve">At technical</t>
        </is>
      </c>
      <c r="AM711" s="41">
        <f>IF(ISNUMBER($AD711),Header!$I$3,"")</f>
      </c>
      <c r="AN711" s="39">
        <f>IF(ISNUMBER($AD711),$AO711+$AP711,"")</f>
      </c>
      <c r="AO711" s="39">
        <f>IF(ISNUMBER($AD711),ROUND($AD711*Header!$K$3,2),"")</f>
      </c>
      <c r="AP711" s="39">
        <f>IF(ISNUMBER($AD711),ROUND($AD711*Header!$M$3,2),"")</f>
      </c>
      <c r="AQ711" s="38">
        <f>IF(ISNUMBER($AD711),ROUND($AD711,2)-$AO711-$AP711,"")</f>
      </c>
      <c r="AR711" s="39">
        <f>IF(ISNUMBER($AD711),IF(Header!$D$34="","?",$AD711*Header!$D$34),"")</f>
      </c>
      <c r="AS711" s="39">
        <f>IF(ISNUMBER($AB711),IF(Header!$D$34="","?",$AB711*Header!$D$34),"")</f>
      </c>
      <c r="AT711" s="42">
        <f>IF(AND(ISNUMBER($AB711),$M711&gt;0),$AB711/$M711*100,"")</f>
      </c>
      <c r="AU711" s="42">
        <f>IF(AND(ISNUMBER($AD711),$M711&gt;0),$AD711/$M711*100,"")</f>
      </c>
      <c r="AV711" s="40">
        <f>IF(AND(ISNUMBER($AB711),ISNUMBER($AD711),ABS($AB711)&gt;0),$AD711/$AB711,"")</f>
      </c>
      <c r="AW711" s="39">
        <f>IF(ISNUMBER($AD711),MAX(0,(1-0.55-Header!$O$3)*Header!$Q$3*$AQ711),"")</f>
      </c>
      <c r="AX711" s="43">
        <f>IF($A711="","",IF(TRIM(IF($A711="","Missing certificate ref. ","") &amp; IF($C711="","Missing effective date. ","") &amp; IF($D711="","Missing binding status. ","") &amp; IF($E711="","Missing movement type. ","") &amp; IF($I711="","Missing make. ","") &amp; IF($L711="","Missing vehicle class. ","") &amp; IF($M711="","Missing agreed value. ","") &amp; IF($N711="","Missing policy type. ","") &amp; IF($Q711="","Missing garaging state. ","") &amp; IF($R711="","Missing garaging ZIP. ","") &amp; IF($S711="","Missing cat zone. ","") &amp; IF($V711="","Missing valuation basis. ","") &amp; IF($W711="","Missing PD deductible. ","") &amp; IF($X711="","Missing liability limit. ","") &amp; IF($AB711="","Missing technical premium. ","") &amp; IF($AF711="","Missing surplus lines tax %. ",""))="","PASS","FAIL: "&amp;TRIM(IF($A711="","Missing certificate ref. ","") &amp; IF($C711="","Missing effective date. ","") &amp; IF($D711="","Missing binding status. ","") &amp; IF($E711="","Missing movement type. ","") &amp; IF($I711="","Missing make. ","") &amp; IF($L711="","Missing vehicle class. ","") &amp; IF($M711="","Missing agreed value. ","") &amp; IF($N711="","Missing policy type. ","") &amp; IF($Q711="","Missing garaging state. ","") &amp; IF($R711="","Missing garaging ZIP. ","") &amp; IF($S711="","Missing cat zone. ","") &amp; IF($V711="","Missing valuation basis. ","") &amp; IF($W711="","Missing PD deductible. ","") &amp; IF($X711="","Missing liability limit. ","") &amp; IF($AB711="","Missing technical premium. ","") &amp; IF($AF711="","Missing surplus lines tax %. ",""))))</f>
      </c>
      <c r="AY711" s="44">
        <f>IF($M711="","",IF(ISNUMBER($M711),IF($M711&gt;=Header!$C$18,"YES — refer","No"),""))</f>
      </c>
      <c r="AZ711" s="44">
        <f>IF($AD711="","",IF(ISNUMBER($AD711),IF($AD711&lt;Header!$C$20,"BELOW MIN PREMIUM","OK"),""))</f>
      </c>
      <c r="BA711" s="32" t="inlineStr">
        <is>
          <t xml:space="preserve">Yes</t>
        </is>
      </c>
      <c r="BB711" s="32" t="inlineStr">
        <is>
          <t xml:space="preserve">Yes</t>
        </is>
      </c>
      <c r="BC711" s="30" t="inlineStr">
        <is>
          <t xml:space="preserve">Synthetic demo data</t>
        </is>
      </c>
      <c r="BE711" s="45">
        <f>IF(OR($A711="",$L711="",$H711=""),"",IF(AND(LEFT($L711,2)="06",$H711&gt;1945),"FAIL - pre-war class, year "&amp;$H711,IF(AND(LEFT($L711,2)="07",OR($H711&lt;1946,$H711&gt;1972)),"FAIL - 1946-72 class, year "&amp;$H711,IF(AND(LEFT($L711,2)="08",OR($H711&lt;1973,$H711&gt;1999)),"FAIL - 1973-99 class, year "&amp;$H711,IF(AND(LEFT($L711,2)="09",OR($H711&lt;2000,$H711&gt;2010)),"FAIL - 2000-10 class, year "&amp;$H711,"OK")))))</f>
      </c>
      <c r="BF711" s="45">
        <f>IF($AD711="","",IF(ROUND($AO711+$AP711+$AQ711-$AD711,2)=0,"OK","FAIL - out by "&amp;TEXT($AO711+$AP711+$AQ711-$AD711,"$0.00")))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D5:D711</xm:sqref>
        </x14:dataValidation>
        <x14:dataValidation type="list" allowBlank="1" xr:uid="{00000000-0002-0000-0200-000001000000}">
          <x14:formula1>
            <xm:f>Lists!$A$5:$A$11</xm:f>
          </x14:formula1>
          <x14:formula2>
            <xm:f>0</xm:f>
          </x14:formula2>
          <xm:sqref>E5:E711</xm:sqref>
        </x14:dataValidation>
        <x14:dataValidation type="list" allowBlank="1" xr:uid="{00000000-0002-0000-0200-000002000000}">
          <x14:formula1>
            <xm:f>Lists!$D$5:$D$16</xm:f>
          </x14:formula1>
          <x14:formula2>
            <xm:f>0</xm:f>
          </x14:formula2>
          <xm:sqref>L5:L711</xm:sqref>
        </x14:dataValidation>
        <x14:dataValidation type="list" allowBlank="1" xr:uid="{00000000-0002-0000-0200-000003000000}">
          <x14:formula1>
            <xm:f>Lists!$C$5:$C$6</xm:f>
          </x14:formula1>
          <x14:formula2>
            <xm:f>0</xm:f>
          </x14:formula2>
          <xm:sqref>N5:N711</xm:sqref>
        </x14:dataValidation>
        <x14:dataValidation type="list" allowBlank="1" xr:uid="{00000000-0002-0000-0200-000004000000}">
          <x14:formula1>
            <xm:f>Lists!$G$5:$G$16</xm:f>
          </x14:formula1>
          <x14:formula2>
            <xm:f>0</xm:f>
          </x14:formula2>
          <xm:sqref>S5:S711</xm:sqref>
        </x14:dataValidation>
        <x14:dataValidation type="list" allowBlank="1" xr:uid="{00000000-0002-0000-0200-000005000000}">
          <x14:formula1>
            <xm:f>Lists!$E$5:$E$8</xm:f>
          </x14:formula1>
          <x14:formula2>
            <xm:f>0</xm:f>
          </x14:formula2>
          <xm:sqref>V5:V711</xm:sqref>
        </x14:dataValidation>
        <x14:dataValidation type="list" allowBlank="1" xr:uid="{00000000-0002-0000-0200-000006000000}">
          <x14:formula1>
            <xm:f>Lists!$F$5:$F$10</xm:f>
          </x14:formula1>
          <x14:formula2>
            <xm:f>0</xm:f>
          </x14:formula2>
          <xm:sqref>X5:X711</xm:sqref>
        </x14:dataValidation>
        <x14:dataValidation type="list" allowBlank="1" xr:uid="{00000000-0002-0000-0200-000007000000}">
          <x14:formula1>
            <xm:f>Lists!$K$5:$K$7</xm:f>
          </x14:formula1>
          <x14:formula2>
            <xm:f>0</xm:f>
          </x14:formula2>
          <xm:sqref>AA5:AA711</xm:sqref>
        </x14:dataValidation>
        <x14:dataValidation type="list" allowBlank="1" xr:uid="{00000000-0002-0000-0200-000008000000}">
          <x14:formula1>
            <xm:f>Lists!$H$5:$H$8</xm:f>
          </x14:formula1>
          <x14:formula2>
            <xm:f>0</xm:f>
          </x14:formula2>
          <xm:sqref>AL5:AL711</xm:sqref>
        </x14:dataValidation>
        <x14:dataValidation type="list" allowBlank="1" xr:uid="{00000000-0002-0000-0200-000009000000}">
          <x14:formula1>
            <xm:f>Lists!$J$5:$J$6</xm:f>
          </x14:formula1>
          <x14:formula2>
            <xm:f>0</xm:f>
          </x14:formula2>
          <xm:sqref>BA5:BB711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Bordereaux'!$D$5:$D$711,"Bound*",'UW Bordereaux'!$AD$5:$AD$711)</f>
      </c>
    </row>
    <row r="6" spans="1:7" ht="15" customHeight="1" x14ac:dyDescent="0.25">
      <c r="B6" s="23" t="s">
        <v>264</v>
      </c>
      <c r="C6" s="52">
        <f>-SUMIF('UW Bordereaux'!$D$5:$D$711,"Bound*",'UW Bordereaux'!$AN$5:$AN$711)</f>
      </c>
    </row>
    <row r="7" spans="1:7" ht="15" customHeight="1" x14ac:dyDescent="0.25">
      <c r="B7" s="25" t="s">
        <v>265</v>
      </c>
      <c r="C7" s="22">
        <f>SUMIF('UW Bordereaux'!$D$5:$D$711,"Bound*",'UW Bordereaux'!$AQ$5:$AQ$711)</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Bordereaux'!$D$5:$D$711,"Bound*",'UW Bordereaux'!$AE$5:$AE$711)</f>
      </c>
    </row>
    <row r="11" spans="1:7" ht="15" customHeight="1" x14ac:dyDescent="0.25">
      <c r="B11" s="23" t="s">
        <v>105</v>
      </c>
      <c r="C11" s="52">
        <f>SUMIF('UW Bordereaux'!$D$5:$D$711,"Bound*",'UW Bordereaux'!$AH$5:$AH$711)</f>
      </c>
    </row>
    <row r="12" spans="1:7" ht="15" customHeight="1" x14ac:dyDescent="0.25">
      <c r="B12" s="25" t="s">
        <v>268</v>
      </c>
      <c r="C12" s="22">
        <f>SUMIF('UW Bordereaux'!$D$5:$D$711,"Bound*",'UW Bordereaux'!$AI$5:$AI$711)</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Bordereaux'!$D$5:$D$711,"Bound*",'UW Bordereaux'!$AD$5:$AD$711)*Header!$D$24</f>
      </c>
    </row>
    <row r="16" spans="1:7" ht="15" customHeight="1" x14ac:dyDescent="0.25">
      <c r="B16" s="23" t="s">
        <v>271</v>
      </c>
      <c r="C16" s="52">
        <f>SUMIF('UW Bordereaux'!$D$5:$D$711,"Bound*",'UW Bordereaux'!$AD$5:$AD$711)*Header!$D$34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Bordereaux'!$D$5:$D$711,"Bound*",'UW Bordereaux'!$A$5:$A$711,"")=0,"PASS","FAIL — "&amp;COUNTIFS('UW Bordereaux'!$D$5:$D$711,"Bound*",'UW Bordereaux'!$A$5:$A$711,"")&amp;" bound risks missing certificate")</f>
      </c>
      <c r="D20" s="76"/>
      <c r="E20" s="76"/>
      <c r="F20" s="78"/>
      <c r="G20" s="78"/>
    </row>
    <row r="21" spans="2:7" ht="25.5" customHeight="1" x14ac:dyDescent="0.25">
      <c r="B21" s="56" t="s">
        <v>276</v>
      </c>
      <c r="C21" s="75" t="str">
        <f>IF(SUMPRODUCT((LEN('UW Bordereaux'!$A$5:$A$711)&gt;0)*(LEN('UW Bordereaux'!$D$5:$D$711)=0))=0,"PASS","FAIL — "&amp;SUMPRODUCT((LEN('UW Bordereaux'!$A$5:$A$711)&gt;0)*(LEN('UW Bordereaux'!$D$5:$D$711)=0))&amp;" rows missing status")</f>
      </c>
      <c r="D21" s="75"/>
      <c r="E21" s="75"/>
      <c r="F21" s="79"/>
      <c r="G21" s="79"/>
    </row>
    <row r="22" spans="2:7" ht="25.5" customHeight="1" x14ac:dyDescent="0.25">
      <c r="B22" s="55" t="s">
        <v>277</v>
      </c>
      <c r="C22" s="76" t="str">
        <f>IF(COUNTIFS('UW Bordereaux'!$D$5:$D$711,"Bound*",'UW Bordereaux'!$C$5:$C$711,"")=0,"PASS","FAIL — "&amp;COUNTIFS('UW Bordereaux'!$D$5:$D$711,"Bound*",'UW Bordereaux'!$C$5:$C$711,"")&amp;" bound risks missing effective date")</f>
      </c>
      <c r="D22" s="76"/>
      <c r="E22" s="76"/>
      <c r="F22" s="78"/>
      <c r="G22" s="78"/>
    </row>
    <row r="23" spans="2:7" ht="25.5" customHeight="1" x14ac:dyDescent="0.25">
      <c r="B23" s="56" t="s">
        <v>278</v>
      </c>
      <c r="C23" s="75" t="str">
        <f>IF(COUNTIFS('UW Bordereaux'!$D$5:$D$711,"Bound*",'UW Bordereaux'!$AB$5:$AB$711,"")=0,"PASS","FAIL — "&amp;COUNTIFS('UW Bordereaux'!$D$5:$D$711,"Bound*",'UW Bordereaux'!$AB$5:$AB$711,"")&amp;" bound risks missing technical premium")</f>
      </c>
      <c r="D23" s="75"/>
      <c r="E23" s="75"/>
      <c r="F23" s="79"/>
      <c r="G23" s="79"/>
    </row>
    <row r="24" spans="2:7" ht="25.5" customHeight="1" x14ac:dyDescent="0.25">
      <c r="B24" s="55" t="s">
        <v>279</v>
      </c>
      <c r="C24" s="76" t="str">
        <f>IF(COUNTIFS('UW Bordereaux'!$D$5:$D$711,"Bound*",'UW Bordereaux'!$AF$5:$AF$711,"")=0,"PASS","FAIL — "&amp;COUNTIFS('UW Bordereaux'!$D$5:$D$711,"Bound*",'UW Bordereaux'!$AF$5:$AF$711,"")&amp;" bound risks missing SL tax rate")</f>
      </c>
      <c r="D24" s="76"/>
      <c r="E24" s="76"/>
      <c r="F24" s="78" t="s">
        <v>280</v>
      </c>
      <c r="G24" s="78"/>
    </row>
    <row r="25" spans="2:7" ht="25.5" customHeight="1" x14ac:dyDescent="0.25">
      <c r="B25" s="56" t="s">
        <v>281</v>
      </c>
      <c r="C25" s="75" t="str">
        <f>IF(SUMPRODUCT(('UW Bordereaux'!$M$5:$M$711&lt;0)*('UW Bordereaux'!$A$5:$A$711&lt;&gt;""))=0,"PASS","FAIL — negative agreed value detected")</f>
      </c>
      <c r="D25" s="75"/>
      <c r="E25" s="75"/>
      <c r="F25" s="79"/>
      <c r="G25" s="79"/>
    </row>
    <row r="26" spans="2:7" ht="25.5" customHeight="1" x14ac:dyDescent="0.25">
      <c r="B26" s="55" t="s">
        <v>282</v>
      </c>
      <c r="C26" s="76" t="str">
        <f>IF(SUMPRODUCT(('UW Bordereaux'!$M$5:$M$711&lt;100000)*('UW Bordereaux'!$M$5:$M$711&gt;0)*('UW Bordereaux'!$A$5:$A$711&lt;&gt;""))=0,"PASS","FAIL — "&amp;SUMPRODUCT(('UW Bordereaux'!$M$5:$M$711&lt;100000)*('UW Bordereaux'!$M$5:$M$711&gt;0)*('UW Bordereaux'!$A$5:$A$711&lt;&gt;""))&amp;"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Bordereaux'!$AJ$5:$AJ$711,"&lt;0.85",'UW Bordereaux'!$D$5:$D$711,"Bound*")=0,"PASS","WARN — "&amp;COUNTIFS('UW Bordereaux'!$AJ$5:$AJ$711,"&lt;0.85",'UW Bordereaux'!$D$5:$D$711,"Bound*")&amp;" risks below 85% rate adequacy")</f>
      </c>
      <c r="D28" s="76"/>
      <c r="E28" s="76"/>
      <c r="F28" s="78" t="s">
        <v>285</v>
      </c>
      <c r="G28" s="78"/>
    </row>
    <row r="29" spans="2:7" ht="25.5" customHeight="1" x14ac:dyDescent="0.25">
      <c r="B29" s="56" t="s">
        <v>286</v>
      </c>
      <c r="C29" s="75" t="str">
        <f>COUNTIFS('UW Bordereaux'!$M$5:$M$711,"&gt;="&amp;Header!$C$18,'UW Bordereaux'!$D$5:$D$711,"Bound*")&amp;" risk(s) at or above $2m AV — confirm individual referral is on file"</f>
      </c>
      <c r="D29" s="75"/>
      <c r="E29" s="75"/>
      <c r="F29" s="79"/>
      <c r="G29" s="79"/>
    </row>
    <row r="30" spans="2:7" ht="25.5" customHeight="1" x14ac:dyDescent="0.25">
      <c r="B30" s="55" t="s">
        <v>287</v>
      </c>
      <c r="C30" s="76" t="str">
        <f>COUNTIF('UW Bordereaux'!$AK$5:$AK$711,"BEYOND AUTHORITY")&amp;" risk(s) — confirm approval is on file in the Referral Log"</f>
      </c>
      <c r="D30" s="76"/>
      <c r="E30" s="76"/>
      <c r="F30" s="78"/>
      <c r="G30" s="78"/>
    </row>
    <row r="31" spans="2:7" ht="25.5" customHeight="1" x14ac:dyDescent="0.25">
      <c r="B31" s="56" t="s">
        <v>288</v>
      </c>
      <c r="C31" s="75" t="str">
        <f>IF(COUNTIF('UW Bordereaux'!$AW$5:$AW$711,"FAIL*")=0,"PASS — all mandatory fields complete","FAIL — "&amp;COUNTIF('UW Bordereaux'!$AW$5:$AW$711,"FAIL*")&amp;" rows with missing mandatory fields")</f>
      </c>
      <c r="D31" s="75"/>
      <c r="E31" s="75"/>
      <c r="F31" s="79" t="s">
        <v>289</v>
      </c>
      <c r="G31" s="79"/>
    </row>
    <row r="33" spans="2:7" ht="25.5" customHeight="1" x14ac:dyDescent="0.25">
      <c r="B33" s="57" t="s">
        <v>290</v>
      </c>
      <c r="C33" s="76" t="str">
        <f>IF(COUNTIF('UW Bordereaux'!$BE$5:$BE$711,"FAIL*")=0,"PASS","FAIL - "&amp;COUNTIF('UW Bordereaux'!$BE$5:$BE$711,"FAIL*")&amp;" rows where vehicle year falls outside its class era")</f>
      </c>
      <c r="D33" s="76"/>
      <c r="E33" s="76"/>
    </row>
    <row r="34" spans="2:7" ht="25.5" customHeight="1" x14ac:dyDescent="0.25">
      <c r="B34" s="56" t="s">
        <v>291</v>
      </c>
      <c r="C34" s="75" t="str">
        <f>IF(COUNTIF('UW Bordereaux'!$BF$5:$BF$711,"FAIL*")=0,"PASS - all rows foot to the cent","FAIL - "&amp;COUNTIF('UW Bordereaux'!$BF$5:$BF$711,"FAIL*")&amp;"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Bordereaux'!$D$5:$D$711,"Bound*",'UW Bordereaux'!$AD$5:$AD$711)</f>
      </c>
    </row>
    <row r="41" spans="2:7" x14ac:dyDescent="0.25">
      <c r="B41" s="55" t="s">
        <v>296</v>
      </c>
      <c r="C41" s="59">
        <f>SUMIF('UW Bordereaux'!$D$5:$D$711,"Bound*",'UW Bordereaux'!$AO$5:$AO$711)</f>
      </c>
    </row>
    <row r="42" spans="2:7" x14ac:dyDescent="0.25">
      <c r="B42" s="55" t="s">
        <v>297</v>
      </c>
      <c r="C42" s="59">
        <f>SUMIF('UW Bordereaux'!$D$5:$D$711,"Bound*",'UW Bordereaux'!$AP$5:$AP$711)</f>
      </c>
    </row>
    <row r="43" spans="2:7" x14ac:dyDescent="0.25">
      <c r="B43" s="55" t="s">
        <v>298</v>
      </c>
      <c r="C43" s="59">
        <f>SUMIF('UW Bordereaux'!$D$5:$D$711,"Bound*",'UW Bordereaux'!$AQ$5:$AQ$711)</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